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M.Tech/M. Tech 2025 Batch/"/>
    </mc:Choice>
  </mc:AlternateContent>
  <xr:revisionPtr revIDLastSave="0" documentId="13_ncr:1_{10506B08-1AD8-054C-95DA-7280D3205C46}" xr6:coauthVersionLast="47" xr6:coauthVersionMax="47" xr10:uidLastSave="{00000000-0000-0000-0000-000000000000}"/>
  <bookViews>
    <workbookView xWindow="0" yWindow="660" windowWidth="29400" windowHeight="18460" tabRatio="610" activeTab="7" xr2:uid="{00000000-000D-0000-FFFF-FFFF00000000}"/>
  </bookViews>
  <sheets>
    <sheet name="CSE" sheetId="4" r:id="rId1"/>
    <sheet name="Production" sheetId="16" r:id="rId2"/>
    <sheet name="Geotechnology" sheetId="7" r:id="rId3"/>
    <sheet name="PowerSystems" sheetId="8" r:id="rId4"/>
    <sheet name="BT" sheetId="9" r:id="rId5"/>
    <sheet name="Marksheets_BT" sheetId="13" r:id="rId6"/>
    <sheet name="Grade Sheets BT" sheetId="14" r:id="rId7"/>
    <sheet name="Marksheets_All" sheetId="10" r:id="rId8"/>
    <sheet name="Data_Consolidated" sheetId="11" r:id="rId9"/>
    <sheet name="Grade Sheets All" sheetId="12" r:id="rId10"/>
  </sheets>
  <definedNames>
    <definedName name="BT_I">BT!$A$4:$BK$13</definedName>
    <definedName name="CSE_I">CSE!$A$4:$BJ$15</definedName>
    <definedName name="GT_I">Geotechnology!$A$4:$BJ$12</definedName>
    <definedName name="PE_I">Production!$A$4:$BJ$12</definedName>
    <definedName name="_xlnm.Print_Area" localSheetId="7">Marksheets_All!$A$1:$AB$98</definedName>
    <definedName name="_xlnm.Print_Area" localSheetId="5">Marksheets_BT!$A$1:$AB$151</definedName>
    <definedName name="_xlnm.Print_Area" localSheetId="1">Production!$A$1:$AT$12</definedName>
    <definedName name="_xlnm.Print_Titles" localSheetId="9">'Grade Sheets All'!$1:$10</definedName>
    <definedName name="_xlnm.Print_Titles" localSheetId="6">'Grade Sheets BT'!$1:$10</definedName>
    <definedName name="_xlnm.Print_Titles" localSheetId="7">Marksheets_All!$1:$7</definedName>
    <definedName name="_xlnm.Print_Titles" localSheetId="5">Marksheets_BT!$1:$7</definedName>
    <definedName name="PS_I">PowerSystems!$A$4:$BJ$12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2" i="8" l="1"/>
  <c r="AU12" i="8" s="1"/>
  <c r="AT11" i="8"/>
  <c r="AU11" i="8" s="1"/>
  <c r="AT11" i="7"/>
  <c r="AU11" i="7" s="1"/>
  <c r="AT12" i="16"/>
  <c r="AU12" i="16" s="1"/>
  <c r="AT11" i="16"/>
  <c r="AU11" i="16" s="1"/>
  <c r="AU15" i="4"/>
  <c r="AU12" i="4"/>
  <c r="AU13" i="4"/>
  <c r="AU14" i="4"/>
  <c r="AU11" i="4"/>
  <c r="AT15" i="4"/>
  <c r="AT12" i="4"/>
  <c r="AT13" i="4"/>
  <c r="AT14" i="4"/>
  <c r="AT11" i="4"/>
  <c r="A5" i="10"/>
  <c r="I12" i="11"/>
  <c r="B12" i="11"/>
  <c r="C12" i="11"/>
  <c r="D12" i="11"/>
  <c r="E12" i="11"/>
  <c r="F12" i="11"/>
  <c r="B13" i="11"/>
  <c r="C13" i="11"/>
  <c r="D13" i="11"/>
  <c r="E13" i="11"/>
  <c r="F13" i="11"/>
  <c r="B14" i="11"/>
  <c r="C14" i="11"/>
  <c r="D14" i="11"/>
  <c r="E14" i="11"/>
  <c r="F14" i="11"/>
  <c r="A13" i="11"/>
  <c r="A14" i="11"/>
  <c r="A12" i="11"/>
  <c r="I10" i="11"/>
  <c r="B10" i="11"/>
  <c r="C10" i="11"/>
  <c r="D10" i="11"/>
  <c r="E10" i="11"/>
  <c r="F10" i="11"/>
  <c r="B11" i="11"/>
  <c r="C11" i="11"/>
  <c r="D11" i="11"/>
  <c r="E11" i="11"/>
  <c r="F11" i="11"/>
  <c r="A11" i="11"/>
  <c r="A10" i="11"/>
  <c r="B9" i="11"/>
  <c r="C9" i="11"/>
  <c r="D9" i="11"/>
  <c r="E9" i="11"/>
  <c r="F9" i="11"/>
  <c r="A9" i="11"/>
  <c r="I7" i="11"/>
  <c r="B7" i="11"/>
  <c r="C7" i="11"/>
  <c r="D7" i="11"/>
  <c r="E7" i="11"/>
  <c r="F7" i="11"/>
  <c r="B8" i="11"/>
  <c r="C8" i="11"/>
  <c r="D8" i="11"/>
  <c r="E8" i="11"/>
  <c r="F8" i="11"/>
  <c r="A8" i="11"/>
  <c r="A7" i="11"/>
  <c r="I2" i="11"/>
  <c r="B2" i="11"/>
  <c r="C2" i="11"/>
  <c r="D2" i="11"/>
  <c r="E2" i="11"/>
  <c r="F2" i="11"/>
  <c r="B3" i="11"/>
  <c r="C3" i="11"/>
  <c r="D3" i="11"/>
  <c r="E3" i="11"/>
  <c r="F3" i="11"/>
  <c r="B4" i="11"/>
  <c r="C4" i="11"/>
  <c r="D4" i="11"/>
  <c r="E4" i="11"/>
  <c r="F4" i="11"/>
  <c r="B5" i="11"/>
  <c r="C5" i="11"/>
  <c r="D5" i="11"/>
  <c r="E5" i="11"/>
  <c r="F5" i="11"/>
  <c r="B6" i="11"/>
  <c r="C6" i="11"/>
  <c r="D6" i="11"/>
  <c r="E6" i="11"/>
  <c r="F6" i="11"/>
  <c r="A3" i="11"/>
  <c r="A4" i="11"/>
  <c r="A5" i="11"/>
  <c r="A6" i="11"/>
  <c r="A2" i="11"/>
  <c r="AO13" i="9"/>
  <c r="AP13" i="9" s="1"/>
  <c r="AO12" i="9"/>
  <c r="AP12" i="9" s="1"/>
  <c r="AK13" i="9"/>
  <c r="AL13" i="9" s="1"/>
  <c r="AK12" i="9"/>
  <c r="AL12" i="9" s="1"/>
  <c r="AG13" i="9"/>
  <c r="AH13" i="9" s="1"/>
  <c r="AG12" i="9"/>
  <c r="AH12" i="9" s="1"/>
  <c r="AC13" i="9"/>
  <c r="AD13" i="9" s="1"/>
  <c r="AC12" i="9"/>
  <c r="AD12" i="9" s="1"/>
  <c r="Y13" i="9"/>
  <c r="Z13" i="9" s="1"/>
  <c r="Y12" i="9"/>
  <c r="Z12" i="9" s="1"/>
  <c r="U13" i="9"/>
  <c r="V13" i="9" s="1"/>
  <c r="U12" i="9"/>
  <c r="V12" i="9" s="1"/>
  <c r="Q13" i="9"/>
  <c r="R13" i="9"/>
  <c r="Q12" i="9"/>
  <c r="R12" i="9" s="1"/>
  <c r="M13" i="9"/>
  <c r="N13" i="9"/>
  <c r="M12" i="9"/>
  <c r="N12" i="9" s="1"/>
  <c r="I13" i="9"/>
  <c r="AQ13" i="9" s="1"/>
  <c r="J13" i="9"/>
  <c r="I12" i="9"/>
  <c r="J12" i="9" s="1"/>
  <c r="AN12" i="8"/>
  <c r="AO12" i="8" s="1"/>
  <c r="AJ12" i="8"/>
  <c r="AK12" i="8"/>
  <c r="AF12" i="8"/>
  <c r="AG12" i="8" s="1"/>
  <c r="AC12" i="8"/>
  <c r="AD12" i="8" s="1"/>
  <c r="Y12" i="8"/>
  <c r="Z12" i="8" s="1"/>
  <c r="U12" i="8"/>
  <c r="V12" i="8" s="1"/>
  <c r="Q12" i="8"/>
  <c r="R12" i="8" s="1"/>
  <c r="M12" i="8"/>
  <c r="N12" i="8" s="1"/>
  <c r="I12" i="8"/>
  <c r="J12" i="8" s="1"/>
  <c r="AN12" i="4"/>
  <c r="AO12" i="4" s="1"/>
  <c r="AN13" i="4"/>
  <c r="AO13" i="4" s="1"/>
  <c r="AN14" i="4"/>
  <c r="AO14" i="4" s="1"/>
  <c r="AN15" i="4"/>
  <c r="AO15" i="4"/>
  <c r="AJ12" i="4"/>
  <c r="AK12" i="4"/>
  <c r="AJ13" i="4"/>
  <c r="AK13" i="4"/>
  <c r="AJ14" i="4"/>
  <c r="AK14" i="4" s="1"/>
  <c r="AJ15" i="4"/>
  <c r="AK15" i="4" s="1"/>
  <c r="AG15" i="4"/>
  <c r="AD13" i="4"/>
  <c r="AD14" i="4"/>
  <c r="AD15" i="4"/>
  <c r="Y12" i="4"/>
  <c r="Z12" i="4" s="1"/>
  <c r="Y13" i="4"/>
  <c r="Z13" i="4"/>
  <c r="Y14" i="4"/>
  <c r="Z14" i="4"/>
  <c r="Y15" i="4"/>
  <c r="Z15" i="4"/>
  <c r="U12" i="4"/>
  <c r="V12" i="4" s="1"/>
  <c r="U13" i="4"/>
  <c r="V13" i="4"/>
  <c r="U14" i="4"/>
  <c r="V14" i="4"/>
  <c r="U15" i="4"/>
  <c r="V15" i="4"/>
  <c r="Q12" i="4"/>
  <c r="R12" i="4"/>
  <c r="Q13" i="4"/>
  <c r="R13" i="4"/>
  <c r="Q14" i="4"/>
  <c r="R14" i="4" s="1"/>
  <c r="Q15" i="4"/>
  <c r="R15" i="4"/>
  <c r="M12" i="4"/>
  <c r="N12" i="4" s="1"/>
  <c r="M13" i="4"/>
  <c r="N13" i="4"/>
  <c r="M14" i="4"/>
  <c r="N14" i="4"/>
  <c r="M15" i="4"/>
  <c r="N15" i="4"/>
  <c r="I12" i="4"/>
  <c r="J12" i="4"/>
  <c r="I13" i="4"/>
  <c r="J13" i="4"/>
  <c r="I14" i="4"/>
  <c r="J14" i="4"/>
  <c r="I15" i="4"/>
  <c r="J15" i="4"/>
  <c r="B7" i="12"/>
  <c r="B7" i="14"/>
  <c r="A5" i="13"/>
  <c r="AF13" i="4"/>
  <c r="AG13" i="4" s="1"/>
  <c r="AF14" i="4"/>
  <c r="AG14" i="4" s="1"/>
  <c r="AF15" i="4"/>
  <c r="AC13" i="4"/>
  <c r="AC14" i="4"/>
  <c r="AC15" i="4"/>
  <c r="BI13" i="9"/>
  <c r="BH13" i="9"/>
  <c r="BF13" i="9"/>
  <c r="BD13" i="9"/>
  <c r="BJ13" i="9"/>
  <c r="BG13" i="9"/>
  <c r="BE13" i="9"/>
  <c r="BC13" i="9"/>
  <c r="BB13" i="9"/>
  <c r="BH12" i="8"/>
  <c r="BC12" i="8"/>
  <c r="BA12" i="8"/>
  <c r="BI12" i="8"/>
  <c r="BG12" i="8"/>
  <c r="BF12" i="8"/>
  <c r="BD12" i="8"/>
  <c r="BB12" i="8"/>
  <c r="BE12" i="8"/>
  <c r="BA12" i="4"/>
  <c r="BA13" i="4"/>
  <c r="BA14" i="4"/>
  <c r="BA15" i="4"/>
  <c r="BD12" i="4"/>
  <c r="BD15" i="4"/>
  <c r="BE15" i="4"/>
  <c r="BF13" i="4"/>
  <c r="BG13" i="4"/>
  <c r="BH13" i="4"/>
  <c r="BI15" i="4"/>
  <c r="BB12" i="4"/>
  <c r="BB13" i="4"/>
  <c r="BB14" i="4"/>
  <c r="BB15" i="4"/>
  <c r="BD14" i="4"/>
  <c r="BE12" i="4"/>
  <c r="BF14" i="4"/>
  <c r="BH12" i="4"/>
  <c r="BI13" i="4"/>
  <c r="BC12" i="4"/>
  <c r="BC13" i="4"/>
  <c r="BC14" i="4"/>
  <c r="BC15" i="4"/>
  <c r="BD13" i="4"/>
  <c r="BE14" i="4"/>
  <c r="BF15" i="4"/>
  <c r="BG14" i="4"/>
  <c r="BH14" i="4"/>
  <c r="BI14" i="4"/>
  <c r="BE13" i="4"/>
  <c r="BG15" i="4"/>
  <c r="BH15" i="4"/>
  <c r="BI12" i="4"/>
  <c r="AP12" i="8" l="1"/>
  <c r="AU12" i="9"/>
  <c r="AV12" i="9" s="1"/>
  <c r="AU13" i="9"/>
  <c r="AV13" i="9" s="1"/>
  <c r="AQ12" i="9"/>
  <c r="AP15" i="4"/>
  <c r="AP14" i="4"/>
  <c r="AP13" i="4"/>
  <c r="AN12" i="16"/>
  <c r="AO12" i="16" s="1"/>
  <c r="AJ12" i="16"/>
  <c r="AK12" i="16" s="1"/>
  <c r="AF12" i="16"/>
  <c r="AG12" i="16" s="1"/>
  <c r="AC12" i="16"/>
  <c r="AD12" i="16" s="1"/>
  <c r="Y12" i="16"/>
  <c r="Z12" i="16" s="1"/>
  <c r="U12" i="16"/>
  <c r="V12" i="16" s="1"/>
  <c r="Q12" i="16"/>
  <c r="R12" i="16" s="1"/>
  <c r="M12" i="16"/>
  <c r="N12" i="16" s="1"/>
  <c r="I12" i="16"/>
  <c r="J12" i="16" s="1"/>
  <c r="AN11" i="16"/>
  <c r="AO11" i="16" s="1"/>
  <c r="AJ11" i="16"/>
  <c r="AF11" i="16"/>
  <c r="AG11" i="16" s="1"/>
  <c r="AC11" i="16"/>
  <c r="AD11" i="16" s="1"/>
  <c r="Y11" i="16"/>
  <c r="Z11" i="16" s="1"/>
  <c r="U11" i="16"/>
  <c r="V11" i="16" s="1"/>
  <c r="Q11" i="16"/>
  <c r="R11" i="16" s="1"/>
  <c r="M11" i="16"/>
  <c r="N11" i="16" s="1"/>
  <c r="I11" i="16"/>
  <c r="J11" i="16" s="1"/>
  <c r="AP8" i="16"/>
  <c r="AP9" i="16"/>
  <c r="BA10" i="16"/>
  <c r="BB10" i="16"/>
  <c r="BC10" i="16"/>
  <c r="BD10" i="16"/>
  <c r="BE10" i="16"/>
  <c r="BF10" i="16"/>
  <c r="BG10" i="16"/>
  <c r="BH10" i="16"/>
  <c r="BI10" i="16"/>
  <c r="BF12" i="16"/>
  <c r="BA11" i="16"/>
  <c r="BB12" i="16"/>
  <c r="BC11" i="16"/>
  <c r="BH12" i="16"/>
  <c r="BF11" i="16"/>
  <c r="BG12" i="16"/>
  <c r="BE11" i="16"/>
  <c r="BE12" i="16"/>
  <c r="BG11" i="16"/>
  <c r="BD12" i="16"/>
  <c r="BA12" i="16"/>
  <c r="BC12" i="16"/>
  <c r="BI12" i="16"/>
  <c r="BI11" i="16"/>
  <c r="BB11" i="16"/>
  <c r="BD11" i="16"/>
  <c r="AP11" i="16" l="1"/>
  <c r="AP12" i="16"/>
  <c r="AS12" i="16"/>
  <c r="H8" i="11" s="1"/>
  <c r="AK11" i="16"/>
  <c r="BJ12" i="16"/>
  <c r="G8" i="11" s="1"/>
  <c r="AX23" i="16"/>
  <c r="AY23" i="16"/>
  <c r="BH11" i="16"/>
  <c r="AV12" i="16" l="1"/>
  <c r="AQ12" i="16"/>
  <c r="AR12" i="16" s="1"/>
  <c r="AS11" i="16"/>
  <c r="H7" i="11" s="1"/>
  <c r="BJ11" i="16"/>
  <c r="G7" i="11" s="1"/>
  <c r="B285" i="14"/>
  <c r="B149" i="13"/>
  <c r="E131" i="13"/>
  <c r="F251" i="14" s="1"/>
  <c r="B131" i="13"/>
  <c r="B251" i="14" s="1"/>
  <c r="B134" i="13"/>
  <c r="B116" i="13"/>
  <c r="B113" i="13"/>
  <c r="B217" i="14" s="1"/>
  <c r="E95" i="13"/>
  <c r="F182" i="14" s="1"/>
  <c r="B95" i="13"/>
  <c r="B182" i="14" s="1"/>
  <c r="B77" i="13"/>
  <c r="B147" i="14" s="1"/>
  <c r="E59" i="13"/>
  <c r="F112" i="14" s="1"/>
  <c r="B59" i="13"/>
  <c r="B112" i="14" s="1"/>
  <c r="E77" i="13"/>
  <c r="F147" i="14" s="1"/>
  <c r="E113" i="13"/>
  <c r="F217" i="14" s="1"/>
  <c r="E149" i="13"/>
  <c r="F285" i="14" s="1"/>
  <c r="A129" i="13"/>
  <c r="F128" i="13"/>
  <c r="F146" i="13"/>
  <c r="A146" i="13"/>
  <c r="B127" i="13"/>
  <c r="B9" i="10"/>
  <c r="B147" i="13"/>
  <c r="M128" i="13"/>
  <c r="F147" i="13"/>
  <c r="B146" i="13"/>
  <c r="I127" i="13"/>
  <c r="A145" i="13"/>
  <c r="A127" i="13"/>
  <c r="F145" i="13"/>
  <c r="E117" i="13"/>
  <c r="A147" i="13"/>
  <c r="A128" i="13"/>
  <c r="G129" i="13"/>
  <c r="B129" i="13"/>
  <c r="F127" i="13"/>
  <c r="F129" i="13"/>
  <c r="B145" i="13"/>
  <c r="B128" i="13"/>
  <c r="AV11" i="16" l="1"/>
  <c r="AQ11" i="16"/>
  <c r="AR11" i="16" s="1"/>
  <c r="Q127" i="13"/>
  <c r="T127" i="13"/>
  <c r="N128" i="13"/>
  <c r="S129" i="13"/>
  <c r="P129" i="13"/>
  <c r="P8" i="13"/>
  <c r="I146" i="13"/>
  <c r="H206" i="12"/>
  <c r="I136" i="12"/>
  <c r="M127" i="13"/>
  <c r="H171" i="12"/>
  <c r="C206" i="12"/>
  <c r="H175" i="12"/>
  <c r="A35" i="12"/>
  <c r="H101" i="12"/>
  <c r="G127" i="13"/>
  <c r="C70" i="12"/>
  <c r="H138" i="12"/>
  <c r="C136" i="12"/>
  <c r="M146" i="13"/>
  <c r="I105" i="12"/>
  <c r="I206" i="12"/>
  <c r="C68" i="12"/>
  <c r="H68" i="12"/>
  <c r="A208" i="12"/>
  <c r="A171" i="12"/>
  <c r="A138" i="12"/>
  <c r="C140" i="12"/>
  <c r="C210" i="12"/>
  <c r="I129" i="13"/>
  <c r="A140" i="12"/>
  <c r="C173" i="12"/>
  <c r="I140" i="12"/>
  <c r="H208" i="12"/>
  <c r="M145" i="13"/>
  <c r="C105" i="12"/>
  <c r="C208" i="12"/>
  <c r="K147" i="13"/>
  <c r="I147" i="13"/>
  <c r="A105" i="12"/>
  <c r="C35" i="12"/>
  <c r="A173" i="12"/>
  <c r="I145" i="13"/>
  <c r="K129" i="13"/>
  <c r="G146" i="13"/>
  <c r="C66" i="12"/>
  <c r="I175" i="12"/>
  <c r="A206" i="12"/>
  <c r="A68" i="12"/>
  <c r="C175" i="12"/>
  <c r="H136" i="12"/>
  <c r="I101" i="12"/>
  <c r="A33" i="12"/>
  <c r="F116" i="13"/>
  <c r="I103" i="12"/>
  <c r="M147" i="13"/>
  <c r="F134" i="13"/>
  <c r="H70" i="12"/>
  <c r="I208" i="12"/>
  <c r="I171" i="12"/>
  <c r="M129" i="13"/>
  <c r="H66" i="12"/>
  <c r="E135" i="13"/>
  <c r="A66" i="12"/>
  <c r="B135" i="13"/>
  <c r="I117" i="13"/>
  <c r="I210" i="12"/>
  <c r="M135" i="13"/>
  <c r="H173" i="12"/>
  <c r="H140" i="12"/>
  <c r="I135" i="13"/>
  <c r="C103" i="12"/>
  <c r="A101" i="12"/>
  <c r="B117" i="13"/>
  <c r="C171" i="12"/>
  <c r="I128" i="13"/>
  <c r="G147" i="13"/>
  <c r="C33" i="12"/>
  <c r="G145" i="13"/>
  <c r="A136" i="12"/>
  <c r="H33" i="12"/>
  <c r="A210" i="12"/>
  <c r="H35" i="12"/>
  <c r="M117" i="13"/>
  <c r="A103" i="12"/>
  <c r="H105" i="12"/>
  <c r="I173" i="12"/>
  <c r="G128" i="13"/>
  <c r="A175" i="12"/>
  <c r="A70" i="12"/>
  <c r="C138" i="12"/>
  <c r="H210" i="12"/>
  <c r="H103" i="12"/>
  <c r="C101" i="12"/>
  <c r="I138" i="12"/>
  <c r="T147" i="13" l="1"/>
  <c r="Q147" i="13"/>
  <c r="N145" i="13"/>
  <c r="N147" i="13"/>
  <c r="T146" i="13"/>
  <c r="Q146" i="13"/>
  <c r="S147" i="13"/>
  <c r="P147" i="13"/>
  <c r="S145" i="13"/>
  <c r="P145" i="13"/>
  <c r="U147" i="13"/>
  <c r="R147" i="13"/>
  <c r="Q145" i="13"/>
  <c r="T145" i="13"/>
  <c r="S146" i="13"/>
  <c r="P146" i="13"/>
  <c r="N146" i="13"/>
  <c r="S127" i="13"/>
  <c r="P127" i="13"/>
  <c r="N127" i="13"/>
  <c r="T128" i="13"/>
  <c r="Q128" i="13"/>
  <c r="T129" i="13"/>
  <c r="Q129" i="13"/>
  <c r="N129" i="13"/>
  <c r="U129" i="13"/>
  <c r="R129" i="13"/>
  <c r="S128" i="13"/>
  <c r="P128" i="13"/>
  <c r="B46" i="14"/>
  <c r="N12" i="14"/>
  <c r="M12" i="14"/>
  <c r="M142" i="13"/>
  <c r="M121" i="13"/>
  <c r="A125" i="13"/>
  <c r="M126" i="13"/>
  <c r="A126" i="13"/>
  <c r="I143" i="13"/>
  <c r="B125" i="13"/>
  <c r="G144" i="13"/>
  <c r="M122" i="13"/>
  <c r="F124" i="13"/>
  <c r="G125" i="13"/>
  <c r="F140" i="13"/>
  <c r="K123" i="13"/>
  <c r="F141" i="13"/>
  <c r="I141" i="13"/>
  <c r="B121" i="13"/>
  <c r="F121" i="13"/>
  <c r="A124" i="13"/>
  <c r="G121" i="13"/>
  <c r="F142" i="13"/>
  <c r="B123" i="13"/>
  <c r="F122" i="13"/>
  <c r="K142" i="13"/>
  <c r="M123" i="13"/>
  <c r="K121" i="13"/>
  <c r="G123" i="13"/>
  <c r="G140" i="13"/>
  <c r="K124" i="13"/>
  <c r="G124" i="13"/>
  <c r="K144" i="13"/>
  <c r="M125" i="13"/>
  <c r="A141" i="13"/>
  <c r="G143" i="13"/>
  <c r="F143" i="13"/>
  <c r="B126" i="13"/>
  <c r="A123" i="13"/>
  <c r="M139" i="13"/>
  <c r="A139" i="13"/>
  <c r="K143" i="13"/>
  <c r="K122" i="13"/>
  <c r="M143" i="13"/>
  <c r="B142" i="13"/>
  <c r="I124" i="13"/>
  <c r="A140" i="13"/>
  <c r="K141" i="13"/>
  <c r="M124" i="13"/>
  <c r="A121" i="13"/>
  <c r="I123" i="13"/>
  <c r="A142" i="13"/>
  <c r="A122" i="13"/>
  <c r="M141" i="13"/>
  <c r="M140" i="13"/>
  <c r="G142" i="13"/>
  <c r="B139" i="13"/>
  <c r="F126" i="13"/>
  <c r="K125" i="13"/>
  <c r="G126" i="13"/>
  <c r="I140" i="13"/>
  <c r="G122" i="13"/>
  <c r="B140" i="13"/>
  <c r="I139" i="13"/>
  <c r="F144" i="13"/>
  <c r="I142" i="13"/>
  <c r="K139" i="13"/>
  <c r="B122" i="13"/>
  <c r="M144" i="13"/>
  <c r="A143" i="13"/>
  <c r="B144" i="13"/>
  <c r="I122" i="13"/>
  <c r="G139" i="13"/>
  <c r="B141" i="13"/>
  <c r="A144" i="13"/>
  <c r="I125" i="13"/>
  <c r="F123" i="13"/>
  <c r="F125" i="13"/>
  <c r="G141" i="13"/>
  <c r="B124" i="13"/>
  <c r="I144" i="13"/>
  <c r="K126" i="13"/>
  <c r="B143" i="13"/>
  <c r="I121" i="13"/>
  <c r="F139" i="13"/>
  <c r="K140" i="13"/>
  <c r="I126" i="13"/>
  <c r="C19" i="14"/>
  <c r="C33" i="14"/>
  <c r="C266" i="14"/>
  <c r="C163" i="14"/>
  <c r="H126" i="14"/>
  <c r="C244" i="14"/>
  <c r="H228" i="14"/>
  <c r="C161" i="14"/>
  <c r="A66" i="14"/>
  <c r="A240" i="14"/>
  <c r="H276" i="14"/>
  <c r="C103" i="14"/>
  <c r="C66" i="14"/>
  <c r="A167" i="14"/>
  <c r="I14" i="14"/>
  <c r="C97" i="14"/>
  <c r="A21" i="14"/>
  <c r="C171" i="14"/>
  <c r="A101" i="14"/>
  <c r="H173" i="14"/>
  <c r="C21" i="14"/>
  <c r="A159" i="14"/>
  <c r="H161" i="14"/>
  <c r="H136" i="14"/>
  <c r="C134" i="14"/>
  <c r="C270" i="14"/>
  <c r="A173" i="14"/>
  <c r="C27" i="14"/>
  <c r="H204" i="14"/>
  <c r="H103" i="14"/>
  <c r="H266" i="14"/>
  <c r="H89" i="14"/>
  <c r="C278" i="14"/>
  <c r="A56" i="14"/>
  <c r="A206" i="14"/>
  <c r="C165" i="14"/>
  <c r="A31" i="14"/>
  <c r="H64" i="14"/>
  <c r="H198" i="14"/>
  <c r="H60" i="14"/>
  <c r="H208" i="14"/>
  <c r="C264" i="14"/>
  <c r="A29" i="14"/>
  <c r="C204" i="14"/>
  <c r="C206" i="14"/>
  <c r="H278" i="14"/>
  <c r="C14" i="14"/>
  <c r="A165" i="14"/>
  <c r="C56" i="14"/>
  <c r="H23" i="14"/>
  <c r="I12" i="14"/>
  <c r="H268" i="14"/>
  <c r="C62" i="14"/>
  <c r="C232" i="14"/>
  <c r="H242" i="14"/>
  <c r="H163" i="14"/>
  <c r="C210" i="14"/>
  <c r="C35" i="14"/>
  <c r="C274" i="14"/>
  <c r="C200" i="14"/>
  <c r="H270" i="14"/>
  <c r="A132" i="14"/>
  <c r="A276" i="14"/>
  <c r="A230" i="14"/>
  <c r="C64" i="14"/>
  <c r="C140" i="14"/>
  <c r="A58" i="14"/>
  <c r="A198" i="14"/>
  <c r="H33" i="14"/>
  <c r="H27" i="14"/>
  <c r="A140" i="14"/>
  <c r="C272" i="14"/>
  <c r="C228" i="14"/>
  <c r="A99" i="14"/>
  <c r="H62" i="14"/>
  <c r="A266" i="14"/>
  <c r="H165" i="14"/>
  <c r="A62" i="14"/>
  <c r="A264" i="14"/>
  <c r="C276" i="14"/>
  <c r="C202" i="14"/>
  <c r="H196" i="14"/>
  <c r="A200" i="14"/>
  <c r="H93" i="14"/>
  <c r="A19" i="14"/>
  <c r="C132" i="14"/>
  <c r="C68" i="14"/>
  <c r="H21" i="14"/>
  <c r="H230" i="14"/>
  <c r="H99" i="14"/>
  <c r="A33" i="14"/>
  <c r="H124" i="14"/>
  <c r="C196" i="14"/>
  <c r="C208" i="14"/>
  <c r="H128" i="14"/>
  <c r="H130" i="14"/>
  <c r="A89" i="14"/>
  <c r="A175" i="14"/>
  <c r="A35" i="14"/>
  <c r="A242" i="14"/>
  <c r="C230" i="14"/>
  <c r="A68" i="14"/>
  <c r="A262" i="14"/>
  <c r="H171" i="14"/>
  <c r="H56" i="14"/>
  <c r="A171" i="14"/>
  <c r="A91" i="14"/>
  <c r="H25" i="14"/>
  <c r="C25" i="14"/>
  <c r="H101" i="14"/>
  <c r="A232" i="14"/>
  <c r="A228" i="14"/>
  <c r="H236" i="14"/>
  <c r="C91" i="14"/>
  <c r="A236" i="14"/>
  <c r="A268" i="14"/>
  <c r="C58" i="14"/>
  <c r="H232" i="14"/>
  <c r="H66" i="14"/>
  <c r="A97" i="14"/>
  <c r="H240" i="14"/>
  <c r="A169" i="14"/>
  <c r="H244" i="14"/>
  <c r="H206" i="14"/>
  <c r="C159" i="14"/>
  <c r="A138" i="14"/>
  <c r="C136" i="14"/>
  <c r="A196" i="14"/>
  <c r="H159" i="14"/>
  <c r="A27" i="14"/>
  <c r="H272" i="14"/>
  <c r="A234" i="14"/>
  <c r="A60" i="14"/>
  <c r="C238" i="14"/>
  <c r="H175" i="14"/>
  <c r="A95" i="14"/>
  <c r="C23" i="14"/>
  <c r="C124" i="14"/>
  <c r="C236" i="14"/>
  <c r="C99" i="14"/>
  <c r="C167" i="14"/>
  <c r="C60" i="14"/>
  <c r="C126" i="14"/>
  <c r="A134" i="14"/>
  <c r="H68" i="14"/>
  <c r="A278" i="14"/>
  <c r="C234" i="14"/>
  <c r="H202" i="14"/>
  <c r="C128" i="14"/>
  <c r="A194" i="14"/>
  <c r="A93" i="14"/>
  <c r="A208" i="14"/>
  <c r="A23" i="14"/>
  <c r="C175" i="14"/>
  <c r="H31" i="14"/>
  <c r="A126" i="14"/>
  <c r="H132" i="14"/>
  <c r="H134" i="14"/>
  <c r="C29" i="14"/>
  <c r="A238" i="14"/>
  <c r="A124" i="14"/>
  <c r="C138" i="14"/>
  <c r="C173" i="14"/>
  <c r="C70" i="14"/>
  <c r="H169" i="14"/>
  <c r="A128" i="14"/>
  <c r="H105" i="14"/>
  <c r="C89" i="14"/>
  <c r="C240" i="14"/>
  <c r="H274" i="14"/>
  <c r="A136" i="14"/>
  <c r="A210" i="14"/>
  <c r="A130" i="14"/>
  <c r="A163" i="14"/>
  <c r="H35" i="14"/>
  <c r="C101" i="14"/>
  <c r="H70" i="14"/>
  <c r="H138" i="14"/>
  <c r="H264" i="14"/>
  <c r="H194" i="14"/>
  <c r="H210" i="14"/>
  <c r="C194" i="14"/>
  <c r="C105" i="14"/>
  <c r="C130" i="14"/>
  <c r="A70" i="14"/>
  <c r="C95" i="14"/>
  <c r="C198" i="14"/>
  <c r="H29" i="14"/>
  <c r="A272" i="14"/>
  <c r="H262" i="14"/>
  <c r="C262" i="14"/>
  <c r="H91" i="14"/>
  <c r="A103" i="14"/>
  <c r="H167" i="14"/>
  <c r="A64" i="14"/>
  <c r="A54" i="14"/>
  <c r="A161" i="14"/>
  <c r="C31" i="14"/>
  <c r="C12" i="14"/>
  <c r="C268" i="14"/>
  <c r="C169" i="14"/>
  <c r="A274" i="14"/>
  <c r="H140" i="14"/>
  <c r="C54" i="14"/>
  <c r="A270" i="14"/>
  <c r="H54" i="14"/>
  <c r="H19" i="14"/>
  <c r="A244" i="14"/>
  <c r="A25" i="14"/>
  <c r="A105" i="14"/>
  <c r="H95" i="14"/>
  <c r="A204" i="14"/>
  <c r="H97" i="14"/>
  <c r="C93" i="14"/>
  <c r="H234" i="14"/>
  <c r="H238" i="14"/>
  <c r="H58" i="14"/>
  <c r="A202" i="14"/>
  <c r="C242" i="14"/>
  <c r="H200" i="14"/>
  <c r="N144" i="13" l="1"/>
  <c r="P140" i="13"/>
  <c r="S140" i="13"/>
  <c r="F148" i="13"/>
  <c r="S139" i="13"/>
  <c r="P139" i="13"/>
  <c r="U143" i="13"/>
  <c r="R143" i="13"/>
  <c r="S141" i="13"/>
  <c r="P141" i="13"/>
  <c r="R141" i="13"/>
  <c r="U141" i="13"/>
  <c r="N141" i="13"/>
  <c r="U140" i="13"/>
  <c r="R140" i="13"/>
  <c r="T139" i="13"/>
  <c r="Q139" i="13"/>
  <c r="T141" i="13"/>
  <c r="Q141" i="13"/>
  <c r="U142" i="13"/>
  <c r="R142" i="13"/>
  <c r="N142" i="13"/>
  <c r="N140" i="13"/>
  <c r="S142" i="13"/>
  <c r="P142" i="13"/>
  <c r="P144" i="13"/>
  <c r="S144" i="13"/>
  <c r="Q144" i="13"/>
  <c r="T144" i="13"/>
  <c r="S143" i="13"/>
  <c r="P143" i="13"/>
  <c r="Q140" i="13"/>
  <c r="T140" i="13"/>
  <c r="R144" i="13"/>
  <c r="U144" i="13"/>
  <c r="T142" i="13"/>
  <c r="Q142" i="13"/>
  <c r="N139" i="13"/>
  <c r="T143" i="13"/>
  <c r="Q143" i="13"/>
  <c r="U139" i="13"/>
  <c r="R139" i="13"/>
  <c r="N143" i="13"/>
  <c r="Q126" i="13"/>
  <c r="T126" i="13"/>
  <c r="N122" i="13"/>
  <c r="P121" i="13"/>
  <c r="S121" i="13"/>
  <c r="S123" i="13"/>
  <c r="P123" i="13"/>
  <c r="U126" i="13"/>
  <c r="R126" i="13"/>
  <c r="U124" i="13"/>
  <c r="R124" i="13"/>
  <c r="F130" i="13"/>
  <c r="N121" i="13"/>
  <c r="R123" i="13"/>
  <c r="U123" i="13"/>
  <c r="Q123" i="13"/>
  <c r="T123" i="13"/>
  <c r="N124" i="13"/>
  <c r="Q122" i="13"/>
  <c r="T122" i="13"/>
  <c r="T125" i="13"/>
  <c r="Q125" i="13"/>
  <c r="U121" i="13"/>
  <c r="R121" i="13"/>
  <c r="T121" i="13"/>
  <c r="Q121" i="13"/>
  <c r="P122" i="13"/>
  <c r="S122" i="13"/>
  <c r="P126" i="13"/>
  <c r="S126" i="13"/>
  <c r="N123" i="13"/>
  <c r="N126" i="13"/>
  <c r="U122" i="13"/>
  <c r="R122" i="13"/>
  <c r="S124" i="13"/>
  <c r="P124" i="13"/>
  <c r="T124" i="13"/>
  <c r="Q124" i="13"/>
  <c r="S125" i="13"/>
  <c r="P125" i="13"/>
  <c r="U125" i="13"/>
  <c r="R125" i="13"/>
  <c r="N125" i="13"/>
  <c r="H72" i="14"/>
  <c r="H107" i="14"/>
  <c r="H142" i="14"/>
  <c r="H177" i="14"/>
  <c r="H212" i="14"/>
  <c r="H246" i="14"/>
  <c r="H280" i="14"/>
  <c r="H37" i="14"/>
  <c r="B81" i="14"/>
  <c r="G39" i="10"/>
  <c r="I20" i="10"/>
  <c r="F39" i="10"/>
  <c r="A111" i="10"/>
  <c r="A55" i="10"/>
  <c r="B21" i="10"/>
  <c r="F74" i="10"/>
  <c r="K111" i="10"/>
  <c r="M91" i="10"/>
  <c r="F91" i="10"/>
  <c r="B75" i="10"/>
  <c r="A91" i="10"/>
  <c r="M56" i="10"/>
  <c r="B37" i="10"/>
  <c r="A110" i="10"/>
  <c r="B93" i="10"/>
  <c r="G57" i="10"/>
  <c r="A92" i="10"/>
  <c r="A93" i="10"/>
  <c r="F57" i="10"/>
  <c r="A19" i="10"/>
  <c r="A74" i="10"/>
  <c r="F56" i="10"/>
  <c r="F73" i="10"/>
  <c r="A75" i="10"/>
  <c r="I47" i="14"/>
  <c r="A56" i="10"/>
  <c r="A37" i="10"/>
  <c r="F111" i="10"/>
  <c r="M109" i="10"/>
  <c r="A21" i="10"/>
  <c r="F19" i="10"/>
  <c r="B38" i="10"/>
  <c r="G92" i="10"/>
  <c r="F75" i="10"/>
  <c r="M74" i="10"/>
  <c r="M93" i="10"/>
  <c r="I56" i="10"/>
  <c r="G111" i="10"/>
  <c r="M55" i="10"/>
  <c r="F20" i="10"/>
  <c r="B91" i="10"/>
  <c r="C47" i="14"/>
  <c r="B92" i="10"/>
  <c r="A57" i="10"/>
  <c r="F93" i="10"/>
  <c r="B73" i="10"/>
  <c r="G38" i="10"/>
  <c r="I110" i="10"/>
  <c r="C49" i="14"/>
  <c r="I111" i="10"/>
  <c r="B20" i="10"/>
  <c r="I38" i="10"/>
  <c r="F110" i="10"/>
  <c r="I49" i="14"/>
  <c r="G20" i="10"/>
  <c r="B19" i="10"/>
  <c r="B110" i="10"/>
  <c r="K57" i="10"/>
  <c r="B111" i="10"/>
  <c r="B39" i="10"/>
  <c r="M73" i="10"/>
  <c r="I93" i="10"/>
  <c r="G74" i="10"/>
  <c r="M75" i="10"/>
  <c r="B109" i="10"/>
  <c r="I74" i="10"/>
  <c r="G21" i="10"/>
  <c r="F21" i="10"/>
  <c r="I39" i="10"/>
  <c r="A39" i="10"/>
  <c r="F55" i="10"/>
  <c r="K75" i="10"/>
  <c r="F38" i="10"/>
  <c r="F92" i="10"/>
  <c r="G93" i="10"/>
  <c r="I21" i="10"/>
  <c r="A109" i="10"/>
  <c r="A73" i="10"/>
  <c r="B56" i="10"/>
  <c r="G75" i="10"/>
  <c r="B74" i="10"/>
  <c r="A38" i="10"/>
  <c r="M92" i="10"/>
  <c r="B55" i="10"/>
  <c r="M57" i="10"/>
  <c r="F109" i="10"/>
  <c r="G56" i="10"/>
  <c r="K93" i="10"/>
  <c r="B57" i="10"/>
  <c r="M110" i="10"/>
  <c r="M111" i="10"/>
  <c r="I75" i="10"/>
  <c r="I57" i="10"/>
  <c r="G110" i="10"/>
  <c r="A20" i="10"/>
  <c r="F37" i="10"/>
  <c r="I92" i="10"/>
  <c r="K130" i="13" l="1"/>
  <c r="G148" i="13"/>
  <c r="I130" i="13"/>
  <c r="K148" i="13"/>
  <c r="I148" i="13"/>
  <c r="G130" i="13"/>
  <c r="M148" i="13"/>
  <c r="M130" i="13"/>
  <c r="B116" i="14"/>
  <c r="N109" i="10"/>
  <c r="N110" i="10"/>
  <c r="N111" i="10"/>
  <c r="N91" i="10"/>
  <c r="N92" i="10"/>
  <c r="N93" i="10"/>
  <c r="N73" i="10"/>
  <c r="N74" i="10"/>
  <c r="N75" i="10"/>
  <c r="N55" i="10"/>
  <c r="N56" i="10"/>
  <c r="N57" i="10"/>
  <c r="I91" i="14"/>
  <c r="I93" i="14"/>
  <c r="I95" i="14"/>
  <c r="I97" i="14"/>
  <c r="I99" i="14"/>
  <c r="I105" i="14"/>
  <c r="C82" i="14"/>
  <c r="I82" i="14"/>
  <c r="I101" i="14"/>
  <c r="I103" i="14"/>
  <c r="C84" i="14"/>
  <c r="I89" i="14"/>
  <c r="I84" i="14"/>
  <c r="J103" i="14" l="1"/>
  <c r="J101" i="14"/>
  <c r="J99" i="14"/>
  <c r="J95" i="14"/>
  <c r="J89" i="14"/>
  <c r="J93" i="14"/>
  <c r="J97" i="14"/>
  <c r="J105" i="14"/>
  <c r="J91" i="14"/>
  <c r="B151" i="14"/>
  <c r="C117" i="14"/>
  <c r="I132" i="14"/>
  <c r="I128" i="14"/>
  <c r="I130" i="14"/>
  <c r="I136" i="14"/>
  <c r="I134" i="14"/>
  <c r="I119" i="14"/>
  <c r="I124" i="14"/>
  <c r="C119" i="14"/>
  <c r="I138" i="14"/>
  <c r="I117" i="14"/>
  <c r="I140" i="14"/>
  <c r="I126" i="14"/>
  <c r="J138" i="14" l="1"/>
  <c r="J124" i="14"/>
  <c r="J140" i="14"/>
  <c r="J134" i="14"/>
  <c r="J132" i="14"/>
  <c r="J136" i="14"/>
  <c r="J130" i="14"/>
  <c r="J126" i="14"/>
  <c r="J128" i="14"/>
  <c r="J107" i="14"/>
  <c r="B186" i="14"/>
  <c r="B44" i="13"/>
  <c r="B26" i="13"/>
  <c r="W12" i="13"/>
  <c r="V12" i="13"/>
  <c r="E27" i="13"/>
  <c r="A38" i="13"/>
  <c r="I20" i="13"/>
  <c r="F55" i="13"/>
  <c r="B17" i="13"/>
  <c r="I154" i="14"/>
  <c r="M9" i="13"/>
  <c r="I152" i="14"/>
  <c r="I16" i="13"/>
  <c r="B9" i="13"/>
  <c r="I17" i="13"/>
  <c r="G16" i="13"/>
  <c r="A14" i="13"/>
  <c r="B37" i="13"/>
  <c r="I19" i="13"/>
  <c r="F92" i="13"/>
  <c r="F37" i="13"/>
  <c r="A57" i="13"/>
  <c r="A18" i="13"/>
  <c r="A39" i="13"/>
  <c r="I167" i="14"/>
  <c r="B38" i="13"/>
  <c r="A74" i="13"/>
  <c r="C154" i="14"/>
  <c r="A20" i="13"/>
  <c r="I15" i="13"/>
  <c r="G18" i="13"/>
  <c r="B93" i="13"/>
  <c r="F73" i="13"/>
  <c r="I161" i="14"/>
  <c r="F38" i="13"/>
  <c r="A37" i="13"/>
  <c r="F91" i="13"/>
  <c r="B91" i="13"/>
  <c r="F14" i="13"/>
  <c r="I171" i="14"/>
  <c r="G14" i="13"/>
  <c r="B92" i="13"/>
  <c r="F21" i="13"/>
  <c r="I21" i="13"/>
  <c r="B57" i="13"/>
  <c r="F39" i="13"/>
  <c r="G19" i="13"/>
  <c r="A19" i="13"/>
  <c r="B14" i="13"/>
  <c r="A21" i="13"/>
  <c r="C152" i="14"/>
  <c r="A92" i="13"/>
  <c r="I169" i="14"/>
  <c r="A55" i="13"/>
  <c r="I163" i="14"/>
  <c r="A16" i="13"/>
  <c r="F109" i="13"/>
  <c r="B55" i="13"/>
  <c r="F110" i="13"/>
  <c r="A93" i="13"/>
  <c r="B39" i="13"/>
  <c r="G13" i="13"/>
  <c r="F13" i="13"/>
  <c r="F20" i="13"/>
  <c r="A75" i="13"/>
  <c r="B15" i="13"/>
  <c r="A15" i="13"/>
  <c r="G38" i="13"/>
  <c r="B20" i="13"/>
  <c r="A56" i="13"/>
  <c r="B73" i="13"/>
  <c r="F111" i="13"/>
  <c r="I159" i="14"/>
  <c r="B74" i="13"/>
  <c r="F74" i="13"/>
  <c r="M57" i="13"/>
  <c r="I173" i="14"/>
  <c r="B19" i="13"/>
  <c r="F56" i="13"/>
  <c r="I27" i="13"/>
  <c r="B109" i="13"/>
  <c r="I18" i="13"/>
  <c r="B18" i="13"/>
  <c r="F15" i="13"/>
  <c r="A13" i="13"/>
  <c r="F17" i="13"/>
  <c r="I37" i="13"/>
  <c r="B56" i="13"/>
  <c r="A109" i="13"/>
  <c r="F18" i="13"/>
  <c r="E9" i="13"/>
  <c r="B111" i="13"/>
  <c r="G15" i="13"/>
  <c r="B16" i="13"/>
  <c r="A91" i="13"/>
  <c r="F75" i="13"/>
  <c r="F93" i="13"/>
  <c r="F57" i="13"/>
  <c r="I14" i="13"/>
  <c r="F16" i="13"/>
  <c r="F19" i="13"/>
  <c r="B75" i="13"/>
  <c r="B21" i="13"/>
  <c r="A73" i="13"/>
  <c r="B110" i="13"/>
  <c r="I56" i="13"/>
  <c r="I13" i="13"/>
  <c r="G20" i="13"/>
  <c r="A17" i="13"/>
  <c r="I165" i="14"/>
  <c r="A111" i="13"/>
  <c r="G21" i="13"/>
  <c r="I175" i="14"/>
  <c r="A110" i="13"/>
  <c r="B13" i="13"/>
  <c r="G17" i="13"/>
  <c r="I9" i="13"/>
  <c r="J167" i="14" l="1"/>
  <c r="J159" i="14"/>
  <c r="J161" i="14"/>
  <c r="J175" i="14"/>
  <c r="J163" i="14"/>
  <c r="J171" i="14"/>
  <c r="J173" i="14"/>
  <c r="J165" i="14"/>
  <c r="J169" i="14"/>
  <c r="B220" i="14"/>
  <c r="J142" i="14"/>
  <c r="Q56" i="13"/>
  <c r="T56" i="13"/>
  <c r="P19" i="13"/>
  <c r="S19" i="13"/>
  <c r="P14" i="13"/>
  <c r="S14" i="13"/>
  <c r="P18" i="13"/>
  <c r="S18" i="13"/>
  <c r="F22" i="13"/>
  <c r="Q14" i="13"/>
  <c r="T14" i="13"/>
  <c r="Q18" i="13"/>
  <c r="T18" i="13"/>
  <c r="S13" i="13"/>
  <c r="P13" i="13"/>
  <c r="S17" i="13"/>
  <c r="P17" i="13"/>
  <c r="S21" i="13"/>
  <c r="P21" i="13"/>
  <c r="T37" i="13"/>
  <c r="Q37" i="13"/>
  <c r="T13" i="13"/>
  <c r="Q13" i="13"/>
  <c r="T17" i="13"/>
  <c r="Q17" i="13"/>
  <c r="T21" i="13"/>
  <c r="Q21" i="13"/>
  <c r="S38" i="13"/>
  <c r="P38" i="13"/>
  <c r="S16" i="13"/>
  <c r="P16" i="13"/>
  <c r="S20" i="13"/>
  <c r="P20" i="13"/>
  <c r="P15" i="13"/>
  <c r="S15" i="13"/>
  <c r="N57" i="13"/>
  <c r="Q15" i="13"/>
  <c r="T15" i="13"/>
  <c r="Q19" i="13"/>
  <c r="T19" i="13"/>
  <c r="T16" i="13"/>
  <c r="Q16" i="13"/>
  <c r="T20" i="13"/>
  <c r="Q20" i="13"/>
  <c r="B62" i="13"/>
  <c r="C187" i="14"/>
  <c r="I206" i="14"/>
  <c r="I45" i="13"/>
  <c r="I210" i="14"/>
  <c r="C189" i="14"/>
  <c r="M56" i="13"/>
  <c r="K57" i="13"/>
  <c r="M27" i="13"/>
  <c r="I196" i="14"/>
  <c r="I187" i="14"/>
  <c r="B45" i="13"/>
  <c r="I200" i="14"/>
  <c r="M45" i="13"/>
  <c r="I39" i="13"/>
  <c r="F26" i="13"/>
  <c r="I55" i="13"/>
  <c r="I198" i="14"/>
  <c r="I194" i="14"/>
  <c r="G39" i="13"/>
  <c r="I57" i="13"/>
  <c r="G37" i="13"/>
  <c r="I208" i="14"/>
  <c r="B27" i="13"/>
  <c r="G55" i="13"/>
  <c r="E45" i="13"/>
  <c r="I38" i="13"/>
  <c r="G56" i="13"/>
  <c r="F44" i="13"/>
  <c r="G57" i="13"/>
  <c r="I189" i="14"/>
  <c r="I204" i="14"/>
  <c r="M55" i="13"/>
  <c r="I202" i="14"/>
  <c r="A41" i="13" l="1"/>
  <c r="A59" i="13" s="1"/>
  <c r="D41" i="13"/>
  <c r="D59" i="13" s="1"/>
  <c r="G41" i="13"/>
  <c r="G59" i="13" s="1"/>
  <c r="I41" i="13"/>
  <c r="I59" i="13" s="1"/>
  <c r="K41" i="13"/>
  <c r="K59" i="13" s="1"/>
  <c r="M41" i="13"/>
  <c r="M59" i="13" s="1"/>
  <c r="J208" i="14"/>
  <c r="J206" i="14"/>
  <c r="J202" i="14"/>
  <c r="J204" i="14"/>
  <c r="J200" i="14"/>
  <c r="J196" i="14"/>
  <c r="J194" i="14"/>
  <c r="J198" i="14"/>
  <c r="J210" i="14"/>
  <c r="B254" i="14"/>
  <c r="J177" i="14"/>
  <c r="I22" i="13"/>
  <c r="G22" i="13"/>
  <c r="T38" i="13"/>
  <c r="Q38" i="13"/>
  <c r="Q55" i="13"/>
  <c r="T55" i="13"/>
  <c r="N56" i="13"/>
  <c r="N55" i="13"/>
  <c r="S57" i="13"/>
  <c r="P57" i="13"/>
  <c r="T57" i="13"/>
  <c r="Q57" i="13"/>
  <c r="T39" i="13"/>
  <c r="Q39" i="13"/>
  <c r="S37" i="13"/>
  <c r="P37" i="13"/>
  <c r="S39" i="13"/>
  <c r="P39" i="13"/>
  <c r="P55" i="13"/>
  <c r="S55" i="13"/>
  <c r="S56" i="13"/>
  <c r="P56" i="13"/>
  <c r="U57" i="13"/>
  <c r="R57" i="13"/>
  <c r="A40" i="13"/>
  <c r="A58" i="13" s="1"/>
  <c r="G29" i="13"/>
  <c r="G47" i="13" s="1"/>
  <c r="I29" i="13"/>
  <c r="I47" i="13" s="1"/>
  <c r="F29" i="13"/>
  <c r="F47" i="13" s="1"/>
  <c r="D27" i="13"/>
  <c r="D45" i="13" s="1"/>
  <c r="G27" i="13"/>
  <c r="G45" i="13" s="1"/>
  <c r="B29" i="13"/>
  <c r="B47" i="13" s="1"/>
  <c r="A29" i="13"/>
  <c r="A47" i="13" s="1"/>
  <c r="A27" i="13"/>
  <c r="A45" i="13" s="1"/>
  <c r="K29" i="13"/>
  <c r="K47" i="13" s="1"/>
  <c r="N29" i="13"/>
  <c r="N47" i="13" s="1"/>
  <c r="M29" i="13"/>
  <c r="M47" i="13" s="1"/>
  <c r="K27" i="13"/>
  <c r="K45" i="13" s="1"/>
  <c r="B80" i="13"/>
  <c r="K52" i="13"/>
  <c r="K49" i="13"/>
  <c r="M54" i="13"/>
  <c r="F51" i="13"/>
  <c r="M50" i="13"/>
  <c r="K53" i="13"/>
  <c r="A54" i="13"/>
  <c r="B52" i="13"/>
  <c r="M52" i="13"/>
  <c r="B54" i="13"/>
  <c r="I53" i="13"/>
  <c r="K54" i="13"/>
  <c r="M53" i="13"/>
  <c r="B49" i="13"/>
  <c r="A49" i="13"/>
  <c r="F50" i="13"/>
  <c r="A52" i="13"/>
  <c r="F54" i="13"/>
  <c r="I51" i="13"/>
  <c r="I52" i="13"/>
  <c r="M51" i="13"/>
  <c r="I50" i="13"/>
  <c r="B53" i="13"/>
  <c r="A53" i="13"/>
  <c r="M49" i="13"/>
  <c r="I49" i="13"/>
  <c r="F49" i="13"/>
  <c r="B51" i="13"/>
  <c r="G50" i="13"/>
  <c r="F52" i="13"/>
  <c r="I54" i="13"/>
  <c r="K50" i="13"/>
  <c r="G51" i="13"/>
  <c r="G53" i="13"/>
  <c r="G49" i="13"/>
  <c r="G52" i="13"/>
  <c r="K51" i="13"/>
  <c r="A51" i="13"/>
  <c r="G54" i="13"/>
  <c r="A50" i="13"/>
  <c r="F53" i="13"/>
  <c r="B50" i="13"/>
  <c r="I230" i="14"/>
  <c r="I221" i="14"/>
  <c r="I63" i="13"/>
  <c r="B36" i="13"/>
  <c r="M63" i="13"/>
  <c r="F36" i="13"/>
  <c r="G35" i="13"/>
  <c r="G73" i="13"/>
  <c r="M74" i="13"/>
  <c r="G34" i="13"/>
  <c r="E63" i="13"/>
  <c r="B34" i="13"/>
  <c r="A32" i="13"/>
  <c r="G32" i="13"/>
  <c r="G36" i="13"/>
  <c r="I242" i="14"/>
  <c r="I73" i="13"/>
  <c r="A34" i="13"/>
  <c r="I240" i="14"/>
  <c r="I75" i="13"/>
  <c r="I31" i="13"/>
  <c r="F34" i="13"/>
  <c r="I36" i="13"/>
  <c r="G74" i="13"/>
  <c r="F32" i="13"/>
  <c r="I74" i="13"/>
  <c r="I234" i="14"/>
  <c r="A31" i="13"/>
  <c r="F31" i="13"/>
  <c r="I32" i="13"/>
  <c r="F33" i="13"/>
  <c r="I35" i="13"/>
  <c r="G33" i="13"/>
  <c r="B31" i="13"/>
  <c r="I223" i="14"/>
  <c r="I33" i="13"/>
  <c r="F62" i="13"/>
  <c r="C221" i="14"/>
  <c r="F35" i="13"/>
  <c r="B33" i="13"/>
  <c r="K75" i="13"/>
  <c r="A35" i="13"/>
  <c r="B35" i="13"/>
  <c r="B63" i="13"/>
  <c r="A33" i="13"/>
  <c r="M75" i="13"/>
  <c r="A36" i="13"/>
  <c r="I232" i="14"/>
  <c r="I238" i="14"/>
  <c r="I228" i="14"/>
  <c r="M73" i="13"/>
  <c r="C223" i="14"/>
  <c r="G31" i="13"/>
  <c r="I244" i="14"/>
  <c r="I236" i="14"/>
  <c r="I34" i="13"/>
  <c r="B32" i="13"/>
  <c r="G75" i="13"/>
  <c r="J230" i="14" l="1"/>
  <c r="J232" i="14"/>
  <c r="J240" i="14"/>
  <c r="J244" i="14"/>
  <c r="J242" i="14"/>
  <c r="J234" i="14"/>
  <c r="J238" i="14"/>
  <c r="J236" i="14"/>
  <c r="J228" i="14"/>
  <c r="J212" i="14"/>
  <c r="Q75" i="13"/>
  <c r="T75" i="13"/>
  <c r="R52" i="13"/>
  <c r="U52" i="13"/>
  <c r="U49" i="13"/>
  <c r="R49" i="13"/>
  <c r="Q74" i="13"/>
  <c r="T74" i="13"/>
  <c r="T73" i="13"/>
  <c r="Q73" i="13"/>
  <c r="S75" i="13"/>
  <c r="P75" i="13"/>
  <c r="T36" i="13"/>
  <c r="Q36" i="13"/>
  <c r="F58" i="13"/>
  <c r="T49" i="13"/>
  <c r="Q49" i="13"/>
  <c r="U50" i="13"/>
  <c r="R50" i="13"/>
  <c r="Q34" i="13"/>
  <c r="T34" i="13"/>
  <c r="F40" i="13"/>
  <c r="Q35" i="13"/>
  <c r="T35" i="13"/>
  <c r="N75" i="13"/>
  <c r="S50" i="13"/>
  <c r="P50" i="13"/>
  <c r="U51" i="13"/>
  <c r="R51" i="13"/>
  <c r="P74" i="13"/>
  <c r="S74" i="13"/>
  <c r="S73" i="13"/>
  <c r="P73" i="13"/>
  <c r="T33" i="13"/>
  <c r="Q33" i="13"/>
  <c r="T32" i="13"/>
  <c r="Q32" i="13"/>
  <c r="P34" i="13"/>
  <c r="S34" i="13"/>
  <c r="S54" i="13"/>
  <c r="P54" i="13"/>
  <c r="S53" i="13"/>
  <c r="P53" i="13"/>
  <c r="S52" i="13"/>
  <c r="P52" i="13"/>
  <c r="N74" i="13"/>
  <c r="S35" i="13"/>
  <c r="P35" i="13"/>
  <c r="T50" i="13"/>
  <c r="Q50" i="13"/>
  <c r="N50" i="13"/>
  <c r="R75" i="13"/>
  <c r="U75" i="13"/>
  <c r="S36" i="13"/>
  <c r="P36" i="13"/>
  <c r="N53" i="13"/>
  <c r="T54" i="13"/>
  <c r="Q54" i="13"/>
  <c r="U54" i="13"/>
  <c r="R54" i="13"/>
  <c r="T53" i="13"/>
  <c r="Q53" i="13"/>
  <c r="U53" i="13"/>
  <c r="R53" i="13"/>
  <c r="S33" i="13"/>
  <c r="P33" i="13"/>
  <c r="Q51" i="13"/>
  <c r="T51" i="13"/>
  <c r="G65" i="13"/>
  <c r="I77" i="13"/>
  <c r="F65" i="13"/>
  <c r="D63" i="13"/>
  <c r="B65" i="13"/>
  <c r="G77" i="13"/>
  <c r="A65" i="13"/>
  <c r="A63" i="13"/>
  <c r="N65" i="13"/>
  <c r="M77" i="13"/>
  <c r="D77" i="13"/>
  <c r="A76" i="13"/>
  <c r="M65" i="13"/>
  <c r="K63" i="13"/>
  <c r="K65" i="13"/>
  <c r="K77" i="13"/>
  <c r="A77" i="13"/>
  <c r="I65" i="13"/>
  <c r="G63" i="13"/>
  <c r="S32" i="13"/>
  <c r="P32" i="13"/>
  <c r="N73" i="13"/>
  <c r="Q31" i="13"/>
  <c r="T31" i="13"/>
  <c r="S31" i="13"/>
  <c r="P31" i="13"/>
  <c r="N49" i="13"/>
  <c r="Q52" i="13"/>
  <c r="T52" i="13"/>
  <c r="N54" i="13"/>
  <c r="P51" i="13"/>
  <c r="S51" i="13"/>
  <c r="S49" i="13"/>
  <c r="P49" i="13"/>
  <c r="N52" i="13"/>
  <c r="N51" i="13"/>
  <c r="B98" i="13"/>
  <c r="K69" i="13"/>
  <c r="M70" i="13"/>
  <c r="K68" i="13"/>
  <c r="I68" i="13"/>
  <c r="A70" i="13"/>
  <c r="G68" i="13"/>
  <c r="F72" i="13"/>
  <c r="F67" i="13"/>
  <c r="F69" i="13"/>
  <c r="A72" i="13"/>
  <c r="B72" i="13"/>
  <c r="K72" i="13"/>
  <c r="K71" i="13"/>
  <c r="G72" i="13"/>
  <c r="F71" i="13"/>
  <c r="I72" i="13"/>
  <c r="I70" i="13"/>
  <c r="B69" i="13"/>
  <c r="M67" i="13"/>
  <c r="F70" i="13"/>
  <c r="B67" i="13"/>
  <c r="M72" i="13"/>
  <c r="M69" i="13"/>
  <c r="F68" i="13"/>
  <c r="I71" i="13"/>
  <c r="B70" i="13"/>
  <c r="A67" i="13"/>
  <c r="K67" i="13"/>
  <c r="G67" i="13"/>
  <c r="B68" i="13"/>
  <c r="G71" i="13"/>
  <c r="A71" i="13"/>
  <c r="B71" i="13"/>
  <c r="M68" i="13"/>
  <c r="I69" i="13"/>
  <c r="A68" i="13"/>
  <c r="K70" i="13"/>
  <c r="G69" i="13"/>
  <c r="A69" i="13"/>
  <c r="G70" i="13"/>
  <c r="I67" i="13"/>
  <c r="M71" i="13"/>
  <c r="I278" i="14"/>
  <c r="M81" i="13"/>
  <c r="G92" i="13"/>
  <c r="I93" i="13"/>
  <c r="G91" i="13"/>
  <c r="I274" i="14"/>
  <c r="I276" i="14"/>
  <c r="I262" i="14"/>
  <c r="C255" i="14"/>
  <c r="M92" i="13"/>
  <c r="I272" i="14"/>
  <c r="I268" i="14"/>
  <c r="I92" i="13"/>
  <c r="I270" i="14"/>
  <c r="M93" i="13"/>
  <c r="F80" i="13"/>
  <c r="I257" i="14"/>
  <c r="K93" i="13"/>
  <c r="M91" i="13"/>
  <c r="G93" i="13"/>
  <c r="I91" i="13"/>
  <c r="B81" i="13"/>
  <c r="E81" i="13"/>
  <c r="I264" i="14"/>
  <c r="I255" i="14"/>
  <c r="I266" i="14"/>
  <c r="I81" i="13"/>
  <c r="C257" i="14"/>
  <c r="J268" i="14" l="1"/>
  <c r="J272" i="14"/>
  <c r="J262" i="14"/>
  <c r="J264" i="14"/>
  <c r="J266" i="14"/>
  <c r="J278" i="14"/>
  <c r="J276" i="14"/>
  <c r="J274" i="14"/>
  <c r="J270" i="14"/>
  <c r="J246" i="14"/>
  <c r="N72" i="13"/>
  <c r="F76" i="13"/>
  <c r="N67" i="13"/>
  <c r="N68" i="13"/>
  <c r="N71" i="13"/>
  <c r="N70" i="13"/>
  <c r="N69" i="13"/>
  <c r="I40" i="13"/>
  <c r="G58" i="13"/>
  <c r="G40" i="13"/>
  <c r="I58" i="13"/>
  <c r="U93" i="13"/>
  <c r="R93" i="13"/>
  <c r="T92" i="13"/>
  <c r="Q92" i="13"/>
  <c r="N93" i="13"/>
  <c r="N92" i="13"/>
  <c r="Q93" i="13"/>
  <c r="T93" i="13"/>
  <c r="S92" i="13"/>
  <c r="P92" i="13"/>
  <c r="S91" i="13"/>
  <c r="P91" i="13"/>
  <c r="N91" i="13"/>
  <c r="B83" i="13"/>
  <c r="G95" i="13"/>
  <c r="A83" i="13"/>
  <c r="A81" i="13"/>
  <c r="N83" i="13"/>
  <c r="M95" i="13"/>
  <c r="D95" i="13"/>
  <c r="A94" i="13"/>
  <c r="M83" i="13"/>
  <c r="K81" i="13"/>
  <c r="K83" i="13"/>
  <c r="K95" i="13"/>
  <c r="A95" i="13"/>
  <c r="I83" i="13"/>
  <c r="G81" i="13"/>
  <c r="G83" i="13"/>
  <c r="F83" i="13"/>
  <c r="I95" i="13"/>
  <c r="D81" i="13"/>
  <c r="P93" i="13"/>
  <c r="S93" i="13"/>
  <c r="T91" i="13"/>
  <c r="Q91" i="13"/>
  <c r="U68" i="13"/>
  <c r="R68" i="13"/>
  <c r="R67" i="13"/>
  <c r="U67" i="13"/>
  <c r="Q71" i="13"/>
  <c r="T71" i="13"/>
  <c r="Q70" i="13"/>
  <c r="T70" i="13"/>
  <c r="S69" i="13"/>
  <c r="P69" i="13"/>
  <c r="T69" i="13"/>
  <c r="Q69" i="13"/>
  <c r="S68" i="13"/>
  <c r="P68" i="13"/>
  <c r="T68" i="13"/>
  <c r="Q68" i="13"/>
  <c r="S67" i="13"/>
  <c r="P67" i="13"/>
  <c r="P70" i="13"/>
  <c r="S70" i="13"/>
  <c r="R71" i="13"/>
  <c r="U71" i="13"/>
  <c r="S72" i="13"/>
  <c r="P72" i="13"/>
  <c r="S71" i="13"/>
  <c r="P71" i="13"/>
  <c r="U69" i="13"/>
  <c r="R69" i="13"/>
  <c r="Q67" i="13"/>
  <c r="T67" i="13"/>
  <c r="T72" i="13"/>
  <c r="Q72" i="13"/>
  <c r="U72" i="13"/>
  <c r="R72" i="13"/>
  <c r="M58" i="13"/>
  <c r="U70" i="13"/>
  <c r="R70" i="13"/>
  <c r="B89" i="13"/>
  <c r="G87" i="13"/>
  <c r="A86" i="13"/>
  <c r="G89" i="13"/>
  <c r="A87" i="13"/>
  <c r="B86" i="13"/>
  <c r="F85" i="13"/>
  <c r="A89" i="13"/>
  <c r="B87" i="13"/>
  <c r="K90" i="13"/>
  <c r="I88" i="13"/>
  <c r="A85" i="13"/>
  <c r="M90" i="13"/>
  <c r="M89" i="13"/>
  <c r="I86" i="13"/>
  <c r="B88" i="13"/>
  <c r="I87" i="13"/>
  <c r="M88" i="13"/>
  <c r="F86" i="13"/>
  <c r="I90" i="13"/>
  <c r="K85" i="13"/>
  <c r="M85" i="13"/>
  <c r="K89" i="13"/>
  <c r="F90" i="13"/>
  <c r="A90" i="13"/>
  <c r="G90" i="13"/>
  <c r="F89" i="13"/>
  <c r="F87" i="13"/>
  <c r="K88" i="13"/>
  <c r="G88" i="13"/>
  <c r="A88" i="13"/>
  <c r="F88" i="13"/>
  <c r="G86" i="13"/>
  <c r="I89" i="13"/>
  <c r="M86" i="13"/>
  <c r="K87" i="13"/>
  <c r="B85" i="13"/>
  <c r="B90" i="13"/>
  <c r="M87" i="13"/>
  <c r="G85" i="13"/>
  <c r="K86" i="13"/>
  <c r="I85" i="13"/>
  <c r="M111" i="13"/>
  <c r="F98" i="13"/>
  <c r="G109" i="13"/>
  <c r="G111" i="13"/>
  <c r="I109" i="13"/>
  <c r="G110" i="13"/>
  <c r="B99" i="13"/>
  <c r="I110" i="13"/>
  <c r="E99" i="13"/>
  <c r="K111" i="13"/>
  <c r="M109" i="13"/>
  <c r="M99" i="13"/>
  <c r="M110" i="13"/>
  <c r="I111" i="13"/>
  <c r="I99" i="13"/>
  <c r="J280" i="14" l="1"/>
  <c r="K76" i="13"/>
  <c r="G76" i="13"/>
  <c r="I76" i="13"/>
  <c r="N89" i="13"/>
  <c r="N88" i="13"/>
  <c r="N86" i="13"/>
  <c r="F94" i="13"/>
  <c r="N87" i="13"/>
  <c r="N90" i="13"/>
  <c r="N85" i="13"/>
  <c r="M76" i="13"/>
  <c r="S110" i="13"/>
  <c r="P110" i="13"/>
  <c r="S109" i="13"/>
  <c r="P109" i="13"/>
  <c r="U111" i="13"/>
  <c r="R111" i="13"/>
  <c r="N109" i="13"/>
  <c r="Q109" i="13"/>
  <c r="T109" i="13"/>
  <c r="N101" i="13"/>
  <c r="N119" i="13" s="1"/>
  <c r="N137" i="13" s="1"/>
  <c r="M113" i="13"/>
  <c r="M131" i="13" s="1"/>
  <c r="M149" i="13" s="1"/>
  <c r="D113" i="13"/>
  <c r="D131" i="13" s="1"/>
  <c r="D149" i="13" s="1"/>
  <c r="A112" i="13"/>
  <c r="A130" i="13" s="1"/>
  <c r="A148" i="13" s="1"/>
  <c r="M101" i="13"/>
  <c r="M119" i="13" s="1"/>
  <c r="M137" i="13" s="1"/>
  <c r="K99" i="13"/>
  <c r="K117" i="13" s="1"/>
  <c r="K135" i="13" s="1"/>
  <c r="K101" i="13"/>
  <c r="K119" i="13" s="1"/>
  <c r="K137" i="13" s="1"/>
  <c r="K113" i="13"/>
  <c r="K131" i="13" s="1"/>
  <c r="K149" i="13" s="1"/>
  <c r="A113" i="13"/>
  <c r="A131" i="13" s="1"/>
  <c r="A149" i="13" s="1"/>
  <c r="I101" i="13"/>
  <c r="I119" i="13" s="1"/>
  <c r="I137" i="13" s="1"/>
  <c r="G99" i="13"/>
  <c r="G117" i="13" s="1"/>
  <c r="G135" i="13" s="1"/>
  <c r="G101" i="13"/>
  <c r="G119" i="13" s="1"/>
  <c r="G137" i="13" s="1"/>
  <c r="I113" i="13"/>
  <c r="I131" i="13" s="1"/>
  <c r="I149" i="13" s="1"/>
  <c r="F101" i="13"/>
  <c r="F119" i="13" s="1"/>
  <c r="F137" i="13" s="1"/>
  <c r="D99" i="13"/>
  <c r="D117" i="13" s="1"/>
  <c r="D135" i="13" s="1"/>
  <c r="B101" i="13"/>
  <c r="B119" i="13" s="1"/>
  <c r="B137" i="13" s="1"/>
  <c r="G113" i="13"/>
  <c r="G131" i="13" s="1"/>
  <c r="G149" i="13" s="1"/>
  <c r="A101" i="13"/>
  <c r="A119" i="13" s="1"/>
  <c r="A137" i="13" s="1"/>
  <c r="A99" i="13"/>
  <c r="A117" i="13" s="1"/>
  <c r="A135" i="13" s="1"/>
  <c r="T111" i="13"/>
  <c r="Q111" i="13"/>
  <c r="S111" i="13"/>
  <c r="P111" i="13"/>
  <c r="T110" i="13"/>
  <c r="Q110" i="13"/>
  <c r="N110" i="13"/>
  <c r="N111" i="13"/>
  <c r="T88" i="13"/>
  <c r="Q88" i="13"/>
  <c r="S87" i="13"/>
  <c r="P87" i="13"/>
  <c r="T87" i="13"/>
  <c r="Q87" i="13"/>
  <c r="S86" i="13"/>
  <c r="P86" i="13"/>
  <c r="Q90" i="13"/>
  <c r="T90" i="13"/>
  <c r="Q86" i="13"/>
  <c r="T86" i="13"/>
  <c r="P89" i="13"/>
  <c r="S89" i="13"/>
  <c r="S88" i="13"/>
  <c r="P88" i="13"/>
  <c r="U88" i="13"/>
  <c r="R88" i="13"/>
  <c r="U87" i="13"/>
  <c r="R87" i="13"/>
  <c r="R86" i="13"/>
  <c r="U86" i="13"/>
  <c r="R90" i="13"/>
  <c r="U90" i="13"/>
  <c r="Q89" i="13"/>
  <c r="T89" i="13"/>
  <c r="U89" i="13"/>
  <c r="R89" i="13"/>
  <c r="U85" i="13"/>
  <c r="R85" i="13"/>
  <c r="S90" i="13"/>
  <c r="P90" i="13"/>
  <c r="Q85" i="13"/>
  <c r="T85" i="13"/>
  <c r="P85" i="13"/>
  <c r="S85" i="13"/>
  <c r="K106" i="13"/>
  <c r="A104" i="13"/>
  <c r="F108" i="13"/>
  <c r="K105" i="13"/>
  <c r="B108" i="13"/>
  <c r="F103" i="13"/>
  <c r="G108" i="13"/>
  <c r="A103" i="13"/>
  <c r="G103" i="13"/>
  <c r="B107" i="13"/>
  <c r="F106" i="13"/>
  <c r="A106" i="13"/>
  <c r="M107" i="13"/>
  <c r="K107" i="13"/>
  <c r="F105" i="13"/>
  <c r="A105" i="13"/>
  <c r="B106" i="13"/>
  <c r="B105" i="13"/>
  <c r="K104" i="13"/>
  <c r="B103" i="13"/>
  <c r="G106" i="13"/>
  <c r="F104" i="13"/>
  <c r="M105" i="13"/>
  <c r="I105" i="13"/>
  <c r="M106" i="13"/>
  <c r="I103" i="13"/>
  <c r="M103" i="13"/>
  <c r="K103" i="13"/>
  <c r="A107" i="13"/>
  <c r="I106" i="13"/>
  <c r="G104" i="13"/>
  <c r="A108" i="13"/>
  <c r="I104" i="13"/>
  <c r="K108" i="13"/>
  <c r="M104" i="13"/>
  <c r="G105" i="13"/>
  <c r="B104" i="13"/>
  <c r="F107" i="13"/>
  <c r="I108" i="13"/>
  <c r="I107" i="13"/>
  <c r="G107" i="13"/>
  <c r="M108" i="13"/>
  <c r="I94" i="13" l="1"/>
  <c r="G94" i="13"/>
  <c r="K94" i="13"/>
  <c r="F112" i="13"/>
  <c r="N103" i="13"/>
  <c r="N106" i="13"/>
  <c r="N107" i="13"/>
  <c r="N105" i="13"/>
  <c r="N104" i="13"/>
  <c r="N108" i="13"/>
  <c r="M94" i="13"/>
  <c r="Q105" i="13"/>
  <c r="T105" i="13"/>
  <c r="Q108" i="13"/>
  <c r="T108" i="13"/>
  <c r="U107" i="13"/>
  <c r="R107" i="13"/>
  <c r="P108" i="13"/>
  <c r="S108" i="13"/>
  <c r="S107" i="13"/>
  <c r="P107" i="13"/>
  <c r="S106" i="13"/>
  <c r="P106" i="13"/>
  <c r="U106" i="13"/>
  <c r="R106" i="13"/>
  <c r="U108" i="13"/>
  <c r="R108" i="13"/>
  <c r="P104" i="13"/>
  <c r="S104" i="13"/>
  <c r="Q104" i="13"/>
  <c r="T104" i="13"/>
  <c r="S103" i="13"/>
  <c r="P103" i="13"/>
  <c r="T103" i="13"/>
  <c r="Q103" i="13"/>
  <c r="T107" i="13"/>
  <c r="Q107" i="13"/>
  <c r="R105" i="13"/>
  <c r="U105" i="13"/>
  <c r="U104" i="13"/>
  <c r="R104" i="13"/>
  <c r="U103" i="13"/>
  <c r="R103" i="13"/>
  <c r="T106" i="13"/>
  <c r="Q106" i="13"/>
  <c r="S105" i="13"/>
  <c r="P105" i="13"/>
  <c r="K112" i="13" l="1"/>
  <c r="I112" i="13"/>
  <c r="G112" i="13"/>
  <c r="M112" i="13"/>
  <c r="BH10" i="9" l="1"/>
  <c r="BI10" i="9"/>
  <c r="BJ10" i="9"/>
  <c r="BB10" i="9"/>
  <c r="AQ8" i="9"/>
  <c r="AG11" i="9"/>
  <c r="K109" i="13"/>
  <c r="K91" i="13"/>
  <c r="K73" i="13"/>
  <c r="K55" i="13"/>
  <c r="K127" i="13"/>
  <c r="K145" i="13"/>
  <c r="G17" i="10"/>
  <c r="K19" i="13"/>
  <c r="K37" i="13"/>
  <c r="R145" i="13" l="1"/>
  <c r="U145" i="13"/>
  <c r="R127" i="13"/>
  <c r="U127" i="13"/>
  <c r="R55" i="13"/>
  <c r="U55" i="13"/>
  <c r="R73" i="13"/>
  <c r="U73" i="13"/>
  <c r="U91" i="13"/>
  <c r="R91" i="13"/>
  <c r="R109" i="13"/>
  <c r="U109" i="13"/>
  <c r="U19" i="13"/>
  <c r="R19" i="13"/>
  <c r="R37" i="13"/>
  <c r="U37" i="13"/>
  <c r="AO11" i="9"/>
  <c r="AK11" i="9"/>
  <c r="AC11" i="9"/>
  <c r="Y11" i="9"/>
  <c r="U11" i="9"/>
  <c r="Q11" i="9"/>
  <c r="M11" i="9"/>
  <c r="K110" i="13"/>
  <c r="K92" i="13"/>
  <c r="K74" i="13"/>
  <c r="K56" i="13"/>
  <c r="K128" i="13"/>
  <c r="K146" i="13"/>
  <c r="K39" i="13"/>
  <c r="K18" i="13"/>
  <c r="K35" i="13"/>
  <c r="K21" i="13"/>
  <c r="K16" i="13"/>
  <c r="K36" i="13"/>
  <c r="K32" i="13"/>
  <c r="K20" i="13"/>
  <c r="K15" i="13"/>
  <c r="K17" i="13"/>
  <c r="K34" i="13"/>
  <c r="K33" i="13"/>
  <c r="K14" i="13"/>
  <c r="K38" i="13"/>
  <c r="R146" i="13" l="1"/>
  <c r="U146" i="13"/>
  <c r="U128" i="13"/>
  <c r="R128" i="13"/>
  <c r="U56" i="13"/>
  <c r="R56" i="13"/>
  <c r="K58" i="13" s="1"/>
  <c r="U74" i="13"/>
  <c r="R74" i="13"/>
  <c r="R92" i="13"/>
  <c r="U92" i="13"/>
  <c r="U110" i="13"/>
  <c r="R110" i="13"/>
  <c r="R39" i="13"/>
  <c r="U39" i="13"/>
  <c r="R21" i="13"/>
  <c r="U21" i="13"/>
  <c r="U20" i="13"/>
  <c r="R20" i="13"/>
  <c r="R38" i="13"/>
  <c r="U38" i="13"/>
  <c r="R18" i="13"/>
  <c r="U18" i="13"/>
  <c r="U36" i="13"/>
  <c r="R36" i="13"/>
  <c r="R17" i="13"/>
  <c r="U17" i="13"/>
  <c r="R35" i="13"/>
  <c r="U35" i="13"/>
  <c r="U16" i="13"/>
  <c r="R16" i="13"/>
  <c r="U34" i="13"/>
  <c r="R34" i="13"/>
  <c r="U15" i="13"/>
  <c r="R15" i="13"/>
  <c r="U33" i="13"/>
  <c r="R33" i="13"/>
  <c r="U14" i="13"/>
  <c r="R14" i="13"/>
  <c r="U32" i="13"/>
  <c r="R32" i="13"/>
  <c r="I11" i="9"/>
  <c r="AN11" i="4"/>
  <c r="AJ11" i="4"/>
  <c r="AF12" i="4"/>
  <c r="AG12" i="4" s="1"/>
  <c r="AF11" i="4"/>
  <c r="AC12" i="4"/>
  <c r="AC11" i="4"/>
  <c r="Y11" i="4"/>
  <c r="U11" i="4"/>
  <c r="Q11" i="4"/>
  <c r="M11" i="4"/>
  <c r="I11" i="4"/>
  <c r="BG12" i="4"/>
  <c r="K39" i="10"/>
  <c r="K31" i="13"/>
  <c r="K13" i="13"/>
  <c r="AP12" i="4" l="1"/>
  <c r="AD12" i="4"/>
  <c r="U13" i="13"/>
  <c r="R13" i="13"/>
  <c r="R31" i="13"/>
  <c r="U31" i="13"/>
  <c r="BF12" i="4"/>
  <c r="K22" i="13" l="1"/>
  <c r="K40" i="13"/>
  <c r="B46" i="12"/>
  <c r="B81" i="12" s="1"/>
  <c r="N12" i="12"/>
  <c r="M12" i="12"/>
  <c r="F77" i="12"/>
  <c r="H169" i="12"/>
  <c r="H56" i="12"/>
  <c r="H91" i="12"/>
  <c r="I12" i="12"/>
  <c r="H54" i="12"/>
  <c r="A31" i="12"/>
  <c r="C60" i="12"/>
  <c r="A196" i="12"/>
  <c r="C31" i="12"/>
  <c r="A19" i="12"/>
  <c r="C23" i="12"/>
  <c r="C95" i="12"/>
  <c r="C99" i="12"/>
  <c r="C25" i="12"/>
  <c r="C19" i="12"/>
  <c r="A161" i="12"/>
  <c r="C196" i="12"/>
  <c r="C204" i="12"/>
  <c r="C124" i="12"/>
  <c r="A99" i="12"/>
  <c r="A169" i="12"/>
  <c r="H130" i="12"/>
  <c r="A60" i="12"/>
  <c r="C163" i="12"/>
  <c r="C126" i="12"/>
  <c r="H27" i="12"/>
  <c r="A97" i="12"/>
  <c r="H89" i="12"/>
  <c r="C56" i="12"/>
  <c r="C47" i="12"/>
  <c r="H23" i="12"/>
  <c r="A29" i="12"/>
  <c r="C165" i="12"/>
  <c r="H167" i="12"/>
  <c r="C14" i="12"/>
  <c r="A91" i="12"/>
  <c r="A167" i="12"/>
  <c r="H99" i="12"/>
  <c r="H204" i="12"/>
  <c r="H19" i="12"/>
  <c r="C29" i="12"/>
  <c r="H60" i="12"/>
  <c r="H21" i="12"/>
  <c r="C58" i="12"/>
  <c r="A95" i="12"/>
  <c r="A198" i="12"/>
  <c r="H196" i="12"/>
  <c r="C202" i="12"/>
  <c r="H95" i="12"/>
  <c r="H163" i="12"/>
  <c r="H97" i="12"/>
  <c r="I47" i="12"/>
  <c r="H64" i="12"/>
  <c r="H31" i="12"/>
  <c r="I14" i="12"/>
  <c r="A130" i="12"/>
  <c r="C91" i="12"/>
  <c r="H200" i="12"/>
  <c r="A54" i="12"/>
  <c r="F42" i="12"/>
  <c r="H165" i="12"/>
  <c r="A58" i="12"/>
  <c r="C132" i="12"/>
  <c r="C64" i="12"/>
  <c r="H134" i="12"/>
  <c r="A194" i="12"/>
  <c r="H93" i="12"/>
  <c r="A159" i="12"/>
  <c r="C134" i="12"/>
  <c r="C130" i="12"/>
  <c r="A128" i="12"/>
  <c r="C128" i="12"/>
  <c r="A62" i="12"/>
  <c r="C93" i="12"/>
  <c r="H161" i="12"/>
  <c r="A25" i="12"/>
  <c r="A89" i="12"/>
  <c r="C27" i="12"/>
  <c r="C49" i="12"/>
  <c r="C200" i="12"/>
  <c r="A126" i="12"/>
  <c r="A27" i="12"/>
  <c r="H62" i="12"/>
  <c r="C159" i="12"/>
  <c r="C198" i="12"/>
  <c r="H198" i="12"/>
  <c r="C167" i="12"/>
  <c r="A200" i="12"/>
  <c r="A202" i="12"/>
  <c r="I49" i="12"/>
  <c r="C169" i="12"/>
  <c r="A165" i="12"/>
  <c r="A56" i="12"/>
  <c r="A93" i="12"/>
  <c r="H25" i="12"/>
  <c r="C194" i="12"/>
  <c r="H58" i="12"/>
  <c r="C89" i="12"/>
  <c r="A132" i="12"/>
  <c r="A134" i="12"/>
  <c r="H128" i="12"/>
  <c r="H159" i="12"/>
  <c r="A163" i="12"/>
  <c r="H29" i="12"/>
  <c r="H194" i="12"/>
  <c r="C12" i="12"/>
  <c r="H126" i="12"/>
  <c r="C97" i="12"/>
  <c r="C62" i="12"/>
  <c r="C21" i="12"/>
  <c r="A64" i="12"/>
  <c r="C161" i="12"/>
  <c r="A23" i="12"/>
  <c r="A21" i="12"/>
  <c r="H202" i="12"/>
  <c r="A204" i="12"/>
  <c r="A124" i="12"/>
  <c r="H132" i="12"/>
  <c r="H124" i="12"/>
  <c r="C54" i="12"/>
  <c r="B116" i="12" l="1"/>
  <c r="H212" i="12"/>
  <c r="H177" i="12"/>
  <c r="H142" i="12"/>
  <c r="H107" i="12"/>
  <c r="H72" i="12"/>
  <c r="H37" i="12"/>
  <c r="I117" i="12"/>
  <c r="F112" i="12"/>
  <c r="I84" i="12"/>
  <c r="I119" i="12"/>
  <c r="I82" i="12"/>
  <c r="C84" i="12"/>
  <c r="C82" i="12"/>
  <c r="B151" i="12" l="1"/>
  <c r="C119" i="12"/>
  <c r="F147" i="12"/>
  <c r="C117" i="12"/>
  <c r="B186" i="12" l="1"/>
  <c r="I189" i="12"/>
  <c r="I152" i="12"/>
  <c r="I154" i="12"/>
  <c r="C154" i="12"/>
  <c r="F182" i="12"/>
  <c r="C152" i="12"/>
  <c r="I187" i="12"/>
  <c r="B26" i="10" l="1"/>
  <c r="G13" i="10"/>
  <c r="C189" i="12"/>
  <c r="E23" i="10"/>
  <c r="F217" i="12"/>
  <c r="B27" i="10"/>
  <c r="E41" i="10"/>
  <c r="C187" i="12"/>
  <c r="I27" i="10"/>
  <c r="M27" i="10"/>
  <c r="E27" i="10"/>
  <c r="B44" i="10" l="1"/>
  <c r="B62" i="10" s="1"/>
  <c r="B80" i="10" s="1"/>
  <c r="W12" i="10"/>
  <c r="V12" i="10"/>
  <c r="F14" i="10"/>
  <c r="F16" i="10"/>
  <c r="A18" i="10"/>
  <c r="I13" i="10"/>
  <c r="I9" i="10"/>
  <c r="F18" i="10"/>
  <c r="G18" i="10"/>
  <c r="A13" i="10"/>
  <c r="E45" i="10"/>
  <c r="A15" i="10"/>
  <c r="B16" i="10"/>
  <c r="F26" i="10"/>
  <c r="I63" i="10"/>
  <c r="E9" i="10"/>
  <c r="F17" i="10"/>
  <c r="I17" i="10"/>
  <c r="F15" i="10"/>
  <c r="B18" i="10"/>
  <c r="I18" i="10"/>
  <c r="A14" i="10"/>
  <c r="B17" i="10"/>
  <c r="A17" i="10"/>
  <c r="M63" i="10"/>
  <c r="I45" i="10"/>
  <c r="B13" i="10"/>
  <c r="G16" i="10"/>
  <c r="I16" i="10"/>
  <c r="F44" i="10"/>
  <c r="B15" i="10"/>
  <c r="E63" i="10"/>
  <c r="M9" i="10"/>
  <c r="I14" i="10"/>
  <c r="G14" i="10"/>
  <c r="M45" i="10"/>
  <c r="E77" i="10"/>
  <c r="B14" i="10"/>
  <c r="F13" i="10"/>
  <c r="I15" i="10"/>
  <c r="G15" i="10"/>
  <c r="A16" i="10"/>
  <c r="S19" i="10" l="1"/>
  <c r="P19" i="10"/>
  <c r="K41" i="10"/>
  <c r="K59" i="10" s="1"/>
  <c r="G29" i="10"/>
  <c r="G47" i="10" s="1"/>
  <c r="S37" i="10"/>
  <c r="B29" i="10"/>
  <c r="B47" i="10" s="1"/>
  <c r="D41" i="10"/>
  <c r="D59" i="10" s="1"/>
  <c r="D27" i="10"/>
  <c r="D45" i="10" s="1"/>
  <c r="M41" i="10"/>
  <c r="M59" i="10" s="1"/>
  <c r="A40" i="10"/>
  <c r="A58" i="10" s="1"/>
  <c r="A29" i="10"/>
  <c r="A47" i="10" s="1"/>
  <c r="K27" i="10"/>
  <c r="K45" i="10" s="1"/>
  <c r="M29" i="10"/>
  <c r="M47" i="10" s="1"/>
  <c r="F29" i="10"/>
  <c r="F47" i="10" s="1"/>
  <c r="A41" i="10"/>
  <c r="A59" i="10" s="1"/>
  <c r="N29" i="10"/>
  <c r="N47" i="10" s="1"/>
  <c r="G27" i="10"/>
  <c r="G45" i="10" s="1"/>
  <c r="G41" i="10"/>
  <c r="G59" i="10" s="1"/>
  <c r="K29" i="10"/>
  <c r="K47" i="10" s="1"/>
  <c r="A27" i="10"/>
  <c r="A45" i="10" s="1"/>
  <c r="I41" i="10"/>
  <c r="I59" i="10" s="1"/>
  <c r="I29" i="10"/>
  <c r="I47" i="10" s="1"/>
  <c r="B98" i="10"/>
  <c r="Q15" i="10"/>
  <c r="T15" i="10"/>
  <c r="P13" i="10"/>
  <c r="S13" i="10"/>
  <c r="P14" i="10"/>
  <c r="S14" i="10"/>
  <c r="P18" i="10"/>
  <c r="S18" i="10"/>
  <c r="T13" i="10"/>
  <c r="Q13" i="10"/>
  <c r="T14" i="10"/>
  <c r="Q14" i="10"/>
  <c r="Q18" i="10"/>
  <c r="T18" i="10"/>
  <c r="S15" i="10"/>
  <c r="P15" i="10"/>
  <c r="S17" i="10"/>
  <c r="P17" i="10"/>
  <c r="T17" i="10"/>
  <c r="Q17" i="10"/>
  <c r="T21" i="10"/>
  <c r="Q21" i="10"/>
  <c r="S16" i="10"/>
  <c r="P16" i="10"/>
  <c r="T16" i="10"/>
  <c r="Q16" i="10"/>
  <c r="T20" i="10"/>
  <c r="Q20" i="10"/>
  <c r="I54" i="10"/>
  <c r="G32" i="10"/>
  <c r="B33" i="10"/>
  <c r="G52" i="10"/>
  <c r="F80" i="10"/>
  <c r="A53" i="10"/>
  <c r="B81" i="10"/>
  <c r="G50" i="10"/>
  <c r="I33" i="10"/>
  <c r="F36" i="10"/>
  <c r="B54" i="10"/>
  <c r="F33" i="10"/>
  <c r="I50" i="10"/>
  <c r="G53" i="10"/>
  <c r="A33" i="10"/>
  <c r="F49" i="10"/>
  <c r="B45" i="10"/>
  <c r="G35" i="10"/>
  <c r="F62" i="10"/>
  <c r="B51" i="10"/>
  <c r="A50" i="10"/>
  <c r="A31" i="10"/>
  <c r="F35" i="10"/>
  <c r="I52" i="10"/>
  <c r="E59" i="10"/>
  <c r="I36" i="10"/>
  <c r="B36" i="10"/>
  <c r="F51" i="10"/>
  <c r="I35" i="10"/>
  <c r="B32" i="10"/>
  <c r="F32" i="10"/>
  <c r="A51" i="10"/>
  <c r="B49" i="10"/>
  <c r="A54" i="10"/>
  <c r="I49" i="10"/>
  <c r="G31" i="10"/>
  <c r="I31" i="10"/>
  <c r="E81" i="10"/>
  <c r="I34" i="10"/>
  <c r="F52" i="10"/>
  <c r="M81" i="10"/>
  <c r="B34" i="10"/>
  <c r="A36" i="10"/>
  <c r="B52" i="10"/>
  <c r="F53" i="10"/>
  <c r="G51" i="10"/>
  <c r="A52" i="10"/>
  <c r="F34" i="10"/>
  <c r="B53" i="10"/>
  <c r="A35" i="10"/>
  <c r="E95" i="10"/>
  <c r="G33" i="10"/>
  <c r="G34" i="10"/>
  <c r="B35" i="10"/>
  <c r="I53" i="10"/>
  <c r="F54" i="10"/>
  <c r="G49" i="10"/>
  <c r="I51" i="10"/>
  <c r="A32" i="10"/>
  <c r="I32" i="10"/>
  <c r="B31" i="10"/>
  <c r="G54" i="10"/>
  <c r="A34" i="10"/>
  <c r="F31" i="10"/>
  <c r="B63" i="10"/>
  <c r="F50" i="10"/>
  <c r="I81" i="10"/>
  <c r="G36" i="10"/>
  <c r="B50" i="10"/>
  <c r="A49" i="10"/>
  <c r="F22" i="10" l="1"/>
  <c r="P37" i="10"/>
  <c r="S73" i="10"/>
  <c r="T31" i="10"/>
  <c r="Q31" i="10"/>
  <c r="P31" i="10"/>
  <c r="S31" i="10"/>
  <c r="T39" i="10"/>
  <c r="Q39" i="10"/>
  <c r="T35" i="10"/>
  <c r="Q35" i="10"/>
  <c r="F40" i="10"/>
  <c r="Q32" i="10"/>
  <c r="T32" i="10"/>
  <c r="S91" i="10"/>
  <c r="Q36" i="10"/>
  <c r="T36" i="10"/>
  <c r="T38" i="10"/>
  <c r="Q38" i="10"/>
  <c r="P33" i="10"/>
  <c r="S33" i="10"/>
  <c r="Q34" i="10"/>
  <c r="T34" i="10"/>
  <c r="P35" i="10"/>
  <c r="S35" i="10"/>
  <c r="S36" i="10"/>
  <c r="P36" i="10"/>
  <c r="S34" i="10"/>
  <c r="P34" i="10"/>
  <c r="S32" i="10"/>
  <c r="P32" i="10"/>
  <c r="Q33" i="10"/>
  <c r="T33" i="10"/>
  <c r="M77" i="10"/>
  <c r="M95" i="10" s="1"/>
  <c r="F65" i="10"/>
  <c r="F83" i="10" s="1"/>
  <c r="D63" i="10"/>
  <c r="D81" i="10" s="1"/>
  <c r="B65" i="10"/>
  <c r="B83" i="10" s="1"/>
  <c r="M65" i="10"/>
  <c r="M83" i="10" s="1"/>
  <c r="I77" i="10"/>
  <c r="I95" i="10" s="1"/>
  <c r="A65" i="10"/>
  <c r="A83" i="10" s="1"/>
  <c r="N65" i="10"/>
  <c r="N83" i="10" s="1"/>
  <c r="K65" i="10"/>
  <c r="K83" i="10" s="1"/>
  <c r="K63" i="10"/>
  <c r="K81" i="10" s="1"/>
  <c r="A76" i="10"/>
  <c r="A94" i="10" s="1"/>
  <c r="D77" i="10"/>
  <c r="D95" i="10" s="1"/>
  <c r="G63" i="10"/>
  <c r="G81" i="10" s="1"/>
  <c r="G77" i="10"/>
  <c r="G95" i="10" s="1"/>
  <c r="I65" i="10"/>
  <c r="I83" i="10" s="1"/>
  <c r="G65" i="10"/>
  <c r="G83" i="10" s="1"/>
  <c r="A77" i="10"/>
  <c r="A95" i="10" s="1"/>
  <c r="A63" i="10"/>
  <c r="A81" i="10" s="1"/>
  <c r="K77" i="10"/>
  <c r="K95" i="10" s="1"/>
  <c r="F58" i="10"/>
  <c r="P55" i="10"/>
  <c r="S55" i="10"/>
  <c r="P54" i="10"/>
  <c r="S54" i="10"/>
  <c r="P52" i="10"/>
  <c r="S52" i="10"/>
  <c r="T53" i="10"/>
  <c r="Q53" i="10"/>
  <c r="S53" i="10"/>
  <c r="P53" i="10"/>
  <c r="T54" i="10"/>
  <c r="Q54" i="10"/>
  <c r="P51" i="10"/>
  <c r="S51" i="10"/>
  <c r="Q52" i="10"/>
  <c r="T52" i="10"/>
  <c r="P50" i="10"/>
  <c r="S50" i="10"/>
  <c r="Q56" i="10"/>
  <c r="T56" i="10"/>
  <c r="T49" i="10"/>
  <c r="Q49" i="10"/>
  <c r="T57" i="10"/>
  <c r="Q57" i="10"/>
  <c r="T50" i="10"/>
  <c r="Q50" i="10"/>
  <c r="Q51" i="10"/>
  <c r="T51" i="10"/>
  <c r="S49" i="10"/>
  <c r="P49" i="10"/>
  <c r="I22" i="10"/>
  <c r="G90" i="10"/>
  <c r="I88" i="10"/>
  <c r="F72" i="10"/>
  <c r="G72" i="10"/>
  <c r="F86" i="10"/>
  <c r="F69" i="10"/>
  <c r="F89" i="10"/>
  <c r="F68" i="10"/>
  <c r="A90" i="10"/>
  <c r="A71" i="10"/>
  <c r="I89" i="10"/>
  <c r="I71" i="10"/>
  <c r="I90" i="10"/>
  <c r="F71" i="10"/>
  <c r="A88" i="10"/>
  <c r="A70" i="10"/>
  <c r="I85" i="10"/>
  <c r="G69" i="10"/>
  <c r="I70" i="10"/>
  <c r="B71" i="10"/>
  <c r="B90" i="10"/>
  <c r="I68" i="10"/>
  <c r="B85" i="10"/>
  <c r="B69" i="10"/>
  <c r="F67" i="10"/>
  <c r="I67" i="10"/>
  <c r="G85" i="10"/>
  <c r="B70" i="10"/>
  <c r="I87" i="10"/>
  <c r="A86" i="10"/>
  <c r="G71" i="10"/>
  <c r="I72" i="10"/>
  <c r="F90" i="10"/>
  <c r="B89" i="10"/>
  <c r="G86" i="10"/>
  <c r="A85" i="10"/>
  <c r="F70" i="10"/>
  <c r="F85" i="10"/>
  <c r="G67" i="10"/>
  <c r="F88" i="10"/>
  <c r="A89" i="10"/>
  <c r="G68" i="10"/>
  <c r="B68" i="10"/>
  <c r="G70" i="10"/>
  <c r="A69" i="10"/>
  <c r="A87" i="10"/>
  <c r="B87" i="10"/>
  <c r="I86" i="10"/>
  <c r="B86" i="10"/>
  <c r="G89" i="10"/>
  <c r="I69" i="10"/>
  <c r="B67" i="10"/>
  <c r="A68" i="10"/>
  <c r="A67" i="10"/>
  <c r="G87" i="10"/>
  <c r="G88" i="10"/>
  <c r="A72" i="10"/>
  <c r="B88" i="10"/>
  <c r="B72" i="10"/>
  <c r="F87" i="10"/>
  <c r="E99" i="10"/>
  <c r="E113" i="10"/>
  <c r="M99" i="10"/>
  <c r="F98" i="10"/>
  <c r="I99" i="10"/>
  <c r="B99" i="10"/>
  <c r="P73" i="10" l="1"/>
  <c r="P91" i="10"/>
  <c r="I40" i="10"/>
  <c r="S71" i="10"/>
  <c r="P71" i="10"/>
  <c r="T70" i="10"/>
  <c r="Q70" i="10"/>
  <c r="S69" i="10"/>
  <c r="P69" i="10"/>
  <c r="Q72" i="10"/>
  <c r="T72" i="10"/>
  <c r="F94" i="10"/>
  <c r="Q88" i="10"/>
  <c r="T88" i="10"/>
  <c r="P89" i="10"/>
  <c r="S89" i="10"/>
  <c r="S72" i="10"/>
  <c r="P72" i="10"/>
  <c r="T68" i="10"/>
  <c r="Q68" i="10"/>
  <c r="Q89" i="10"/>
  <c r="T89" i="10"/>
  <c r="T92" i="10"/>
  <c r="Q92" i="10"/>
  <c r="P88" i="10"/>
  <c r="S88" i="10"/>
  <c r="Q93" i="10"/>
  <c r="T93" i="10"/>
  <c r="P86" i="10"/>
  <c r="S86" i="10"/>
  <c r="Q86" i="10"/>
  <c r="T86" i="10"/>
  <c r="S85" i="10"/>
  <c r="P85" i="10"/>
  <c r="P70" i="10"/>
  <c r="S70" i="10"/>
  <c r="T75" i="10"/>
  <c r="Q75" i="10"/>
  <c r="Q87" i="10"/>
  <c r="T87" i="10"/>
  <c r="T67" i="10"/>
  <c r="Q67" i="10"/>
  <c r="Q74" i="10"/>
  <c r="T74" i="10"/>
  <c r="S68" i="10"/>
  <c r="P68" i="10"/>
  <c r="S67" i="10"/>
  <c r="P67" i="10"/>
  <c r="S87" i="10"/>
  <c r="P87" i="10"/>
  <c r="P90" i="10"/>
  <c r="S90" i="10"/>
  <c r="T85" i="10"/>
  <c r="Q85" i="10"/>
  <c r="Q71" i="10"/>
  <c r="T71" i="10"/>
  <c r="F76" i="10"/>
  <c r="Q90" i="10"/>
  <c r="T90" i="10"/>
  <c r="T69" i="10"/>
  <c r="Q69" i="10"/>
  <c r="B101" i="10"/>
  <c r="I101" i="10"/>
  <c r="D113" i="10"/>
  <c r="A101" i="10"/>
  <c r="G99" i="10"/>
  <c r="G113" i="10"/>
  <c r="K101" i="10"/>
  <c r="G101" i="10"/>
  <c r="N101" i="10"/>
  <c r="D99" i="10"/>
  <c r="A113" i="10"/>
  <c r="I113" i="10"/>
  <c r="A99" i="10"/>
  <c r="A112" i="10"/>
  <c r="M101" i="10"/>
  <c r="M113" i="10"/>
  <c r="K113" i="10"/>
  <c r="F101" i="10"/>
  <c r="K99" i="10"/>
  <c r="I58" i="10"/>
  <c r="B103" i="10"/>
  <c r="B107" i="10"/>
  <c r="B104" i="10"/>
  <c r="F107" i="10"/>
  <c r="F104" i="10"/>
  <c r="I107" i="10"/>
  <c r="I103" i="10"/>
  <c r="A105" i="10"/>
  <c r="G104" i="10"/>
  <c r="A103" i="10"/>
  <c r="B108" i="10"/>
  <c r="F108" i="10"/>
  <c r="F106" i="10"/>
  <c r="A106" i="10"/>
  <c r="G105" i="10"/>
  <c r="F103" i="10"/>
  <c r="A108" i="10"/>
  <c r="I106" i="10"/>
  <c r="A107" i="10"/>
  <c r="I105" i="10"/>
  <c r="I104" i="10"/>
  <c r="G107" i="10"/>
  <c r="G106" i="10"/>
  <c r="F105" i="10"/>
  <c r="I108" i="10"/>
  <c r="G108" i="10"/>
  <c r="B106" i="10"/>
  <c r="A104" i="10"/>
  <c r="B105" i="10"/>
  <c r="G103" i="10"/>
  <c r="I94" i="10" l="1"/>
  <c r="I76" i="10"/>
  <c r="S106" i="10"/>
  <c r="P106" i="10"/>
  <c r="S104" i="10"/>
  <c r="P104" i="10"/>
  <c r="T110" i="10"/>
  <c r="Q110" i="10"/>
  <c r="S105" i="10"/>
  <c r="P105" i="10"/>
  <c r="P103" i="10"/>
  <c r="S103" i="10"/>
  <c r="F112" i="10"/>
  <c r="Q108" i="10"/>
  <c r="T108" i="10"/>
  <c r="Q111" i="10"/>
  <c r="T111" i="10"/>
  <c r="Q104" i="10"/>
  <c r="T104" i="10"/>
  <c r="P107" i="10"/>
  <c r="S107" i="10"/>
  <c r="P108" i="10"/>
  <c r="S108" i="10"/>
  <c r="T105" i="10"/>
  <c r="Q105" i="10"/>
  <c r="T107" i="10"/>
  <c r="Q107" i="10"/>
  <c r="T106" i="10"/>
  <c r="Q106" i="10"/>
  <c r="Q103" i="10"/>
  <c r="T103" i="10"/>
  <c r="S109" i="10"/>
  <c r="P109" i="10"/>
  <c r="BI10" i="8"/>
  <c r="BH10" i="8"/>
  <c r="BG10" i="8"/>
  <c r="BF10" i="8"/>
  <c r="BE10" i="8"/>
  <c r="BD10" i="8"/>
  <c r="BC10" i="8"/>
  <c r="BB10" i="8"/>
  <c r="BA10" i="8"/>
  <c r="AY23" i="8"/>
  <c r="AX23" i="8"/>
  <c r="AP9" i="8"/>
  <c r="AP8" i="8"/>
  <c r="AZ23" i="9"/>
  <c r="AY23" i="9"/>
  <c r="BG10" i="9"/>
  <c r="BF10" i="9"/>
  <c r="BE10" i="9"/>
  <c r="BD10" i="9"/>
  <c r="BC10" i="9"/>
  <c r="Z11" i="9"/>
  <c r="V11" i="9"/>
  <c r="R11" i="9"/>
  <c r="N11" i="9"/>
  <c r="AQ9" i="9"/>
  <c r="AY23" i="7"/>
  <c r="AX23" i="7"/>
  <c r="BI10" i="7"/>
  <c r="BH10" i="7"/>
  <c r="BG10" i="7"/>
  <c r="BF10" i="7"/>
  <c r="BE10" i="7"/>
  <c r="BD10" i="7"/>
  <c r="BC10" i="7"/>
  <c r="BB10" i="7"/>
  <c r="BA10" i="7"/>
  <c r="AP9" i="7"/>
  <c r="AP8" i="7"/>
  <c r="AP9" i="4"/>
  <c r="AP8" i="4"/>
  <c r="BI10" i="4"/>
  <c r="BH10" i="4"/>
  <c r="BC10" i="4"/>
  <c r="BD10" i="4"/>
  <c r="BE10" i="4"/>
  <c r="BF10" i="4"/>
  <c r="BG10" i="4"/>
  <c r="AS15" i="4" s="1"/>
  <c r="BB10" i="4"/>
  <c r="BA10" i="4"/>
  <c r="AY23" i="4"/>
  <c r="AX23" i="4"/>
  <c r="BC11" i="9"/>
  <c r="M15" i="13"/>
  <c r="I21" i="14"/>
  <c r="BE11" i="9"/>
  <c r="BD11" i="9"/>
  <c r="I27" i="14"/>
  <c r="M16" i="13"/>
  <c r="M17" i="13"/>
  <c r="I23" i="14"/>
  <c r="I25" i="14"/>
  <c r="M14" i="13"/>
  <c r="AV15" i="4" l="1"/>
  <c r="H6" i="11"/>
  <c r="AS12" i="8"/>
  <c r="AT13" i="9"/>
  <c r="AS14" i="4"/>
  <c r="AS13" i="4"/>
  <c r="BK13" i="9"/>
  <c r="BJ12" i="8"/>
  <c r="BJ15" i="4"/>
  <c r="G6" i="11" s="1"/>
  <c r="BJ12" i="4"/>
  <c r="G3" i="11" s="1"/>
  <c r="BJ14" i="4"/>
  <c r="G5" i="11" s="1"/>
  <c r="BJ13" i="4"/>
  <c r="G4" i="11" s="1"/>
  <c r="J27" i="14"/>
  <c r="N17" i="13"/>
  <c r="J25" i="14"/>
  <c r="N16" i="13"/>
  <c r="J23" i="14"/>
  <c r="N15" i="13"/>
  <c r="J21" i="14"/>
  <c r="N14" i="13"/>
  <c r="L149" i="13"/>
  <c r="C283" i="14" s="1"/>
  <c r="L131" i="13"/>
  <c r="C249" i="14" s="1"/>
  <c r="AF11" i="7"/>
  <c r="AG11" i="7" s="1"/>
  <c r="AC11" i="7"/>
  <c r="AD11" i="7" s="1"/>
  <c r="AN11" i="7"/>
  <c r="AJ11" i="7"/>
  <c r="AK11" i="7" s="1"/>
  <c r="Y11" i="7"/>
  <c r="Z11" i="7" s="1"/>
  <c r="U11" i="7"/>
  <c r="V11" i="7" s="1"/>
  <c r="Q11" i="7"/>
  <c r="R11" i="7" s="1"/>
  <c r="M11" i="7"/>
  <c r="N11" i="7" s="1"/>
  <c r="I11" i="7"/>
  <c r="J11" i="7" s="1"/>
  <c r="AK11" i="4"/>
  <c r="AG11" i="4"/>
  <c r="AD11" i="4"/>
  <c r="Z11" i="4"/>
  <c r="V11" i="4"/>
  <c r="R11" i="4"/>
  <c r="N11" i="4"/>
  <c r="J11" i="4"/>
  <c r="AC11" i="8"/>
  <c r="AD11" i="8" s="1"/>
  <c r="AF11" i="8"/>
  <c r="AN11" i="8"/>
  <c r="AJ11" i="8"/>
  <c r="Y11" i="8"/>
  <c r="Z11" i="8" s="1"/>
  <c r="U11" i="8"/>
  <c r="V11" i="8" s="1"/>
  <c r="Q11" i="8"/>
  <c r="R11" i="8" s="1"/>
  <c r="M11" i="8"/>
  <c r="N11" i="8" s="1"/>
  <c r="I11" i="8"/>
  <c r="J11" i="8" s="1"/>
  <c r="I112" i="10"/>
  <c r="K103" i="10"/>
  <c r="K105" i="10"/>
  <c r="K104" i="10"/>
  <c r="K107" i="10"/>
  <c r="K106" i="10"/>
  <c r="K108" i="10"/>
  <c r="K70" i="10"/>
  <c r="K85" i="10"/>
  <c r="K68" i="10"/>
  <c r="K89" i="10"/>
  <c r="K86" i="10"/>
  <c r="K67" i="10"/>
  <c r="K90" i="10"/>
  <c r="K72" i="10"/>
  <c r="K69" i="10"/>
  <c r="K71" i="10"/>
  <c r="K87" i="10"/>
  <c r="K88" i="10"/>
  <c r="I19" i="10"/>
  <c r="BH11" i="7"/>
  <c r="K32" i="10"/>
  <c r="K73" i="10"/>
  <c r="I37" i="10"/>
  <c r="I27" i="12"/>
  <c r="BD11" i="8"/>
  <c r="K74" i="10"/>
  <c r="K37" i="10"/>
  <c r="K14" i="10"/>
  <c r="I23" i="12"/>
  <c r="K50" i="10"/>
  <c r="K109" i="10"/>
  <c r="M17" i="10"/>
  <c r="BF11" i="4"/>
  <c r="I21" i="12"/>
  <c r="K36" i="10"/>
  <c r="I91" i="10"/>
  <c r="I66" i="12"/>
  <c r="BF11" i="7"/>
  <c r="M38" i="10"/>
  <c r="I73" i="10"/>
  <c r="K19" i="10"/>
  <c r="BA11" i="4"/>
  <c r="K91" i="10"/>
  <c r="K16" i="10"/>
  <c r="BD11" i="7"/>
  <c r="K53" i="10"/>
  <c r="K110" i="10"/>
  <c r="K31" i="10"/>
  <c r="K21" i="10"/>
  <c r="K35" i="10"/>
  <c r="K54" i="10"/>
  <c r="BC11" i="8"/>
  <c r="BE11" i="7"/>
  <c r="K51" i="10"/>
  <c r="BB11" i="4"/>
  <c r="I55" i="10"/>
  <c r="M15" i="10"/>
  <c r="BH11" i="4"/>
  <c r="BG11" i="7"/>
  <c r="I25" i="12"/>
  <c r="BA11" i="7"/>
  <c r="M16" i="10"/>
  <c r="BA11" i="8"/>
  <c r="K49" i="10"/>
  <c r="K20" i="10"/>
  <c r="M14" i="10"/>
  <c r="BG11" i="4"/>
  <c r="K55" i="10"/>
  <c r="I68" i="12"/>
  <c r="K38" i="10"/>
  <c r="K18" i="10"/>
  <c r="BC11" i="7"/>
  <c r="BB11" i="8"/>
  <c r="K34" i="10"/>
  <c r="K15" i="10"/>
  <c r="K13" i="10"/>
  <c r="BD11" i="4"/>
  <c r="K52" i="10"/>
  <c r="K17" i="10"/>
  <c r="BF11" i="8"/>
  <c r="M37" i="10"/>
  <c r="I33" i="12"/>
  <c r="K33" i="10"/>
  <c r="BE11" i="8"/>
  <c r="I31" i="12"/>
  <c r="BC11" i="4"/>
  <c r="K92" i="10"/>
  <c r="BE11" i="4"/>
  <c r="BF11" i="9"/>
  <c r="I109" i="10"/>
  <c r="BB11" i="7"/>
  <c r="K56" i="10"/>
  <c r="AW13" i="9" l="1"/>
  <c r="H14" i="11"/>
  <c r="AR13" i="9"/>
  <c r="AS13" i="9" s="1"/>
  <c r="G14" i="11"/>
  <c r="AV12" i="8"/>
  <c r="H11" i="11"/>
  <c r="AQ12" i="8"/>
  <c r="AR12" i="8" s="1"/>
  <c r="G11" i="11"/>
  <c r="AV14" i="4"/>
  <c r="H5" i="11"/>
  <c r="AV13" i="4"/>
  <c r="H4" i="11"/>
  <c r="AQ14" i="4"/>
  <c r="AR14" i="4" s="1"/>
  <c r="AQ13" i="4"/>
  <c r="AR13" i="4" s="1"/>
  <c r="AQ15" i="4"/>
  <c r="AR15" i="4" s="1"/>
  <c r="AK11" i="8"/>
  <c r="U19" i="10"/>
  <c r="AG11" i="8"/>
  <c r="N38" i="10"/>
  <c r="N37" i="10"/>
  <c r="J27" i="12"/>
  <c r="N17" i="10"/>
  <c r="J25" i="12"/>
  <c r="N16" i="10"/>
  <c r="N15" i="10"/>
  <c r="J23" i="12"/>
  <c r="J21" i="12"/>
  <c r="N14" i="10"/>
  <c r="N131" i="13"/>
  <c r="N149" i="13"/>
  <c r="H149" i="13"/>
  <c r="F283" i="14" s="1"/>
  <c r="H131" i="13"/>
  <c r="F249" i="14" s="1"/>
  <c r="U71" i="10"/>
  <c r="R71" i="10"/>
  <c r="R54" i="10"/>
  <c r="U54" i="10"/>
  <c r="U38" i="10"/>
  <c r="R38" i="10"/>
  <c r="U104" i="10"/>
  <c r="R104" i="10"/>
  <c r="U75" i="10"/>
  <c r="R75" i="10"/>
  <c r="R36" i="10"/>
  <c r="U36" i="10"/>
  <c r="U106" i="10"/>
  <c r="R106" i="10"/>
  <c r="R69" i="10"/>
  <c r="U69" i="10"/>
  <c r="R35" i="10"/>
  <c r="U35" i="10"/>
  <c r="U13" i="10"/>
  <c r="R13" i="10"/>
  <c r="U86" i="10"/>
  <c r="R86" i="10"/>
  <c r="R57" i="10"/>
  <c r="U57" i="10"/>
  <c r="Q19" i="10"/>
  <c r="T19" i="10"/>
  <c r="R19" i="10"/>
  <c r="U88" i="10"/>
  <c r="R88" i="10"/>
  <c r="R51" i="10"/>
  <c r="U51" i="10"/>
  <c r="U74" i="10"/>
  <c r="R74" i="10"/>
  <c r="U103" i="10"/>
  <c r="R103" i="10"/>
  <c r="U68" i="10"/>
  <c r="R68" i="10"/>
  <c r="R39" i="10"/>
  <c r="U39" i="10"/>
  <c r="R109" i="10"/>
  <c r="U109" i="10"/>
  <c r="Q109" i="10"/>
  <c r="T109" i="10"/>
  <c r="U70" i="10"/>
  <c r="R70" i="10"/>
  <c r="U33" i="10"/>
  <c r="R33" i="10"/>
  <c r="U111" i="10"/>
  <c r="R111" i="10"/>
  <c r="U14" i="10"/>
  <c r="R14" i="10"/>
  <c r="U16" i="10"/>
  <c r="R16" i="10"/>
  <c r="R20" i="10"/>
  <c r="U20" i="10"/>
  <c r="U85" i="10"/>
  <c r="R85" i="10"/>
  <c r="U50" i="10"/>
  <c r="R50" i="10"/>
  <c r="R18" i="10"/>
  <c r="U18" i="10"/>
  <c r="T91" i="10"/>
  <c r="Q91" i="10"/>
  <c r="R91" i="10"/>
  <c r="U91" i="10"/>
  <c r="R52" i="10"/>
  <c r="U52" i="10"/>
  <c r="U17" i="10"/>
  <c r="R17" i="10"/>
  <c r="U37" i="10"/>
  <c r="R37" i="10"/>
  <c r="T37" i="10"/>
  <c r="Q37" i="10"/>
  <c r="R93" i="10"/>
  <c r="U93" i="10"/>
  <c r="U87" i="10"/>
  <c r="R87" i="10"/>
  <c r="U110" i="10"/>
  <c r="R110" i="10"/>
  <c r="U67" i="10"/>
  <c r="R67" i="10"/>
  <c r="R32" i="10"/>
  <c r="U32" i="10"/>
  <c r="R108" i="10"/>
  <c r="U108" i="10"/>
  <c r="R73" i="10"/>
  <c r="U73" i="10"/>
  <c r="Q73" i="10"/>
  <c r="T73" i="10"/>
  <c r="R34" i="10"/>
  <c r="U34" i="10"/>
  <c r="U107" i="10"/>
  <c r="R107" i="10"/>
  <c r="R31" i="10"/>
  <c r="U31" i="10"/>
  <c r="U72" i="10"/>
  <c r="R72" i="10"/>
  <c r="R105" i="10"/>
  <c r="U105" i="10"/>
  <c r="R56" i="10"/>
  <c r="U56" i="10"/>
  <c r="R53" i="10"/>
  <c r="U53" i="10"/>
  <c r="R92" i="10"/>
  <c r="U92" i="10"/>
  <c r="R49" i="10"/>
  <c r="U49" i="10"/>
  <c r="U21" i="10"/>
  <c r="R21" i="10"/>
  <c r="R90" i="10"/>
  <c r="U90" i="10"/>
  <c r="Q55" i="10"/>
  <c r="T55" i="10"/>
  <c r="R55" i="10"/>
  <c r="U55" i="10"/>
  <c r="R15" i="10"/>
  <c r="U15" i="10"/>
  <c r="U89" i="10"/>
  <c r="R89" i="10"/>
  <c r="J11" i="9"/>
  <c r="AH11" i="9"/>
  <c r="AP11" i="8"/>
  <c r="AL11" i="9"/>
  <c r="AD11" i="9"/>
  <c r="AO11" i="4"/>
  <c r="AP11" i="4"/>
  <c r="AO11" i="8"/>
  <c r="AP11" i="9"/>
  <c r="AQ11" i="9"/>
  <c r="AO11" i="7"/>
  <c r="AP11" i="7"/>
  <c r="M70" i="10"/>
  <c r="M86" i="10"/>
  <c r="M72" i="10"/>
  <c r="M13" i="13"/>
  <c r="I58" i="14"/>
  <c r="M18" i="13"/>
  <c r="I29" i="14"/>
  <c r="I35" i="12"/>
  <c r="BH11" i="8"/>
  <c r="M37" i="13"/>
  <c r="M32" i="13"/>
  <c r="I97" i="12"/>
  <c r="BH11" i="9"/>
  <c r="I95" i="12"/>
  <c r="M35" i="13"/>
  <c r="M20" i="13"/>
  <c r="I56" i="14"/>
  <c r="I64" i="14"/>
  <c r="BG11" i="8"/>
  <c r="I35" i="14"/>
  <c r="BH12" i="9"/>
  <c r="I19" i="14"/>
  <c r="M33" i="13"/>
  <c r="BJ11" i="9"/>
  <c r="BJ12" i="9"/>
  <c r="I204" i="12"/>
  <c r="M20" i="10"/>
  <c r="M34" i="13"/>
  <c r="I70" i="12"/>
  <c r="BI11" i="7"/>
  <c r="M21" i="13"/>
  <c r="I60" i="14"/>
  <c r="M36" i="13"/>
  <c r="I33" i="14"/>
  <c r="M21" i="10"/>
  <c r="M31" i="13"/>
  <c r="I62" i="14"/>
  <c r="I58" i="12"/>
  <c r="I68" i="14"/>
  <c r="I70" i="14"/>
  <c r="M19" i="13"/>
  <c r="BI11" i="9"/>
  <c r="I31" i="14"/>
  <c r="M19" i="10"/>
  <c r="I54" i="14"/>
  <c r="M39" i="13"/>
  <c r="I66" i="14"/>
  <c r="M38" i="13"/>
  <c r="I19" i="12"/>
  <c r="BG11" i="9"/>
  <c r="M39" i="10"/>
  <c r="BI12" i="9"/>
  <c r="N20" i="10" l="1"/>
  <c r="N19" i="10"/>
  <c r="J70" i="14"/>
  <c r="N39" i="13"/>
  <c r="J35" i="14"/>
  <c r="N21" i="13"/>
  <c r="J33" i="14"/>
  <c r="N20" i="13"/>
  <c r="J68" i="14"/>
  <c r="N38" i="13"/>
  <c r="J31" i="14"/>
  <c r="N19" i="13"/>
  <c r="J66" i="14"/>
  <c r="N37" i="13"/>
  <c r="J29" i="14"/>
  <c r="N18" i="13"/>
  <c r="J64" i="14"/>
  <c r="N36" i="13"/>
  <c r="J62" i="14"/>
  <c r="N35" i="13"/>
  <c r="J60" i="14"/>
  <c r="N34" i="13"/>
  <c r="J58" i="14"/>
  <c r="N33" i="13"/>
  <c r="J56" i="14"/>
  <c r="N32" i="13"/>
  <c r="J54" i="14"/>
  <c r="N31" i="13"/>
  <c r="J19" i="14"/>
  <c r="N13" i="13"/>
  <c r="AU11" i="9"/>
  <c r="N39" i="10"/>
  <c r="N21" i="10"/>
  <c r="J149" i="13"/>
  <c r="I283" i="14" s="1"/>
  <c r="J131" i="13"/>
  <c r="I249" i="14" s="1"/>
  <c r="P20" i="10"/>
  <c r="P21" i="10"/>
  <c r="S21" i="10"/>
  <c r="P92" i="10"/>
  <c r="S92" i="10"/>
  <c r="P56" i="10"/>
  <c r="S56" i="10"/>
  <c r="P75" i="10"/>
  <c r="S75" i="10"/>
  <c r="S57" i="10"/>
  <c r="P57" i="10"/>
  <c r="S111" i="10"/>
  <c r="P111" i="10"/>
  <c r="S110" i="10"/>
  <c r="P110" i="10"/>
  <c r="S20" i="10"/>
  <c r="P93" i="10"/>
  <c r="S93" i="10"/>
  <c r="P74" i="10"/>
  <c r="S74" i="10"/>
  <c r="P38" i="10"/>
  <c r="S38" i="10"/>
  <c r="P39" i="10"/>
  <c r="S39" i="10"/>
  <c r="M105" i="10"/>
  <c r="M106" i="10"/>
  <c r="M107" i="10"/>
  <c r="M108" i="10"/>
  <c r="M103" i="10"/>
  <c r="M104" i="10"/>
  <c r="M89" i="10"/>
  <c r="M68" i="10"/>
  <c r="M85" i="10"/>
  <c r="M87" i="10"/>
  <c r="M69" i="10"/>
  <c r="M71" i="10"/>
  <c r="M67" i="10"/>
  <c r="M88" i="10"/>
  <c r="M90" i="10"/>
  <c r="I128" i="12"/>
  <c r="I159" i="12"/>
  <c r="M52" i="10"/>
  <c r="I194" i="12"/>
  <c r="M34" i="10"/>
  <c r="I93" i="12"/>
  <c r="BG12" i="9"/>
  <c r="M54" i="10"/>
  <c r="M53" i="10"/>
  <c r="M31" i="10"/>
  <c r="M18" i="10"/>
  <c r="BI11" i="4"/>
  <c r="I56" i="12"/>
  <c r="I165" i="12"/>
  <c r="M33" i="10"/>
  <c r="M32" i="10"/>
  <c r="BC12" i="9"/>
  <c r="I64" i="12"/>
  <c r="M13" i="10"/>
  <c r="I196" i="12"/>
  <c r="I89" i="12"/>
  <c r="I202" i="12"/>
  <c r="I91" i="12"/>
  <c r="I132" i="12"/>
  <c r="M35" i="10"/>
  <c r="BD12" i="9"/>
  <c r="I163" i="12"/>
  <c r="I124" i="12"/>
  <c r="M49" i="10"/>
  <c r="M51" i="10"/>
  <c r="I198" i="12"/>
  <c r="I62" i="12"/>
  <c r="BI11" i="8"/>
  <c r="I134" i="12"/>
  <c r="M50" i="10"/>
  <c r="I200" i="12"/>
  <c r="BE12" i="9"/>
  <c r="I130" i="12"/>
  <c r="I54" i="12"/>
  <c r="M36" i="10"/>
  <c r="I60" i="12"/>
  <c r="I169" i="12"/>
  <c r="I167" i="12"/>
  <c r="I29" i="12"/>
  <c r="I126" i="12"/>
  <c r="I161" i="12"/>
  <c r="BB11" i="9"/>
  <c r="BB12" i="9"/>
  <c r="BF12" i="9"/>
  <c r="I99" i="12"/>
  <c r="AT12" i="9" l="1"/>
  <c r="AS12" i="4"/>
  <c r="H3" i="11" s="1"/>
  <c r="J37" i="14"/>
  <c r="M22" i="13"/>
  <c r="J72" i="14"/>
  <c r="M40" i="13"/>
  <c r="B23" i="13"/>
  <c r="B42" i="14" s="1"/>
  <c r="AV11" i="9"/>
  <c r="E23" i="13" s="1"/>
  <c r="F42" i="14" s="1"/>
  <c r="B41" i="13"/>
  <c r="B77" i="14" s="1"/>
  <c r="E41" i="13"/>
  <c r="F77" i="14" s="1"/>
  <c r="G112" i="10"/>
  <c r="G94" i="10"/>
  <c r="G76" i="10"/>
  <c r="G22" i="10"/>
  <c r="G40" i="10"/>
  <c r="G58" i="10"/>
  <c r="BK12" i="9"/>
  <c r="G13" i="11" s="1"/>
  <c r="AT11" i="9"/>
  <c r="H12" i="11" s="1"/>
  <c r="J169" i="12"/>
  <c r="N90" i="10"/>
  <c r="J208" i="12"/>
  <c r="J33" i="12"/>
  <c r="J93" i="12"/>
  <c r="N51" i="10"/>
  <c r="J64" i="12"/>
  <c r="N36" i="10"/>
  <c r="J159" i="12"/>
  <c r="N85" i="10"/>
  <c r="L95" i="13"/>
  <c r="C180" i="14" s="1"/>
  <c r="BJ11" i="7"/>
  <c r="G9" i="11" s="1"/>
  <c r="AS11" i="7"/>
  <c r="H9" i="11" s="1"/>
  <c r="J105" i="12"/>
  <c r="J89" i="12"/>
  <c r="N49" i="10"/>
  <c r="L59" i="13"/>
  <c r="C110" i="14" s="1"/>
  <c r="AS11" i="4"/>
  <c r="H2" i="11" s="1"/>
  <c r="BJ11" i="4"/>
  <c r="G2" i="11" s="1"/>
  <c r="J163" i="12"/>
  <c r="N87" i="10"/>
  <c r="J165" i="12"/>
  <c r="N88" i="10"/>
  <c r="J196" i="12"/>
  <c r="N104" i="10"/>
  <c r="J200" i="12"/>
  <c r="N106" i="10"/>
  <c r="J175" i="12"/>
  <c r="J173" i="12"/>
  <c r="J202" i="12"/>
  <c r="N107" i="10"/>
  <c r="J66" i="12"/>
  <c r="J58" i="12"/>
  <c r="N33" i="10"/>
  <c r="J31" i="12"/>
  <c r="J68" i="12"/>
  <c r="J54" i="12"/>
  <c r="N31" i="10"/>
  <c r="J70" i="12"/>
  <c r="J97" i="12"/>
  <c r="N53" i="10"/>
  <c r="J60" i="12"/>
  <c r="N34" i="10"/>
  <c r="J95" i="12"/>
  <c r="N52" i="10"/>
  <c r="J130" i="12"/>
  <c r="N70" i="10"/>
  <c r="J161" i="12"/>
  <c r="N86" i="10"/>
  <c r="J99" i="12"/>
  <c r="N54" i="10"/>
  <c r="J35" i="12"/>
  <c r="J124" i="12"/>
  <c r="N67" i="10"/>
  <c r="L77" i="13"/>
  <c r="C145" i="14" s="1"/>
  <c r="J103" i="12"/>
  <c r="J136" i="12"/>
  <c r="J171" i="12"/>
  <c r="J206" i="12"/>
  <c r="J19" i="12"/>
  <c r="N13" i="10"/>
  <c r="BK11" i="9"/>
  <c r="G12" i="11" s="1"/>
  <c r="J101" i="12"/>
  <c r="J210" i="12"/>
  <c r="J140" i="12"/>
  <c r="J198" i="12"/>
  <c r="N105" i="10"/>
  <c r="J204" i="12"/>
  <c r="N108" i="10"/>
  <c r="J29" i="12"/>
  <c r="N18" i="10"/>
  <c r="J126" i="12"/>
  <c r="N68" i="10"/>
  <c r="J62" i="12"/>
  <c r="N35" i="10"/>
  <c r="J138" i="12"/>
  <c r="BJ11" i="8"/>
  <c r="G10" i="11" s="1"/>
  <c r="AS11" i="8"/>
  <c r="H10" i="11" s="1"/>
  <c r="J167" i="12"/>
  <c r="N89" i="10"/>
  <c r="J134" i="12"/>
  <c r="N72" i="10"/>
  <c r="J56" i="12"/>
  <c r="N32" i="10"/>
  <c r="J91" i="12"/>
  <c r="N50" i="10"/>
  <c r="J194" i="12"/>
  <c r="N103" i="10"/>
  <c r="L113" i="13"/>
  <c r="C215" i="14" s="1"/>
  <c r="J128" i="12"/>
  <c r="N69" i="10"/>
  <c r="J132" i="12"/>
  <c r="N71" i="10"/>
  <c r="K112" i="10"/>
  <c r="K22" i="10"/>
  <c r="K58" i="10"/>
  <c r="K76" i="10"/>
  <c r="K94" i="10"/>
  <c r="K40" i="10"/>
  <c r="B42" i="12"/>
  <c r="B23" i="10"/>
  <c r="B182" i="12"/>
  <c r="B95" i="10"/>
  <c r="B112" i="12"/>
  <c r="B77" i="12"/>
  <c r="B41" i="10"/>
  <c r="B77" i="10"/>
  <c r="B147" i="12"/>
  <c r="B113" i="10"/>
  <c r="B217" i="12"/>
  <c r="B59" i="10"/>
  <c r="AW12" i="9" l="1"/>
  <c r="H13" i="11"/>
  <c r="AR12" i="9"/>
  <c r="AS12" i="9" s="1"/>
  <c r="AQ12" i="4"/>
  <c r="AR12" i="4" s="1"/>
  <c r="L41" i="13"/>
  <c r="C75" i="14" s="1"/>
  <c r="L23" i="13"/>
  <c r="C40" i="14" s="1"/>
  <c r="AQ11" i="4"/>
  <c r="AR11" i="4" s="1"/>
  <c r="AV11" i="4"/>
  <c r="AV12" i="4"/>
  <c r="M40" i="10"/>
  <c r="AQ11" i="8"/>
  <c r="AR11" i="8" s="1"/>
  <c r="J72" i="12"/>
  <c r="AQ11" i="7"/>
  <c r="AR11" i="9"/>
  <c r="H23" i="13" s="1"/>
  <c r="F40" i="14" s="1"/>
  <c r="AV11" i="8"/>
  <c r="AV11" i="7"/>
  <c r="AW11" i="9"/>
  <c r="N23" i="13" s="1"/>
  <c r="H77" i="13"/>
  <c r="F145" i="14" s="1"/>
  <c r="H59" i="13"/>
  <c r="F110" i="14" s="1"/>
  <c r="H95" i="13"/>
  <c r="F180" i="14" s="1"/>
  <c r="H113" i="13"/>
  <c r="F215" i="14" s="1"/>
  <c r="M76" i="10"/>
  <c r="M58" i="10"/>
  <c r="M94" i="10"/>
  <c r="N59" i="13"/>
  <c r="N113" i="13"/>
  <c r="J37" i="12"/>
  <c r="J142" i="12"/>
  <c r="J107" i="12"/>
  <c r="J177" i="12"/>
  <c r="N77" i="13"/>
  <c r="M112" i="10"/>
  <c r="M22" i="10"/>
  <c r="N41" i="13"/>
  <c r="N95" i="13"/>
  <c r="J212" i="12"/>
  <c r="N95" i="10"/>
  <c r="F75" i="12"/>
  <c r="H23" i="10"/>
  <c r="N41" i="10"/>
  <c r="F215" i="12"/>
  <c r="F180" i="12"/>
  <c r="N23" i="10"/>
  <c r="H59" i="10"/>
  <c r="N59" i="10"/>
  <c r="F145" i="12"/>
  <c r="H77" i="10"/>
  <c r="F40" i="12"/>
  <c r="F110" i="12"/>
  <c r="H41" i="10"/>
  <c r="H113" i="10"/>
  <c r="H95" i="10"/>
  <c r="N113" i="10"/>
  <c r="N77" i="10"/>
  <c r="H41" i="13" l="1"/>
  <c r="F75" i="14" s="1"/>
  <c r="AR11" i="7"/>
  <c r="J59" i="13"/>
  <c r="I110" i="14" s="1"/>
  <c r="J41" i="13"/>
  <c r="I75" i="14" s="1"/>
  <c r="J77" i="13"/>
  <c r="I145" i="14" s="1"/>
  <c r="AS11" i="9"/>
  <c r="J23" i="13" s="1"/>
  <c r="I40" i="14" s="1"/>
  <c r="J95" i="13"/>
  <c r="I180" i="14" s="1"/>
  <c r="J113" i="13"/>
  <c r="I215" i="14" s="1"/>
  <c r="L95" i="10"/>
  <c r="J77" i="10"/>
  <c r="C40" i="12"/>
  <c r="I215" i="12"/>
  <c r="J113" i="10"/>
  <c r="L23" i="10"/>
  <c r="C110" i="12"/>
  <c r="I40" i="12"/>
  <c r="L41" i="10"/>
  <c r="J95" i="10"/>
  <c r="I75" i="12"/>
  <c r="L77" i="10"/>
  <c r="C145" i="12"/>
  <c r="C215" i="12"/>
  <c r="C75" i="12"/>
  <c r="L59" i="10"/>
  <c r="J41" i="10"/>
  <c r="I180" i="12"/>
  <c r="J23" i="10"/>
  <c r="I110" i="12"/>
  <c r="L113" i="10"/>
  <c r="C180" i="12"/>
  <c r="I145" i="12"/>
  <c r="J59" i="10"/>
</calcChain>
</file>

<file path=xl/sharedStrings.xml><?xml version="1.0" encoding="utf-8"?>
<sst xmlns="http://schemas.openxmlformats.org/spreadsheetml/2006/main" count="967" uniqueCount="204">
  <si>
    <t>Total</t>
  </si>
  <si>
    <t>Father Name</t>
  </si>
  <si>
    <t xml:space="preserve">Student Name </t>
  </si>
  <si>
    <t>Th. Ex.</t>
  </si>
  <si>
    <t>Ses.</t>
  </si>
  <si>
    <t>Grand Total</t>
  </si>
  <si>
    <t>Pr. Ex.</t>
  </si>
  <si>
    <t xml:space="preserve">Roll No. </t>
  </si>
  <si>
    <t>Pr. Exa.</t>
  </si>
  <si>
    <t xml:space="preserve">Grand Total </t>
  </si>
  <si>
    <t xml:space="preserve">Remarks </t>
  </si>
  <si>
    <t xml:space="preserve">Result </t>
  </si>
  <si>
    <t>UTTARAKHAND TECHNICAL UNIVERSITY, DEHRADUN</t>
  </si>
  <si>
    <t>UTTARKHAND TECHNICAL UNIVERSITY, DEHRADUN</t>
  </si>
  <si>
    <t>Enrollment No.</t>
  </si>
  <si>
    <t>G.B. PANT INSTITUTE OF ENGINEERING &amp; TECHNOLOGY, PAURI GARHWAL</t>
  </si>
  <si>
    <t>Institute ID</t>
  </si>
  <si>
    <t>GRAND TOTAL</t>
  </si>
  <si>
    <t>Advanced Mathematics</t>
  </si>
  <si>
    <t>AHT 301</t>
  </si>
  <si>
    <t>Open Source Software Technologies</t>
  </si>
  <si>
    <t>CST 301</t>
  </si>
  <si>
    <t>Subject and Subject Code</t>
  </si>
  <si>
    <t>Advanced Data Structures  and Algorithms</t>
  </si>
  <si>
    <t>CST 302</t>
  </si>
  <si>
    <t>Research Methodology and IPR</t>
  </si>
  <si>
    <t>AHT 302</t>
  </si>
  <si>
    <t xml:space="preserve">Technical Writing and Presentation Skill ($) </t>
  </si>
  <si>
    <t>AHT 303</t>
  </si>
  <si>
    <t>CSP 301</t>
  </si>
  <si>
    <t>Open Source Software Technologies Lab</t>
  </si>
  <si>
    <t>Advanced Data Structures and Algorithms Lab</t>
  </si>
  <si>
    <t>CSP 302</t>
  </si>
  <si>
    <t>Credits</t>
  </si>
  <si>
    <t>Grade</t>
  </si>
  <si>
    <t>Grade Point</t>
  </si>
  <si>
    <t>O</t>
  </si>
  <si>
    <t>A+</t>
  </si>
  <si>
    <t>A</t>
  </si>
  <si>
    <t>B</t>
  </si>
  <si>
    <t>C</t>
  </si>
  <si>
    <t>P</t>
  </si>
  <si>
    <t>F</t>
  </si>
  <si>
    <t>Ab</t>
  </si>
  <si>
    <t>UFM</t>
  </si>
  <si>
    <t>Dt</t>
  </si>
  <si>
    <t>Grade Point Summary</t>
  </si>
  <si>
    <t>TGP I</t>
  </si>
  <si>
    <t>SGPA</t>
  </si>
  <si>
    <t>CGPA</t>
  </si>
  <si>
    <t>Credits Earned</t>
  </si>
  <si>
    <t>Cumilative Earned Credits I</t>
  </si>
  <si>
    <t xml:space="preserve">Technical Writing and Presentation Skill ($)              </t>
  </si>
  <si>
    <t>Advanced Soil Mechanics</t>
  </si>
  <si>
    <t>CET 601</t>
  </si>
  <si>
    <t xml:space="preserve">Soil Dynamics  </t>
  </si>
  <si>
    <t>CET 602</t>
  </si>
  <si>
    <t>Advanced Soil Mechanics Lab</t>
  </si>
  <si>
    <t>CEP 601</t>
  </si>
  <si>
    <t>Soil Dynamics Lab</t>
  </si>
  <si>
    <t>CEP 602</t>
  </si>
  <si>
    <t>Power System Analysis</t>
  </si>
  <si>
    <t>MPST 101</t>
  </si>
  <si>
    <t>MPST 102</t>
  </si>
  <si>
    <t>Renewable Energy System</t>
  </si>
  <si>
    <t>MPST 111</t>
  </si>
  <si>
    <t>Technical Writing and Presentation Skill ($)</t>
  </si>
  <si>
    <t>Power System Analysis Lab</t>
  </si>
  <si>
    <t>MPSP 101</t>
  </si>
  <si>
    <t>Power System Stability &amp; Control Lab</t>
  </si>
  <si>
    <t>MPSP 102</t>
  </si>
  <si>
    <t>SC</t>
  </si>
  <si>
    <t>SN</t>
  </si>
  <si>
    <t>M.M.</t>
  </si>
  <si>
    <t>Pauri Garhwal, Uttarakhand
(An Autonomous Institute of Govt. of Uttarakhand)</t>
  </si>
  <si>
    <t>(Affiliated to Veer Madho Singh Bhandari Uttarakhand Technical University)</t>
  </si>
  <si>
    <t>Name:</t>
  </si>
  <si>
    <t>Father's Name:</t>
  </si>
  <si>
    <t>University Roll No:</t>
  </si>
  <si>
    <t>University Enrol. No:</t>
  </si>
  <si>
    <t>Subject Code</t>
  </si>
  <si>
    <t>Subject Name</t>
  </si>
  <si>
    <t>External Marks</t>
  </si>
  <si>
    <t>Sessional Marks</t>
  </si>
  <si>
    <t>Total Marks</t>
  </si>
  <si>
    <t>Grade Points</t>
  </si>
  <si>
    <t>-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</si>
  <si>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</si>
  <si>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</si>
  <si>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</si>
  <si>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</si>
  <si>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</si>
  <si>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</si>
  <si>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</si>
  <si>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CSE_I</t>
  </si>
  <si>
    <t>S.N.</t>
  </si>
  <si>
    <t>Roll No.</t>
  </si>
  <si>
    <t>Institute ID.</t>
  </si>
  <si>
    <t>Student Name</t>
  </si>
  <si>
    <t>Fathers Name</t>
  </si>
  <si>
    <t>Credits I</t>
  </si>
  <si>
    <t>EC I</t>
  </si>
  <si>
    <t>University Roll No.:</t>
  </si>
  <si>
    <t>University Enrollment No.:</t>
  </si>
  <si>
    <t>Total Credits/ Total Grade Points</t>
  </si>
  <si>
    <t>BT_I</t>
  </si>
  <si>
    <t>Data Science</t>
  </si>
  <si>
    <t>CST 307</t>
  </si>
  <si>
    <t>Advanced Biostatistics</t>
  </si>
  <si>
    <t>BTT 301</t>
  </si>
  <si>
    <t>Applied Biochemistry</t>
  </si>
  <si>
    <t>BTT 302</t>
  </si>
  <si>
    <t>Microbial Biotechnology</t>
  </si>
  <si>
    <t>BTT 303</t>
  </si>
  <si>
    <t>Bioprocess Engineering</t>
  </si>
  <si>
    <t>BTT 306</t>
  </si>
  <si>
    <t>BTP 301</t>
  </si>
  <si>
    <t>Microbial Biotechnology/    Bioprocess Engg. Lab   (Lab-II )</t>
  </si>
  <si>
    <t>Biochemistry and Bioanalytical Techniques Lab  ( Lab-I)</t>
  </si>
  <si>
    <t>CET 604</t>
  </si>
  <si>
    <t xml:space="preserve">   (Affiliated to Veer Madho Singh Bhandari Uttarakhand Technical University)</t>
  </si>
  <si>
    <t>Wireless Sensor Networks</t>
  </si>
  <si>
    <t>CST 304</t>
  </si>
  <si>
    <t>CSE</t>
  </si>
  <si>
    <t>GT</t>
  </si>
  <si>
    <t>PS</t>
  </si>
  <si>
    <t>BT</t>
  </si>
  <si>
    <t>bt_i</t>
  </si>
  <si>
    <t>GRADE SHEET</t>
  </si>
  <si>
    <t>gt_I</t>
  </si>
  <si>
    <t>Power System Stability and Control</t>
  </si>
  <si>
    <t xml:space="preserve">  Govind Ballabh Pant Institute of Engineering and Technology</t>
  </si>
  <si>
    <t>Govind Ballabh Pant Institute of Engineering and Technology</t>
  </si>
  <si>
    <t>TABULATION CHART FOR   M.TECH. COMPUTER SCIENCE &amp; ENGINEERING  FIRST YEAR ( I SEMESTER)   EXAMINATION DECEMBER  2025</t>
  </si>
  <si>
    <t>TABULATION CHART FOR   M.TECH. ( GEOTECHNOLOGY ) FIRST YEAR ( I SEMESTER)   EXAMINATION DECEMBER  2025</t>
  </si>
  <si>
    <t>TABULATION CHART FOR   M.TECH. (POWER SYSTEMS) FIRST YEAR ( I SEMESTER)   EXAMINATION DECEMBER  2025</t>
  </si>
  <si>
    <t>TABULATION CHART FOR   M.TECH. ( BIOTECHNOLOGY)   FIRST YEAR ( I SEMESTER)   EXAMINATION DECEMBER  2025</t>
  </si>
  <si>
    <t>BTT 311</t>
  </si>
  <si>
    <t>Herbal Biotechnology</t>
  </si>
  <si>
    <t>BTP 302</t>
  </si>
  <si>
    <t>AHT 304</t>
  </si>
  <si>
    <t xml:space="preserve">English for Research Writing ($) </t>
  </si>
  <si>
    <t>Pavement Analysis and Design</t>
  </si>
  <si>
    <t>CET 607</t>
  </si>
  <si>
    <t>Soil Structure Interaction</t>
  </si>
  <si>
    <t>MPST 121</t>
  </si>
  <si>
    <t>Electrical Power  Distribution System</t>
  </si>
  <si>
    <r>
      <t>TABULATION CHART FOR   M.TECH.  PRODUCTION</t>
    </r>
    <r>
      <rPr>
        <b/>
        <i/>
        <sz val="25"/>
        <rFont val="Times New Roman"/>
        <family val="1"/>
      </rPr>
      <t xml:space="preserve"> ENGINEERING</t>
    </r>
    <r>
      <rPr>
        <b/>
        <sz val="25"/>
        <rFont val="Times New Roman"/>
        <family val="1"/>
      </rPr>
      <t xml:space="preserve"> FIRST YEAR ( I SEMESTER)   EXAMINATION DECEMBER  2025</t>
    </r>
  </si>
  <si>
    <t>PET 301</t>
  </si>
  <si>
    <t>Machining Science</t>
  </si>
  <si>
    <t>PET 302</t>
  </si>
  <si>
    <t>Industrial Tribology</t>
  </si>
  <si>
    <t>PEP 301</t>
  </si>
  <si>
    <t>Machining Science Lab</t>
  </si>
  <si>
    <t>PEP 302</t>
  </si>
  <si>
    <t>Industrial Tribology Lab</t>
  </si>
  <si>
    <t>ece_I</t>
  </si>
  <si>
    <t>PET 312</t>
  </si>
  <si>
    <t>Total Quality Management</t>
  </si>
  <si>
    <t>PET 308</t>
  </si>
  <si>
    <t>Automated Material Handeling System</t>
  </si>
  <si>
    <t>UTU/2507100023</t>
  </si>
  <si>
    <t>Anshika Paliwal</t>
  </si>
  <si>
    <t>Vishwanath Paliwal</t>
  </si>
  <si>
    <t>UTU/2507100031</t>
  </si>
  <si>
    <t>Himanshu Mandrwal</t>
  </si>
  <si>
    <t>Sunil Kumar</t>
  </si>
  <si>
    <t>UTU/2507100022</t>
  </si>
  <si>
    <t>Kalash Kundaliya</t>
  </si>
  <si>
    <t>Sanjay Prasad Kundaliya</t>
  </si>
  <si>
    <t>UTU/2507100037</t>
  </si>
  <si>
    <t>Mayank Gaur</t>
  </si>
  <si>
    <t>Rakesh Gaur</t>
  </si>
  <si>
    <t>PUTU/2507100070</t>
  </si>
  <si>
    <t>Rajesh Kumar</t>
  </si>
  <si>
    <t>Ranjeet Singh</t>
  </si>
  <si>
    <t>UTU/2507100053</t>
  </si>
  <si>
    <t>Mayank Negi</t>
  </si>
  <si>
    <t>Narendra Singh Negi</t>
  </si>
  <si>
    <t>UTU/2507100025</t>
  </si>
  <si>
    <t>Prabhav Singh</t>
  </si>
  <si>
    <t>Jaspal Singh</t>
  </si>
  <si>
    <t>UTU/2507100026</t>
  </si>
  <si>
    <t>Priyanshu Dobhal</t>
  </si>
  <si>
    <t>Jaiprakash Dobhal</t>
  </si>
  <si>
    <t>250090707001</t>
  </si>
  <si>
    <t>PUTU/2507100044</t>
  </si>
  <si>
    <t>Amandeep</t>
  </si>
  <si>
    <t>Kripa Ram</t>
  </si>
  <si>
    <t>250090707002</t>
  </si>
  <si>
    <t>PUTU/2507100051</t>
  </si>
  <si>
    <t>Yukti Dinkar</t>
  </si>
  <si>
    <t>Hemant Kumar</t>
  </si>
  <si>
    <t>PUTU/2507100063</t>
  </si>
  <si>
    <t>Jatin Dhapola</t>
  </si>
  <si>
    <t>Vijay Kumar Dhapola</t>
  </si>
  <si>
    <t>PUTU/2507100066</t>
  </si>
  <si>
    <t>Deepansha Arya</t>
  </si>
  <si>
    <t>Nand Kishor</t>
  </si>
  <si>
    <t>PUTU/2507100033</t>
  </si>
  <si>
    <t>Prajjwal</t>
  </si>
  <si>
    <t>Hardev Singh</t>
  </si>
  <si>
    <t>D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</si>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</sst>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0"/>
      <name val="Arial"/>
      <family val="2"/>
    </font>
    <font>
      <b/>
      <sz val="7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15"/>
      <name val="Times New Roman"/>
      <family val="1"/>
    </font>
    <font>
      <b/>
      <sz val="25"/>
      <name val="Times New Roman"/>
      <family val="1"/>
    </font>
    <font>
      <b/>
      <sz val="22"/>
      <name val="Times New Roman"/>
      <family val="1"/>
    </font>
    <font>
      <b/>
      <sz val="17"/>
      <name val="Times New Roman"/>
      <family val="1"/>
    </font>
    <font>
      <sz val="13"/>
      <name val="Times New Roman"/>
      <family val="1"/>
    </font>
    <font>
      <b/>
      <sz val="24"/>
      <name val="Times New Roman"/>
      <family val="1"/>
    </font>
    <font>
      <b/>
      <i/>
      <sz val="25"/>
      <name val="Times New Roman"/>
      <family val="1"/>
    </font>
    <font>
      <b/>
      <sz val="28"/>
      <name val="Times New Roman"/>
      <family val="1"/>
    </font>
    <font>
      <b/>
      <sz val="26"/>
      <name val="Times New Roman"/>
      <family val="1"/>
    </font>
    <font>
      <b/>
      <sz val="20"/>
      <name val="Times New Roman"/>
      <family val="1"/>
    </font>
    <font>
      <sz val="12"/>
      <name val="Algerian"/>
      <family val="5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sz val="20"/>
      <name val="Times New Roman"/>
      <family val="1"/>
    </font>
    <font>
      <sz val="22"/>
      <name val="Times New Roman"/>
      <family val="1"/>
    </font>
    <font>
      <sz val="11.5"/>
      <name val="Algerian"/>
      <family val="5"/>
    </font>
    <font>
      <sz val="24"/>
      <name val="Times New Roman"/>
      <family val="1"/>
    </font>
    <font>
      <sz val="18"/>
      <name val="Arial"/>
      <family val="2"/>
    </font>
    <font>
      <sz val="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28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" fontId="17" fillId="4" borderId="1" xfId="1" applyNumberFormat="1" applyFont="1" applyFill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" fontId="0" fillId="0" borderId="0" xfId="0" applyNumberFormat="1"/>
    <xf numFmtId="0" fontId="34" fillId="0" borderId="0" xfId="0" applyFont="1" applyAlignment="1">
      <alignment horizontal="center" vertical="center"/>
    </xf>
    <xf numFmtId="0" fontId="1" fillId="0" borderId="0" xfId="1"/>
    <xf numFmtId="0" fontId="30" fillId="0" borderId="0" xfId="1" applyFont="1" applyAlignment="1">
      <alignment vertical="top"/>
    </xf>
    <xf numFmtId="0" fontId="32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35" fillId="0" borderId="0" xfId="1" applyFont="1"/>
    <xf numFmtId="0" fontId="39" fillId="0" borderId="0" xfId="1" applyFont="1"/>
    <xf numFmtId="1" fontId="28" fillId="0" borderId="1" xfId="0" applyNumberFormat="1" applyFont="1" applyBorder="1" applyAlignment="1">
      <alignment horizontal="center" vertical="center" wrapText="1"/>
    </xf>
    <xf numFmtId="164" fontId="28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1" fontId="21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vertical="center"/>
    </xf>
    <xf numFmtId="1" fontId="24" fillId="0" borderId="1" xfId="0" applyNumberFormat="1" applyFont="1" applyBorder="1" applyAlignment="1">
      <alignment horizontal="center" vertical="center" wrapText="1"/>
    </xf>
    <xf numFmtId="1" fontId="24" fillId="0" borderId="3" xfId="0" applyNumberFormat="1" applyFont="1" applyBorder="1" applyAlignment="1">
      <alignment horizontal="center" vertical="center" wrapText="1"/>
    </xf>
    <xf numFmtId="0" fontId="43" fillId="0" borderId="3" xfId="0" applyFont="1" applyBorder="1" applyAlignment="1">
      <alignment vertical="center" wrapText="1"/>
    </xf>
    <xf numFmtId="1" fontId="24" fillId="0" borderId="13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vertical="center" wrapText="1"/>
    </xf>
    <xf numFmtId="0" fontId="43" fillId="0" borderId="1" xfId="0" applyFont="1" applyBorder="1" applyAlignment="1">
      <alignment horizontal="center" vertical="center"/>
    </xf>
    <xf numFmtId="1" fontId="41" fillId="0" borderId="3" xfId="0" applyNumberFormat="1" applyFont="1" applyBorder="1" applyAlignment="1">
      <alignment horizontal="center" vertical="center" wrapText="1"/>
    </xf>
    <xf numFmtId="1" fontId="41" fillId="0" borderId="2" xfId="0" applyNumberFormat="1" applyFont="1" applyBorder="1" applyAlignment="1">
      <alignment horizontal="center" vertical="center" wrapText="1"/>
    </xf>
    <xf numFmtId="1" fontId="41" fillId="0" borderId="13" xfId="0" applyNumberFormat="1" applyFont="1" applyBorder="1" applyAlignment="1">
      <alignment horizontal="center" vertical="center" wrapText="1"/>
    </xf>
    <xf numFmtId="0" fontId="41" fillId="0" borderId="3" xfId="0" applyFont="1" applyBorder="1" applyAlignment="1">
      <alignment horizontal="left" vertical="center"/>
    </xf>
    <xf numFmtId="0" fontId="41" fillId="0" borderId="2" xfId="0" applyFont="1" applyBorder="1" applyAlignment="1">
      <alignment horizontal="left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 wrapText="1"/>
    </xf>
    <xf numFmtId="0" fontId="10" fillId="0" borderId="0" xfId="1" applyFont="1"/>
    <xf numFmtId="49" fontId="1" fillId="0" borderId="0" xfId="1" applyNumberFormat="1"/>
    <xf numFmtId="0" fontId="3" fillId="0" borderId="0" xfId="1" applyFont="1"/>
    <xf numFmtId="0" fontId="11" fillId="0" borderId="0" xfId="1" applyFont="1"/>
    <xf numFmtId="49" fontId="3" fillId="0" borderId="0" xfId="1" applyNumberFormat="1" applyFont="1"/>
    <xf numFmtId="0" fontId="10" fillId="0" borderId="0" xfId="1" applyFont="1" applyAlignment="1">
      <alignment horizontal="center"/>
    </xf>
    <xf numFmtId="49" fontId="10" fillId="0" borderId="0" xfId="1" applyNumberFormat="1" applyFont="1"/>
    <xf numFmtId="49" fontId="6" fillId="0" borderId="0" xfId="1" applyNumberFormat="1" applyFont="1"/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49" fontId="5" fillId="0" borderId="0" xfId="1" applyNumberFormat="1" applyFont="1"/>
    <xf numFmtId="0" fontId="4" fillId="0" borderId="0" xfId="1" applyFont="1"/>
    <xf numFmtId="0" fontId="8" fillId="0" borderId="0" xfId="1" applyFont="1"/>
    <xf numFmtId="1" fontId="16" fillId="0" borderId="1" xfId="1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2" fontId="17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0" fontId="1" fillId="0" borderId="0" xfId="1" applyAlignment="1">
      <alignment vertical="center"/>
    </xf>
    <xf numFmtId="1" fontId="5" fillId="0" borderId="1" xfId="1" applyNumberFormat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1" fontId="15" fillId="0" borderId="6" xfId="1" applyNumberFormat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18" fillId="0" borderId="6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2" fontId="17" fillId="0" borderId="6" xfId="1" applyNumberFormat="1" applyFont="1" applyBorder="1" applyAlignment="1">
      <alignment horizontal="center" vertical="center"/>
    </xf>
    <xf numFmtId="1" fontId="15" fillId="0" borderId="6" xfId="1" applyNumberFormat="1" applyFont="1" applyBorder="1" applyAlignment="1">
      <alignment horizontal="center"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2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0" borderId="1" xfId="1" applyBorder="1"/>
    <xf numFmtId="0" fontId="8" fillId="0" borderId="1" xfId="1" applyFont="1" applyBorder="1"/>
    <xf numFmtId="0" fontId="26" fillId="0" borderId="11" xfId="0" applyFont="1" applyBorder="1" applyAlignment="1">
      <alignment horizontal="center" vertical="center" textRotation="255"/>
    </xf>
    <xf numFmtId="0" fontId="26" fillId="0" borderId="12" xfId="0" applyFont="1" applyBorder="1" applyAlignment="1">
      <alignment horizontal="center" vertical="center" textRotation="255"/>
    </xf>
    <xf numFmtId="0" fontId="26" fillId="0" borderId="13" xfId="0" applyFont="1" applyBorder="1" applyAlignment="1">
      <alignment horizontal="center" vertical="center" textRotation="255"/>
    </xf>
    <xf numFmtId="1" fontId="15" fillId="0" borderId="1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28" fillId="0" borderId="7" xfId="1" applyFont="1" applyBorder="1" applyAlignment="1">
      <alignment horizontal="center" vertical="center"/>
    </xf>
    <xf numFmtId="0" fontId="28" fillId="0" borderId="10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1" fontId="15" fillId="0" borderId="1" xfId="1" applyNumberFormat="1" applyFont="1" applyBorder="1" applyAlignment="1">
      <alignment horizontal="center" vertical="center"/>
    </xf>
    <xf numFmtId="0" fontId="26" fillId="0" borderId="11" xfId="1" applyFont="1" applyBorder="1" applyAlignment="1">
      <alignment horizontal="center" vertical="center" textRotation="255"/>
    </xf>
    <xf numFmtId="0" fontId="26" fillId="0" borderId="12" xfId="1" applyFont="1" applyBorder="1" applyAlignment="1">
      <alignment horizontal="center" vertical="center" textRotation="255"/>
    </xf>
    <xf numFmtId="0" fontId="26" fillId="0" borderId="13" xfId="1" applyFont="1" applyBorder="1" applyAlignment="1">
      <alignment horizontal="center" vertical="center" textRotation="255"/>
    </xf>
    <xf numFmtId="1" fontId="15" fillId="0" borderId="6" xfId="1" applyNumberFormat="1" applyFont="1" applyBorder="1" applyAlignment="1">
      <alignment horizontal="center" vertical="center" wrapText="1"/>
    </xf>
    <xf numFmtId="1" fontId="15" fillId="0" borderId="2" xfId="1" applyNumberFormat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center" vertical="center"/>
    </xf>
    <xf numFmtId="1" fontId="17" fillId="4" borderId="1" xfId="1" applyNumberFormat="1" applyFont="1" applyFill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center" vertical="center" textRotation="255"/>
    </xf>
    <xf numFmtId="0" fontId="28" fillId="0" borderId="13" xfId="0" applyFont="1" applyBorder="1" applyAlignment="1">
      <alignment horizontal="center" vertical="center" textRotation="255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4" fillId="0" borderId="0" xfId="0" applyFont="1" applyAlignment="1">
      <alignment horizontal="left" vertical="center" wrapText="1"/>
    </xf>
    <xf numFmtId="1" fontId="34" fillId="0" borderId="0" xfId="0" applyNumberFormat="1" applyFont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0" fontId="29" fillId="0" borderId="0" xfId="1" applyFont="1" applyAlignment="1">
      <alignment horizontal="center" vertical="center" wrapText="1"/>
    </xf>
    <xf numFmtId="0" fontId="30" fillId="0" borderId="0" xfId="1" applyFont="1" applyAlignment="1">
      <alignment horizontal="center" vertical="top" wrapText="1"/>
    </xf>
    <xf numFmtId="0" fontId="36" fillId="0" borderId="0" xfId="1" applyFont="1" applyAlignment="1">
      <alignment horizontal="center" vertical="top" wrapText="1"/>
    </xf>
    <xf numFmtId="0" fontId="3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1" fontId="6" fillId="0" borderId="0" xfId="1" applyNumberFormat="1" applyFont="1" applyAlignment="1">
      <alignment horizontal="right" vertical="center"/>
    </xf>
    <xf numFmtId="0" fontId="6" fillId="0" borderId="8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 wrapText="1"/>
    </xf>
    <xf numFmtId="0" fontId="38" fillId="0" borderId="0" xfId="1" applyFont="1" applyAlignment="1">
      <alignment horizontal="left" vertical="center" wrapText="1"/>
    </xf>
    <xf numFmtId="0" fontId="38" fillId="0" borderId="8" xfId="1" applyFont="1" applyBorder="1" applyAlignment="1">
      <alignment horizontal="left" vertical="center" wrapText="1"/>
    </xf>
    <xf numFmtId="1" fontId="6" fillId="0" borderId="8" xfId="1" applyNumberFormat="1" applyFont="1" applyBorder="1" applyAlignment="1">
      <alignment horizontal="right" vertical="center"/>
    </xf>
    <xf numFmtId="0" fontId="38" fillId="0" borderId="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38" fillId="0" borderId="1" xfId="1" applyFont="1" applyBorder="1" applyAlignment="1">
      <alignment horizontal="center" vertical="center"/>
    </xf>
    <xf numFmtId="0" fontId="38" fillId="0" borderId="6" xfId="1" applyFont="1" applyBorder="1" applyAlignment="1">
      <alignment horizontal="center" vertical="center"/>
    </xf>
    <xf numFmtId="0" fontId="38" fillId="0" borderId="2" xfId="1" applyFont="1" applyBorder="1" applyAlignment="1">
      <alignment horizontal="center" vertical="center"/>
    </xf>
    <xf numFmtId="0" fontId="38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38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5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left" vertical="center"/>
    </xf>
    <xf numFmtId="0" fontId="24" fillId="7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1" fontId="41" fillId="8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44" fillId="0" borderId="0" xfId="0" applyNumberFormat="1" applyFont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0" fillId="0" borderId="0" xfId="0" applyFill="1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0" fillId="10" borderId="1" xfId="0" applyFont="1" applyFill="1" applyBorder="1" applyAlignment="1">
      <alignment horizontal="center" vertical="center"/>
    </xf>
    <xf numFmtId="0" fontId="24" fillId="0" borderId="6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57"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234043</xdr:colOff>
      <xdr:row>4</xdr:row>
      <xdr:rowOff>152122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4EFD8-148C-4504-8C5B-81DD38AC6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43643" cy="10157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380998</xdr:colOff>
      <xdr:row>0</xdr:row>
      <xdr:rowOff>38099</xdr:rowOff>
    </xdr:from>
    <xdr:to>
      <xdr:col>14</xdr:col>
      <xdr:colOff>2380</xdr:colOff>
      <xdr:row>4</xdr:row>
      <xdr:rowOff>85385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7327D-1CA6-442D-86FE-8F5294172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369298" y="38099"/>
          <a:ext cx="837407" cy="904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0</xdr:row>
      <xdr:rowOff>10885</xdr:rowOff>
    </xdr:from>
    <xdr:to>
      <xdr:col>9</xdr:col>
      <xdr:colOff>609593</xdr:colOff>
      <xdr:row>5</xdr:row>
      <xdr:rowOff>53014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9E57D-6128-4A2C-AC08-F3E4D09A7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388100" y="10885"/>
          <a:ext cx="1015993" cy="1032729"/>
        </a:xfrm>
        <a:prstGeom prst="rect">
          <a:avLst/>
        </a:prstGeom>
      </xdr:spPr>
    </xdr:pic>
    <xdr:clientData/>
  </xdr:twoCellAnchor>
  <xdr:twoCellAnchor editAs="oneCell">
    <xdr:from>
      <xdr:col>0</xdr:col>
      <xdr:colOff>5442</xdr:colOff>
      <xdr:row>0</xdr:row>
      <xdr:rowOff>10885</xdr:rowOff>
    </xdr:from>
    <xdr:to>
      <xdr:col>1</xdr:col>
      <xdr:colOff>406399</xdr:colOff>
      <xdr:row>5</xdr:row>
      <xdr:rowOff>154328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4A6D30-DB32-4826-84A6-1F923649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" y="10885"/>
          <a:ext cx="1074057" cy="11340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234043</xdr:colOff>
      <xdr:row>4</xdr:row>
      <xdr:rowOff>152122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9128C-5F37-4E0E-97FD-BCDDC0CF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7186" cy="9776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380998</xdr:colOff>
      <xdr:row>0</xdr:row>
      <xdr:rowOff>38099</xdr:rowOff>
    </xdr:from>
    <xdr:to>
      <xdr:col>13</xdr:col>
      <xdr:colOff>589755</xdr:colOff>
      <xdr:row>4</xdr:row>
      <xdr:rowOff>85385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78A0E-97B9-4C7A-AEDF-3FDB0D4A1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18712" y="38099"/>
          <a:ext cx="900000" cy="9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0</xdr:row>
      <xdr:rowOff>19051</xdr:rowOff>
    </xdr:from>
    <xdr:to>
      <xdr:col>9</xdr:col>
      <xdr:colOff>603250</xdr:colOff>
      <xdr:row>4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8819F-ABED-49E4-ACF8-BCEF0D010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372100" y="19051"/>
          <a:ext cx="717550" cy="774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151902</xdr:colOff>
      <xdr:row>4</xdr:row>
      <xdr:rowOff>69851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A06EFA-31A0-4A77-B1C0-0C6DD183E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61502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3"/>
  <sheetViews>
    <sheetView topLeftCell="AR9" zoomScale="69" zoomScaleNormal="25" workbookViewId="0">
      <selection activeCell="AT11" sqref="AT11:AU12"/>
    </sheetView>
  </sheetViews>
  <sheetFormatPr baseColWidth="10" defaultColWidth="7.83203125" defaultRowHeight="24.75" customHeight="1" x14ac:dyDescent="0.15"/>
  <cols>
    <col min="1" max="1" width="10.1640625" style="2" customWidth="1"/>
    <col min="2" max="2" width="33.5" style="2" customWidth="1"/>
    <col min="3" max="3" width="26.6640625" style="2" customWidth="1"/>
    <col min="4" max="4" width="28" style="2" customWidth="1"/>
    <col min="5" max="5" width="43.1640625" style="2" customWidth="1"/>
    <col min="6" max="6" width="40.1640625" style="2" customWidth="1"/>
    <col min="7" max="30" width="10.1640625" style="2" customWidth="1"/>
    <col min="31" max="33" width="15.1640625" style="2" customWidth="1"/>
    <col min="34" max="41" width="10.1640625" style="2" customWidth="1"/>
    <col min="42" max="45" width="21.5" style="2" customWidth="1"/>
    <col min="46" max="46" width="38.5" style="2" customWidth="1"/>
    <col min="47" max="47" width="44.5" style="2" customWidth="1"/>
    <col min="48" max="48" width="18.83203125" style="2" customWidth="1"/>
    <col min="49" max="52" width="7.83203125" style="2"/>
    <col min="53" max="53" width="8" style="2" customWidth="1"/>
    <col min="54" max="54" width="7.83203125" style="2" customWidth="1"/>
    <col min="55" max="16384" width="7.83203125" style="2"/>
  </cols>
  <sheetData>
    <row r="1" spans="1:62" ht="54.75" customHeight="1" x14ac:dyDescent="0.15">
      <c r="A1" s="137" t="s">
        <v>13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</row>
    <row r="2" spans="1:62" ht="54.75" customHeight="1" x14ac:dyDescent="0.15">
      <c r="A2" s="137" t="s">
        <v>15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</row>
    <row r="3" spans="1:62" ht="54.75" customHeight="1" x14ac:dyDescent="0.15">
      <c r="A3" s="138" t="s">
        <v>133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</row>
    <row r="4" spans="1:62" ht="54.75" customHeight="1" x14ac:dyDescent="0.15">
      <c r="A4" s="34"/>
      <c r="B4" s="136" t="s">
        <v>7</v>
      </c>
      <c r="C4" s="136" t="s">
        <v>14</v>
      </c>
      <c r="D4" s="136" t="s">
        <v>16</v>
      </c>
      <c r="E4" s="136" t="s">
        <v>2</v>
      </c>
      <c r="F4" s="136" t="s">
        <v>1</v>
      </c>
      <c r="G4" s="125" t="s">
        <v>22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3" t="s">
        <v>48</v>
      </c>
      <c r="AR4" s="123" t="s">
        <v>49</v>
      </c>
      <c r="AS4" s="123" t="s">
        <v>50</v>
      </c>
      <c r="AT4" s="123" t="s">
        <v>11</v>
      </c>
      <c r="AU4" s="124" t="s">
        <v>10</v>
      </c>
      <c r="AV4" s="123" t="s">
        <v>51</v>
      </c>
      <c r="AW4" s="27"/>
    </row>
    <row r="5" spans="1:62" ht="54.75" customHeight="1" x14ac:dyDescent="0.15">
      <c r="A5" s="34" t="s">
        <v>71</v>
      </c>
      <c r="B5" s="136"/>
      <c r="C5" s="136"/>
      <c r="D5" s="136"/>
      <c r="E5" s="136"/>
      <c r="F5" s="136"/>
      <c r="G5" s="130" t="s">
        <v>19</v>
      </c>
      <c r="H5" s="130"/>
      <c r="I5" s="130"/>
      <c r="J5" s="131"/>
      <c r="K5" s="129" t="s">
        <v>21</v>
      </c>
      <c r="L5" s="130"/>
      <c r="M5" s="130"/>
      <c r="N5" s="131"/>
      <c r="O5" s="129" t="s">
        <v>24</v>
      </c>
      <c r="P5" s="130"/>
      <c r="Q5" s="130"/>
      <c r="R5" s="131"/>
      <c r="S5" s="129" t="s">
        <v>122</v>
      </c>
      <c r="T5" s="130"/>
      <c r="U5" s="130"/>
      <c r="V5" s="131"/>
      <c r="W5" s="129" t="s">
        <v>107</v>
      </c>
      <c r="X5" s="130"/>
      <c r="Y5" s="130"/>
      <c r="Z5" s="131"/>
      <c r="AA5" s="129" t="s">
        <v>26</v>
      </c>
      <c r="AB5" s="130"/>
      <c r="AC5" s="130"/>
      <c r="AD5" s="131"/>
      <c r="AE5" s="129" t="s">
        <v>28</v>
      </c>
      <c r="AF5" s="130"/>
      <c r="AG5" s="131"/>
      <c r="AH5" s="129" t="s">
        <v>29</v>
      </c>
      <c r="AI5" s="130"/>
      <c r="AJ5" s="130"/>
      <c r="AK5" s="131"/>
      <c r="AL5" s="129" t="s">
        <v>32</v>
      </c>
      <c r="AM5" s="130"/>
      <c r="AN5" s="130"/>
      <c r="AO5" s="131"/>
      <c r="AP5" s="126" t="s">
        <v>9</v>
      </c>
      <c r="AQ5" s="123"/>
      <c r="AR5" s="123"/>
      <c r="AS5" s="123"/>
      <c r="AT5" s="123"/>
      <c r="AU5" s="124"/>
      <c r="AV5" s="123"/>
      <c r="AW5" s="27"/>
    </row>
    <row r="6" spans="1:62" ht="276" customHeight="1" x14ac:dyDescent="0.15">
      <c r="A6" s="34" t="s">
        <v>72</v>
      </c>
      <c r="B6" s="136"/>
      <c r="C6" s="136"/>
      <c r="D6" s="136"/>
      <c r="E6" s="136"/>
      <c r="F6" s="136"/>
      <c r="G6" s="133" t="s">
        <v>18</v>
      </c>
      <c r="H6" s="133"/>
      <c r="I6" s="133"/>
      <c r="J6" s="134"/>
      <c r="K6" s="132" t="s">
        <v>20</v>
      </c>
      <c r="L6" s="133"/>
      <c r="M6" s="133"/>
      <c r="N6" s="134"/>
      <c r="O6" s="132" t="s">
        <v>23</v>
      </c>
      <c r="P6" s="133"/>
      <c r="Q6" s="133"/>
      <c r="R6" s="134"/>
      <c r="S6" s="132" t="s">
        <v>121</v>
      </c>
      <c r="T6" s="133"/>
      <c r="U6" s="133"/>
      <c r="V6" s="134"/>
      <c r="W6" s="132" t="s">
        <v>106</v>
      </c>
      <c r="X6" s="133"/>
      <c r="Y6" s="133"/>
      <c r="Z6" s="134"/>
      <c r="AA6" s="132" t="s">
        <v>25</v>
      </c>
      <c r="AB6" s="133"/>
      <c r="AC6" s="133"/>
      <c r="AD6" s="134"/>
      <c r="AE6" s="132" t="s">
        <v>27</v>
      </c>
      <c r="AF6" s="133"/>
      <c r="AG6" s="134"/>
      <c r="AH6" s="132" t="s">
        <v>30</v>
      </c>
      <c r="AI6" s="133"/>
      <c r="AJ6" s="133"/>
      <c r="AK6" s="134"/>
      <c r="AL6" s="132" t="s">
        <v>31</v>
      </c>
      <c r="AM6" s="133"/>
      <c r="AN6" s="133"/>
      <c r="AO6" s="134"/>
      <c r="AP6" s="126"/>
      <c r="AQ6" s="123"/>
      <c r="AR6" s="123"/>
      <c r="AS6" s="123"/>
      <c r="AT6" s="123"/>
      <c r="AU6" s="124"/>
      <c r="AV6" s="123"/>
      <c r="AW6" s="27"/>
    </row>
    <row r="7" spans="1:62" ht="63.75" customHeight="1" x14ac:dyDescent="0.15">
      <c r="A7" s="34"/>
      <c r="B7" s="136"/>
      <c r="C7" s="136"/>
      <c r="D7" s="136"/>
      <c r="E7" s="136"/>
      <c r="F7" s="136"/>
      <c r="G7" s="127" t="s">
        <v>33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8"/>
      <c r="AP7" s="126"/>
      <c r="AQ7" s="123"/>
      <c r="AR7" s="123"/>
      <c r="AS7" s="123"/>
      <c r="AT7" s="123"/>
      <c r="AU7" s="124"/>
      <c r="AV7" s="123"/>
      <c r="AW7" s="27"/>
    </row>
    <row r="8" spans="1:62" ht="63.75" customHeight="1" x14ac:dyDescent="0.15">
      <c r="A8" s="34" t="s">
        <v>40</v>
      </c>
      <c r="B8" s="136"/>
      <c r="C8" s="136"/>
      <c r="D8" s="136"/>
      <c r="E8" s="136"/>
      <c r="F8" s="136"/>
      <c r="G8" s="131">
        <v>4</v>
      </c>
      <c r="H8" s="135"/>
      <c r="I8" s="135"/>
      <c r="J8" s="117" t="s">
        <v>34</v>
      </c>
      <c r="K8" s="135">
        <v>4</v>
      </c>
      <c r="L8" s="135"/>
      <c r="M8" s="135"/>
      <c r="N8" s="117" t="s">
        <v>34</v>
      </c>
      <c r="O8" s="135">
        <v>4</v>
      </c>
      <c r="P8" s="135"/>
      <c r="Q8" s="135"/>
      <c r="R8" s="117" t="s">
        <v>34</v>
      </c>
      <c r="S8" s="135">
        <v>3</v>
      </c>
      <c r="T8" s="135"/>
      <c r="U8" s="135"/>
      <c r="V8" s="117" t="s">
        <v>34</v>
      </c>
      <c r="W8" s="135">
        <v>3</v>
      </c>
      <c r="X8" s="135"/>
      <c r="Y8" s="135"/>
      <c r="Z8" s="117" t="s">
        <v>34</v>
      </c>
      <c r="AA8" s="135">
        <v>2</v>
      </c>
      <c r="AB8" s="135"/>
      <c r="AC8" s="135"/>
      <c r="AD8" s="117" t="s">
        <v>34</v>
      </c>
      <c r="AE8" s="129">
        <v>0</v>
      </c>
      <c r="AF8" s="130"/>
      <c r="AG8" s="117" t="s">
        <v>34</v>
      </c>
      <c r="AH8" s="135">
        <v>1</v>
      </c>
      <c r="AI8" s="135"/>
      <c r="AJ8" s="135"/>
      <c r="AK8" s="117" t="s">
        <v>34</v>
      </c>
      <c r="AL8" s="135">
        <v>1</v>
      </c>
      <c r="AM8" s="135"/>
      <c r="AN8" s="135"/>
      <c r="AO8" s="117" t="s">
        <v>34</v>
      </c>
      <c r="AP8" s="17">
        <f>SUM(AL8,AH8,AE8,AA8,W8,S8,O8,K8,G8)</f>
        <v>22</v>
      </c>
      <c r="AQ8" s="123"/>
      <c r="AR8" s="123"/>
      <c r="AS8" s="123"/>
      <c r="AT8" s="123"/>
      <c r="AU8" s="124"/>
      <c r="AV8" s="123"/>
      <c r="AW8" s="27"/>
    </row>
    <row r="9" spans="1:62" ht="65.25" customHeight="1" x14ac:dyDescent="0.15">
      <c r="A9" s="34"/>
      <c r="B9" s="136"/>
      <c r="C9" s="136"/>
      <c r="D9" s="136"/>
      <c r="E9" s="136"/>
      <c r="F9" s="136"/>
      <c r="G9" s="29" t="s">
        <v>3</v>
      </c>
      <c r="H9" s="4" t="s">
        <v>4</v>
      </c>
      <c r="I9" s="4" t="s">
        <v>0</v>
      </c>
      <c r="J9" s="118"/>
      <c r="K9" s="4" t="s">
        <v>3</v>
      </c>
      <c r="L9" s="4" t="s">
        <v>4</v>
      </c>
      <c r="M9" s="4" t="s">
        <v>0</v>
      </c>
      <c r="N9" s="118"/>
      <c r="O9" s="4" t="s">
        <v>3</v>
      </c>
      <c r="P9" s="4" t="s">
        <v>4</v>
      </c>
      <c r="Q9" s="4" t="s">
        <v>0</v>
      </c>
      <c r="R9" s="118"/>
      <c r="S9" s="4" t="s">
        <v>3</v>
      </c>
      <c r="T9" s="4" t="s">
        <v>4</v>
      </c>
      <c r="U9" s="4" t="s">
        <v>0</v>
      </c>
      <c r="V9" s="118"/>
      <c r="W9" s="4" t="s">
        <v>3</v>
      </c>
      <c r="X9" s="4" t="s">
        <v>4</v>
      </c>
      <c r="Y9" s="4" t="s">
        <v>0</v>
      </c>
      <c r="Z9" s="118"/>
      <c r="AA9" s="4" t="s">
        <v>3</v>
      </c>
      <c r="AB9" s="4" t="s">
        <v>4</v>
      </c>
      <c r="AC9" s="4" t="s">
        <v>0</v>
      </c>
      <c r="AD9" s="118"/>
      <c r="AE9" s="4" t="s">
        <v>4</v>
      </c>
      <c r="AF9" s="4" t="s">
        <v>0</v>
      </c>
      <c r="AG9" s="118"/>
      <c r="AH9" s="4" t="s">
        <v>8</v>
      </c>
      <c r="AI9" s="4" t="s">
        <v>4</v>
      </c>
      <c r="AJ9" s="4" t="s">
        <v>0</v>
      </c>
      <c r="AK9" s="118"/>
      <c r="AL9" s="4" t="s">
        <v>8</v>
      </c>
      <c r="AM9" s="4" t="s">
        <v>4</v>
      </c>
      <c r="AN9" s="21" t="s">
        <v>0</v>
      </c>
      <c r="AO9" s="118"/>
      <c r="AP9" s="139">
        <f>SUM(AN10,AJ10,AC10,Y10,U10,Q10,M10,I10)</f>
        <v>950</v>
      </c>
      <c r="AQ9" s="123"/>
      <c r="AR9" s="123"/>
      <c r="AS9" s="123"/>
      <c r="AT9" s="123"/>
      <c r="AU9" s="124"/>
      <c r="AV9" s="123"/>
      <c r="AW9" s="27"/>
      <c r="BA9" s="120" t="s">
        <v>46</v>
      </c>
      <c r="BB9" s="120"/>
      <c r="BC9" s="120"/>
      <c r="BD9" s="120"/>
      <c r="BE9" s="120"/>
      <c r="BF9" s="120"/>
      <c r="BG9" s="120"/>
      <c r="BH9" s="120"/>
      <c r="BI9" s="120"/>
      <c r="BJ9" s="121" t="s">
        <v>47</v>
      </c>
    </row>
    <row r="10" spans="1:62" ht="77.25" customHeight="1" x14ac:dyDescent="0.15">
      <c r="A10" s="34" t="s">
        <v>73</v>
      </c>
      <c r="B10" s="136"/>
      <c r="C10" s="136"/>
      <c r="D10" s="136"/>
      <c r="E10" s="136"/>
      <c r="F10" s="136"/>
      <c r="G10" s="30">
        <v>100</v>
      </c>
      <c r="H10" s="9">
        <v>50</v>
      </c>
      <c r="I10" s="9">
        <v>150</v>
      </c>
      <c r="J10" s="119"/>
      <c r="K10" s="9">
        <v>100</v>
      </c>
      <c r="L10" s="9">
        <v>50</v>
      </c>
      <c r="M10" s="9">
        <v>150</v>
      </c>
      <c r="N10" s="119"/>
      <c r="O10" s="9">
        <v>100</v>
      </c>
      <c r="P10" s="9">
        <v>50</v>
      </c>
      <c r="Q10" s="9">
        <v>150</v>
      </c>
      <c r="R10" s="119"/>
      <c r="S10" s="9">
        <v>100</v>
      </c>
      <c r="T10" s="9">
        <v>50</v>
      </c>
      <c r="U10" s="9">
        <v>150</v>
      </c>
      <c r="V10" s="119"/>
      <c r="W10" s="9">
        <v>100</v>
      </c>
      <c r="X10" s="9">
        <v>50</v>
      </c>
      <c r="Y10" s="9">
        <v>150</v>
      </c>
      <c r="Z10" s="119"/>
      <c r="AA10" s="9">
        <v>50</v>
      </c>
      <c r="AB10" s="9">
        <v>50</v>
      </c>
      <c r="AC10" s="9">
        <v>100</v>
      </c>
      <c r="AD10" s="119"/>
      <c r="AE10" s="9">
        <v>50</v>
      </c>
      <c r="AF10" s="9">
        <v>50</v>
      </c>
      <c r="AG10" s="119"/>
      <c r="AH10" s="9">
        <v>25</v>
      </c>
      <c r="AI10" s="9">
        <v>25</v>
      </c>
      <c r="AJ10" s="9">
        <v>50</v>
      </c>
      <c r="AK10" s="119"/>
      <c r="AL10" s="9">
        <v>25</v>
      </c>
      <c r="AM10" s="9">
        <v>25</v>
      </c>
      <c r="AN10" s="9">
        <v>50</v>
      </c>
      <c r="AO10" s="119"/>
      <c r="AP10" s="140"/>
      <c r="AQ10" s="123"/>
      <c r="AR10" s="123"/>
      <c r="AS10" s="123"/>
      <c r="AT10" s="123"/>
      <c r="AU10" s="124"/>
      <c r="AV10" s="123"/>
      <c r="AW10" s="27"/>
      <c r="BA10" s="26">
        <f t="shared" ref="BA10:BG10" ca="1" si="0">OFFSET($G$8,0,(COLUMN(G8)-7)*4)</f>
        <v>4</v>
      </c>
      <c r="BB10" s="26">
        <f t="shared" ca="1" si="0"/>
        <v>4</v>
      </c>
      <c r="BC10" s="26">
        <f t="shared" ca="1" si="0"/>
        <v>4</v>
      </c>
      <c r="BD10" s="26">
        <f t="shared" ca="1" si="0"/>
        <v>3</v>
      </c>
      <c r="BE10" s="26">
        <f t="shared" ca="1" si="0"/>
        <v>3</v>
      </c>
      <c r="BF10" s="26">
        <f t="shared" ca="1" si="0"/>
        <v>2</v>
      </c>
      <c r="BG10" s="26">
        <f t="shared" ca="1" si="0"/>
        <v>0</v>
      </c>
      <c r="BH10" s="26">
        <f ca="1">OFFSET($G$8,0,(COLUMN(N8)-7)*4-1)</f>
        <v>1</v>
      </c>
      <c r="BI10" s="26">
        <f ca="1">OFFSET($G$8,0,(COLUMN(O8)-7)*4-1)</f>
        <v>1</v>
      </c>
      <c r="BJ10" s="122"/>
    </row>
    <row r="11" spans="1:62" ht="221.25" customHeight="1" x14ac:dyDescent="0.15">
      <c r="A11" s="256">
        <v>1</v>
      </c>
      <c r="B11" s="61">
        <v>250090705001</v>
      </c>
      <c r="C11" s="61" t="s">
        <v>161</v>
      </c>
      <c r="D11" s="61">
        <v>255301</v>
      </c>
      <c r="E11" s="62" t="s">
        <v>162</v>
      </c>
      <c r="F11" s="62" t="s">
        <v>163</v>
      </c>
      <c r="G11" s="65">
        <v>71</v>
      </c>
      <c r="H11" s="65">
        <v>48</v>
      </c>
      <c r="I11" s="56">
        <f>SUM(G11:H11)</f>
        <v>119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B</v>
      </c>
      <c r="K11" s="65">
        <v>80</v>
      </c>
      <c r="L11" s="65">
        <v>24</v>
      </c>
      <c r="M11" s="33">
        <f>SUM(K11:L11)</f>
        <v>104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C</v>
      </c>
      <c r="O11" s="65">
        <v>91</v>
      </c>
      <c r="P11" s="65">
        <v>49</v>
      </c>
      <c r="Q11" s="56">
        <f>SUM(O11:P11)</f>
        <v>140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O</v>
      </c>
      <c r="S11" s="65">
        <v>76</v>
      </c>
      <c r="T11" s="65">
        <v>49</v>
      </c>
      <c r="U11" s="56">
        <f>SUM(S11:T11)</f>
        <v>125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A</v>
      </c>
      <c r="W11" s="65">
        <v>88</v>
      </c>
      <c r="X11" s="65">
        <v>49</v>
      </c>
      <c r="Y11" s="56">
        <f>SUM(W11:X11)</f>
        <v>137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O</v>
      </c>
      <c r="AA11" s="66">
        <v>44</v>
      </c>
      <c r="AB11" s="66">
        <v>48</v>
      </c>
      <c r="AC11" s="56">
        <f>SUM(AA11:AB11)</f>
        <v>92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O</v>
      </c>
      <c r="AE11" s="66">
        <v>38</v>
      </c>
      <c r="AF11" s="56">
        <f>SUM(AE11)</f>
        <v>38</v>
      </c>
      <c r="AG11" s="16" t="str">
        <f>IF(ISBLANK(AF11),"",IF(ISTEXT(AF11),AF11,IF(AF11&gt;=0.9*AF$10,"O",IF(AF11&gt;=0.85*AF$10,"A+",IF(AF11&gt;=0.8*AF$10,"A",IF(AF11&gt;=0.7*AF$10,"B",IF(AF11&gt;=0.6*AF$10,"C",IF(AF11&gt;=0.5*AF$10,"P",IF(AF11&lt;0.5*AF$10,"F",AF11)))))))))</f>
        <v>B</v>
      </c>
      <c r="AH11" s="66">
        <v>23</v>
      </c>
      <c r="AI11" s="66">
        <v>24</v>
      </c>
      <c r="AJ11" s="56">
        <f>SUM(AH11:AI11)</f>
        <v>47</v>
      </c>
      <c r="AK11" s="22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66">
        <v>22</v>
      </c>
      <c r="AM11" s="66">
        <v>23</v>
      </c>
      <c r="AN11" s="56">
        <f>SUM(AL11:AM11)</f>
        <v>45</v>
      </c>
      <c r="AO11" s="22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16">
        <f>SUM(AN11,AJ11,AC11,Y11,U11,Q11,M11,I11)</f>
        <v>809</v>
      </c>
      <c r="AQ11" s="28">
        <f ca="1">BJ11/$AP$8</f>
        <v>8.454545454545455</v>
      </c>
      <c r="AR11" s="28">
        <f ca="1">AQ11</f>
        <v>8.454545454545455</v>
      </c>
      <c r="AS11" s="16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16">
        <f ca="1">AS11</f>
        <v>22</v>
      </c>
      <c r="BA11" s="25">
        <f t="shared" ref="BA11:BF11" ca="1" si="1">INDEX($AY$13:$AY$23,MATCH(INDIRECT(ADDRESS(ROW($J11),COLUMN($J11)+(COLUMN(J11)-10)*4,1)),$AX$13:$AX$23,0))</f>
        <v>7</v>
      </c>
      <c r="BB11" s="25">
        <f t="shared" ca="1" si="1"/>
        <v>6</v>
      </c>
      <c r="BC11" s="25">
        <f t="shared" ca="1" si="1"/>
        <v>10</v>
      </c>
      <c r="BD11" s="25">
        <f t="shared" ca="1" si="1"/>
        <v>8</v>
      </c>
      <c r="BE11" s="25">
        <f t="shared" ca="1" si="1"/>
        <v>10</v>
      </c>
      <c r="BF11" s="25">
        <f t="shared" ca="1" si="1"/>
        <v>10</v>
      </c>
      <c r="BG11" s="25">
        <f t="shared" ref="BG11:BI12" ca="1" si="2">INDEX($AY$13:$AY$23,MATCH(INDIRECT(ADDRESS(ROW($J11),COLUMN($J11)+(COLUMN(P11)-10)*4-1,1)),$AX$13:$AX$23,0))</f>
        <v>7</v>
      </c>
      <c r="BH11" s="25">
        <f t="shared" ca="1" si="2"/>
        <v>10</v>
      </c>
      <c r="BI11" s="25">
        <f t="shared" ca="1" si="2"/>
        <v>10</v>
      </c>
      <c r="BJ11" s="25">
        <f ca="1">SUMPRODUCT(BA11:BI11,$BA$10:$BI$10)</f>
        <v>186</v>
      </c>
    </row>
    <row r="12" spans="1:62" ht="168.75" customHeight="1" x14ac:dyDescent="0.15">
      <c r="A12" s="257">
        <v>2</v>
      </c>
      <c r="B12" s="63">
        <v>250090705002</v>
      </c>
      <c r="C12" s="63" t="s">
        <v>164</v>
      </c>
      <c r="D12" s="63">
        <v>255302</v>
      </c>
      <c r="E12" s="64" t="s">
        <v>165</v>
      </c>
      <c r="F12" s="64" t="s">
        <v>166</v>
      </c>
      <c r="G12" s="65">
        <v>46</v>
      </c>
      <c r="H12" s="65">
        <v>34</v>
      </c>
      <c r="I12" s="56">
        <f t="shared" ref="I12:I15" si="3">SUM(G12:H12)</f>
        <v>80</v>
      </c>
      <c r="J12" s="22" t="str">
        <f t="shared" ref="J12:J15" si="4"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P</v>
      </c>
      <c r="K12" s="65">
        <v>65</v>
      </c>
      <c r="L12" s="65">
        <v>23</v>
      </c>
      <c r="M12" s="33">
        <f t="shared" ref="M12:M15" si="5">SUM(K12:L12)</f>
        <v>88</v>
      </c>
      <c r="N12" s="22" t="str">
        <f t="shared" ref="N12:N15" si="6"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P</v>
      </c>
      <c r="O12" s="65">
        <v>58</v>
      </c>
      <c r="P12" s="65">
        <v>38</v>
      </c>
      <c r="Q12" s="56">
        <f t="shared" ref="Q12:Q15" si="7">SUM(O12:P12)</f>
        <v>96</v>
      </c>
      <c r="R12" s="22" t="str">
        <f t="shared" ref="R12:R15" si="8"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C</v>
      </c>
      <c r="S12" s="65">
        <v>59</v>
      </c>
      <c r="T12" s="65">
        <v>43</v>
      </c>
      <c r="U12" s="56">
        <f t="shared" ref="U12:U15" si="9">SUM(S12:T12)</f>
        <v>102</v>
      </c>
      <c r="V12" s="22" t="str">
        <f t="shared" ref="V12:V15" si="10"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C</v>
      </c>
      <c r="W12" s="65">
        <v>76</v>
      </c>
      <c r="X12" s="65">
        <v>41</v>
      </c>
      <c r="Y12" s="56">
        <f t="shared" ref="Y12:Y15" si="11">SUM(W12:X12)</f>
        <v>117</v>
      </c>
      <c r="Z12" s="22" t="str">
        <f t="shared" ref="Z12:Z15" si="12"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B</v>
      </c>
      <c r="AA12" s="66">
        <v>39</v>
      </c>
      <c r="AB12" s="66">
        <v>41</v>
      </c>
      <c r="AC12" s="56">
        <f>SUM(AA12:AB12)</f>
        <v>80</v>
      </c>
      <c r="AD12" s="22" t="str">
        <f t="shared" ref="AD12:AD15" si="13"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66">
        <v>36</v>
      </c>
      <c r="AF12" s="56">
        <f>SUM(AE12)</f>
        <v>36</v>
      </c>
      <c r="AG12" s="16" t="str">
        <f t="shared" ref="AG12:AG15" si="14">IF(ISBLANK(AF12),"",IF(ISTEXT(AF12),AF12,IF(AF12&gt;=0.9*AF$10,"O",IF(AF12&gt;=0.85*AF$10,"A+",IF(AF12&gt;=0.8*AF$10,"A",IF(AF12&gt;=0.7*AF$10,"B",IF(AF12&gt;=0.6*AF$10,"C",IF(AF12&gt;=0.5*AF$10,"P",IF(AF12&lt;0.5*AF$10,"F",AF12)))))))))</f>
        <v>B</v>
      </c>
      <c r="AH12" s="66">
        <v>22</v>
      </c>
      <c r="AI12" s="66">
        <v>23</v>
      </c>
      <c r="AJ12" s="56">
        <f t="shared" ref="AJ12:AJ15" si="15">SUM(AH12:AI12)</f>
        <v>45</v>
      </c>
      <c r="AK12" s="22" t="str">
        <f t="shared" ref="AK12:AK15" si="16">IF(ISTEXT(AH12),IF(AH12="A","Ab",IF(AH12="D","Dt",IF(AH12="UFM","UFM",IF(AH12="NA","")))),IF(AND(ISBLANK(AH12),ISBLANK(AJ12)),"",IF(AH12&lt;0.4*AH$10,"F",IF(ISBLANK(AJ12),"",IF(ISTEXT(AJ12),AJ12,IF(AJ12&gt;=0.9*AJ$10,"O",IF(AJ12&gt;=0.85*AJ$10,"A+",IF(AJ12&gt;=0.8*AJ$10,"A",IF(AJ12&gt;=0.7*AJ$10,"B",IF(AJ12&gt;=0.6*AJ$10,"C",IF(AJ12&gt;=0.5*AJ$10,"P",IF(AJ12&lt;0.5*AJ$10,"F",AJ12))))))))))))</f>
        <v>O</v>
      </c>
      <c r="AL12" s="66">
        <v>23</v>
      </c>
      <c r="AM12" s="66">
        <v>24</v>
      </c>
      <c r="AN12" s="56">
        <f t="shared" ref="AN12:AN15" si="17">SUM(AL12:AM12)</f>
        <v>47</v>
      </c>
      <c r="AO12" s="22" t="str">
        <f t="shared" ref="AO12:AO15" si="18">IF(ISTEXT(AL12),IF(AL12="A","Ab",IF(AL12="D","Dt",IF(AL12="UFM","UFM",IF(AL12="NA","")))),IF(AND(ISBLANK(AL12),ISBLANK(AN12)),"",IF(AL12&lt;0.4*AL$10,"F",IF(ISBLANK(AN12),"",IF(ISTEXT(AN12),AN12,IF(AN12&gt;=0.9*AN$10,"O",IF(AN12&gt;=0.85*AN$10,"A+",IF(AN12&gt;=0.8*AN$10,"A",IF(AN12&gt;=0.7*AN$10,"B",IF(AN12&gt;=0.6*AN$10,"C",IF(AN12&gt;=0.5*AN$10,"P",IF(AN12&lt;0.5*AN$10,"F",AN12))))))))))))</f>
        <v>O</v>
      </c>
      <c r="AP12" s="16">
        <f t="shared" ref="AP12:AP15" si="19">SUM(AN12,AJ12,AC12,Y12,U12,Q12,M12,I12)</f>
        <v>655</v>
      </c>
      <c r="AQ12" s="28">
        <f t="shared" ref="AQ12:AQ15" ca="1" si="20">BJ12/$AP$8</f>
        <v>6.3181818181818183</v>
      </c>
      <c r="AR12" s="28">
        <f t="shared" ref="AR12:AR15" ca="1" si="21">AQ12</f>
        <v>6.3181818181818183</v>
      </c>
      <c r="AS12" s="16">
        <f t="shared" ref="AS12:AS15" ca="1" si="22">SUMIF(BA12:BI12,"&gt;0",$BA$10:$BI$10)</f>
        <v>22</v>
      </c>
      <c r="AT12" s="19" t="str">
        <f t="shared" ref="AT12:AT15" si="23">IF(OR(J12=$AX$19,N12=$AX$19,R12=$AX$19, V12=$AX$19, Z12=$AX$19, AD12=$AX$19, AG12=$AX$19, AK12=$AX$19, AO12=$AX$19), "CARRY OVER", "PASS")</f>
        <v>PASS</v>
      </c>
      <c r="AU12" s="18" t="str">
        <f t="shared" ref="AU12:AU15" si="24">IF(AT12="CARRY OVER",_xlfn.TEXTJOIN(" ", TRUE, "BACK IN:",  IF(J12=$AX$19, $G$5, ""), IF(N12=$AX$19, $K$5, ""),IF(R12=$AX$19, $O$5, ""),IF(V12=$AX$19, $S$5, ""),IF(Z12=$AX$19, $W$5, ""), IF(AD12=$AX$19, $AA$5, ""),IF(AG12=$AX$19, $AE$5, ""),IF(AK12=$AX$19, $AH$5, ""),IF(AO12=$AX$19, $AL$5, "")), " ")</f>
        <v xml:space="preserve"> </v>
      </c>
      <c r="AV12" s="16">
        <f ca="1">AS12</f>
        <v>22</v>
      </c>
      <c r="AX12" s="23" t="s">
        <v>34</v>
      </c>
      <c r="AY12" s="24" t="s">
        <v>35</v>
      </c>
      <c r="BA12" s="25">
        <f t="shared" ref="BA12:BA15" ca="1" si="25">INDEX($AY$13:$AY$23,MATCH(INDIRECT(ADDRESS(ROW($J12),COLUMN($J12)+(COLUMN(J12)-10)*4,1)),$AX$13:$AX$23,0))</f>
        <v>5</v>
      </c>
      <c r="BB12" s="25">
        <f t="shared" ref="BB12:BB15" ca="1" si="26">INDEX($AY$13:$AY$23,MATCH(INDIRECT(ADDRESS(ROW($J12),COLUMN($J12)+(COLUMN(K12)-10)*4,1)),$AX$13:$AX$23,0))</f>
        <v>5</v>
      </c>
      <c r="BC12" s="25">
        <f t="shared" ref="BC12:BC15" ca="1" si="27">INDEX($AY$13:$AY$23,MATCH(INDIRECT(ADDRESS(ROW($J12),COLUMN($J12)+(COLUMN(L12)-10)*4,1)),$AX$13:$AX$23,0))</f>
        <v>6</v>
      </c>
      <c r="BD12" s="25">
        <f t="shared" ref="BD12:BD15" ca="1" si="28">INDEX($AY$13:$AY$23,MATCH(INDIRECT(ADDRESS(ROW($J12),COLUMN($J12)+(COLUMN(M12)-10)*4,1)),$AX$13:$AX$23,0))</f>
        <v>6</v>
      </c>
      <c r="BE12" s="25">
        <f t="shared" ref="BE12:BE15" ca="1" si="29">INDEX($AY$13:$AY$23,MATCH(INDIRECT(ADDRESS(ROW($J12),COLUMN($J12)+(COLUMN(N12)-10)*4,1)),$AX$13:$AX$23,0))</f>
        <v>7</v>
      </c>
      <c r="BF12" s="25">
        <f t="shared" ref="BF12:BF15" ca="1" si="30">INDEX($AY$13:$AY$23,MATCH(INDIRECT(ADDRESS(ROW($J12),COLUMN($J12)+(COLUMN(O12)-10)*4,1)),$AX$13:$AX$23,0))</f>
        <v>8</v>
      </c>
      <c r="BG12" s="25">
        <f t="shared" ref="BG12:BG15" ca="1" si="31">INDEX($AY$13:$AY$23,MATCH(INDIRECT(ADDRESS(ROW($J12),COLUMN($J12)+(COLUMN(P12)-10)*4-1,1)),$AX$13:$AX$23,0))</f>
        <v>7</v>
      </c>
      <c r="BH12" s="25">
        <f t="shared" ref="BH12:BH15" ca="1" si="32">INDEX($AY$13:$AY$23,MATCH(INDIRECT(ADDRESS(ROW($J12),COLUMN($J12)+(COLUMN(Q12)-10)*4-1,1)),$AX$13:$AX$23,0))</f>
        <v>10</v>
      </c>
      <c r="BI12" s="25">
        <f t="shared" ref="BI12:BI15" ca="1" si="33">INDEX($AY$13:$AY$23,MATCH(INDIRECT(ADDRESS(ROW($J12),COLUMN($J12)+(COLUMN(R12)-10)*4-1,1)),$AX$13:$AX$23,0))</f>
        <v>10</v>
      </c>
      <c r="BJ12" s="25">
        <f t="shared" ref="BJ12:BJ15" ca="1" si="34">SUMPRODUCT(BA12:BI12,$BA$10:$BI$10)</f>
        <v>139</v>
      </c>
    </row>
    <row r="13" spans="1:62" ht="89.5" customHeight="1" x14ac:dyDescent="0.15">
      <c r="A13" s="257">
        <v>3</v>
      </c>
      <c r="B13" s="63">
        <v>250090705003</v>
      </c>
      <c r="C13" s="63" t="s">
        <v>167</v>
      </c>
      <c r="D13" s="63">
        <v>255303</v>
      </c>
      <c r="E13" s="64" t="s">
        <v>168</v>
      </c>
      <c r="F13" s="64" t="s">
        <v>169</v>
      </c>
      <c r="G13" s="65">
        <v>65</v>
      </c>
      <c r="H13" s="65">
        <v>42</v>
      </c>
      <c r="I13" s="56">
        <f t="shared" si="3"/>
        <v>107</v>
      </c>
      <c r="J13" s="22" t="str">
        <f t="shared" si="4"/>
        <v>B</v>
      </c>
      <c r="K13" s="65">
        <v>83</v>
      </c>
      <c r="L13" s="65">
        <v>24</v>
      </c>
      <c r="M13" s="33">
        <f t="shared" si="5"/>
        <v>107</v>
      </c>
      <c r="N13" s="22" t="str">
        <f t="shared" si="6"/>
        <v>B</v>
      </c>
      <c r="O13" s="65">
        <v>81</v>
      </c>
      <c r="P13" s="65">
        <v>49</v>
      </c>
      <c r="Q13" s="56">
        <f t="shared" si="7"/>
        <v>130</v>
      </c>
      <c r="R13" s="22" t="str">
        <f t="shared" si="8"/>
        <v>A+</v>
      </c>
      <c r="S13" s="65">
        <v>63</v>
      </c>
      <c r="T13" s="65">
        <v>41</v>
      </c>
      <c r="U13" s="56">
        <f t="shared" si="9"/>
        <v>104</v>
      </c>
      <c r="V13" s="22" t="str">
        <f t="shared" si="10"/>
        <v>C</v>
      </c>
      <c r="W13" s="65">
        <v>69</v>
      </c>
      <c r="X13" s="65">
        <v>40</v>
      </c>
      <c r="Y13" s="56">
        <f t="shared" si="11"/>
        <v>109</v>
      </c>
      <c r="Z13" s="22" t="str">
        <f t="shared" si="12"/>
        <v>B</v>
      </c>
      <c r="AA13" s="66">
        <v>40</v>
      </c>
      <c r="AB13" s="66">
        <v>46</v>
      </c>
      <c r="AC13" s="56">
        <f t="shared" ref="AC13:AC15" si="35">SUM(AA13:AB13)</f>
        <v>86</v>
      </c>
      <c r="AD13" s="22" t="str">
        <f t="shared" si="13"/>
        <v>A+</v>
      </c>
      <c r="AE13" s="66">
        <v>37</v>
      </c>
      <c r="AF13" s="56">
        <f t="shared" ref="AF13:AF15" si="36">SUM(AE13)</f>
        <v>37</v>
      </c>
      <c r="AG13" s="16" t="str">
        <f t="shared" si="14"/>
        <v>B</v>
      </c>
      <c r="AH13" s="66">
        <v>22</v>
      </c>
      <c r="AI13" s="66">
        <v>24</v>
      </c>
      <c r="AJ13" s="56">
        <f t="shared" si="15"/>
        <v>46</v>
      </c>
      <c r="AK13" s="22" t="str">
        <f t="shared" si="16"/>
        <v>O</v>
      </c>
      <c r="AL13" s="66">
        <v>23</v>
      </c>
      <c r="AM13" s="66">
        <v>24</v>
      </c>
      <c r="AN13" s="56">
        <f t="shared" si="17"/>
        <v>47</v>
      </c>
      <c r="AO13" s="22" t="str">
        <f t="shared" si="18"/>
        <v>O</v>
      </c>
      <c r="AP13" s="16">
        <f t="shared" si="19"/>
        <v>736</v>
      </c>
      <c r="AQ13" s="28">
        <f t="shared" ca="1" si="20"/>
        <v>7.6818181818181817</v>
      </c>
      <c r="AR13" s="28">
        <f t="shared" ca="1" si="21"/>
        <v>7.6818181818181817</v>
      </c>
      <c r="AS13" s="16">
        <f t="shared" ca="1" si="22"/>
        <v>22</v>
      </c>
      <c r="AT13" s="19" t="str">
        <f t="shared" si="23"/>
        <v>PASS</v>
      </c>
      <c r="AU13" s="18" t="str">
        <f t="shared" si="24"/>
        <v xml:space="preserve"> </v>
      </c>
      <c r="AV13" s="16">
        <f t="shared" ref="AV13:AV15" ca="1" si="37">AS13</f>
        <v>22</v>
      </c>
      <c r="AX13" s="25" t="s">
        <v>36</v>
      </c>
      <c r="AY13" s="25">
        <v>10</v>
      </c>
      <c r="BA13" s="25">
        <f t="shared" ca="1" si="25"/>
        <v>7</v>
      </c>
      <c r="BB13" s="25">
        <f t="shared" ca="1" si="26"/>
        <v>7</v>
      </c>
      <c r="BC13" s="25">
        <f t="shared" ca="1" si="27"/>
        <v>9</v>
      </c>
      <c r="BD13" s="25">
        <f t="shared" ca="1" si="28"/>
        <v>6</v>
      </c>
      <c r="BE13" s="25">
        <f t="shared" ca="1" si="29"/>
        <v>7</v>
      </c>
      <c r="BF13" s="25">
        <f t="shared" ca="1" si="30"/>
        <v>9</v>
      </c>
      <c r="BG13" s="25">
        <f t="shared" ca="1" si="31"/>
        <v>7</v>
      </c>
      <c r="BH13" s="25">
        <f t="shared" ca="1" si="32"/>
        <v>10</v>
      </c>
      <c r="BI13" s="25">
        <f t="shared" ca="1" si="33"/>
        <v>10</v>
      </c>
      <c r="BJ13" s="25">
        <f t="shared" ca="1" si="34"/>
        <v>169</v>
      </c>
    </row>
    <row r="14" spans="1:62" ht="72" customHeight="1" x14ac:dyDescent="0.15">
      <c r="A14" s="257">
        <v>4</v>
      </c>
      <c r="B14" s="63">
        <v>250090705004</v>
      </c>
      <c r="C14" s="63" t="s">
        <v>170</v>
      </c>
      <c r="D14" s="63">
        <v>255304</v>
      </c>
      <c r="E14" s="64" t="s">
        <v>171</v>
      </c>
      <c r="F14" s="64" t="s">
        <v>172</v>
      </c>
      <c r="G14" s="65">
        <v>65</v>
      </c>
      <c r="H14" s="65">
        <v>42</v>
      </c>
      <c r="I14" s="56">
        <f t="shared" si="3"/>
        <v>107</v>
      </c>
      <c r="J14" s="22" t="str">
        <f t="shared" si="4"/>
        <v>B</v>
      </c>
      <c r="K14" s="65">
        <v>78</v>
      </c>
      <c r="L14" s="65">
        <v>23</v>
      </c>
      <c r="M14" s="33">
        <f t="shared" si="5"/>
        <v>101</v>
      </c>
      <c r="N14" s="22" t="str">
        <f t="shared" si="6"/>
        <v>C</v>
      </c>
      <c r="O14" s="65">
        <v>66</v>
      </c>
      <c r="P14" s="65">
        <v>45</v>
      </c>
      <c r="Q14" s="56">
        <f t="shared" si="7"/>
        <v>111</v>
      </c>
      <c r="R14" s="22" t="str">
        <f t="shared" si="8"/>
        <v>B</v>
      </c>
      <c r="S14" s="65">
        <v>69</v>
      </c>
      <c r="T14" s="65">
        <v>39</v>
      </c>
      <c r="U14" s="56">
        <f t="shared" si="9"/>
        <v>108</v>
      </c>
      <c r="V14" s="22" t="str">
        <f t="shared" si="10"/>
        <v>B</v>
      </c>
      <c r="W14" s="65">
        <v>69</v>
      </c>
      <c r="X14" s="65">
        <v>38</v>
      </c>
      <c r="Y14" s="56">
        <f t="shared" si="11"/>
        <v>107</v>
      </c>
      <c r="Z14" s="22" t="str">
        <f t="shared" si="12"/>
        <v>B</v>
      </c>
      <c r="AA14" s="66">
        <v>42</v>
      </c>
      <c r="AB14" s="66">
        <v>48</v>
      </c>
      <c r="AC14" s="56">
        <f t="shared" si="35"/>
        <v>90</v>
      </c>
      <c r="AD14" s="22" t="str">
        <f t="shared" si="13"/>
        <v>O</v>
      </c>
      <c r="AE14" s="66">
        <v>40</v>
      </c>
      <c r="AF14" s="56">
        <f t="shared" si="36"/>
        <v>40</v>
      </c>
      <c r="AG14" s="16" t="str">
        <f t="shared" si="14"/>
        <v>A</v>
      </c>
      <c r="AH14" s="66">
        <v>23</v>
      </c>
      <c r="AI14" s="66">
        <v>23</v>
      </c>
      <c r="AJ14" s="56">
        <f t="shared" si="15"/>
        <v>46</v>
      </c>
      <c r="AK14" s="22" t="str">
        <f t="shared" si="16"/>
        <v>O</v>
      </c>
      <c r="AL14" s="66">
        <v>22</v>
      </c>
      <c r="AM14" s="66">
        <v>24</v>
      </c>
      <c r="AN14" s="56">
        <f t="shared" si="17"/>
        <v>46</v>
      </c>
      <c r="AO14" s="22" t="str">
        <f t="shared" si="18"/>
        <v>O</v>
      </c>
      <c r="AP14" s="16">
        <f t="shared" si="19"/>
        <v>716</v>
      </c>
      <c r="AQ14" s="28">
        <f t="shared" ca="1" si="20"/>
        <v>7.3636363636363633</v>
      </c>
      <c r="AR14" s="28">
        <f t="shared" ca="1" si="21"/>
        <v>7.3636363636363633</v>
      </c>
      <c r="AS14" s="16">
        <f t="shared" ca="1" si="22"/>
        <v>22</v>
      </c>
      <c r="AT14" s="19" t="str">
        <f t="shared" si="23"/>
        <v>PASS</v>
      </c>
      <c r="AU14" s="18" t="str">
        <f t="shared" si="24"/>
        <v xml:space="preserve"> </v>
      </c>
      <c r="AV14" s="16">
        <f t="shared" ca="1" si="37"/>
        <v>22</v>
      </c>
      <c r="AX14" s="25" t="s">
        <v>37</v>
      </c>
      <c r="AY14" s="25">
        <v>9</v>
      </c>
      <c r="BA14" s="25">
        <f t="shared" ca="1" si="25"/>
        <v>7</v>
      </c>
      <c r="BB14" s="25">
        <f t="shared" ca="1" si="26"/>
        <v>6</v>
      </c>
      <c r="BC14" s="25">
        <f t="shared" ca="1" si="27"/>
        <v>7</v>
      </c>
      <c r="BD14" s="25">
        <f t="shared" ca="1" si="28"/>
        <v>7</v>
      </c>
      <c r="BE14" s="25">
        <f t="shared" ca="1" si="29"/>
        <v>7</v>
      </c>
      <c r="BF14" s="25">
        <f t="shared" ca="1" si="30"/>
        <v>10</v>
      </c>
      <c r="BG14" s="25">
        <f t="shared" ca="1" si="31"/>
        <v>8</v>
      </c>
      <c r="BH14" s="25">
        <f t="shared" ca="1" si="32"/>
        <v>10</v>
      </c>
      <c r="BI14" s="25">
        <f t="shared" ca="1" si="33"/>
        <v>10</v>
      </c>
      <c r="BJ14" s="25">
        <f t="shared" ca="1" si="34"/>
        <v>162</v>
      </c>
    </row>
    <row r="15" spans="1:62" ht="82.5" customHeight="1" x14ac:dyDescent="0.15">
      <c r="A15" s="257">
        <v>5</v>
      </c>
      <c r="B15" s="63">
        <v>250090705005</v>
      </c>
      <c r="C15" s="63" t="s">
        <v>173</v>
      </c>
      <c r="D15" s="63">
        <v>255305</v>
      </c>
      <c r="E15" s="64" t="s">
        <v>174</v>
      </c>
      <c r="F15" s="64" t="s">
        <v>175</v>
      </c>
      <c r="G15" s="65" t="s">
        <v>202</v>
      </c>
      <c r="H15" s="65">
        <v>41</v>
      </c>
      <c r="I15" s="56">
        <f t="shared" si="3"/>
        <v>41</v>
      </c>
      <c r="J15" s="22" t="str">
        <f t="shared" si="4"/>
        <v>Dt</v>
      </c>
      <c r="K15" s="65" t="s">
        <v>202</v>
      </c>
      <c r="L15" s="65" t="s">
        <v>202</v>
      </c>
      <c r="M15" s="33">
        <f t="shared" si="5"/>
        <v>0</v>
      </c>
      <c r="N15" s="22" t="str">
        <f t="shared" si="6"/>
        <v>Dt</v>
      </c>
      <c r="O15" s="65" t="s">
        <v>202</v>
      </c>
      <c r="P15" s="65" t="s">
        <v>202</v>
      </c>
      <c r="Q15" s="56">
        <f t="shared" si="7"/>
        <v>0</v>
      </c>
      <c r="R15" s="22" t="str">
        <f t="shared" si="8"/>
        <v>Dt</v>
      </c>
      <c r="S15" s="65" t="s">
        <v>202</v>
      </c>
      <c r="T15" s="65" t="s">
        <v>202</v>
      </c>
      <c r="U15" s="56">
        <f t="shared" si="9"/>
        <v>0</v>
      </c>
      <c r="V15" s="22" t="str">
        <f t="shared" si="10"/>
        <v>Dt</v>
      </c>
      <c r="W15" s="65" t="s">
        <v>202</v>
      </c>
      <c r="X15" s="65" t="s">
        <v>202</v>
      </c>
      <c r="Y15" s="56">
        <f t="shared" si="11"/>
        <v>0</v>
      </c>
      <c r="Z15" s="22" t="str">
        <f t="shared" si="12"/>
        <v>Dt</v>
      </c>
      <c r="AA15" s="66" t="s">
        <v>202</v>
      </c>
      <c r="AB15" s="66">
        <v>32</v>
      </c>
      <c r="AC15" s="56">
        <f t="shared" si="35"/>
        <v>32</v>
      </c>
      <c r="AD15" s="22" t="str">
        <f t="shared" si="13"/>
        <v>Dt</v>
      </c>
      <c r="AE15" s="66">
        <v>26</v>
      </c>
      <c r="AF15" s="56">
        <f t="shared" si="36"/>
        <v>26</v>
      </c>
      <c r="AG15" s="16" t="str">
        <f t="shared" si="14"/>
        <v>P</v>
      </c>
      <c r="AH15" s="66" t="s">
        <v>202</v>
      </c>
      <c r="AI15" s="66">
        <v>24</v>
      </c>
      <c r="AJ15" s="56">
        <f t="shared" si="15"/>
        <v>24</v>
      </c>
      <c r="AK15" s="22" t="str">
        <f t="shared" si="16"/>
        <v>Dt</v>
      </c>
      <c r="AL15" s="66" t="s">
        <v>202</v>
      </c>
      <c r="AM15" s="66" t="s">
        <v>202</v>
      </c>
      <c r="AN15" s="56">
        <f t="shared" si="17"/>
        <v>0</v>
      </c>
      <c r="AO15" s="22" t="str">
        <f t="shared" si="18"/>
        <v>Dt</v>
      </c>
      <c r="AP15" s="16">
        <f t="shared" si="19"/>
        <v>97</v>
      </c>
      <c r="AQ15" s="28">
        <f t="shared" ca="1" si="20"/>
        <v>0</v>
      </c>
      <c r="AR15" s="28">
        <f t="shared" ca="1" si="21"/>
        <v>0</v>
      </c>
      <c r="AS15" s="16">
        <f t="shared" ca="1" si="22"/>
        <v>0</v>
      </c>
      <c r="AT15" s="19" t="str">
        <f>IF(OR(J15=$AX$22,N15=$AX$22,R15=$AX$22, V15=$AX$22, Z15=$AX$22, AD15=$AX$22, AG15=$AX$22, AK15=$AX$22, AO15=$AX$22), "CARRY OVER", "PASS")</f>
        <v>CARRY OVER</v>
      </c>
      <c r="AU15" s="18" t="str">
        <f>IF(AT15="CARRY OVER",_xlfn.TEXTJOIN(" ", TRUE, "BACK IN:",  IF(J15=$AX$22, $G$5, ""), IF(N15=$AX$22, $K$5, ""),IF(R15=$AX$22, $O$5, ""),IF(V15=$AX$22, $S$5, ""),IF(Z15=$AX$22, $W$5, ""), IF(AD15=$AX$22, $AA$5, ""),IF(AG15=$AX$22, $AE$5, ""),IF(AK15=$AX$22, $AH$5, ""),IF(AO15=$AX$22, $AL$5, "")), " ")</f>
        <v>BACK IN: AHT 301 CST 301 CST 302 CST 304 CST 307 AHT 302 CSP 301 CSP 302</v>
      </c>
      <c r="AV15" s="16">
        <f t="shared" ca="1" si="37"/>
        <v>0</v>
      </c>
      <c r="AX15" s="25" t="s">
        <v>38</v>
      </c>
      <c r="AY15" s="25">
        <v>8</v>
      </c>
      <c r="BA15" s="25">
        <f t="shared" ca="1" si="25"/>
        <v>0</v>
      </c>
      <c r="BB15" s="25">
        <f t="shared" ca="1" si="26"/>
        <v>0</v>
      </c>
      <c r="BC15" s="25">
        <f t="shared" ca="1" si="27"/>
        <v>0</v>
      </c>
      <c r="BD15" s="25">
        <f t="shared" ca="1" si="28"/>
        <v>0</v>
      </c>
      <c r="BE15" s="25">
        <f t="shared" ca="1" si="29"/>
        <v>0</v>
      </c>
      <c r="BF15" s="25">
        <f t="shared" ca="1" si="30"/>
        <v>0</v>
      </c>
      <c r="BG15" s="25">
        <f t="shared" ca="1" si="31"/>
        <v>5</v>
      </c>
      <c r="BH15" s="25">
        <f t="shared" ca="1" si="32"/>
        <v>0</v>
      </c>
      <c r="BI15" s="25">
        <f t="shared" ca="1" si="33"/>
        <v>0</v>
      </c>
      <c r="BJ15" s="25">
        <f t="shared" ca="1" si="34"/>
        <v>0</v>
      </c>
    </row>
    <row r="16" spans="1:62" ht="24.75" customHeight="1" x14ac:dyDescent="0.15">
      <c r="AX16" s="25" t="s">
        <v>39</v>
      </c>
      <c r="AY16" s="25">
        <v>7</v>
      </c>
    </row>
    <row r="17" spans="50:51" ht="24.75" customHeight="1" x14ac:dyDescent="0.15">
      <c r="AX17" s="25" t="s">
        <v>40</v>
      </c>
      <c r="AY17" s="25">
        <v>6</v>
      </c>
    </row>
    <row r="18" spans="50:51" ht="24.75" customHeight="1" x14ac:dyDescent="0.15">
      <c r="AX18" s="25" t="s">
        <v>41</v>
      </c>
      <c r="AY18" s="25">
        <v>5</v>
      </c>
    </row>
    <row r="19" spans="50:51" ht="24.75" customHeight="1" x14ac:dyDescent="0.15">
      <c r="AX19" s="25" t="s">
        <v>42</v>
      </c>
      <c r="AY19" s="25">
        <v>0</v>
      </c>
    </row>
    <row r="20" spans="50:51" ht="24.75" customHeight="1" x14ac:dyDescent="0.15">
      <c r="AX20" s="25" t="s">
        <v>43</v>
      </c>
      <c r="AY20" s="25">
        <v>0</v>
      </c>
    </row>
    <row r="21" spans="50:51" ht="24.75" customHeight="1" x14ac:dyDescent="0.15">
      <c r="AX21" s="25" t="s">
        <v>44</v>
      </c>
      <c r="AY21" s="25">
        <v>0</v>
      </c>
    </row>
    <row r="22" spans="50:51" ht="24.75" customHeight="1" x14ac:dyDescent="0.15">
      <c r="AX22" s="25" t="s">
        <v>45</v>
      </c>
      <c r="AY22" s="25">
        <v>0</v>
      </c>
    </row>
    <row r="23" spans="50:51" ht="24.75" customHeight="1" x14ac:dyDescent="0.15">
      <c r="AX23" s="25" t="str">
        <f>""</f>
        <v/>
      </c>
      <c r="AY23" s="25" t="str">
        <f>""</f>
        <v/>
      </c>
    </row>
  </sheetData>
  <mergeCells count="56">
    <mergeCell ref="D4:D10"/>
    <mergeCell ref="E4:E10"/>
    <mergeCell ref="F4:F10"/>
    <mergeCell ref="A1:AU1"/>
    <mergeCell ref="A3:AU3"/>
    <mergeCell ref="A2:AU2"/>
    <mergeCell ref="AG8:AG10"/>
    <mergeCell ref="AK8:AK10"/>
    <mergeCell ref="AO8:AO10"/>
    <mergeCell ref="AP9:AP10"/>
    <mergeCell ref="B4:B10"/>
    <mergeCell ref="C4:C10"/>
    <mergeCell ref="AA8:AC8"/>
    <mergeCell ref="AE8:AF8"/>
    <mergeCell ref="AH8:AJ8"/>
    <mergeCell ref="AL8:AN8"/>
    <mergeCell ref="G5:J5"/>
    <mergeCell ref="G6:J6"/>
    <mergeCell ref="K5:N5"/>
    <mergeCell ref="AA5:AD5"/>
    <mergeCell ref="S5:V5"/>
    <mergeCell ref="W6:Z6"/>
    <mergeCell ref="K6:N6"/>
    <mergeCell ref="O5:R5"/>
    <mergeCell ref="O6:R6"/>
    <mergeCell ref="G8:I8"/>
    <mergeCell ref="K8:M8"/>
    <mergeCell ref="O8:Q8"/>
    <mergeCell ref="S8:U8"/>
    <mergeCell ref="W8:Y8"/>
    <mergeCell ref="J8:J10"/>
    <mergeCell ref="N8:N10"/>
    <mergeCell ref="R8:R10"/>
    <mergeCell ref="V8:V10"/>
    <mergeCell ref="AH5:AK5"/>
    <mergeCell ref="AL5:AO5"/>
    <mergeCell ref="AH6:AK6"/>
    <mergeCell ref="AL6:AO6"/>
    <mergeCell ref="S6:V6"/>
    <mergeCell ref="W5:Z5"/>
    <mergeCell ref="Z8:Z10"/>
    <mergeCell ref="AD8:AD10"/>
    <mergeCell ref="BA9:BI9"/>
    <mergeCell ref="BJ9:BJ10"/>
    <mergeCell ref="AQ4:AQ10"/>
    <mergeCell ref="AR4:AR10"/>
    <mergeCell ref="AS4:AS10"/>
    <mergeCell ref="AT4:AT10"/>
    <mergeCell ref="AU4:AU10"/>
    <mergeCell ref="AV4:AV10"/>
    <mergeCell ref="G4:AP4"/>
    <mergeCell ref="AP5:AP7"/>
    <mergeCell ref="G7:AO7"/>
    <mergeCell ref="AE5:AG5"/>
    <mergeCell ref="AE6:AG6"/>
    <mergeCell ref="AA6:AD6"/>
  </mergeCells>
  <phoneticPr fontId="2" type="noConversion"/>
  <conditionalFormatting sqref="I11:I15">
    <cfRule type="cellIs" dxfId="254" priority="41" stopIfTrue="1" operator="lessThan">
      <formula>$J$7</formula>
    </cfRule>
  </conditionalFormatting>
  <conditionalFormatting sqref="J11:J15">
    <cfRule type="containsText" dxfId="253" priority="71" operator="containsText" text="Dt">
      <formula>NOT(ISERROR(SEARCH("Dt",J11)))</formula>
    </cfRule>
    <cfRule type="containsText" dxfId="252" priority="72" operator="containsText" text="Ab">
      <formula>NOT(ISERROR(SEARCH("Ab",J11)))</formula>
    </cfRule>
    <cfRule type="containsText" dxfId="251" priority="73" operator="containsText" text="F">
      <formula>NOT(ISERROR(SEARCH("F",J11)))</formula>
    </cfRule>
  </conditionalFormatting>
  <conditionalFormatting sqref="N11:N15">
    <cfRule type="containsText" dxfId="249" priority="68" operator="containsText" text="Dt">
      <formula>NOT(ISERROR(SEARCH("Dt",N11)))</formula>
    </cfRule>
    <cfRule type="containsText" dxfId="248" priority="69" operator="containsText" text="Ab">
      <formula>NOT(ISERROR(SEARCH("Ab",N11)))</formula>
    </cfRule>
    <cfRule type="containsText" dxfId="247" priority="70" operator="containsText" text="F">
      <formula>NOT(ISERROR(SEARCH("F",N11)))</formula>
    </cfRule>
  </conditionalFormatting>
  <conditionalFormatting sqref="Q11:Q15">
    <cfRule type="cellIs" dxfId="244" priority="38" stopIfTrue="1" operator="lessThan">
      <formula>75</formula>
    </cfRule>
    <cfRule type="cellIs" dxfId="243" priority="39" stopIfTrue="1" operator="lessThan">
      <formula>60</formula>
    </cfRule>
  </conditionalFormatting>
  <conditionalFormatting sqref="R11:R15">
    <cfRule type="containsText" dxfId="242" priority="65" operator="containsText" text="Dt">
      <formula>NOT(ISERROR(SEARCH("Dt",R11)))</formula>
    </cfRule>
    <cfRule type="containsText" dxfId="241" priority="66" operator="containsText" text="Ab">
      <formula>NOT(ISERROR(SEARCH("Ab",R11)))</formula>
    </cfRule>
    <cfRule type="containsText" dxfId="240" priority="67" operator="containsText" text="F">
      <formula>NOT(ISERROR(SEARCH("F",R11)))</formula>
    </cfRule>
  </conditionalFormatting>
  <conditionalFormatting sqref="U11:U15">
    <cfRule type="cellIs" dxfId="237" priority="35" stopIfTrue="1" operator="lessThan">
      <formula>75</formula>
    </cfRule>
    <cfRule type="cellIs" dxfId="236" priority="36" stopIfTrue="1" operator="lessThan">
      <formula>60</formula>
    </cfRule>
  </conditionalFormatting>
  <conditionalFormatting sqref="V11:V15">
    <cfRule type="containsText" dxfId="235" priority="62" operator="containsText" text="Dt">
      <formula>NOT(ISERROR(SEARCH("Dt",V11)))</formula>
    </cfRule>
    <cfRule type="containsText" dxfId="234" priority="63" operator="containsText" text="Ab">
      <formula>NOT(ISERROR(SEARCH("Ab",V11)))</formula>
    </cfRule>
    <cfRule type="containsText" dxfId="233" priority="64" operator="containsText" text="F">
      <formula>NOT(ISERROR(SEARCH("F",V11)))</formula>
    </cfRule>
  </conditionalFormatting>
  <conditionalFormatting sqref="Y11:Y15">
    <cfRule type="cellIs" dxfId="230" priority="32" stopIfTrue="1" operator="lessThan">
      <formula>75</formula>
    </cfRule>
    <cfRule type="cellIs" dxfId="229" priority="33" stopIfTrue="1" operator="lessThan">
      <formula>60</formula>
    </cfRule>
  </conditionalFormatting>
  <conditionalFormatting sqref="Z11:Z15">
    <cfRule type="containsText" dxfId="228" priority="59" operator="containsText" text="Dt">
      <formula>NOT(ISERROR(SEARCH("Dt",Z11)))</formula>
    </cfRule>
    <cfRule type="containsText" dxfId="227" priority="60" operator="containsText" text="Ab">
      <formula>NOT(ISERROR(SEARCH("Ab",Z11)))</formula>
    </cfRule>
    <cfRule type="containsText" dxfId="226" priority="61" operator="containsText" text="F">
      <formula>NOT(ISERROR(SEARCH("F",Z11)))</formula>
    </cfRule>
  </conditionalFormatting>
  <conditionalFormatting sqref="AD11:AD15">
    <cfRule type="containsText" dxfId="223" priority="56" operator="containsText" text="Dt">
      <formula>NOT(ISERROR(SEARCH("Dt",AD11)))</formula>
    </cfRule>
    <cfRule type="containsText" dxfId="222" priority="57" operator="containsText" text="Ab">
      <formula>NOT(ISERROR(SEARCH("Ab",AD11)))</formula>
    </cfRule>
    <cfRule type="containsText" dxfId="221" priority="58" operator="containsText" text="F">
      <formula>NOT(ISERROR(SEARCH("F",AD11)))</formula>
    </cfRule>
  </conditionalFormatting>
  <conditionalFormatting sqref="AJ11:AJ15">
    <cfRule type="cellIs" dxfId="217" priority="29" stopIfTrue="1" operator="lessThan">
      <formula>25</formula>
    </cfRule>
  </conditionalFormatting>
  <conditionalFormatting sqref="AK11:AK15">
    <cfRule type="containsText" dxfId="216" priority="47" operator="containsText" text="Dt">
      <formula>NOT(ISERROR(SEARCH("Dt",AK11)))</formula>
    </cfRule>
    <cfRule type="containsText" dxfId="215" priority="48" operator="containsText" text="Ab">
      <formula>NOT(ISERROR(SEARCH("Ab",AK11)))</formula>
    </cfRule>
    <cfRule type="containsText" dxfId="214" priority="49" operator="containsText" text="F">
      <formula>NOT(ISERROR(SEARCH("F",AK11)))</formula>
    </cfRule>
  </conditionalFormatting>
  <conditionalFormatting sqref="AN11:AN15">
    <cfRule type="cellIs" dxfId="212" priority="27" stopIfTrue="1" operator="lessThan">
      <formula>25</formula>
    </cfRule>
  </conditionalFormatting>
  <conditionalFormatting sqref="AO11:AO15">
    <cfRule type="containsText" dxfId="211" priority="44" operator="containsText" text="Dt">
      <formula>NOT(ISERROR(SEARCH("Dt",AO11)))</formula>
    </cfRule>
    <cfRule type="containsText" dxfId="210" priority="45" operator="containsText" text="Ab">
      <formula>NOT(ISERROR(SEARCH("Ab",AO11)))</formula>
    </cfRule>
    <cfRule type="containsText" dxfId="209" priority="46" operator="containsText" text="F">
      <formula>NOT(ISERROR(SEARCH("F",AO11)))</formula>
    </cfRule>
  </conditionalFormatting>
  <conditionalFormatting sqref="G11:G15">
    <cfRule type="cellIs" dxfId="208" priority="20" stopIfTrue="1" operator="lessThan">
      <formula>$H$7</formula>
    </cfRule>
  </conditionalFormatting>
  <conditionalFormatting sqref="G15:H15">
    <cfRule type="containsText" dxfId="207" priority="19" stopIfTrue="1" operator="containsText" text="D">
      <formula>NOT(ISERROR(SEARCH("D",G15)))</formula>
    </cfRule>
  </conditionalFormatting>
  <conditionalFormatting sqref="K11:K14">
    <cfRule type="cellIs" dxfId="206" priority="18" stopIfTrue="1" operator="lessThan">
      <formula>$H$7</formula>
    </cfRule>
  </conditionalFormatting>
  <conditionalFormatting sqref="K15:L15">
    <cfRule type="containsText" dxfId="205" priority="17" stopIfTrue="1" operator="containsText" text="D">
      <formula>NOT(ISERROR(SEARCH("D",K15)))</formula>
    </cfRule>
  </conditionalFormatting>
  <conditionalFormatting sqref="O15">
    <cfRule type="cellIs" dxfId="204" priority="16" stopIfTrue="1" operator="lessThan">
      <formula>$T$7</formula>
    </cfRule>
  </conditionalFormatting>
  <conditionalFormatting sqref="O15:P15">
    <cfRule type="containsText" dxfId="203" priority="15" stopIfTrue="1" operator="containsText" text="D">
      <formula>NOT(ISERROR(SEARCH("D",O15)))</formula>
    </cfRule>
  </conditionalFormatting>
  <conditionalFormatting sqref="S11:S15">
    <cfRule type="cellIs" dxfId="202" priority="14" stopIfTrue="1" operator="lessThan">
      <formula>$T$7</formula>
    </cfRule>
  </conditionalFormatting>
  <conditionalFormatting sqref="S15:T15">
    <cfRule type="containsText" dxfId="201" priority="13" stopIfTrue="1" operator="containsText" text="D">
      <formula>NOT(ISERROR(SEARCH("D",S15)))</formula>
    </cfRule>
  </conditionalFormatting>
  <conditionalFormatting sqref="W11:W15">
    <cfRule type="cellIs" dxfId="200" priority="12" stopIfTrue="1" operator="lessThan">
      <formula>$T$7</formula>
    </cfRule>
  </conditionalFormatting>
  <conditionalFormatting sqref="W15:X15">
    <cfRule type="containsText" dxfId="199" priority="11" stopIfTrue="1" operator="containsText" text="D">
      <formula>NOT(ISERROR(SEARCH("D",W15)))</formula>
    </cfRule>
  </conditionalFormatting>
  <conditionalFormatting sqref="AA11:AA15">
    <cfRule type="cellIs" dxfId="198" priority="10" stopIfTrue="1" operator="lessThan">
      <formula>24</formula>
    </cfRule>
  </conditionalFormatting>
  <conditionalFormatting sqref="AB11:AB15">
    <cfRule type="cellIs" dxfId="197" priority="9" stopIfTrue="1" operator="lessThan">
      <formula>24</formula>
    </cfRule>
  </conditionalFormatting>
  <conditionalFormatting sqref="AA15:AB15">
    <cfRule type="containsText" dxfId="196" priority="8" stopIfTrue="1" operator="containsText" text="D">
      <formula>NOT(ISERROR(SEARCH("D",AA15)))</formula>
    </cfRule>
  </conditionalFormatting>
  <conditionalFormatting sqref="AE15">
    <cfRule type="containsText" dxfId="195" priority="7" stopIfTrue="1" operator="containsText" text="D">
      <formula>NOT(ISERROR(SEARCH("D",AE15)))</formula>
    </cfRule>
  </conditionalFormatting>
  <conditionalFormatting sqref="AH11:AH15">
    <cfRule type="cellIs" dxfId="194" priority="6" stopIfTrue="1" operator="lessThan">
      <formula>13</formula>
    </cfRule>
  </conditionalFormatting>
  <conditionalFormatting sqref="AH15:AI15">
    <cfRule type="containsText" dxfId="193" priority="5" stopIfTrue="1" operator="containsText" text="D">
      <formula>NOT(ISERROR(SEARCH("D",AH15)))</formula>
    </cfRule>
  </conditionalFormatting>
  <conditionalFormatting sqref="AL11:AL15">
    <cfRule type="cellIs" dxfId="192" priority="4" stopIfTrue="1" operator="lessThan">
      <formula>13</formula>
    </cfRule>
  </conditionalFormatting>
  <conditionalFormatting sqref="AL15:AM15">
    <cfRule type="containsText" dxfId="191" priority="3" stopIfTrue="1" operator="containsText" text="D">
      <formula>NOT(ISERROR(SEARCH("D",AL15)))</formula>
    </cfRule>
  </conditionalFormatting>
  <conditionalFormatting sqref="AT11:AT15">
    <cfRule type="cellIs" dxfId="9" priority="1" operator="equal">
      <formula>"PASS"</formula>
    </cfRule>
    <cfRule type="cellIs" dxfId="8" priority="2" operator="equal">
      <formula>"CARRY OVER"</formula>
    </cfRule>
  </conditionalFormatting>
  <pageMargins left="0.62992125984251968" right="0.19685039370078741" top="0.82677165354330717" bottom="0.51181102362204722" header="1.8110236220472442" footer="3.7007874015748032"/>
  <pageSetup paperSize="8" scale="35" orientation="landscape" horizontalDpi="1200" r:id="rId1"/>
  <headerFooter alignWithMargins="0">
    <oddFooter>&amp;L&amp;16($) Non Credit Subject(s)   DATE: 25.07.2023         PREPARED BY         CHECKED BY&amp;C&amp;16EXAMINATION CONTROLLER &amp;R&amp;"Arial,Bold"&amp;16UTU(Conf. Section )            CONTROLLER (UTU&amp;"Arial,Regular")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3E2B-6C4E-C647-B579-A7EFC5B81FCF}">
  <dimension ref="A1:BJ58"/>
  <sheetViews>
    <sheetView topLeftCell="A5" zoomScale="60" zoomScaleNormal="40" zoomScaleSheetLayoutView="48" workbookViewId="0">
      <selection activeCell="A11" sqref="A11"/>
    </sheetView>
  </sheetViews>
  <sheetFormatPr baseColWidth="10" defaultColWidth="9.1640625" defaultRowHeight="43.5" customHeight="1" x14ac:dyDescent="0.15"/>
  <cols>
    <col min="1" max="1" width="9.83203125" style="44" customWidth="1"/>
    <col min="2" max="2" width="27.6640625" style="79" customWidth="1"/>
    <col min="3" max="4" width="25.6640625" style="79" customWidth="1"/>
    <col min="5" max="6" width="40.33203125" style="44" customWidth="1"/>
    <col min="7" max="8" width="10.6640625" style="44" customWidth="1"/>
    <col min="9" max="10" width="10.6640625" style="78" customWidth="1"/>
    <col min="11" max="41" width="10.6640625" style="44" customWidth="1"/>
    <col min="42" max="45" width="14.33203125" style="44" customWidth="1"/>
    <col min="46" max="46" width="21.1640625" style="44" customWidth="1"/>
    <col min="47" max="47" width="26.1640625" style="44" customWidth="1"/>
    <col min="48" max="48" width="16.83203125" style="44" customWidth="1"/>
    <col min="49" max="64" width="7.5" style="44" customWidth="1"/>
    <col min="65" max="16384" width="9.1640625" style="44"/>
  </cols>
  <sheetData>
    <row r="1" spans="1:62" ht="75" customHeight="1" x14ac:dyDescent="0.15">
      <c r="A1" s="141" t="s">
        <v>12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04"/>
      <c r="AV1" s="104"/>
    </row>
    <row r="2" spans="1:62" ht="75" customHeight="1" x14ac:dyDescent="0.15">
      <c r="A2" s="141" t="s">
        <v>15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04"/>
      <c r="AV2" s="104"/>
    </row>
    <row r="3" spans="1:62" ht="123.75" customHeight="1" x14ac:dyDescent="0.15">
      <c r="A3" s="142" t="s">
        <v>147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04"/>
      <c r="AV3" s="104"/>
    </row>
    <row r="4" spans="1:62" ht="123.75" customHeight="1" x14ac:dyDescent="0.15">
      <c r="A4" s="34"/>
      <c r="B4" s="143" t="s">
        <v>7</v>
      </c>
      <c r="C4" s="143" t="s">
        <v>14</v>
      </c>
      <c r="D4" s="143" t="s">
        <v>16</v>
      </c>
      <c r="E4" s="143" t="s">
        <v>2</v>
      </c>
      <c r="F4" s="143" t="s">
        <v>1</v>
      </c>
      <c r="G4" s="144" t="s">
        <v>22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03"/>
      <c r="AQ4" s="145" t="s">
        <v>48</v>
      </c>
      <c r="AR4" s="145" t="s">
        <v>49</v>
      </c>
      <c r="AS4" s="145" t="s">
        <v>50</v>
      </c>
      <c r="AT4" s="145" t="s">
        <v>11</v>
      </c>
      <c r="AU4" s="165" t="s">
        <v>10</v>
      </c>
      <c r="AV4" s="145" t="s">
        <v>51</v>
      </c>
    </row>
    <row r="5" spans="1:62" ht="123.75" customHeight="1" x14ac:dyDescent="0.15">
      <c r="A5" s="34" t="s">
        <v>71</v>
      </c>
      <c r="B5" s="143"/>
      <c r="C5" s="143"/>
      <c r="D5" s="143"/>
      <c r="E5" s="143"/>
      <c r="F5" s="143"/>
      <c r="G5" s="146" t="s">
        <v>19</v>
      </c>
      <c r="H5" s="147"/>
      <c r="I5" s="147"/>
      <c r="J5" s="148"/>
      <c r="K5" s="146" t="s">
        <v>148</v>
      </c>
      <c r="L5" s="147"/>
      <c r="M5" s="147"/>
      <c r="N5" s="148"/>
      <c r="O5" s="146" t="s">
        <v>150</v>
      </c>
      <c r="P5" s="147"/>
      <c r="Q5" s="147"/>
      <c r="R5" s="148"/>
      <c r="S5" s="146" t="s">
        <v>159</v>
      </c>
      <c r="T5" s="147"/>
      <c r="U5" s="147"/>
      <c r="V5" s="148"/>
      <c r="W5" s="146" t="s">
        <v>157</v>
      </c>
      <c r="X5" s="147"/>
      <c r="Y5" s="147"/>
      <c r="Z5" s="148"/>
      <c r="AA5" s="146" t="s">
        <v>26</v>
      </c>
      <c r="AB5" s="147"/>
      <c r="AC5" s="147"/>
      <c r="AD5" s="148"/>
      <c r="AE5" s="146" t="s">
        <v>28</v>
      </c>
      <c r="AF5" s="147"/>
      <c r="AG5" s="148"/>
      <c r="AH5" s="146" t="s">
        <v>152</v>
      </c>
      <c r="AI5" s="147"/>
      <c r="AJ5" s="147"/>
      <c r="AK5" s="148"/>
      <c r="AL5" s="146" t="s">
        <v>154</v>
      </c>
      <c r="AM5" s="147"/>
      <c r="AN5" s="147"/>
      <c r="AO5" s="148"/>
      <c r="AP5" s="166" t="s">
        <v>5</v>
      </c>
      <c r="AQ5" s="145"/>
      <c r="AR5" s="145"/>
      <c r="AS5" s="145"/>
      <c r="AT5" s="145"/>
      <c r="AU5" s="165"/>
      <c r="AV5" s="145"/>
    </row>
    <row r="6" spans="1:62" ht="259.5" customHeight="1" x14ac:dyDescent="0.15">
      <c r="A6" s="34" t="s">
        <v>72</v>
      </c>
      <c r="B6" s="143"/>
      <c r="C6" s="143"/>
      <c r="D6" s="143"/>
      <c r="E6" s="143"/>
      <c r="F6" s="143"/>
      <c r="G6" s="149" t="s">
        <v>18</v>
      </c>
      <c r="H6" s="150"/>
      <c r="I6" s="150"/>
      <c r="J6" s="151"/>
      <c r="K6" s="149" t="s">
        <v>149</v>
      </c>
      <c r="L6" s="150"/>
      <c r="M6" s="150"/>
      <c r="N6" s="151"/>
      <c r="O6" s="149" t="s">
        <v>151</v>
      </c>
      <c r="P6" s="150"/>
      <c r="Q6" s="150"/>
      <c r="R6" s="151"/>
      <c r="S6" s="155" t="s">
        <v>160</v>
      </c>
      <c r="T6" s="150"/>
      <c r="U6" s="150"/>
      <c r="V6" s="151"/>
      <c r="W6" s="149" t="s">
        <v>158</v>
      </c>
      <c r="X6" s="150"/>
      <c r="Y6" s="150"/>
      <c r="Z6" s="151"/>
      <c r="AA6" s="149" t="s">
        <v>25</v>
      </c>
      <c r="AB6" s="150"/>
      <c r="AC6" s="150"/>
      <c r="AD6" s="151"/>
      <c r="AE6" s="149" t="s">
        <v>52</v>
      </c>
      <c r="AF6" s="150"/>
      <c r="AG6" s="151"/>
      <c r="AH6" s="149" t="s">
        <v>153</v>
      </c>
      <c r="AI6" s="150"/>
      <c r="AJ6" s="150"/>
      <c r="AK6" s="151"/>
      <c r="AL6" s="149" t="s">
        <v>155</v>
      </c>
      <c r="AM6" s="150"/>
      <c r="AN6" s="150"/>
      <c r="AO6" s="151"/>
      <c r="AP6" s="167"/>
      <c r="AQ6" s="145"/>
      <c r="AR6" s="145"/>
      <c r="AS6" s="145"/>
      <c r="AT6" s="145"/>
      <c r="AU6" s="165"/>
      <c r="AV6" s="145"/>
    </row>
    <row r="7" spans="1:62" ht="86.25" customHeight="1" x14ac:dyDescent="0.15">
      <c r="A7" s="34"/>
      <c r="B7" s="143"/>
      <c r="C7" s="143"/>
      <c r="D7" s="143"/>
      <c r="E7" s="143"/>
      <c r="F7" s="143"/>
      <c r="G7" s="152" t="s">
        <v>33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4"/>
      <c r="AP7" s="168"/>
      <c r="AQ7" s="145"/>
      <c r="AR7" s="145"/>
      <c r="AS7" s="145"/>
      <c r="AT7" s="145"/>
      <c r="AU7" s="165"/>
      <c r="AV7" s="145"/>
    </row>
    <row r="8" spans="1:62" ht="86.25" customHeight="1" x14ac:dyDescent="0.15">
      <c r="A8" s="34" t="s">
        <v>40</v>
      </c>
      <c r="B8" s="143"/>
      <c r="C8" s="143"/>
      <c r="D8" s="143"/>
      <c r="E8" s="143"/>
      <c r="F8" s="143"/>
      <c r="G8" s="152">
        <v>4</v>
      </c>
      <c r="H8" s="153"/>
      <c r="I8" s="154"/>
      <c r="J8" s="159" t="s">
        <v>34</v>
      </c>
      <c r="K8" s="152">
        <v>4</v>
      </c>
      <c r="L8" s="153"/>
      <c r="M8" s="154"/>
      <c r="N8" s="159" t="s">
        <v>34</v>
      </c>
      <c r="O8" s="152">
        <v>4</v>
      </c>
      <c r="P8" s="153"/>
      <c r="Q8" s="154"/>
      <c r="R8" s="159" t="s">
        <v>34</v>
      </c>
      <c r="S8" s="152">
        <v>3</v>
      </c>
      <c r="T8" s="153"/>
      <c r="U8" s="154"/>
      <c r="V8" s="159" t="s">
        <v>34</v>
      </c>
      <c r="W8" s="152">
        <v>3</v>
      </c>
      <c r="X8" s="153"/>
      <c r="Y8" s="154"/>
      <c r="Z8" s="159" t="s">
        <v>34</v>
      </c>
      <c r="AA8" s="152">
        <v>2</v>
      </c>
      <c r="AB8" s="153"/>
      <c r="AC8" s="154"/>
      <c r="AD8" s="159" t="s">
        <v>34</v>
      </c>
      <c r="AE8" s="152">
        <v>0</v>
      </c>
      <c r="AF8" s="154"/>
      <c r="AG8" s="159" t="s">
        <v>34</v>
      </c>
      <c r="AH8" s="152">
        <v>1</v>
      </c>
      <c r="AI8" s="153"/>
      <c r="AJ8" s="154"/>
      <c r="AK8" s="159" t="s">
        <v>34</v>
      </c>
      <c r="AL8" s="164">
        <v>1</v>
      </c>
      <c r="AM8" s="164"/>
      <c r="AN8" s="164"/>
      <c r="AO8" s="159" t="s">
        <v>34</v>
      </c>
      <c r="AP8" s="96">
        <f>SUM(AL8,AH8,AE8,AA8,W8,S8,O8,K8,G8)</f>
        <v>22</v>
      </c>
      <c r="AQ8" s="145"/>
      <c r="AR8" s="145"/>
      <c r="AS8" s="145"/>
      <c r="AT8" s="145"/>
      <c r="AU8" s="165"/>
      <c r="AV8" s="145"/>
    </row>
    <row r="9" spans="1:62" ht="72.75" customHeight="1" x14ac:dyDescent="0.15">
      <c r="A9" s="34"/>
      <c r="B9" s="143"/>
      <c r="C9" s="143"/>
      <c r="D9" s="143"/>
      <c r="E9" s="143"/>
      <c r="F9" s="143"/>
      <c r="G9" s="102" t="s">
        <v>3</v>
      </c>
      <c r="H9" s="102" t="s">
        <v>4</v>
      </c>
      <c r="I9" s="102" t="s">
        <v>0</v>
      </c>
      <c r="J9" s="160"/>
      <c r="K9" s="102" t="s">
        <v>3</v>
      </c>
      <c r="L9" s="102" t="s">
        <v>4</v>
      </c>
      <c r="M9" s="102" t="s">
        <v>0</v>
      </c>
      <c r="N9" s="160"/>
      <c r="O9" s="102" t="s">
        <v>3</v>
      </c>
      <c r="P9" s="102" t="s">
        <v>4</v>
      </c>
      <c r="Q9" s="102" t="s">
        <v>0</v>
      </c>
      <c r="R9" s="160"/>
      <c r="S9" s="102" t="s">
        <v>3</v>
      </c>
      <c r="T9" s="102" t="s">
        <v>4</v>
      </c>
      <c r="U9" s="102" t="s">
        <v>0</v>
      </c>
      <c r="V9" s="160"/>
      <c r="W9" s="102" t="s">
        <v>3</v>
      </c>
      <c r="X9" s="102" t="s">
        <v>4</v>
      </c>
      <c r="Y9" s="102" t="s">
        <v>0</v>
      </c>
      <c r="Z9" s="160"/>
      <c r="AA9" s="102" t="s">
        <v>3</v>
      </c>
      <c r="AB9" s="102" t="s">
        <v>4</v>
      </c>
      <c r="AC9" s="102" t="s">
        <v>0</v>
      </c>
      <c r="AD9" s="160"/>
      <c r="AE9" s="102" t="s">
        <v>4</v>
      </c>
      <c r="AF9" s="102" t="s">
        <v>0</v>
      </c>
      <c r="AG9" s="160"/>
      <c r="AH9" s="102" t="s">
        <v>3</v>
      </c>
      <c r="AI9" s="102" t="s">
        <v>4</v>
      </c>
      <c r="AJ9" s="102" t="s">
        <v>0</v>
      </c>
      <c r="AK9" s="160"/>
      <c r="AL9" s="102" t="s">
        <v>3</v>
      </c>
      <c r="AM9" s="102" t="s">
        <v>4</v>
      </c>
      <c r="AN9" s="102" t="s">
        <v>0</v>
      </c>
      <c r="AO9" s="160"/>
      <c r="AP9" s="156">
        <f>SUM(AN10,AJ10,AC10,Y10,U10,Q10,M10,I10)</f>
        <v>950</v>
      </c>
      <c r="AQ9" s="145"/>
      <c r="AR9" s="145"/>
      <c r="AS9" s="145"/>
      <c r="AT9" s="145"/>
      <c r="AU9" s="165"/>
      <c r="AV9" s="145"/>
      <c r="AX9" s="91"/>
      <c r="AY9" s="91"/>
      <c r="AZ9" s="91"/>
      <c r="BA9" s="158" t="s">
        <v>46</v>
      </c>
      <c r="BB9" s="158"/>
      <c r="BC9" s="158"/>
      <c r="BD9" s="158"/>
      <c r="BE9" s="158"/>
      <c r="BF9" s="158"/>
      <c r="BG9" s="158"/>
      <c r="BH9" s="158"/>
      <c r="BI9" s="158"/>
      <c r="BJ9" s="162" t="s">
        <v>47</v>
      </c>
    </row>
    <row r="10" spans="1:62" s="98" customFormat="1" ht="72.75" customHeight="1" x14ac:dyDescent="0.15">
      <c r="A10" s="34" t="s">
        <v>73</v>
      </c>
      <c r="B10" s="143"/>
      <c r="C10" s="143"/>
      <c r="D10" s="143"/>
      <c r="E10" s="143"/>
      <c r="F10" s="143"/>
      <c r="G10" s="100">
        <v>100</v>
      </c>
      <c r="H10" s="100">
        <v>50</v>
      </c>
      <c r="I10" s="100">
        <v>150</v>
      </c>
      <c r="J10" s="161"/>
      <c r="K10" s="100">
        <v>100</v>
      </c>
      <c r="L10" s="100">
        <v>50</v>
      </c>
      <c r="M10" s="100">
        <v>150</v>
      </c>
      <c r="N10" s="161"/>
      <c r="O10" s="100">
        <v>100</v>
      </c>
      <c r="P10" s="100">
        <v>50</v>
      </c>
      <c r="Q10" s="100">
        <v>150</v>
      </c>
      <c r="R10" s="161"/>
      <c r="S10" s="100">
        <v>100</v>
      </c>
      <c r="T10" s="100">
        <v>50</v>
      </c>
      <c r="U10" s="100">
        <v>150</v>
      </c>
      <c r="V10" s="161"/>
      <c r="W10" s="100">
        <v>100</v>
      </c>
      <c r="X10" s="100">
        <v>50</v>
      </c>
      <c r="Y10" s="100">
        <v>150</v>
      </c>
      <c r="Z10" s="161"/>
      <c r="AA10" s="100">
        <v>50</v>
      </c>
      <c r="AB10" s="100">
        <v>50</v>
      </c>
      <c r="AC10" s="100">
        <v>100</v>
      </c>
      <c r="AD10" s="161"/>
      <c r="AE10" s="100">
        <v>50</v>
      </c>
      <c r="AF10" s="100">
        <v>50</v>
      </c>
      <c r="AG10" s="161"/>
      <c r="AH10" s="100">
        <v>25</v>
      </c>
      <c r="AI10" s="100">
        <v>25</v>
      </c>
      <c r="AJ10" s="100">
        <v>50</v>
      </c>
      <c r="AK10" s="161"/>
      <c r="AL10" s="100">
        <v>25</v>
      </c>
      <c r="AM10" s="100">
        <v>25</v>
      </c>
      <c r="AN10" s="100">
        <v>50</v>
      </c>
      <c r="AO10" s="161"/>
      <c r="AP10" s="157"/>
      <c r="AQ10" s="145"/>
      <c r="AR10" s="145"/>
      <c r="AS10" s="145"/>
      <c r="AT10" s="145"/>
      <c r="AU10" s="165"/>
      <c r="AV10" s="145"/>
      <c r="AX10" s="91"/>
      <c r="AY10" s="91"/>
      <c r="AZ10" s="91"/>
      <c r="BA10" s="99">
        <f t="shared" ref="BA10:BG10" ca="1" si="0">OFFSET($G$8,0,(COLUMN(G8)-7)*4)</f>
        <v>4</v>
      </c>
      <c r="BB10" s="99">
        <f t="shared" ca="1" si="0"/>
        <v>4</v>
      </c>
      <c r="BC10" s="99">
        <f t="shared" ca="1" si="0"/>
        <v>4</v>
      </c>
      <c r="BD10" s="99">
        <f t="shared" ca="1" si="0"/>
        <v>3</v>
      </c>
      <c r="BE10" s="99">
        <f t="shared" ca="1" si="0"/>
        <v>3</v>
      </c>
      <c r="BF10" s="99">
        <f t="shared" ca="1" si="0"/>
        <v>2</v>
      </c>
      <c r="BG10" s="99">
        <f t="shared" ca="1" si="0"/>
        <v>0</v>
      </c>
      <c r="BH10" s="99">
        <f ca="1">OFFSET($G$8,0,(COLUMN(N8)-7)*4-1)</f>
        <v>1</v>
      </c>
      <c r="BI10" s="99">
        <f ca="1">OFFSET($G$8,0,(COLUMN(O8)-7)*4-1)</f>
        <v>1</v>
      </c>
      <c r="BJ10" s="163"/>
    </row>
    <row r="11" spans="1:62" ht="182.25" customHeight="1" x14ac:dyDescent="0.15">
      <c r="A11" s="287">
        <v>1</v>
      </c>
      <c r="B11" s="258" t="s">
        <v>185</v>
      </c>
      <c r="C11" s="259" t="s">
        <v>186</v>
      </c>
      <c r="D11" s="260">
        <v>255401</v>
      </c>
      <c r="E11" s="261" t="s">
        <v>187</v>
      </c>
      <c r="F11" s="261" t="s">
        <v>188</v>
      </c>
      <c r="G11" s="265">
        <v>41</v>
      </c>
      <c r="H11" s="265">
        <v>40</v>
      </c>
      <c r="I11" s="93">
        <f>SUM(G11:H11)</f>
        <v>81</v>
      </c>
      <c r="J11" s="96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P</v>
      </c>
      <c r="K11" s="265">
        <v>69</v>
      </c>
      <c r="L11" s="265">
        <v>47</v>
      </c>
      <c r="M11" s="93">
        <f>SUM(K11:L11)</f>
        <v>116</v>
      </c>
      <c r="N11" s="96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B</v>
      </c>
      <c r="O11" s="265">
        <v>86</v>
      </c>
      <c r="P11" s="265">
        <v>48</v>
      </c>
      <c r="Q11" s="93">
        <f>SUM(O11:P11)</f>
        <v>134</v>
      </c>
      <c r="R11" s="96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A+</v>
      </c>
      <c r="S11" s="265">
        <v>66</v>
      </c>
      <c r="T11" s="265">
        <v>44</v>
      </c>
      <c r="U11" s="93">
        <f>SUM(S11:T11)</f>
        <v>110</v>
      </c>
      <c r="V11" s="96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B</v>
      </c>
      <c r="W11" s="265">
        <v>79</v>
      </c>
      <c r="X11" s="265">
        <v>47</v>
      </c>
      <c r="Y11" s="93">
        <f>SUM(W11:X11)</f>
        <v>126</v>
      </c>
      <c r="Z11" s="96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A</v>
      </c>
      <c r="AA11" s="265">
        <v>43</v>
      </c>
      <c r="AB11" s="265">
        <v>42</v>
      </c>
      <c r="AC11" s="93">
        <f>SUM(AA11:AB11)</f>
        <v>85</v>
      </c>
      <c r="AD11" s="96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A+</v>
      </c>
      <c r="AE11" s="97">
        <v>34</v>
      </c>
      <c r="AF11" s="93">
        <f>SUM(AE11)</f>
        <v>34</v>
      </c>
      <c r="AG11" s="93" t="str">
        <f>IF(ISBLANK(AF11),"",IF(ISTEXT(AF11),AF11,IF(AF11&gt;=0.9*AF$10,"O",IF(AF11&gt;=0.85*AF$10,"A+",IF(AF11&gt;=0.8*AF$10,"A",IF(AF11&gt;=0.7*AF$10,"B",IF(AF11&gt;=0.6*AF$10,"C",IF(AF11&gt;=0.5*AF$10,"P",IF(AF11&lt;0.5*AF$10,"F",AF11)))))))))</f>
        <v>C</v>
      </c>
      <c r="AH11" s="265">
        <v>23</v>
      </c>
      <c r="AI11" s="265">
        <v>24</v>
      </c>
      <c r="AJ11" s="93">
        <f>SUM(AH11:AI11)</f>
        <v>47</v>
      </c>
      <c r="AK11" s="96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265">
        <v>23</v>
      </c>
      <c r="AM11" s="265">
        <v>23</v>
      </c>
      <c r="AN11" s="93">
        <f>SUM(AL11:AM11)</f>
        <v>46</v>
      </c>
      <c r="AO11" s="96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95">
        <f>SUM(AN11,AJ11,AC11,Y11,U11,Q11,M11,I11)</f>
        <v>745</v>
      </c>
      <c r="AQ11" s="94">
        <f ca="1">BJ11/$AP$8</f>
        <v>7.5909090909090908</v>
      </c>
      <c r="AR11" s="94">
        <f ca="1">AQ11</f>
        <v>7.5909090909090908</v>
      </c>
      <c r="AS11" s="93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93">
        <f ca="1">AS11</f>
        <v>22</v>
      </c>
      <c r="AX11" s="91"/>
      <c r="AY11" s="91"/>
      <c r="AZ11" s="91"/>
      <c r="BA11" s="92">
        <f t="shared" ref="BA11:BF11" ca="1" si="1">INDEX($AY$13:$AY$23,MATCH(INDIRECT(ADDRESS(ROW($J11),COLUMN($J11)+(COLUMN(J11)-10)*4,1)),$AX$13:$AX$23,0))</f>
        <v>5</v>
      </c>
      <c r="BB11" s="92">
        <f t="shared" ca="1" si="1"/>
        <v>7</v>
      </c>
      <c r="BC11" s="92">
        <f t="shared" ca="1" si="1"/>
        <v>9</v>
      </c>
      <c r="BD11" s="92">
        <f t="shared" ca="1" si="1"/>
        <v>7</v>
      </c>
      <c r="BE11" s="92">
        <f t="shared" ca="1" si="1"/>
        <v>8</v>
      </c>
      <c r="BF11" s="92">
        <f t="shared" ca="1" si="1"/>
        <v>9</v>
      </c>
      <c r="BG11" s="92">
        <f ca="1">INDEX($AY$13:$AY$23,MATCH(INDIRECT(ADDRESS(ROW($J11),COLUMN($J11)+(COLUMN(P11)-10)*4-1,1)),$AX$13:$AX$23,0))</f>
        <v>6</v>
      </c>
      <c r="BH11" s="92">
        <f ca="1">INDEX($AY$13:$AY$23,MATCH(INDIRECT(ADDRESS(ROW($J11),COLUMN($J11)+(COLUMN(Q11)-10)*4-1,1)),$AX$13:$AX$23,0))</f>
        <v>10</v>
      </c>
      <c r="BI11" s="92">
        <f ca="1">INDEX($AY$13:$AY$23,MATCH(INDIRECT(ADDRESS(ROW($J11),COLUMN($J11)+(COLUMN(R11)-10)*4-1,1)),$AX$13:$AX$23,0))</f>
        <v>10</v>
      </c>
      <c r="BJ11" s="92">
        <f ca="1">SUMPRODUCT(BA11:BI11,$BA$10:$BI$10)</f>
        <v>167</v>
      </c>
    </row>
    <row r="12" spans="1:62" ht="182.25" customHeight="1" x14ac:dyDescent="0.15">
      <c r="A12" s="287">
        <v>2</v>
      </c>
      <c r="B12" s="258" t="s">
        <v>189</v>
      </c>
      <c r="C12" s="259" t="s">
        <v>190</v>
      </c>
      <c r="D12" s="260">
        <v>255402</v>
      </c>
      <c r="E12" s="261" t="s">
        <v>191</v>
      </c>
      <c r="F12" s="261" t="s">
        <v>192</v>
      </c>
      <c r="G12" s="265">
        <v>44</v>
      </c>
      <c r="H12" s="265">
        <v>46</v>
      </c>
      <c r="I12" s="106">
        <f t="shared" ref="I12:I13" si="2">SUM(G12:H12)</f>
        <v>90</v>
      </c>
      <c r="J12" s="107" t="str">
        <f t="shared" ref="J12:J13" si="3"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C</v>
      </c>
      <c r="K12" s="265">
        <v>63</v>
      </c>
      <c r="L12" s="265">
        <v>48</v>
      </c>
      <c r="M12" s="106">
        <f t="shared" ref="M12:M13" si="4">SUM(K12:L12)</f>
        <v>111</v>
      </c>
      <c r="N12" s="107" t="str">
        <f t="shared" ref="N12:N13" si="5"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B</v>
      </c>
      <c r="O12" s="265">
        <v>70</v>
      </c>
      <c r="P12" s="265">
        <v>41</v>
      </c>
      <c r="Q12" s="106">
        <f t="shared" ref="Q12:Q13" si="6">SUM(O12:P12)</f>
        <v>111</v>
      </c>
      <c r="R12" s="107" t="str">
        <f t="shared" ref="R12:R13" si="7"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B</v>
      </c>
      <c r="S12" s="265">
        <v>61</v>
      </c>
      <c r="T12" s="265">
        <v>41</v>
      </c>
      <c r="U12" s="106">
        <f t="shared" ref="U12:U13" si="8">SUM(S12:T12)</f>
        <v>102</v>
      </c>
      <c r="V12" s="107" t="str">
        <f t="shared" ref="V12:V13" si="9"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C</v>
      </c>
      <c r="W12" s="265">
        <v>77</v>
      </c>
      <c r="X12" s="265">
        <v>45</v>
      </c>
      <c r="Y12" s="106">
        <f t="shared" ref="Y12:Y13" si="10">SUM(W12:X12)</f>
        <v>122</v>
      </c>
      <c r="Z12" s="107" t="str">
        <f t="shared" ref="Z12:Z13" si="11"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A</v>
      </c>
      <c r="AA12" s="265">
        <v>40</v>
      </c>
      <c r="AB12" s="265">
        <v>43</v>
      </c>
      <c r="AC12" s="106">
        <f t="shared" ref="AC12:AC13" si="12">SUM(AA12:AB12)</f>
        <v>83</v>
      </c>
      <c r="AD12" s="107" t="str">
        <f t="shared" ref="AD12:AD13" si="13"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105">
        <v>38</v>
      </c>
      <c r="AF12" s="106">
        <f t="shared" ref="AF12:AF13" si="14">SUM(AE12)</f>
        <v>38</v>
      </c>
      <c r="AG12" s="106" t="str">
        <f t="shared" ref="AG12:AG13" si="15">IF(ISBLANK(AF12),"",IF(ISTEXT(AF12),AF12,IF(AF12&gt;=0.9*AF$10,"O",IF(AF12&gt;=0.85*AF$10,"A+",IF(AF12&gt;=0.8*AF$10,"A",IF(AF12&gt;=0.7*AF$10,"B",IF(AF12&gt;=0.6*AF$10,"C",IF(AF12&gt;=0.5*AF$10,"P",IF(AF12&lt;0.5*AF$10,"F",AF12)))))))))</f>
        <v>B</v>
      </c>
      <c r="AH12" s="265">
        <v>22</v>
      </c>
      <c r="AI12" s="265">
        <v>24</v>
      </c>
      <c r="AJ12" s="106">
        <f t="shared" ref="AJ12:AJ13" si="16">SUM(AH12:AI12)</f>
        <v>46</v>
      </c>
      <c r="AK12" s="107" t="str">
        <f t="shared" ref="AK12:AK13" si="17">IF(ISTEXT(AH12),IF(AH12="A","Ab",IF(AH12="D","Dt",IF(AH12="UFM","UFM",IF(AH12="NA","")))),IF(AND(ISBLANK(AH12),ISBLANK(AJ12)),"",IF(AH12&lt;0.4*AH$10,"F",IF(ISBLANK(AJ12),"",IF(ISTEXT(AJ12),AJ12,IF(AJ12&gt;=0.9*AJ$10,"O",IF(AJ12&gt;=0.85*AJ$10,"A+",IF(AJ12&gt;=0.8*AJ$10,"A",IF(AJ12&gt;=0.7*AJ$10,"B",IF(AJ12&gt;=0.6*AJ$10,"C",IF(AJ12&gt;=0.5*AJ$10,"P",IF(AJ12&lt;0.5*AJ$10,"F",AJ12))))))))))))</f>
        <v>O</v>
      </c>
      <c r="AL12" s="265">
        <v>21</v>
      </c>
      <c r="AM12" s="265">
        <v>22</v>
      </c>
      <c r="AN12" s="106">
        <f t="shared" ref="AN12:AN13" si="18">SUM(AL12:AM12)</f>
        <v>43</v>
      </c>
      <c r="AO12" s="107" t="str">
        <f t="shared" ref="AO12:AO13" si="19">IF(ISTEXT(AL12),IF(AL12="A","Ab",IF(AL12="D","Dt",IF(AL12="UFM","UFM",IF(AL12="NA","")))),IF(AND(ISBLANK(AL12),ISBLANK(AN12)),"",IF(AL12&lt;0.4*AL$10,"F",IF(ISBLANK(AN12),"",IF(ISTEXT(AN12),AN12,IF(AN12&gt;=0.9*AN$10,"O",IF(AN12&gt;=0.85*AN$10,"A+",IF(AN12&gt;=0.8*AN$10,"A",IF(AN12&gt;=0.7*AN$10,"B",IF(AN12&gt;=0.6*AN$10,"C",IF(AN12&gt;=0.5*AN$10,"P",IF(AN12&lt;0.5*AN$10,"F",AN12))))))))))))</f>
        <v>A+</v>
      </c>
      <c r="AP12" s="100">
        <f t="shared" ref="AP12:AP13" si="20">SUM(AN12,AJ12,AC12,Y12,U12,Q12,M12,I12)</f>
        <v>708</v>
      </c>
      <c r="AQ12" s="108">
        <f t="shared" ref="AQ12:AQ13" ca="1" si="21">BJ12/$AP$8</f>
        <v>7.1363636363636367</v>
      </c>
      <c r="AR12" s="108">
        <f t="shared" ref="AR12:AR13" ca="1" si="22">AQ12</f>
        <v>7.1363636363636367</v>
      </c>
      <c r="AS12" s="106">
        <f t="shared" ref="AS12:AS13" ca="1" si="23">SUMIF(BA12:BI12,"&gt;0",$BA$10:$BI$10)</f>
        <v>22</v>
      </c>
      <c r="AT12" s="19" t="str">
        <f t="shared" ref="AT12" si="24">IF(OR(J12=$AX$19,N12=$AX$19,R12=$AX$19, V12=$AX$19, Z12=$AX$19, AD12=$AX$19, AG12=$AX$19, AK12=$AX$19, AO12=$AX$19), "CARRY OVER", "PASS")</f>
        <v>PASS</v>
      </c>
      <c r="AU12" s="18" t="str">
        <f t="shared" ref="AU12" si="25">IF(AT12="CARRY OVER",_xlfn.TEXTJOIN(" ", TRUE, "BACK IN:",  IF(J12=$AX$19, $G$5, ""), IF(N12=$AX$19, $K$5, ""),IF(R12=$AX$19, $O$5, ""),IF(V12=$AX$19, $S$5, ""),IF(Z12=$AX$19, $W$5, ""), IF(AD12=$AX$19, $AA$5, ""),IF(AG12=$AX$19, $AE$5, ""),IF(AK12=$AX$19, $AH$5, ""),IF(AO12=$AX$19, $AL$5, "")), " ")</f>
        <v xml:space="preserve"> </v>
      </c>
      <c r="AV12" s="106">
        <f t="shared" ref="AV12:AV13" ca="1" si="26">AS12</f>
        <v>22</v>
      </c>
      <c r="AX12" s="109" t="s">
        <v>34</v>
      </c>
      <c r="AY12" s="101" t="s">
        <v>35</v>
      </c>
      <c r="AZ12" s="91"/>
      <c r="BA12" s="110">
        <f t="shared" ref="BA12:BA13" ca="1" si="27">INDEX($AY$13:$AY$23,MATCH(INDIRECT(ADDRESS(ROW($J12),COLUMN($J12)+(COLUMN(J12)-10)*4,1)),$AX$13:$AX$23,0))</f>
        <v>6</v>
      </c>
      <c r="BB12" s="110">
        <f t="shared" ref="BB12:BB13" ca="1" si="28">INDEX($AY$13:$AY$23,MATCH(INDIRECT(ADDRESS(ROW($J12),COLUMN($J12)+(COLUMN(K12)-10)*4,1)),$AX$13:$AX$23,0))</f>
        <v>7</v>
      </c>
      <c r="BC12" s="110">
        <f t="shared" ref="BC12:BC13" ca="1" si="29">INDEX($AY$13:$AY$23,MATCH(INDIRECT(ADDRESS(ROW($J12),COLUMN($J12)+(COLUMN(L12)-10)*4,1)),$AX$13:$AX$23,0))</f>
        <v>7</v>
      </c>
      <c r="BD12" s="110">
        <f t="shared" ref="BD12:BD13" ca="1" si="30">INDEX($AY$13:$AY$23,MATCH(INDIRECT(ADDRESS(ROW($J12),COLUMN($J12)+(COLUMN(M12)-10)*4,1)),$AX$13:$AX$23,0))</f>
        <v>6</v>
      </c>
      <c r="BE12" s="110">
        <f t="shared" ref="BE12:BE13" ca="1" si="31">INDEX($AY$13:$AY$23,MATCH(INDIRECT(ADDRESS(ROW($J12),COLUMN($J12)+(COLUMN(N12)-10)*4,1)),$AX$13:$AX$23,0))</f>
        <v>8</v>
      </c>
      <c r="BF12" s="110">
        <f t="shared" ref="BF12:BF13" ca="1" si="32">INDEX($AY$13:$AY$23,MATCH(INDIRECT(ADDRESS(ROW($J12),COLUMN($J12)+(COLUMN(O12)-10)*4,1)),$AX$13:$AX$23,0))</f>
        <v>8</v>
      </c>
      <c r="BG12" s="110">
        <f t="shared" ref="BG12:BG13" ca="1" si="33">INDEX($AY$13:$AY$23,MATCH(INDIRECT(ADDRESS(ROW($J12),COLUMN($J12)+(COLUMN(P12)-10)*4-1,1)),$AX$13:$AX$23,0))</f>
        <v>7</v>
      </c>
      <c r="BH12" s="110">
        <f t="shared" ref="BH12:BH13" ca="1" si="34">INDEX($AY$13:$AY$23,MATCH(INDIRECT(ADDRESS(ROW($J12),COLUMN($J12)+(COLUMN(Q12)-10)*4-1,1)),$AX$13:$AX$23,0))</f>
        <v>10</v>
      </c>
      <c r="BI12" s="110">
        <f t="shared" ref="BI12:BI13" ca="1" si="35">INDEX($AY$13:$AY$23,MATCH(INDIRECT(ADDRESS(ROW($J12),COLUMN($J12)+(COLUMN(R12)-10)*4-1,1)),$AX$13:$AX$23,0))</f>
        <v>9</v>
      </c>
      <c r="BJ12" s="110">
        <f t="shared" ref="BJ12:BJ13" ca="1" si="36">SUMPRODUCT(BA12:BI12,$BA$10:$BI$10)</f>
        <v>157</v>
      </c>
    </row>
    <row r="13" spans="1:62" s="115" customFormat="1" ht="131" customHeight="1" x14ac:dyDescent="0.2">
      <c r="A13" s="112">
        <v>3</v>
      </c>
      <c r="B13" s="77"/>
      <c r="C13" s="50"/>
      <c r="D13" s="51"/>
      <c r="E13" s="52"/>
      <c r="F13" s="52"/>
      <c r="G13" s="113"/>
      <c r="H13" s="113"/>
      <c r="I13" s="93"/>
      <c r="J13" s="96"/>
      <c r="K13" s="113"/>
      <c r="L13" s="113"/>
      <c r="M13" s="93"/>
      <c r="N13" s="96"/>
      <c r="O13" s="114"/>
      <c r="P13" s="114"/>
      <c r="Q13" s="93"/>
      <c r="R13" s="96"/>
      <c r="S13" s="114"/>
      <c r="T13" s="114"/>
      <c r="U13" s="93"/>
      <c r="V13" s="96"/>
      <c r="W13" s="114"/>
      <c r="X13" s="114"/>
      <c r="Y13" s="93"/>
      <c r="Z13" s="96"/>
      <c r="AA13" s="114"/>
      <c r="AB13" s="114"/>
      <c r="AC13" s="93"/>
      <c r="AD13" s="96"/>
      <c r="AE13" s="114"/>
      <c r="AF13" s="93"/>
      <c r="AG13" s="93"/>
      <c r="AH13" s="114"/>
      <c r="AI13" s="114"/>
      <c r="AJ13" s="93"/>
      <c r="AK13" s="96"/>
      <c r="AL13" s="114"/>
      <c r="AM13" s="114"/>
      <c r="AN13" s="93"/>
      <c r="AO13" s="96"/>
      <c r="AP13" s="95"/>
      <c r="AQ13" s="94"/>
      <c r="AR13" s="94"/>
      <c r="AS13" s="93"/>
      <c r="AT13" s="93"/>
      <c r="AU13" s="93"/>
      <c r="AV13" s="93"/>
      <c r="AX13" s="92" t="s">
        <v>36</v>
      </c>
      <c r="AY13" s="92">
        <v>10</v>
      </c>
      <c r="AZ13" s="116"/>
      <c r="BA13" s="92"/>
      <c r="BB13" s="92"/>
      <c r="BC13" s="92"/>
      <c r="BD13" s="92"/>
      <c r="BE13" s="92"/>
      <c r="BF13" s="92"/>
      <c r="BG13" s="92"/>
      <c r="BH13" s="92"/>
      <c r="BI13" s="92"/>
      <c r="BJ13" s="92"/>
    </row>
    <row r="14" spans="1:62" ht="43.5" customHeight="1" x14ac:dyDescent="0.2">
      <c r="A14" s="88"/>
      <c r="B14" s="89"/>
      <c r="C14" s="89"/>
      <c r="D14" s="89"/>
      <c r="E14" s="88"/>
      <c r="F14" s="88"/>
      <c r="G14" s="87"/>
      <c r="H14" s="87"/>
      <c r="I14" s="86"/>
      <c r="J14" s="86"/>
      <c r="K14" s="87"/>
      <c r="L14" s="87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90"/>
      <c r="AV14" s="90"/>
      <c r="AX14" s="111" t="s">
        <v>37</v>
      </c>
      <c r="AY14" s="111">
        <v>9</v>
      </c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</row>
    <row r="15" spans="1:62" ht="43.5" customHeight="1" x14ac:dyDescent="0.2">
      <c r="A15" s="88"/>
      <c r="B15" s="89"/>
      <c r="C15" s="89"/>
      <c r="D15" s="89"/>
      <c r="E15" s="88"/>
      <c r="F15" s="88"/>
      <c r="G15" s="87"/>
      <c r="H15" s="87"/>
      <c r="I15" s="86"/>
      <c r="J15" s="86"/>
      <c r="K15" s="87"/>
      <c r="L15" s="87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90"/>
      <c r="AV15" s="90"/>
      <c r="AX15" s="92" t="s">
        <v>38</v>
      </c>
      <c r="AY15" s="92">
        <v>8</v>
      </c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</row>
    <row r="16" spans="1:62" ht="43.5" customHeight="1" x14ac:dyDescent="0.2">
      <c r="A16" s="88"/>
      <c r="B16" s="89"/>
      <c r="C16" s="89"/>
      <c r="D16" s="89"/>
      <c r="E16" s="88"/>
      <c r="F16" s="88"/>
      <c r="G16" s="87"/>
      <c r="H16" s="87"/>
      <c r="I16" s="86"/>
      <c r="J16" s="86"/>
      <c r="K16" s="87"/>
      <c r="L16" s="87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90"/>
      <c r="AV16" s="90"/>
      <c r="AX16" s="92" t="s">
        <v>39</v>
      </c>
      <c r="AY16" s="92">
        <v>7</v>
      </c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</row>
    <row r="17" spans="1:62" ht="43.5" customHeight="1" x14ac:dyDescent="0.2">
      <c r="A17" s="88"/>
      <c r="B17" s="89"/>
      <c r="C17" s="89"/>
      <c r="D17" s="89"/>
      <c r="E17" s="88"/>
      <c r="F17" s="88"/>
      <c r="G17" s="87"/>
      <c r="H17" s="87"/>
      <c r="I17" s="86"/>
      <c r="J17" s="86"/>
      <c r="K17" s="87"/>
      <c r="L17" s="87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90"/>
      <c r="AV17" s="90"/>
      <c r="AX17" s="92" t="s">
        <v>40</v>
      </c>
      <c r="AY17" s="92">
        <v>6</v>
      </c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</row>
    <row r="18" spans="1:62" ht="43.5" customHeight="1" x14ac:dyDescent="0.2">
      <c r="A18" s="88"/>
      <c r="B18" s="89"/>
      <c r="C18" s="89"/>
      <c r="D18" s="89"/>
      <c r="E18" s="88"/>
      <c r="F18" s="88"/>
      <c r="G18" s="87"/>
      <c r="H18" s="87"/>
      <c r="I18" s="86"/>
      <c r="J18" s="86"/>
      <c r="K18" s="87"/>
      <c r="L18" s="87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90"/>
      <c r="AV18" s="90"/>
      <c r="AX18" s="92" t="s">
        <v>41</v>
      </c>
      <c r="AY18" s="92">
        <v>5</v>
      </c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</row>
    <row r="19" spans="1:62" ht="43.5" customHeight="1" x14ac:dyDescent="0.2">
      <c r="A19" s="88"/>
      <c r="B19" s="89"/>
      <c r="C19" s="89"/>
      <c r="D19" s="89"/>
      <c r="E19" s="88"/>
      <c r="F19" s="88"/>
      <c r="G19" s="87"/>
      <c r="H19" s="87"/>
      <c r="I19" s="86"/>
      <c r="J19" s="86"/>
      <c r="K19" s="87"/>
      <c r="L19" s="87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90"/>
      <c r="AV19" s="90"/>
      <c r="AX19" s="92" t="s">
        <v>42</v>
      </c>
      <c r="AY19" s="92">
        <v>0</v>
      </c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</row>
    <row r="20" spans="1:62" ht="43.5" customHeight="1" x14ac:dyDescent="0.2">
      <c r="A20" s="88"/>
      <c r="B20" s="89"/>
      <c r="C20" s="89"/>
      <c r="D20" s="89"/>
      <c r="E20" s="88"/>
      <c r="F20" s="88"/>
      <c r="G20" s="87"/>
      <c r="H20" s="87"/>
      <c r="I20" s="86"/>
      <c r="J20" s="86"/>
      <c r="K20" s="87"/>
      <c r="L20" s="87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90"/>
      <c r="AV20" s="90"/>
      <c r="AX20" s="92" t="s">
        <v>43</v>
      </c>
      <c r="AY20" s="92">
        <v>0</v>
      </c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</row>
    <row r="21" spans="1:62" ht="43.5" customHeight="1" x14ac:dyDescent="0.2">
      <c r="A21" s="88"/>
      <c r="B21" s="89"/>
      <c r="C21" s="89"/>
      <c r="D21" s="89"/>
      <c r="E21" s="88"/>
      <c r="F21" s="88"/>
      <c r="G21" s="87"/>
      <c r="H21" s="87"/>
      <c r="I21" s="86"/>
      <c r="J21" s="86"/>
      <c r="K21" s="87"/>
      <c r="L21" s="87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90"/>
      <c r="AV21" s="90"/>
      <c r="AX21" s="92" t="s">
        <v>44</v>
      </c>
      <c r="AY21" s="92">
        <v>0</v>
      </c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</row>
    <row r="22" spans="1:62" ht="43.5" customHeight="1" x14ac:dyDescent="0.2">
      <c r="A22" s="88"/>
      <c r="B22" s="89"/>
      <c r="C22" s="89"/>
      <c r="D22" s="89"/>
      <c r="E22" s="88"/>
      <c r="F22" s="88"/>
      <c r="G22" s="87"/>
      <c r="H22" s="87"/>
      <c r="I22" s="86"/>
      <c r="J22" s="86"/>
      <c r="K22" s="87"/>
      <c r="L22" s="87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90"/>
      <c r="AV22" s="90"/>
      <c r="AX22" s="92" t="s">
        <v>45</v>
      </c>
      <c r="AY22" s="92">
        <v>0</v>
      </c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</row>
    <row r="23" spans="1:62" ht="43.5" customHeight="1" x14ac:dyDescent="0.2">
      <c r="A23" s="88"/>
      <c r="B23" s="89"/>
      <c r="C23" s="89"/>
      <c r="D23" s="89"/>
      <c r="E23" s="88"/>
      <c r="F23" s="88"/>
      <c r="G23" s="87"/>
      <c r="H23" s="87"/>
      <c r="I23" s="86"/>
      <c r="J23" s="86"/>
      <c r="K23" s="87"/>
      <c r="L23" s="87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90"/>
      <c r="AV23" s="90"/>
      <c r="AX23" s="92" t="str">
        <f>""</f>
        <v/>
      </c>
      <c r="AY23" s="92" t="str">
        <f>""</f>
        <v/>
      </c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</row>
    <row r="24" spans="1:62" ht="43.5" customHeight="1" x14ac:dyDescent="0.2">
      <c r="A24" s="88"/>
      <c r="B24" s="89"/>
      <c r="C24" s="89"/>
      <c r="D24" s="89"/>
      <c r="E24" s="88"/>
      <c r="F24" s="88"/>
      <c r="G24" s="87"/>
      <c r="H24" s="87"/>
      <c r="I24" s="86"/>
      <c r="J24" s="86"/>
      <c r="K24" s="87"/>
      <c r="L24" s="87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</row>
    <row r="25" spans="1:62" ht="43.5" customHeight="1" x14ac:dyDescent="0.2">
      <c r="A25" s="88"/>
      <c r="B25" s="89"/>
      <c r="C25" s="89"/>
      <c r="D25" s="89"/>
      <c r="E25" s="88"/>
      <c r="F25" s="88"/>
      <c r="G25" s="87"/>
      <c r="H25" s="87"/>
      <c r="I25" s="86"/>
      <c r="J25" s="86"/>
      <c r="K25" s="87"/>
      <c r="L25" s="87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90"/>
      <c r="AV25" s="90"/>
    </row>
    <row r="26" spans="1:62" ht="43.5" customHeight="1" x14ac:dyDescent="0.2">
      <c r="A26" s="88"/>
      <c r="B26" s="89"/>
      <c r="C26" s="89"/>
      <c r="D26" s="89"/>
      <c r="E26" s="88"/>
      <c r="F26" s="88"/>
      <c r="G26" s="87"/>
      <c r="H26" s="87"/>
      <c r="I26" s="86"/>
      <c r="J26" s="86"/>
      <c r="K26" s="87"/>
      <c r="L26" s="87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90"/>
      <c r="AV26" s="90"/>
    </row>
    <row r="27" spans="1:62" ht="43.5" customHeight="1" x14ac:dyDescent="0.2">
      <c r="A27" s="88"/>
      <c r="B27" s="89"/>
      <c r="C27" s="89"/>
      <c r="D27" s="89"/>
      <c r="E27" s="88"/>
      <c r="F27" s="88"/>
      <c r="G27" s="87"/>
      <c r="H27" s="87"/>
      <c r="I27" s="86"/>
      <c r="J27" s="86"/>
      <c r="K27" s="87"/>
      <c r="L27" s="87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90"/>
      <c r="AV27" s="90"/>
    </row>
    <row r="28" spans="1:62" ht="43.5" customHeight="1" x14ac:dyDescent="0.2">
      <c r="A28" s="88"/>
      <c r="B28" s="89"/>
      <c r="C28" s="89"/>
      <c r="D28" s="89"/>
      <c r="E28" s="88"/>
      <c r="F28" s="88"/>
      <c r="G28" s="87"/>
      <c r="H28" s="87"/>
      <c r="I28" s="86"/>
      <c r="J28" s="86"/>
      <c r="K28" s="87"/>
      <c r="L28" s="87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90"/>
      <c r="AV28" s="90"/>
    </row>
    <row r="29" spans="1:62" ht="43.5" customHeight="1" x14ac:dyDescent="0.2">
      <c r="A29" s="88"/>
      <c r="B29" s="89"/>
      <c r="C29" s="89"/>
      <c r="D29" s="89"/>
      <c r="E29" s="88"/>
      <c r="F29" s="88"/>
      <c r="G29" s="87"/>
      <c r="H29" s="87"/>
      <c r="I29" s="86"/>
      <c r="J29" s="86"/>
      <c r="K29" s="87"/>
      <c r="L29" s="87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90"/>
      <c r="AV29" s="90"/>
    </row>
    <row r="30" spans="1:62" ht="43.5" customHeight="1" x14ac:dyDescent="0.2">
      <c r="A30" s="88"/>
      <c r="B30" s="89"/>
      <c r="C30" s="89"/>
      <c r="D30" s="89"/>
      <c r="E30" s="88"/>
      <c r="F30" s="88"/>
      <c r="G30" s="87"/>
      <c r="H30" s="87"/>
      <c r="I30" s="86"/>
      <c r="J30" s="86"/>
      <c r="K30" s="87"/>
      <c r="L30" s="87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90"/>
      <c r="AV30" s="90"/>
    </row>
    <row r="31" spans="1:62" ht="43.5" customHeight="1" x14ac:dyDescent="0.2">
      <c r="A31" s="88"/>
      <c r="B31" s="89"/>
      <c r="C31" s="89"/>
      <c r="D31" s="89"/>
      <c r="E31" s="88"/>
      <c r="F31" s="88"/>
      <c r="G31" s="87"/>
      <c r="H31" s="87"/>
      <c r="I31" s="86"/>
      <c r="J31" s="86"/>
      <c r="K31" s="87"/>
      <c r="L31" s="87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0"/>
      <c r="AV31" s="80"/>
    </row>
    <row r="32" spans="1:62" ht="43.5" customHeight="1" x14ac:dyDescent="0.2">
      <c r="A32" s="88"/>
      <c r="B32" s="89"/>
      <c r="C32" s="89"/>
      <c r="D32" s="89"/>
      <c r="E32" s="88"/>
      <c r="F32" s="88"/>
      <c r="G32" s="87"/>
      <c r="H32" s="87"/>
      <c r="I32" s="86"/>
      <c r="J32" s="86"/>
      <c r="K32" s="87"/>
      <c r="L32" s="87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0"/>
      <c r="AV32" s="80"/>
    </row>
    <row r="33" spans="1:48" ht="43.5" customHeight="1" x14ac:dyDescent="0.2">
      <c r="A33" s="88"/>
      <c r="B33" s="89"/>
      <c r="C33" s="89"/>
      <c r="D33" s="89"/>
      <c r="E33" s="88"/>
      <c r="F33" s="88"/>
      <c r="G33" s="87"/>
      <c r="H33" s="87"/>
      <c r="I33" s="86"/>
      <c r="J33" s="86"/>
      <c r="K33" s="87"/>
      <c r="L33" s="87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0"/>
      <c r="AV33" s="80"/>
    </row>
    <row r="34" spans="1:48" ht="43.5" customHeight="1" x14ac:dyDescent="0.2">
      <c r="A34" s="88"/>
      <c r="B34" s="89"/>
      <c r="C34" s="89"/>
      <c r="D34" s="89"/>
      <c r="E34" s="88"/>
      <c r="F34" s="88"/>
      <c r="G34" s="87"/>
      <c r="H34" s="87"/>
      <c r="I34" s="86"/>
      <c r="J34" s="86"/>
      <c r="K34" s="87"/>
      <c r="L34" s="87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0"/>
      <c r="AV34" s="80"/>
    </row>
    <row r="35" spans="1:48" ht="43.5" customHeight="1" x14ac:dyDescent="0.2">
      <c r="A35" s="88"/>
      <c r="B35" s="89"/>
      <c r="C35" s="89"/>
      <c r="D35" s="89"/>
      <c r="E35" s="88"/>
      <c r="F35" s="88"/>
      <c r="G35" s="87"/>
      <c r="H35" s="87"/>
      <c r="I35" s="86"/>
      <c r="J35" s="86"/>
      <c r="K35" s="87"/>
      <c r="L35" s="87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0"/>
      <c r="AV35" s="80"/>
    </row>
    <row r="36" spans="1:48" ht="43.5" customHeight="1" x14ac:dyDescent="0.2">
      <c r="A36" s="88"/>
      <c r="B36" s="89"/>
      <c r="C36" s="89"/>
      <c r="D36" s="89"/>
      <c r="E36" s="88"/>
      <c r="F36" s="88"/>
      <c r="G36" s="87"/>
      <c r="H36" s="87"/>
      <c r="I36" s="86"/>
      <c r="J36" s="86"/>
      <c r="K36" s="87"/>
      <c r="L36" s="87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0"/>
      <c r="AV36" s="80"/>
    </row>
    <row r="37" spans="1:48" ht="43.5" customHeight="1" x14ac:dyDescent="0.2">
      <c r="A37" s="80"/>
      <c r="B37" s="82"/>
      <c r="C37" s="82"/>
      <c r="D37" s="82"/>
      <c r="E37" s="80"/>
      <c r="F37" s="80"/>
      <c r="G37" s="80"/>
      <c r="H37" s="80"/>
      <c r="I37" s="81"/>
      <c r="J37" s="81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6"/>
      <c r="AM37" s="86"/>
      <c r="AN37" s="86"/>
      <c r="AO37" s="86"/>
      <c r="AP37" s="80"/>
      <c r="AQ37" s="80"/>
      <c r="AR37" s="80"/>
      <c r="AS37" s="80"/>
      <c r="AT37" s="80"/>
      <c r="AU37" s="80"/>
      <c r="AV37" s="80"/>
    </row>
    <row r="38" spans="1:48" ht="43.5" customHeight="1" x14ac:dyDescent="0.2">
      <c r="A38" s="80"/>
      <c r="B38" s="85"/>
      <c r="C38" s="85"/>
      <c r="D38" s="85"/>
      <c r="E38" s="80"/>
      <c r="F38" s="80"/>
      <c r="G38" s="80"/>
      <c r="H38" s="80"/>
      <c r="I38" s="81"/>
      <c r="J38" s="81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</row>
    <row r="39" spans="1:48" ht="43.5" customHeight="1" x14ac:dyDescent="0.15">
      <c r="A39" s="80"/>
      <c r="B39" s="82"/>
      <c r="C39" s="82"/>
      <c r="D39" s="82"/>
      <c r="E39" s="80"/>
      <c r="F39" s="80"/>
      <c r="G39" s="80"/>
      <c r="H39" s="80"/>
      <c r="I39" s="81"/>
      <c r="J39" s="81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</row>
    <row r="40" spans="1:48" ht="43.5" customHeight="1" x14ac:dyDescent="0.15">
      <c r="A40" s="80"/>
      <c r="B40" s="82"/>
      <c r="C40" s="82"/>
      <c r="D40" s="82"/>
      <c r="E40" s="80"/>
      <c r="F40" s="80"/>
      <c r="G40" s="80"/>
      <c r="H40" s="80"/>
      <c r="I40" s="81"/>
      <c r="J40" s="81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</row>
    <row r="41" spans="1:48" ht="43.5" customHeight="1" x14ac:dyDescent="0.15">
      <c r="A41" s="80"/>
      <c r="B41" s="82"/>
      <c r="C41" s="82"/>
      <c r="D41" s="82"/>
      <c r="E41" s="80"/>
      <c r="F41" s="80"/>
      <c r="G41" s="80"/>
      <c r="H41" s="80"/>
      <c r="I41" s="81"/>
      <c r="J41" s="81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</row>
    <row r="42" spans="1:48" ht="43.5" customHeight="1" x14ac:dyDescent="0.15">
      <c r="A42" s="80"/>
      <c r="B42" s="82"/>
      <c r="C42" s="82"/>
      <c r="D42" s="82"/>
      <c r="E42" s="80"/>
      <c r="F42" s="80"/>
      <c r="G42" s="80"/>
      <c r="H42" s="80"/>
      <c r="I42" s="81"/>
      <c r="J42" s="81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</row>
    <row r="43" spans="1:48" ht="43.5" customHeight="1" x14ac:dyDescent="0.15">
      <c r="A43" s="80"/>
      <c r="B43" s="84"/>
      <c r="C43" s="84"/>
      <c r="D43" s="84"/>
      <c r="E43" s="78"/>
      <c r="F43" s="83"/>
      <c r="G43" s="78"/>
      <c r="H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</row>
    <row r="44" spans="1:48" ht="43.5" customHeight="1" x14ac:dyDescent="0.15">
      <c r="A44" s="80"/>
      <c r="B44" s="82"/>
      <c r="C44" s="82"/>
      <c r="D44" s="82"/>
      <c r="E44" s="80"/>
      <c r="F44" s="80"/>
      <c r="G44" s="80"/>
      <c r="H44" s="80"/>
      <c r="I44" s="81"/>
      <c r="J44" s="81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78"/>
      <c r="AM44" s="78"/>
      <c r="AN44" s="78"/>
      <c r="AO44" s="78"/>
      <c r="AP44" s="80"/>
      <c r="AQ44" s="80"/>
      <c r="AR44" s="80"/>
      <c r="AS44" s="80"/>
      <c r="AT44" s="80"/>
      <c r="AU44" s="80"/>
      <c r="AV44" s="80"/>
    </row>
    <row r="45" spans="1:48" ht="43.5" customHeight="1" x14ac:dyDescent="0.15">
      <c r="A45" s="80"/>
      <c r="B45" s="82"/>
      <c r="C45" s="82"/>
      <c r="D45" s="82"/>
      <c r="E45" s="80"/>
      <c r="F45" s="80"/>
      <c r="G45" s="80"/>
      <c r="H45" s="80"/>
      <c r="I45" s="81"/>
      <c r="J45" s="81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</row>
    <row r="46" spans="1:48" ht="43.5" customHeight="1" x14ac:dyDescent="0.15">
      <c r="A46" s="80"/>
      <c r="B46" s="82"/>
      <c r="C46" s="82"/>
      <c r="D46" s="82"/>
      <c r="E46" s="80"/>
      <c r="F46" s="80"/>
      <c r="G46" s="80"/>
      <c r="H46" s="80"/>
      <c r="I46" s="81"/>
      <c r="J46" s="81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</row>
    <row r="47" spans="1:48" ht="43.5" customHeight="1" x14ac:dyDescent="0.15">
      <c r="A47" s="80"/>
      <c r="B47" s="82"/>
      <c r="C47" s="82"/>
      <c r="D47" s="82"/>
      <c r="E47" s="80"/>
      <c r="F47" s="80"/>
      <c r="G47" s="80"/>
      <c r="H47" s="80"/>
      <c r="I47" s="81"/>
      <c r="J47" s="81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</row>
    <row r="48" spans="1:48" ht="43.5" customHeight="1" x14ac:dyDescent="0.15">
      <c r="A48" s="80"/>
      <c r="B48" s="82"/>
      <c r="C48" s="82"/>
      <c r="D48" s="82"/>
      <c r="E48" s="80"/>
      <c r="F48" s="80"/>
      <c r="G48" s="80"/>
      <c r="H48" s="80"/>
      <c r="I48" s="81"/>
      <c r="J48" s="81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</row>
    <row r="49" spans="1:48" ht="43.5" customHeight="1" x14ac:dyDescent="0.15">
      <c r="A49" s="80"/>
      <c r="B49" s="82"/>
      <c r="C49" s="82"/>
      <c r="D49" s="82"/>
      <c r="E49" s="80"/>
      <c r="F49" s="80"/>
      <c r="G49" s="80"/>
      <c r="H49" s="80"/>
      <c r="I49" s="81"/>
      <c r="J49" s="81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</row>
    <row r="50" spans="1:48" ht="43.5" customHeight="1" x14ac:dyDescent="0.15">
      <c r="A50" s="80"/>
      <c r="B50" s="82"/>
      <c r="C50" s="82"/>
      <c r="D50" s="82"/>
      <c r="E50" s="80"/>
      <c r="F50" s="80"/>
      <c r="G50" s="80"/>
      <c r="H50" s="80"/>
      <c r="I50" s="81"/>
      <c r="J50" s="81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</row>
    <row r="51" spans="1:48" ht="43.5" customHeight="1" x14ac:dyDescent="0.15">
      <c r="A51" s="80"/>
      <c r="B51" s="82"/>
      <c r="C51" s="82"/>
      <c r="D51" s="82"/>
      <c r="E51" s="80"/>
      <c r="F51" s="80"/>
      <c r="G51" s="80"/>
      <c r="H51" s="80"/>
      <c r="I51" s="81"/>
      <c r="J51" s="81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</row>
    <row r="52" spans="1:48" ht="43.5" customHeight="1" x14ac:dyDescent="0.15">
      <c r="A52" s="80"/>
      <c r="B52" s="82"/>
      <c r="C52" s="82"/>
      <c r="D52" s="82"/>
      <c r="E52" s="80"/>
      <c r="F52" s="80"/>
      <c r="G52" s="80"/>
      <c r="H52" s="80"/>
      <c r="I52" s="81"/>
      <c r="J52" s="81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</row>
    <row r="53" spans="1:48" ht="43.5" customHeight="1" x14ac:dyDescent="0.15">
      <c r="A53" s="80"/>
      <c r="B53" s="82"/>
      <c r="C53" s="82"/>
      <c r="D53" s="82"/>
      <c r="E53" s="80"/>
      <c r="F53" s="80"/>
      <c r="G53" s="80"/>
      <c r="H53" s="80"/>
      <c r="I53" s="81"/>
      <c r="J53" s="81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</row>
    <row r="54" spans="1:48" ht="43.5" customHeight="1" x14ac:dyDescent="0.15">
      <c r="A54" s="80"/>
      <c r="B54" s="82"/>
      <c r="C54" s="82"/>
      <c r="D54" s="82"/>
      <c r="E54" s="80"/>
      <c r="F54" s="80"/>
      <c r="G54" s="80"/>
      <c r="H54" s="80"/>
      <c r="I54" s="81"/>
      <c r="J54" s="81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</row>
    <row r="55" spans="1:48" ht="43.5" customHeight="1" x14ac:dyDescent="0.15">
      <c r="A55" s="80"/>
      <c r="B55" s="82"/>
      <c r="C55" s="82"/>
      <c r="D55" s="82"/>
      <c r="E55" s="80"/>
      <c r="F55" s="80"/>
      <c r="G55" s="80"/>
      <c r="H55" s="80"/>
      <c r="I55" s="81"/>
      <c r="J55" s="81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</row>
    <row r="56" spans="1:48" ht="43.5" customHeight="1" x14ac:dyDescent="0.15">
      <c r="A56" s="80"/>
      <c r="B56" s="82"/>
      <c r="C56" s="82"/>
      <c r="D56" s="82"/>
      <c r="E56" s="80"/>
      <c r="F56" s="80"/>
      <c r="G56" s="80"/>
      <c r="H56" s="80"/>
      <c r="I56" s="81"/>
      <c r="J56" s="81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</row>
    <row r="57" spans="1:48" ht="43.5" customHeight="1" x14ac:dyDescent="0.15">
      <c r="A57" s="80"/>
      <c r="B57" s="82"/>
      <c r="C57" s="82"/>
      <c r="D57" s="82"/>
      <c r="E57" s="80"/>
      <c r="F57" s="80"/>
      <c r="G57" s="80"/>
      <c r="H57" s="80"/>
      <c r="I57" s="81"/>
      <c r="J57" s="81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</row>
    <row r="58" spans="1:48" ht="43.5" customHeight="1" x14ac:dyDescent="0.15">
      <c r="AL58" s="80"/>
      <c r="AM58" s="80"/>
      <c r="AN58" s="80"/>
      <c r="AO58" s="80"/>
    </row>
  </sheetData>
  <mergeCells count="56">
    <mergeCell ref="BJ9:BJ10"/>
    <mergeCell ref="AD8:AD10"/>
    <mergeCell ref="AE8:AF8"/>
    <mergeCell ref="AG8:AG10"/>
    <mergeCell ref="AH8:AJ8"/>
    <mergeCell ref="AK8:AK10"/>
    <mergeCell ref="AL8:AN8"/>
    <mergeCell ref="AU4:AU10"/>
    <mergeCell ref="AV4:AV10"/>
    <mergeCell ref="AA5:AD5"/>
    <mergeCell ref="AE5:AG5"/>
    <mergeCell ref="AH5:AK5"/>
    <mergeCell ref="AL5:AO5"/>
    <mergeCell ref="AP5:AP7"/>
    <mergeCell ref="AA8:AC8"/>
    <mergeCell ref="AO8:AO10"/>
    <mergeCell ref="G8:I8"/>
    <mergeCell ref="J8:J10"/>
    <mergeCell ref="K8:M8"/>
    <mergeCell ref="N8:N10"/>
    <mergeCell ref="O8:Q8"/>
    <mergeCell ref="AP9:AP10"/>
    <mergeCell ref="BA9:BI9"/>
    <mergeCell ref="R8:R10"/>
    <mergeCell ref="S8:U8"/>
    <mergeCell ref="V8:V10"/>
    <mergeCell ref="W8:Y8"/>
    <mergeCell ref="Z8:Z10"/>
    <mergeCell ref="S5:V5"/>
    <mergeCell ref="W5:Z5"/>
    <mergeCell ref="AH6:AK6"/>
    <mergeCell ref="AL6:AO6"/>
    <mergeCell ref="G7:AO7"/>
    <mergeCell ref="W6:Z6"/>
    <mergeCell ref="AA6:AD6"/>
    <mergeCell ref="AE6:AG6"/>
    <mergeCell ref="K6:N6"/>
    <mergeCell ref="O6:R6"/>
    <mergeCell ref="S6:V6"/>
    <mergeCell ref="G6:J6"/>
    <mergeCell ref="A1:AT1"/>
    <mergeCell ref="A2:AT2"/>
    <mergeCell ref="A3:AT3"/>
    <mergeCell ref="B4:B10"/>
    <mergeCell ref="C4:C10"/>
    <mergeCell ref="D4:D10"/>
    <mergeCell ref="E4:E10"/>
    <mergeCell ref="F4:F10"/>
    <mergeCell ref="G4:AO4"/>
    <mergeCell ref="AQ4:AQ10"/>
    <mergeCell ref="AR4:AR10"/>
    <mergeCell ref="AS4:AS10"/>
    <mergeCell ref="AT4:AT10"/>
    <mergeCell ref="G5:J5"/>
    <mergeCell ref="K5:N5"/>
    <mergeCell ref="O5:R5"/>
  </mergeCells>
  <conditionalFormatting sqref="G11:G12">
    <cfRule type="cellIs" dxfId="190" priority="6" stopIfTrue="1" operator="lessThan">
      <formula>40</formula>
    </cfRule>
  </conditionalFormatting>
  <conditionalFormatting sqref="I11:I13 M11:M13 Q11:Q13 U11:U13 Y11:Y13">
    <cfRule type="cellIs" dxfId="189" priority="31" stopIfTrue="1" operator="lessThan">
      <formula>75</formula>
    </cfRule>
  </conditionalFormatting>
  <conditionalFormatting sqref="J11:J13">
    <cfRule type="containsText" dxfId="188" priority="28" operator="containsText" text="Dt">
      <formula>NOT(ISERROR(SEARCH("Dt",J11)))</formula>
    </cfRule>
    <cfRule type="containsText" dxfId="187" priority="29" operator="containsText" text="Ab">
      <formula>NOT(ISERROR(SEARCH("Ab",J11)))</formula>
    </cfRule>
    <cfRule type="containsText" dxfId="186" priority="30" operator="containsText" text="F">
      <formula>NOT(ISERROR(SEARCH("F",J11)))</formula>
    </cfRule>
  </conditionalFormatting>
  <conditionalFormatting sqref="K11:K12">
    <cfRule type="cellIs" dxfId="185" priority="5" stopIfTrue="1" operator="lessThan">
      <formula>40</formula>
    </cfRule>
  </conditionalFormatting>
  <conditionalFormatting sqref="N11:N13">
    <cfRule type="containsText" dxfId="184" priority="25" operator="containsText" text="Dt">
      <formula>NOT(ISERROR(SEARCH("Dt",N11)))</formula>
    </cfRule>
    <cfRule type="containsText" dxfId="183" priority="26" operator="containsText" text="Ab">
      <formula>NOT(ISERROR(SEARCH("Ab",N11)))</formula>
    </cfRule>
    <cfRule type="containsText" dxfId="182" priority="27" operator="containsText" text="F">
      <formula>NOT(ISERROR(SEARCH("F",N11)))</formula>
    </cfRule>
  </conditionalFormatting>
  <conditionalFormatting sqref="O11:O12">
    <cfRule type="cellIs" dxfId="181" priority="4" stopIfTrue="1" operator="lessThan">
      <formula>40</formula>
    </cfRule>
  </conditionalFormatting>
  <conditionalFormatting sqref="R11:R13">
    <cfRule type="containsText" dxfId="180" priority="22" operator="containsText" text="Dt">
      <formula>NOT(ISERROR(SEARCH("Dt",R11)))</formula>
    </cfRule>
    <cfRule type="containsText" dxfId="179" priority="23" operator="containsText" text="Ab">
      <formula>NOT(ISERROR(SEARCH("Ab",R11)))</formula>
    </cfRule>
    <cfRule type="containsText" dxfId="178" priority="24" operator="containsText" text="F">
      <formula>NOT(ISERROR(SEARCH("F",R11)))</formula>
    </cfRule>
  </conditionalFormatting>
  <conditionalFormatting sqref="S11:S12">
    <cfRule type="cellIs" dxfId="177" priority="3" stopIfTrue="1" operator="lessThan">
      <formula>40</formula>
    </cfRule>
  </conditionalFormatting>
  <conditionalFormatting sqref="V11:V13">
    <cfRule type="containsText" dxfId="176" priority="19" operator="containsText" text="Dt">
      <formula>NOT(ISERROR(SEARCH("Dt",V11)))</formula>
    </cfRule>
    <cfRule type="containsText" dxfId="175" priority="20" operator="containsText" text="Ab">
      <formula>NOT(ISERROR(SEARCH("Ab",V11)))</formula>
    </cfRule>
    <cfRule type="containsText" dxfId="174" priority="21" operator="containsText" text="F">
      <formula>NOT(ISERROR(SEARCH("F",V11)))</formula>
    </cfRule>
  </conditionalFormatting>
  <conditionalFormatting sqref="Z11:Z13">
    <cfRule type="containsText" dxfId="173" priority="16" operator="containsText" text="Dt">
      <formula>NOT(ISERROR(SEARCH("Dt",Z11)))</formula>
    </cfRule>
    <cfRule type="containsText" dxfId="172" priority="17" operator="containsText" text="Ab">
      <formula>NOT(ISERROR(SEARCH("Ab",Z11)))</formula>
    </cfRule>
    <cfRule type="containsText" dxfId="171" priority="18" operator="containsText" text="F">
      <formula>NOT(ISERROR(SEARCH("F",Z11)))</formula>
    </cfRule>
  </conditionalFormatting>
  <conditionalFormatting sqref="AD11:AD13">
    <cfRule type="containsText" dxfId="170" priority="13" operator="containsText" text="Dt">
      <formula>NOT(ISERROR(SEARCH("Dt",AD11)))</formula>
    </cfRule>
    <cfRule type="containsText" dxfId="169" priority="14" operator="containsText" text="Ab">
      <formula>NOT(ISERROR(SEARCH("Ab",AD11)))</formula>
    </cfRule>
    <cfRule type="containsText" dxfId="168" priority="15" operator="containsText" text="F">
      <formula>NOT(ISERROR(SEARCH("F",AD11)))</formula>
    </cfRule>
  </conditionalFormatting>
  <conditionalFormatting sqref="AK11:AK13">
    <cfRule type="containsText" dxfId="167" priority="10" operator="containsText" text="Dt">
      <formula>NOT(ISERROR(SEARCH("Dt",AK11)))</formula>
    </cfRule>
    <cfRule type="containsText" dxfId="166" priority="11" operator="containsText" text="Ab">
      <formula>NOT(ISERROR(SEARCH("Ab",AK11)))</formula>
    </cfRule>
    <cfRule type="containsText" dxfId="165" priority="12" operator="containsText" text="F">
      <formula>NOT(ISERROR(SEARCH("F",AK11)))</formula>
    </cfRule>
  </conditionalFormatting>
  <conditionalFormatting sqref="AO11:AO13">
    <cfRule type="containsText" dxfId="164" priority="7" operator="containsText" text="Dt">
      <formula>NOT(ISERROR(SEARCH("Dt",AO11)))</formula>
    </cfRule>
    <cfRule type="containsText" dxfId="163" priority="8" operator="containsText" text="Ab">
      <formula>NOT(ISERROR(SEARCH("Ab",AO11)))</formula>
    </cfRule>
    <cfRule type="containsText" dxfId="162" priority="9" operator="containsText" text="F">
      <formula>NOT(ISERROR(SEARCH("F",AO11)))</formula>
    </cfRule>
  </conditionalFormatting>
  <conditionalFormatting sqref="AT11:AT12">
    <cfRule type="cellIs" dxfId="5" priority="1" operator="equal">
      <formula>"PASS"</formula>
    </cfRule>
    <cfRule type="cellIs" dxfId="4" priority="2" operator="equal">
      <formula>"CARRY OVER"</formula>
    </cfRule>
  </conditionalFormatting>
  <printOptions horizontalCentered="1"/>
  <pageMargins left="0.43307086614173229" right="0.39370078740157483" top="1.4173228346456694" bottom="3.3070866141732287" header="1.1023622047244095" footer="2.6377952755905514"/>
  <pageSetup paperSize="8" scale="40" orientation="landscape" r:id="rId1"/>
  <headerFooter alignWithMargins="0">
    <oddFooter>&amp;L&amp;16($) Non Credit Subject(s)  DATE: 25.07.2023                       PREPARED BY          CHECKED BY&amp;C&amp;16EXAMINATION CONTROLLER GBPIET                                  &amp;R&amp;16UTU (Conf. Section)                      CONTROLLER (UTU)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23"/>
  <sheetViews>
    <sheetView topLeftCell="AC2" zoomScale="50" zoomScaleNormal="40" workbookViewId="0">
      <selection activeCell="AT12" sqref="AT12:AU12"/>
    </sheetView>
  </sheetViews>
  <sheetFormatPr baseColWidth="10" defaultColWidth="8.83203125" defaultRowHeight="13" x14ac:dyDescent="0.15"/>
  <cols>
    <col min="2" max="2" width="29" customWidth="1"/>
    <col min="3" max="3" width="28.5" customWidth="1"/>
    <col min="4" max="4" width="25.33203125" customWidth="1"/>
    <col min="5" max="5" width="39.6640625" customWidth="1"/>
    <col min="6" max="6" width="36.5" customWidth="1"/>
    <col min="7" max="41" width="10.5" customWidth="1"/>
    <col min="42" max="45" width="20.5" customWidth="1"/>
    <col min="46" max="46" width="30.5" customWidth="1"/>
    <col min="47" max="47" width="30.83203125" customWidth="1"/>
    <col min="48" max="48" width="16.6640625" customWidth="1"/>
  </cols>
  <sheetData>
    <row r="1" spans="1:62" ht="48.75" customHeight="1" x14ac:dyDescent="0.15">
      <c r="A1" s="137" t="s">
        <v>12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</row>
    <row r="2" spans="1:62" ht="126.75" customHeight="1" x14ac:dyDescent="0.15">
      <c r="A2" s="137" t="s">
        <v>15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</row>
    <row r="3" spans="1:62" ht="126.75" customHeight="1" x14ac:dyDescent="0.15">
      <c r="A3" s="138" t="s">
        <v>134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87"/>
      <c r="AR3" s="187"/>
      <c r="AS3" s="187"/>
      <c r="AT3" s="187"/>
    </row>
    <row r="4" spans="1:62" ht="126.75" customHeight="1" x14ac:dyDescent="0.15">
      <c r="A4" s="34"/>
      <c r="B4" s="136" t="s">
        <v>7</v>
      </c>
      <c r="C4" s="136" t="s">
        <v>14</v>
      </c>
      <c r="D4" s="136" t="s">
        <v>16</v>
      </c>
      <c r="E4" s="136" t="s">
        <v>2</v>
      </c>
      <c r="F4" s="136" t="s">
        <v>1</v>
      </c>
      <c r="G4" s="129" t="s">
        <v>22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69" t="s">
        <v>5</v>
      </c>
      <c r="AQ4" s="123" t="s">
        <v>48</v>
      </c>
      <c r="AR4" s="123" t="s">
        <v>49</v>
      </c>
      <c r="AS4" s="123" t="s">
        <v>50</v>
      </c>
      <c r="AT4" s="123" t="s">
        <v>11</v>
      </c>
      <c r="AU4" s="124" t="s">
        <v>10</v>
      </c>
      <c r="AV4" s="123" t="s">
        <v>51</v>
      </c>
    </row>
    <row r="5" spans="1:62" ht="126.75" customHeight="1" x14ac:dyDescent="0.15">
      <c r="A5" s="34" t="s">
        <v>71</v>
      </c>
      <c r="B5" s="136"/>
      <c r="C5" s="136"/>
      <c r="D5" s="136"/>
      <c r="E5" s="136"/>
      <c r="F5" s="136"/>
      <c r="G5" s="129" t="s">
        <v>19</v>
      </c>
      <c r="H5" s="130"/>
      <c r="I5" s="130"/>
      <c r="J5" s="131"/>
      <c r="K5" s="129" t="s">
        <v>54</v>
      </c>
      <c r="L5" s="130"/>
      <c r="M5" s="130"/>
      <c r="N5" s="131"/>
      <c r="O5" s="129" t="s">
        <v>56</v>
      </c>
      <c r="P5" s="130"/>
      <c r="Q5" s="130"/>
      <c r="R5" s="131"/>
      <c r="S5" s="129" t="s">
        <v>119</v>
      </c>
      <c r="T5" s="130"/>
      <c r="U5" s="130"/>
      <c r="V5" s="131"/>
      <c r="W5" s="129" t="s">
        <v>143</v>
      </c>
      <c r="X5" s="130"/>
      <c r="Y5" s="130"/>
      <c r="Z5" s="131"/>
      <c r="AA5" s="129" t="s">
        <v>26</v>
      </c>
      <c r="AB5" s="130"/>
      <c r="AC5" s="130"/>
      <c r="AD5" s="131"/>
      <c r="AE5" s="129" t="s">
        <v>28</v>
      </c>
      <c r="AF5" s="130"/>
      <c r="AG5" s="131"/>
      <c r="AH5" s="129" t="s">
        <v>58</v>
      </c>
      <c r="AI5" s="130"/>
      <c r="AJ5" s="130"/>
      <c r="AK5" s="131"/>
      <c r="AL5" s="135" t="s">
        <v>60</v>
      </c>
      <c r="AM5" s="135"/>
      <c r="AN5" s="135"/>
      <c r="AO5" s="135"/>
      <c r="AP5" s="170"/>
      <c r="AQ5" s="123"/>
      <c r="AR5" s="123"/>
      <c r="AS5" s="123"/>
      <c r="AT5" s="123"/>
      <c r="AU5" s="124"/>
      <c r="AV5" s="123"/>
    </row>
    <row r="6" spans="1:62" ht="221.25" customHeight="1" x14ac:dyDescent="0.15">
      <c r="A6" s="34" t="s">
        <v>72</v>
      </c>
      <c r="B6" s="136"/>
      <c r="C6" s="136"/>
      <c r="D6" s="136"/>
      <c r="E6" s="136"/>
      <c r="F6" s="136"/>
      <c r="G6" s="176" t="s">
        <v>18</v>
      </c>
      <c r="H6" s="177"/>
      <c r="I6" s="177"/>
      <c r="J6" s="178"/>
      <c r="K6" s="176" t="s">
        <v>53</v>
      </c>
      <c r="L6" s="177"/>
      <c r="M6" s="177"/>
      <c r="N6" s="178"/>
      <c r="O6" s="176" t="s">
        <v>55</v>
      </c>
      <c r="P6" s="177"/>
      <c r="Q6" s="177"/>
      <c r="R6" s="178"/>
      <c r="S6" s="176" t="s">
        <v>142</v>
      </c>
      <c r="T6" s="177"/>
      <c r="U6" s="177"/>
      <c r="V6" s="178"/>
      <c r="W6" s="176" t="s">
        <v>144</v>
      </c>
      <c r="X6" s="177"/>
      <c r="Y6" s="177"/>
      <c r="Z6" s="178"/>
      <c r="AA6" s="176" t="s">
        <v>25</v>
      </c>
      <c r="AB6" s="177"/>
      <c r="AC6" s="177"/>
      <c r="AD6" s="178"/>
      <c r="AE6" s="132" t="s">
        <v>27</v>
      </c>
      <c r="AF6" s="133"/>
      <c r="AG6" s="134"/>
      <c r="AH6" s="176" t="s">
        <v>57</v>
      </c>
      <c r="AI6" s="177"/>
      <c r="AJ6" s="177"/>
      <c r="AK6" s="178"/>
      <c r="AL6" s="176" t="s">
        <v>59</v>
      </c>
      <c r="AM6" s="177"/>
      <c r="AN6" s="177"/>
      <c r="AO6" s="178"/>
      <c r="AP6" s="170"/>
      <c r="AQ6" s="123"/>
      <c r="AR6" s="123"/>
      <c r="AS6" s="123"/>
      <c r="AT6" s="123"/>
      <c r="AU6" s="124"/>
      <c r="AV6" s="123"/>
    </row>
    <row r="7" spans="1:62" ht="46.5" customHeight="1" x14ac:dyDescent="0.15">
      <c r="A7" s="34"/>
      <c r="B7" s="136"/>
      <c r="C7" s="136"/>
      <c r="D7" s="136"/>
      <c r="E7" s="136"/>
      <c r="F7" s="136"/>
      <c r="G7" s="172" t="s">
        <v>33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71"/>
      <c r="AQ7" s="123"/>
      <c r="AR7" s="123"/>
      <c r="AS7" s="123"/>
      <c r="AT7" s="123"/>
      <c r="AU7" s="124"/>
      <c r="AV7" s="123"/>
    </row>
    <row r="8" spans="1:62" ht="46.5" customHeight="1" x14ac:dyDescent="0.15">
      <c r="A8" s="34" t="s">
        <v>40</v>
      </c>
      <c r="B8" s="136"/>
      <c r="C8" s="136"/>
      <c r="D8" s="136"/>
      <c r="E8" s="136"/>
      <c r="F8" s="136"/>
      <c r="G8" s="184">
        <v>4</v>
      </c>
      <c r="H8" s="185"/>
      <c r="I8" s="186"/>
      <c r="J8" s="173" t="s">
        <v>34</v>
      </c>
      <c r="K8" s="179">
        <v>4</v>
      </c>
      <c r="L8" s="180"/>
      <c r="M8" s="181"/>
      <c r="N8" s="173" t="s">
        <v>34</v>
      </c>
      <c r="O8" s="179">
        <v>4</v>
      </c>
      <c r="P8" s="180"/>
      <c r="Q8" s="181"/>
      <c r="R8" s="173" t="s">
        <v>34</v>
      </c>
      <c r="S8" s="179">
        <v>3</v>
      </c>
      <c r="T8" s="180"/>
      <c r="U8" s="181"/>
      <c r="V8" s="173" t="s">
        <v>34</v>
      </c>
      <c r="W8" s="179">
        <v>3</v>
      </c>
      <c r="X8" s="180"/>
      <c r="Y8" s="181"/>
      <c r="Z8" s="173" t="s">
        <v>34</v>
      </c>
      <c r="AA8" s="179">
        <v>2</v>
      </c>
      <c r="AB8" s="180"/>
      <c r="AC8" s="181"/>
      <c r="AD8" s="173" t="s">
        <v>34</v>
      </c>
      <c r="AE8" s="179">
        <v>0</v>
      </c>
      <c r="AF8" s="181"/>
      <c r="AG8" s="173" t="s">
        <v>34</v>
      </c>
      <c r="AH8" s="179">
        <v>1</v>
      </c>
      <c r="AI8" s="180"/>
      <c r="AJ8" s="181"/>
      <c r="AK8" s="173" t="s">
        <v>34</v>
      </c>
      <c r="AL8" s="179">
        <v>1</v>
      </c>
      <c r="AM8" s="180"/>
      <c r="AN8" s="181"/>
      <c r="AO8" s="173" t="s">
        <v>34</v>
      </c>
      <c r="AP8" s="31">
        <f>SUM(AL8,AH8,AE8,AA8,W8,S8,O8,K8,G8)</f>
        <v>22</v>
      </c>
      <c r="AQ8" s="123"/>
      <c r="AR8" s="123"/>
      <c r="AS8" s="123"/>
      <c r="AT8" s="123"/>
      <c r="AU8" s="124"/>
      <c r="AV8" s="123"/>
    </row>
    <row r="9" spans="1:62" ht="46.5" customHeight="1" x14ac:dyDescent="0.15">
      <c r="A9" s="34"/>
      <c r="B9" s="136"/>
      <c r="C9" s="136"/>
      <c r="D9" s="136"/>
      <c r="E9" s="136"/>
      <c r="F9" s="136"/>
      <c r="G9" s="7" t="s">
        <v>3</v>
      </c>
      <c r="H9" s="7" t="s">
        <v>4</v>
      </c>
      <c r="I9" s="7" t="s">
        <v>0</v>
      </c>
      <c r="J9" s="174"/>
      <c r="K9" s="12" t="s">
        <v>3</v>
      </c>
      <c r="L9" s="12" t="s">
        <v>4</v>
      </c>
      <c r="M9" s="12" t="s">
        <v>0</v>
      </c>
      <c r="N9" s="174"/>
      <c r="O9" s="12" t="s">
        <v>3</v>
      </c>
      <c r="P9" s="12" t="s">
        <v>4</v>
      </c>
      <c r="Q9" s="12" t="s">
        <v>0</v>
      </c>
      <c r="R9" s="174"/>
      <c r="S9" s="12" t="s">
        <v>3</v>
      </c>
      <c r="T9" s="12" t="s">
        <v>4</v>
      </c>
      <c r="U9" s="12" t="s">
        <v>0</v>
      </c>
      <c r="V9" s="174"/>
      <c r="W9" s="12" t="s">
        <v>3</v>
      </c>
      <c r="X9" s="12" t="s">
        <v>4</v>
      </c>
      <c r="Y9" s="12" t="s">
        <v>0</v>
      </c>
      <c r="Z9" s="174"/>
      <c r="AA9" s="12" t="s">
        <v>3</v>
      </c>
      <c r="AB9" s="12" t="s">
        <v>4</v>
      </c>
      <c r="AC9" s="12" t="s">
        <v>0</v>
      </c>
      <c r="AD9" s="174"/>
      <c r="AE9" s="6" t="s">
        <v>4</v>
      </c>
      <c r="AF9" s="6" t="s">
        <v>0</v>
      </c>
      <c r="AG9" s="174"/>
      <c r="AH9" s="12" t="s">
        <v>6</v>
      </c>
      <c r="AI9" s="12" t="s">
        <v>4</v>
      </c>
      <c r="AJ9" s="12" t="s">
        <v>0</v>
      </c>
      <c r="AK9" s="174"/>
      <c r="AL9" s="12" t="s">
        <v>6</v>
      </c>
      <c r="AM9" s="12" t="s">
        <v>4</v>
      </c>
      <c r="AN9" s="12" t="s">
        <v>0</v>
      </c>
      <c r="AO9" s="174"/>
      <c r="AP9" s="182">
        <f>SUM(AN10,AJ10,AC10,Y10,U10,Q10,M10,I10)</f>
        <v>950</v>
      </c>
      <c r="AQ9" s="123"/>
      <c r="AR9" s="123"/>
      <c r="AS9" s="123"/>
      <c r="AT9" s="123"/>
      <c r="AU9" s="124"/>
      <c r="AV9" s="123"/>
      <c r="AX9" s="2"/>
      <c r="AY9" s="2"/>
      <c r="AZ9" s="2"/>
      <c r="BA9" s="120" t="s">
        <v>46</v>
      </c>
      <c r="BB9" s="120"/>
      <c r="BC9" s="120"/>
      <c r="BD9" s="120"/>
      <c r="BE9" s="120"/>
      <c r="BF9" s="120"/>
      <c r="BG9" s="120"/>
      <c r="BH9" s="120"/>
      <c r="BI9" s="120"/>
      <c r="BJ9" s="121" t="s">
        <v>47</v>
      </c>
    </row>
    <row r="10" spans="1:62" ht="46.5" customHeight="1" x14ac:dyDescent="0.15">
      <c r="A10" s="34" t="s">
        <v>73</v>
      </c>
      <c r="B10" s="136"/>
      <c r="C10" s="136"/>
      <c r="D10" s="136"/>
      <c r="E10" s="136"/>
      <c r="F10" s="136"/>
      <c r="G10" s="3">
        <v>100</v>
      </c>
      <c r="H10" s="3">
        <v>50</v>
      </c>
      <c r="I10" s="3">
        <v>150</v>
      </c>
      <c r="J10" s="175"/>
      <c r="K10" s="3">
        <v>100</v>
      </c>
      <c r="L10" s="3">
        <v>50</v>
      </c>
      <c r="M10" s="3">
        <v>150</v>
      </c>
      <c r="N10" s="175"/>
      <c r="O10" s="3">
        <v>100</v>
      </c>
      <c r="P10" s="3">
        <v>50</v>
      </c>
      <c r="Q10" s="3">
        <v>150</v>
      </c>
      <c r="R10" s="175"/>
      <c r="S10" s="3">
        <v>100</v>
      </c>
      <c r="T10" s="3">
        <v>50</v>
      </c>
      <c r="U10" s="3">
        <v>150</v>
      </c>
      <c r="V10" s="175"/>
      <c r="W10" s="3">
        <v>100</v>
      </c>
      <c r="X10" s="3">
        <v>50</v>
      </c>
      <c r="Y10" s="3">
        <v>150</v>
      </c>
      <c r="Z10" s="175"/>
      <c r="AA10" s="3">
        <v>50</v>
      </c>
      <c r="AB10" s="3">
        <v>50</v>
      </c>
      <c r="AC10" s="3">
        <v>100</v>
      </c>
      <c r="AD10" s="175"/>
      <c r="AE10" s="3">
        <v>50</v>
      </c>
      <c r="AF10" s="3">
        <v>50</v>
      </c>
      <c r="AG10" s="175"/>
      <c r="AH10" s="3">
        <v>25</v>
      </c>
      <c r="AI10" s="3">
        <v>25</v>
      </c>
      <c r="AJ10" s="3">
        <v>50</v>
      </c>
      <c r="AK10" s="175"/>
      <c r="AL10" s="3">
        <v>25</v>
      </c>
      <c r="AM10" s="3">
        <v>25</v>
      </c>
      <c r="AN10" s="3">
        <v>50</v>
      </c>
      <c r="AO10" s="175"/>
      <c r="AP10" s="183"/>
      <c r="AQ10" s="123"/>
      <c r="AR10" s="123"/>
      <c r="AS10" s="123"/>
      <c r="AT10" s="123"/>
      <c r="AU10" s="124"/>
      <c r="AV10" s="123"/>
      <c r="AX10" s="2"/>
      <c r="AY10" s="2"/>
      <c r="AZ10" s="2"/>
      <c r="BA10" s="26">
        <f t="shared" ref="BA10:BG10" ca="1" si="0">OFFSET($G$8,0,(COLUMN(G8)-7)*4)</f>
        <v>4</v>
      </c>
      <c r="BB10" s="26">
        <f t="shared" ca="1" si="0"/>
        <v>4</v>
      </c>
      <c r="BC10" s="26">
        <f t="shared" ca="1" si="0"/>
        <v>4</v>
      </c>
      <c r="BD10" s="26">
        <f t="shared" ca="1" si="0"/>
        <v>3</v>
      </c>
      <c r="BE10" s="26">
        <f t="shared" ca="1" si="0"/>
        <v>3</v>
      </c>
      <c r="BF10" s="26">
        <f t="shared" ca="1" si="0"/>
        <v>2</v>
      </c>
      <c r="BG10" s="26">
        <f t="shared" ca="1" si="0"/>
        <v>0</v>
      </c>
      <c r="BH10" s="26">
        <f ca="1">OFFSET($G$8,0,(COLUMN(N8)-7)*4-1)</f>
        <v>1</v>
      </c>
      <c r="BI10" s="26">
        <f ca="1">OFFSET($G$8,0,(COLUMN(O8)-7)*4-1)</f>
        <v>1</v>
      </c>
      <c r="BJ10" s="122"/>
    </row>
    <row r="11" spans="1:62" ht="122.25" customHeight="1" x14ac:dyDescent="0.15">
      <c r="A11" s="76">
        <v>1</v>
      </c>
      <c r="B11" s="69">
        <v>250090725001</v>
      </c>
      <c r="C11" s="262" t="s">
        <v>193</v>
      </c>
      <c r="D11" s="69">
        <v>255601</v>
      </c>
      <c r="E11" s="72" t="s">
        <v>194</v>
      </c>
      <c r="F11" s="72" t="s">
        <v>195</v>
      </c>
      <c r="G11" s="75">
        <v>60</v>
      </c>
      <c r="H11" s="76">
        <v>44</v>
      </c>
      <c r="I11" s="11">
        <f>SUM(G11:H11)</f>
        <v>104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C</v>
      </c>
      <c r="K11" s="75">
        <v>72</v>
      </c>
      <c r="L11" s="76">
        <v>42</v>
      </c>
      <c r="M11" s="11">
        <f>SUM(K11:L11)</f>
        <v>114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B</v>
      </c>
      <c r="O11" s="75">
        <v>65</v>
      </c>
      <c r="P11" s="76">
        <v>40</v>
      </c>
      <c r="Q11" s="11">
        <f>SUM(O11:P11)</f>
        <v>105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B</v>
      </c>
      <c r="S11" s="75">
        <v>77</v>
      </c>
      <c r="T11" s="76">
        <v>47</v>
      </c>
      <c r="U11" s="11">
        <f>SUM(S11:T11)</f>
        <v>124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A</v>
      </c>
      <c r="W11" s="75">
        <v>84</v>
      </c>
      <c r="X11" s="76">
        <v>43</v>
      </c>
      <c r="Y11" s="11">
        <f>SUM(W11:X11)</f>
        <v>127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A</v>
      </c>
      <c r="AA11" s="75">
        <v>44</v>
      </c>
      <c r="AB11" s="76">
        <v>48</v>
      </c>
      <c r="AC11" s="11">
        <f>SUM(AA11:AB11)</f>
        <v>92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O</v>
      </c>
      <c r="AE11" s="57">
        <v>37</v>
      </c>
      <c r="AF11" s="11">
        <f>SUM(AE11)</f>
        <v>37</v>
      </c>
      <c r="AG11" s="16" t="str">
        <f>IF(ISBLANK(AF11),"",IF(ISTEXT(AF11),AF11,IF(AF11&gt;=0.9*AF$10,"O",IF(AF11&gt;=0.85*AF$10,"A+",IF(AF11&gt;=0.8*AF$10,"A",IF(AF11&gt;=0.7*AF$10,"B",IF(AF11&gt;=0.6*AF$10,"C",IF(AF11&gt;=0.5*AF$10,"P",IF(AF11&lt;0.5*AF$10,"F",AF11)))))))))</f>
        <v>B</v>
      </c>
      <c r="AH11" s="76">
        <v>22</v>
      </c>
      <c r="AI11" s="76">
        <v>23</v>
      </c>
      <c r="AJ11" s="11">
        <f>SUM(AH11:AI11)</f>
        <v>45</v>
      </c>
      <c r="AK11" s="22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76">
        <v>24</v>
      </c>
      <c r="AM11" s="76">
        <v>24</v>
      </c>
      <c r="AN11" s="11">
        <f>SUM(AL11:AM11)</f>
        <v>48</v>
      </c>
      <c r="AO11" s="22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8">
        <f>SUM(AN11,AJ11,AC11,Y11,U11,Q11,M11,I11)</f>
        <v>759</v>
      </c>
      <c r="AQ11" s="28">
        <f ca="1">BJ11/$AP$8</f>
        <v>7.6363636363636367</v>
      </c>
      <c r="AR11" s="28">
        <f ca="1">AQ11</f>
        <v>7.6363636363636367</v>
      </c>
      <c r="AS11" s="16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16">
        <f ca="1">AS11</f>
        <v>22</v>
      </c>
      <c r="AX11" s="2"/>
      <c r="AY11" s="2"/>
      <c r="AZ11" s="2"/>
      <c r="BA11" s="25">
        <f t="shared" ref="BA11:BF12" ca="1" si="1">INDEX($AY$13:$AY$23,MATCH(INDIRECT(ADDRESS(ROW($J11),COLUMN($J11)+(COLUMN(J11)-10)*4,1)),$AX$13:$AX$23,0))</f>
        <v>6</v>
      </c>
      <c r="BB11" s="25">
        <f t="shared" ca="1" si="1"/>
        <v>7</v>
      </c>
      <c r="BC11" s="25">
        <f t="shared" ca="1" si="1"/>
        <v>7</v>
      </c>
      <c r="BD11" s="25">
        <f t="shared" ca="1" si="1"/>
        <v>8</v>
      </c>
      <c r="BE11" s="25">
        <f t="shared" ca="1" si="1"/>
        <v>8</v>
      </c>
      <c r="BF11" s="25">
        <f t="shared" ca="1" si="1"/>
        <v>10</v>
      </c>
      <c r="BG11" s="25">
        <f t="shared" ref="BG11:BI12" ca="1" si="2">INDEX($AY$13:$AY$23,MATCH(INDIRECT(ADDRESS(ROW($J11),COLUMN($J11)+(COLUMN(P11)-10)*4-1,1)),$AX$13:$AX$23,0))</f>
        <v>7</v>
      </c>
      <c r="BH11" s="25">
        <f t="shared" ca="1" si="2"/>
        <v>10</v>
      </c>
      <c r="BI11" s="25">
        <f t="shared" ca="1" si="2"/>
        <v>10</v>
      </c>
      <c r="BJ11" s="25">
        <f ca="1">SUMPRODUCT(BA11:BI11,$BA$10:$BI$10)</f>
        <v>168</v>
      </c>
    </row>
    <row r="12" spans="1:62" ht="122.25" customHeight="1" x14ac:dyDescent="0.15">
      <c r="A12" s="11"/>
      <c r="B12" s="70"/>
      <c r="C12" s="71"/>
      <c r="D12" s="51"/>
      <c r="E12" s="73"/>
      <c r="F12" s="74"/>
      <c r="G12" s="76"/>
      <c r="H12" s="76"/>
      <c r="I12" s="11"/>
      <c r="J12" s="22"/>
      <c r="K12" s="76"/>
      <c r="L12" s="76"/>
      <c r="M12" s="11"/>
      <c r="N12" s="22"/>
      <c r="O12" s="76"/>
      <c r="P12" s="76"/>
      <c r="Q12" s="11"/>
      <c r="R12" s="22"/>
      <c r="S12" s="76"/>
      <c r="T12" s="76"/>
      <c r="U12" s="11"/>
      <c r="V12" s="22"/>
      <c r="W12" s="76"/>
      <c r="X12" s="76"/>
      <c r="Y12" s="11"/>
      <c r="Z12" s="22"/>
      <c r="AA12" s="76"/>
      <c r="AB12" s="76"/>
      <c r="AC12" s="11"/>
      <c r="AD12" s="22"/>
      <c r="AE12" s="57"/>
      <c r="AF12" s="11"/>
      <c r="AG12" s="16"/>
      <c r="AH12" s="76"/>
      <c r="AI12" s="76"/>
      <c r="AJ12" s="11"/>
      <c r="AK12" s="22"/>
      <c r="AL12" s="76"/>
      <c r="AM12" s="76"/>
      <c r="AN12" s="11"/>
      <c r="AO12" s="22"/>
      <c r="AP12" s="8"/>
      <c r="AQ12" s="28"/>
      <c r="AR12" s="28"/>
      <c r="AS12" s="16"/>
      <c r="AT12" s="19"/>
      <c r="AU12" s="18"/>
      <c r="AV12" s="16"/>
      <c r="AX12" s="23" t="s">
        <v>34</v>
      </c>
      <c r="AY12" s="24" t="s">
        <v>35</v>
      </c>
      <c r="AZ12" s="2"/>
      <c r="BA12" s="25"/>
      <c r="BB12" s="25"/>
      <c r="BC12" s="25"/>
      <c r="BD12" s="25"/>
      <c r="BE12" s="25"/>
      <c r="BF12" s="25"/>
      <c r="BG12" s="25"/>
      <c r="BH12" s="25"/>
      <c r="BI12" s="25"/>
      <c r="BJ12" s="25"/>
    </row>
    <row r="13" spans="1:62" ht="122.25" customHeight="1" x14ac:dyDescent="0.15">
      <c r="A13" s="11"/>
      <c r="B13" s="50"/>
      <c r="C13" s="50"/>
      <c r="D13" s="51"/>
      <c r="E13" s="52"/>
      <c r="F13" s="52"/>
      <c r="G13" s="57"/>
      <c r="H13" s="57"/>
      <c r="I13" s="11"/>
      <c r="J13" s="22"/>
      <c r="K13" s="57"/>
      <c r="L13" s="57"/>
      <c r="M13" s="11"/>
      <c r="N13" s="22"/>
      <c r="O13" s="57"/>
      <c r="P13" s="57"/>
      <c r="Q13" s="11"/>
      <c r="R13" s="22"/>
      <c r="S13" s="57"/>
      <c r="T13" s="57"/>
      <c r="U13" s="11"/>
      <c r="V13" s="22"/>
      <c r="W13" s="57"/>
      <c r="X13" s="57"/>
      <c r="Y13" s="11"/>
      <c r="Z13" s="22"/>
      <c r="AA13" s="57"/>
      <c r="AB13" s="57"/>
      <c r="AC13" s="11"/>
      <c r="AD13" s="22"/>
      <c r="AE13" s="57"/>
      <c r="AF13" s="11"/>
      <c r="AG13" s="16"/>
      <c r="AH13" s="57"/>
      <c r="AI13" s="57"/>
      <c r="AJ13" s="11"/>
      <c r="AK13" s="22"/>
      <c r="AL13" s="57"/>
      <c r="AM13" s="57"/>
      <c r="AN13" s="11"/>
      <c r="AO13" s="22"/>
      <c r="AP13" s="8"/>
      <c r="AQ13" s="28"/>
      <c r="AR13" s="28"/>
      <c r="AS13" s="16"/>
      <c r="AT13" s="3"/>
      <c r="AU13" s="10"/>
      <c r="AV13" s="16"/>
      <c r="AX13" s="25" t="s">
        <v>36</v>
      </c>
      <c r="AY13" s="25">
        <v>10</v>
      </c>
      <c r="AZ13" s="2"/>
      <c r="BA13" s="25"/>
      <c r="BB13" s="25"/>
      <c r="BC13" s="25"/>
      <c r="BD13" s="25"/>
      <c r="BE13" s="25"/>
      <c r="BF13" s="25"/>
      <c r="BG13" s="25"/>
      <c r="BH13" s="25"/>
      <c r="BI13" s="25"/>
      <c r="BJ13" s="25"/>
    </row>
    <row r="14" spans="1:62" ht="20" x14ac:dyDescent="0.15">
      <c r="AX14" s="25" t="s">
        <v>37</v>
      </c>
      <c r="AY14" s="25">
        <v>9</v>
      </c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 spans="1:62" ht="20" x14ac:dyDescent="0.15">
      <c r="AX15" s="25" t="s">
        <v>38</v>
      </c>
      <c r="AY15" s="25">
        <v>8</v>
      </c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 ht="20" x14ac:dyDescent="0.15">
      <c r="AX16" s="25" t="s">
        <v>39</v>
      </c>
      <c r="AY16" s="25">
        <v>7</v>
      </c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50:62" ht="20" x14ac:dyDescent="0.15">
      <c r="AX17" s="25" t="s">
        <v>40</v>
      </c>
      <c r="AY17" s="25">
        <v>6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</row>
    <row r="18" spans="50:62" ht="20" x14ac:dyDescent="0.15">
      <c r="AX18" s="25" t="s">
        <v>41</v>
      </c>
      <c r="AY18" s="25">
        <v>5</v>
      </c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</row>
    <row r="19" spans="50:62" ht="20" x14ac:dyDescent="0.15">
      <c r="AX19" s="25" t="s">
        <v>42</v>
      </c>
      <c r="AY19" s="25">
        <v>0</v>
      </c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</row>
    <row r="20" spans="50:62" ht="20" x14ac:dyDescent="0.15">
      <c r="AX20" s="25" t="s">
        <v>43</v>
      </c>
      <c r="AY20" s="25">
        <v>0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</row>
    <row r="21" spans="50:62" ht="20" x14ac:dyDescent="0.15">
      <c r="AX21" s="25" t="s">
        <v>44</v>
      </c>
      <c r="AY21" s="25">
        <v>0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</row>
    <row r="22" spans="50:62" ht="20" x14ac:dyDescent="0.15">
      <c r="AX22" s="25" t="s">
        <v>45</v>
      </c>
      <c r="AY22" s="25">
        <v>0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</row>
    <row r="23" spans="50:62" ht="20" x14ac:dyDescent="0.15">
      <c r="AX23" s="25" t="str">
        <f>""</f>
        <v/>
      </c>
      <c r="AY23" s="25" t="str">
        <f>""</f>
        <v/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</row>
  </sheetData>
  <mergeCells count="56">
    <mergeCell ref="A1:AT1"/>
    <mergeCell ref="A2:AT2"/>
    <mergeCell ref="A3:AT3"/>
    <mergeCell ref="G5:J5"/>
    <mergeCell ref="AH5:AK5"/>
    <mergeCell ref="F4:F10"/>
    <mergeCell ref="B4:B10"/>
    <mergeCell ref="C4:C10"/>
    <mergeCell ref="D4:D10"/>
    <mergeCell ref="E4:E10"/>
    <mergeCell ref="G6:J6"/>
    <mergeCell ref="K6:N6"/>
    <mergeCell ref="K5:N5"/>
    <mergeCell ref="O5:R5"/>
    <mergeCell ref="AL6:AO6"/>
    <mergeCell ref="AL5:AO5"/>
    <mergeCell ref="AE5:AG5"/>
    <mergeCell ref="G8:I8"/>
    <mergeCell ref="K8:M8"/>
    <mergeCell ref="O8:Q8"/>
    <mergeCell ref="O6:R6"/>
    <mergeCell ref="S6:V6"/>
    <mergeCell ref="W5:Z5"/>
    <mergeCell ref="AA5:AD5"/>
    <mergeCell ref="AV4:AV10"/>
    <mergeCell ref="S8:U8"/>
    <mergeCell ref="W8:Y8"/>
    <mergeCell ref="AP9:AP10"/>
    <mergeCell ref="AA8:AC8"/>
    <mergeCell ref="AE8:AF8"/>
    <mergeCell ref="AH8:AJ8"/>
    <mergeCell ref="AL8:AN8"/>
    <mergeCell ref="AD8:AD10"/>
    <mergeCell ref="AK8:AK10"/>
    <mergeCell ref="AO8:AO10"/>
    <mergeCell ref="AG8:AG10"/>
    <mergeCell ref="S5:V5"/>
    <mergeCell ref="W6:Z6"/>
    <mergeCell ref="AA6:AD6"/>
    <mergeCell ref="AE6:AG6"/>
    <mergeCell ref="BA9:BI9"/>
    <mergeCell ref="BJ9:BJ10"/>
    <mergeCell ref="AP4:AP7"/>
    <mergeCell ref="G7:AO7"/>
    <mergeCell ref="AQ4:AQ10"/>
    <mergeCell ref="AR4:AR10"/>
    <mergeCell ref="AS4:AS10"/>
    <mergeCell ref="AT4:AT10"/>
    <mergeCell ref="AU4:AU10"/>
    <mergeCell ref="G4:AO4"/>
    <mergeCell ref="J8:J10"/>
    <mergeCell ref="N8:N10"/>
    <mergeCell ref="R8:R10"/>
    <mergeCell ref="V8:V10"/>
    <mergeCell ref="Z8:Z10"/>
    <mergeCell ref="AH6:AK6"/>
  </mergeCells>
  <conditionalFormatting sqref="G11:G13">
    <cfRule type="cellIs" dxfId="161" priority="10" stopIfTrue="1" operator="lessThan">
      <formula>40</formula>
    </cfRule>
  </conditionalFormatting>
  <conditionalFormatting sqref="I11:I13 M11:M13 Q11:Q13 U11:U13 Y11:Y13">
    <cfRule type="cellIs" dxfId="160" priority="56" stopIfTrue="1" operator="lessThan">
      <formula>75</formula>
    </cfRule>
  </conditionalFormatting>
  <conditionalFormatting sqref="J11:J13">
    <cfRule type="containsText" dxfId="159" priority="40" operator="containsText" text="Dt">
      <formula>NOT(ISERROR(SEARCH("Dt",J11)))</formula>
    </cfRule>
    <cfRule type="containsText" dxfId="158" priority="41" operator="containsText" text="Ab">
      <formula>NOT(ISERROR(SEARCH("Ab",J11)))</formula>
    </cfRule>
    <cfRule type="containsText" dxfId="157" priority="42" operator="containsText" text="F">
      <formula>NOT(ISERROR(SEARCH("F",J11)))</formula>
    </cfRule>
  </conditionalFormatting>
  <conditionalFormatting sqref="K11:K13">
    <cfRule type="cellIs" dxfId="156" priority="9" stopIfTrue="1" operator="lessThan">
      <formula>40</formula>
    </cfRule>
  </conditionalFormatting>
  <conditionalFormatting sqref="N11:N13">
    <cfRule type="containsText" dxfId="155" priority="37" operator="containsText" text="Dt">
      <formula>NOT(ISERROR(SEARCH("Dt",N11)))</formula>
    </cfRule>
    <cfRule type="containsText" dxfId="154" priority="38" operator="containsText" text="Ab">
      <formula>NOT(ISERROR(SEARCH("Ab",N11)))</formula>
    </cfRule>
    <cfRule type="containsText" dxfId="153" priority="39" operator="containsText" text="F">
      <formula>NOT(ISERROR(SEARCH("F",N11)))</formula>
    </cfRule>
  </conditionalFormatting>
  <conditionalFormatting sqref="O11:O13">
    <cfRule type="cellIs" dxfId="152" priority="8" stopIfTrue="1" operator="lessThan">
      <formula>40</formula>
    </cfRule>
  </conditionalFormatting>
  <conditionalFormatting sqref="R11:R13">
    <cfRule type="containsText" dxfId="151" priority="34" operator="containsText" text="Dt">
      <formula>NOT(ISERROR(SEARCH("Dt",R11)))</formula>
    </cfRule>
    <cfRule type="containsText" dxfId="150" priority="35" operator="containsText" text="Ab">
      <formula>NOT(ISERROR(SEARCH("Ab",R11)))</formula>
    </cfRule>
    <cfRule type="containsText" dxfId="149" priority="36" operator="containsText" text="F">
      <formula>NOT(ISERROR(SEARCH("F",R11)))</formula>
    </cfRule>
  </conditionalFormatting>
  <conditionalFormatting sqref="S11:S13">
    <cfRule type="cellIs" dxfId="148" priority="7" stopIfTrue="1" operator="lessThan">
      <formula>40</formula>
    </cfRule>
  </conditionalFormatting>
  <conditionalFormatting sqref="V11:V13">
    <cfRule type="containsText" dxfId="147" priority="31" operator="containsText" text="Dt">
      <formula>NOT(ISERROR(SEARCH("Dt",V11)))</formula>
    </cfRule>
    <cfRule type="containsText" dxfId="146" priority="32" operator="containsText" text="Ab">
      <formula>NOT(ISERROR(SEARCH("Ab",V11)))</formula>
    </cfRule>
    <cfRule type="containsText" dxfId="145" priority="33" operator="containsText" text="F">
      <formula>NOT(ISERROR(SEARCH("F",V11)))</formula>
    </cfRule>
  </conditionalFormatting>
  <conditionalFormatting sqref="W11:W13">
    <cfRule type="cellIs" dxfId="144" priority="6" stopIfTrue="1" operator="lessThan">
      <formula>40</formula>
    </cfRule>
  </conditionalFormatting>
  <conditionalFormatting sqref="Z11:Z13">
    <cfRule type="containsText" dxfId="143" priority="28" operator="containsText" text="Dt">
      <formula>NOT(ISERROR(SEARCH("Dt",Z11)))</formula>
    </cfRule>
    <cfRule type="containsText" dxfId="142" priority="29" operator="containsText" text="Ab">
      <formula>NOT(ISERROR(SEARCH("Ab",Z11)))</formula>
    </cfRule>
    <cfRule type="containsText" dxfId="141" priority="30" operator="containsText" text="F">
      <formula>NOT(ISERROR(SEARCH("F",Z11)))</formula>
    </cfRule>
  </conditionalFormatting>
  <conditionalFormatting sqref="AA11:AA13">
    <cfRule type="cellIs" dxfId="140" priority="5" stopIfTrue="1" operator="lessThan">
      <formula>20</formula>
    </cfRule>
  </conditionalFormatting>
  <conditionalFormatting sqref="AD11:AD13">
    <cfRule type="containsText" dxfId="139" priority="25" operator="containsText" text="Dt">
      <formula>NOT(ISERROR(SEARCH("Dt",AD11)))</formula>
    </cfRule>
    <cfRule type="containsText" dxfId="138" priority="26" operator="containsText" text="Ab">
      <formula>NOT(ISERROR(SEARCH("Ab",AD11)))</formula>
    </cfRule>
    <cfRule type="containsText" dxfId="137" priority="27" operator="containsText" text="F">
      <formula>NOT(ISERROR(SEARCH("F",AD11)))</formula>
    </cfRule>
  </conditionalFormatting>
  <conditionalFormatting sqref="AH11:AH13">
    <cfRule type="cellIs" dxfId="136" priority="4" stopIfTrue="1" operator="lessThan">
      <formula>13</formula>
    </cfRule>
  </conditionalFormatting>
  <conditionalFormatting sqref="AJ11:AJ13 AN11:AN13">
    <cfRule type="cellIs" dxfId="135" priority="52" stopIfTrue="1" operator="lessThan">
      <formula>25</formula>
    </cfRule>
  </conditionalFormatting>
  <conditionalFormatting sqref="AK11:AK13">
    <cfRule type="containsText" dxfId="134" priority="22" operator="containsText" text="Dt">
      <formula>NOT(ISERROR(SEARCH("Dt",AK11)))</formula>
    </cfRule>
    <cfRule type="containsText" dxfId="133" priority="23" operator="containsText" text="Ab">
      <formula>NOT(ISERROR(SEARCH("Ab",AK11)))</formula>
    </cfRule>
    <cfRule type="containsText" dxfId="132" priority="24" operator="containsText" text="F">
      <formula>NOT(ISERROR(SEARCH("F",AK11)))</formula>
    </cfRule>
  </conditionalFormatting>
  <conditionalFormatting sqref="AL11:AL13">
    <cfRule type="cellIs" dxfId="131" priority="3" stopIfTrue="1" operator="lessThan">
      <formula>13</formula>
    </cfRule>
  </conditionalFormatting>
  <conditionalFormatting sqref="AO11:AO13">
    <cfRule type="containsText" dxfId="130" priority="19" operator="containsText" text="Dt">
      <formula>NOT(ISERROR(SEARCH("Dt",AO11)))</formula>
    </cfRule>
    <cfRule type="containsText" dxfId="129" priority="20" operator="containsText" text="Ab">
      <formula>NOT(ISERROR(SEARCH("Ab",AO11)))</formula>
    </cfRule>
    <cfRule type="containsText" dxfId="128" priority="21" operator="containsText" text="F">
      <formula>NOT(ISERROR(SEARCH("F",AO11)))</formula>
    </cfRule>
  </conditionalFormatting>
  <conditionalFormatting sqref="AT11:AT12">
    <cfRule type="cellIs" dxfId="3" priority="1" operator="equal">
      <formula>"PASS"</formula>
    </cfRule>
    <cfRule type="cellIs" dxfId="2" priority="2" operator="equal">
      <formula>"CARRY OVER"</formula>
    </cfRule>
  </conditionalFormatting>
  <pageMargins left="0.98425196850393704" right="0.31496062992125984" top="1.1811023622047245" bottom="4.0551181102362204" header="0.31496062992125984" footer="3.582677165354331"/>
  <pageSetup paperSize="8" scale="35" orientation="landscape" r:id="rId1"/>
  <headerFooter>
    <oddFooter>&amp;L&amp;"Arial,Bold"&amp;16($)  Non Credit Subject(s)&amp;"Arial,Regular"  Date: 25.07.2023           Prepared           Checked by &amp;C&amp;"Arial,Bold"&amp;16CONTROLLER OF EXAM.&amp;R&amp;"Arial,Bold"&amp;16UTU ( CONF. SEC.)               CONTROLLER UTU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23"/>
  <sheetViews>
    <sheetView topLeftCell="J5" zoomScale="60" zoomScaleNormal="60" workbookViewId="0">
      <selection activeCell="AT11" sqref="AT11:AU12"/>
    </sheetView>
  </sheetViews>
  <sheetFormatPr baseColWidth="10" defaultColWidth="8.83203125" defaultRowHeight="13" x14ac:dyDescent="0.15"/>
  <cols>
    <col min="2" max="2" width="27.5" customWidth="1"/>
    <col min="3" max="3" width="28.5" customWidth="1"/>
    <col min="4" max="4" width="20.33203125" customWidth="1"/>
    <col min="5" max="5" width="27.83203125" customWidth="1"/>
    <col min="6" max="6" width="30.83203125" customWidth="1"/>
    <col min="11" max="30" width="8.33203125" customWidth="1"/>
    <col min="31" max="33" width="10.6640625" customWidth="1"/>
    <col min="34" max="37" width="8.33203125" customWidth="1"/>
    <col min="42" max="45" width="16" customWidth="1"/>
    <col min="46" max="46" width="29.5" customWidth="1"/>
    <col min="47" max="47" width="29.1640625" customWidth="1"/>
    <col min="48" max="48" width="17.5" customWidth="1"/>
  </cols>
  <sheetData>
    <row r="1" spans="1:62" ht="69" customHeight="1" x14ac:dyDescent="0.15">
      <c r="A1" s="137" t="s">
        <v>12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</row>
    <row r="2" spans="1:62" ht="69" customHeight="1" x14ac:dyDescent="0.15">
      <c r="A2" s="137" t="s">
        <v>15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</row>
    <row r="3" spans="1:62" ht="69" customHeight="1" x14ac:dyDescent="0.15">
      <c r="A3" s="138" t="s">
        <v>135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</row>
    <row r="4" spans="1:62" ht="69" customHeight="1" x14ac:dyDescent="0.15">
      <c r="A4" s="34"/>
      <c r="B4" s="136" t="s">
        <v>7</v>
      </c>
      <c r="C4" s="136" t="s">
        <v>14</v>
      </c>
      <c r="D4" s="136" t="s">
        <v>16</v>
      </c>
      <c r="E4" s="136" t="s">
        <v>2</v>
      </c>
      <c r="F4" s="136" t="s">
        <v>1</v>
      </c>
      <c r="G4" s="129" t="s">
        <v>22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88" t="s">
        <v>5</v>
      </c>
      <c r="AQ4" s="123" t="s">
        <v>48</v>
      </c>
      <c r="AR4" s="123" t="s">
        <v>49</v>
      </c>
      <c r="AS4" s="123" t="s">
        <v>50</v>
      </c>
      <c r="AT4" s="123" t="s">
        <v>11</v>
      </c>
      <c r="AU4" s="124" t="s">
        <v>10</v>
      </c>
      <c r="AV4" s="123" t="s">
        <v>51</v>
      </c>
    </row>
    <row r="5" spans="1:62" ht="69" customHeight="1" x14ac:dyDescent="0.15">
      <c r="A5" s="34" t="s">
        <v>71</v>
      </c>
      <c r="B5" s="136"/>
      <c r="C5" s="136"/>
      <c r="D5" s="136"/>
      <c r="E5" s="136"/>
      <c r="F5" s="136"/>
      <c r="G5" s="135" t="s">
        <v>19</v>
      </c>
      <c r="H5" s="135"/>
      <c r="I5" s="135"/>
      <c r="J5" s="135"/>
      <c r="K5" s="135" t="s">
        <v>62</v>
      </c>
      <c r="L5" s="135"/>
      <c r="M5" s="135"/>
      <c r="N5" s="135"/>
      <c r="O5" s="135" t="s">
        <v>63</v>
      </c>
      <c r="P5" s="135"/>
      <c r="Q5" s="135"/>
      <c r="R5" s="135"/>
      <c r="S5" s="135" t="s">
        <v>65</v>
      </c>
      <c r="T5" s="135"/>
      <c r="U5" s="135"/>
      <c r="V5" s="135"/>
      <c r="W5" s="135" t="s">
        <v>145</v>
      </c>
      <c r="X5" s="135"/>
      <c r="Y5" s="135"/>
      <c r="Z5" s="135"/>
      <c r="AA5" s="135" t="s">
        <v>26</v>
      </c>
      <c r="AB5" s="135"/>
      <c r="AC5" s="135"/>
      <c r="AD5" s="135"/>
      <c r="AE5" s="129" t="s">
        <v>28</v>
      </c>
      <c r="AF5" s="130"/>
      <c r="AG5" s="130"/>
      <c r="AH5" s="135" t="s">
        <v>68</v>
      </c>
      <c r="AI5" s="135"/>
      <c r="AJ5" s="135"/>
      <c r="AK5" s="135"/>
      <c r="AL5" s="135" t="s">
        <v>70</v>
      </c>
      <c r="AM5" s="135"/>
      <c r="AN5" s="135"/>
      <c r="AO5" s="129"/>
      <c r="AP5" s="188"/>
      <c r="AQ5" s="123"/>
      <c r="AR5" s="123"/>
      <c r="AS5" s="123"/>
      <c r="AT5" s="123"/>
      <c r="AU5" s="124"/>
      <c r="AV5" s="123"/>
    </row>
    <row r="6" spans="1:62" ht="195.75" customHeight="1" x14ac:dyDescent="0.15">
      <c r="A6" s="34" t="s">
        <v>72</v>
      </c>
      <c r="B6" s="136"/>
      <c r="C6" s="136"/>
      <c r="D6" s="136"/>
      <c r="E6" s="136"/>
      <c r="F6" s="136"/>
      <c r="G6" s="188" t="s">
        <v>18</v>
      </c>
      <c r="H6" s="188"/>
      <c r="I6" s="188"/>
      <c r="J6" s="188"/>
      <c r="K6" s="188" t="s">
        <v>61</v>
      </c>
      <c r="L6" s="188"/>
      <c r="M6" s="188"/>
      <c r="N6" s="188"/>
      <c r="O6" s="188" t="s">
        <v>130</v>
      </c>
      <c r="P6" s="188"/>
      <c r="Q6" s="188"/>
      <c r="R6" s="188"/>
      <c r="S6" s="188" t="s">
        <v>64</v>
      </c>
      <c r="T6" s="188"/>
      <c r="U6" s="188"/>
      <c r="V6" s="188"/>
      <c r="W6" s="188" t="s">
        <v>146</v>
      </c>
      <c r="X6" s="188"/>
      <c r="Y6" s="188"/>
      <c r="Z6" s="188"/>
      <c r="AA6" s="188" t="s">
        <v>25</v>
      </c>
      <c r="AB6" s="188"/>
      <c r="AC6" s="188"/>
      <c r="AD6" s="188"/>
      <c r="AE6" s="176" t="s">
        <v>66</v>
      </c>
      <c r="AF6" s="177"/>
      <c r="AG6" s="177"/>
      <c r="AH6" s="188" t="s">
        <v>67</v>
      </c>
      <c r="AI6" s="188"/>
      <c r="AJ6" s="188"/>
      <c r="AK6" s="188"/>
      <c r="AL6" s="188" t="s">
        <v>69</v>
      </c>
      <c r="AM6" s="188"/>
      <c r="AN6" s="188"/>
      <c r="AO6" s="176"/>
      <c r="AP6" s="188"/>
      <c r="AQ6" s="123"/>
      <c r="AR6" s="123"/>
      <c r="AS6" s="123"/>
      <c r="AT6" s="123"/>
      <c r="AU6" s="124"/>
      <c r="AV6" s="123"/>
    </row>
    <row r="7" spans="1:62" ht="57" customHeight="1" x14ac:dyDescent="0.15">
      <c r="A7" s="34"/>
      <c r="B7" s="136"/>
      <c r="C7" s="136"/>
      <c r="D7" s="136"/>
      <c r="E7" s="136"/>
      <c r="F7" s="136"/>
      <c r="G7" s="172" t="s">
        <v>33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8"/>
      <c r="AP7" s="5"/>
      <c r="AQ7" s="123"/>
      <c r="AR7" s="123"/>
      <c r="AS7" s="123"/>
      <c r="AT7" s="123"/>
      <c r="AU7" s="124"/>
      <c r="AV7" s="123"/>
    </row>
    <row r="8" spans="1:62" ht="57" customHeight="1" x14ac:dyDescent="0.15">
      <c r="A8" s="34" t="s">
        <v>40</v>
      </c>
      <c r="B8" s="136"/>
      <c r="C8" s="136"/>
      <c r="D8" s="136"/>
      <c r="E8" s="136"/>
      <c r="F8" s="136"/>
      <c r="G8" s="172">
        <v>4</v>
      </c>
      <c r="H8" s="127"/>
      <c r="I8" s="128"/>
      <c r="J8" s="173" t="s">
        <v>34</v>
      </c>
      <c r="K8" s="172">
        <v>4</v>
      </c>
      <c r="L8" s="127"/>
      <c r="M8" s="128"/>
      <c r="N8" s="173" t="s">
        <v>34</v>
      </c>
      <c r="O8" s="172">
        <v>4</v>
      </c>
      <c r="P8" s="127"/>
      <c r="Q8" s="128"/>
      <c r="R8" s="173" t="s">
        <v>34</v>
      </c>
      <c r="S8" s="172">
        <v>3</v>
      </c>
      <c r="T8" s="127"/>
      <c r="U8" s="128"/>
      <c r="V8" s="173" t="s">
        <v>34</v>
      </c>
      <c r="W8" s="172">
        <v>3</v>
      </c>
      <c r="X8" s="127"/>
      <c r="Y8" s="128"/>
      <c r="Z8" s="173" t="s">
        <v>34</v>
      </c>
      <c r="AA8" s="172">
        <v>2</v>
      </c>
      <c r="AB8" s="127"/>
      <c r="AC8" s="128"/>
      <c r="AD8" s="173" t="s">
        <v>34</v>
      </c>
      <c r="AE8" s="172">
        <v>0</v>
      </c>
      <c r="AF8" s="128"/>
      <c r="AG8" s="173" t="s">
        <v>34</v>
      </c>
      <c r="AH8" s="172">
        <v>1</v>
      </c>
      <c r="AI8" s="127"/>
      <c r="AJ8" s="128"/>
      <c r="AK8" s="173" t="s">
        <v>34</v>
      </c>
      <c r="AL8" s="172">
        <v>1</v>
      </c>
      <c r="AM8" s="127"/>
      <c r="AN8" s="128"/>
      <c r="AO8" s="173" t="s">
        <v>34</v>
      </c>
      <c r="AP8" s="31">
        <f>SUM(AL8,AH8,AE8,AA8,W8,S8,O8,K8,G8)</f>
        <v>22</v>
      </c>
      <c r="AQ8" s="123"/>
      <c r="AR8" s="123"/>
      <c r="AS8" s="123"/>
      <c r="AT8" s="123"/>
      <c r="AU8" s="124"/>
      <c r="AV8" s="123"/>
    </row>
    <row r="9" spans="1:62" ht="51" customHeight="1" x14ac:dyDescent="0.15">
      <c r="A9" s="34"/>
      <c r="B9" s="136"/>
      <c r="C9" s="136"/>
      <c r="D9" s="136"/>
      <c r="E9" s="136"/>
      <c r="F9" s="136"/>
      <c r="G9" s="7" t="s">
        <v>3</v>
      </c>
      <c r="H9" s="7" t="s">
        <v>4</v>
      </c>
      <c r="I9" s="7" t="s">
        <v>0</v>
      </c>
      <c r="J9" s="174"/>
      <c r="K9" s="7" t="s">
        <v>3</v>
      </c>
      <c r="L9" s="7" t="s">
        <v>4</v>
      </c>
      <c r="M9" s="7" t="s">
        <v>0</v>
      </c>
      <c r="N9" s="174"/>
      <c r="O9" s="7" t="s">
        <v>3</v>
      </c>
      <c r="P9" s="7" t="s">
        <v>4</v>
      </c>
      <c r="Q9" s="7" t="s">
        <v>0</v>
      </c>
      <c r="R9" s="174"/>
      <c r="S9" s="7" t="s">
        <v>3</v>
      </c>
      <c r="T9" s="7" t="s">
        <v>4</v>
      </c>
      <c r="U9" s="7" t="s">
        <v>0</v>
      </c>
      <c r="V9" s="174"/>
      <c r="W9" s="7" t="s">
        <v>3</v>
      </c>
      <c r="X9" s="7" t="s">
        <v>4</v>
      </c>
      <c r="Y9" s="7" t="s">
        <v>0</v>
      </c>
      <c r="Z9" s="174"/>
      <c r="AA9" s="12" t="s">
        <v>3</v>
      </c>
      <c r="AB9" s="12" t="s">
        <v>4</v>
      </c>
      <c r="AC9" s="12" t="s">
        <v>0</v>
      </c>
      <c r="AD9" s="174"/>
      <c r="AE9" s="12" t="s">
        <v>4</v>
      </c>
      <c r="AF9" s="12" t="s">
        <v>0</v>
      </c>
      <c r="AG9" s="174"/>
      <c r="AH9" s="7" t="s">
        <v>6</v>
      </c>
      <c r="AI9" s="7" t="s">
        <v>4</v>
      </c>
      <c r="AJ9" s="7" t="s">
        <v>0</v>
      </c>
      <c r="AK9" s="174"/>
      <c r="AL9" s="7" t="s">
        <v>6</v>
      </c>
      <c r="AM9" s="7" t="s">
        <v>4</v>
      </c>
      <c r="AN9" s="7" t="s">
        <v>0</v>
      </c>
      <c r="AO9" s="174"/>
      <c r="AP9" s="189">
        <f>SUM(AN10,AJ10,AC10,Y10,U10,Q10,M10,I10)</f>
        <v>950</v>
      </c>
      <c r="AQ9" s="123"/>
      <c r="AR9" s="123"/>
      <c r="AS9" s="123"/>
      <c r="AT9" s="123"/>
      <c r="AU9" s="124"/>
      <c r="AV9" s="123"/>
      <c r="BA9" s="120" t="s">
        <v>46</v>
      </c>
      <c r="BB9" s="120"/>
      <c r="BC9" s="120"/>
      <c r="BD9" s="120"/>
      <c r="BE9" s="120"/>
      <c r="BF9" s="120"/>
      <c r="BG9" s="120"/>
      <c r="BH9" s="120"/>
      <c r="BI9" s="120"/>
      <c r="BJ9" s="121" t="s">
        <v>47</v>
      </c>
    </row>
    <row r="10" spans="1:62" ht="45" customHeight="1" x14ac:dyDescent="0.15">
      <c r="A10" s="34" t="s">
        <v>73</v>
      </c>
      <c r="B10" s="136"/>
      <c r="C10" s="136"/>
      <c r="D10" s="136"/>
      <c r="E10" s="136"/>
      <c r="F10" s="136"/>
      <c r="G10" s="1">
        <v>100</v>
      </c>
      <c r="H10" s="1">
        <v>50</v>
      </c>
      <c r="I10" s="1">
        <v>150</v>
      </c>
      <c r="J10" s="175"/>
      <c r="K10" s="1">
        <v>100</v>
      </c>
      <c r="L10" s="1">
        <v>50</v>
      </c>
      <c r="M10" s="1">
        <v>150</v>
      </c>
      <c r="N10" s="175"/>
      <c r="O10" s="1">
        <v>100</v>
      </c>
      <c r="P10" s="1">
        <v>50</v>
      </c>
      <c r="Q10" s="1">
        <v>150</v>
      </c>
      <c r="R10" s="175"/>
      <c r="S10" s="1">
        <v>100</v>
      </c>
      <c r="T10" s="1">
        <v>50</v>
      </c>
      <c r="U10" s="1">
        <v>150</v>
      </c>
      <c r="V10" s="175"/>
      <c r="W10" s="1">
        <v>100</v>
      </c>
      <c r="X10" s="1">
        <v>50</v>
      </c>
      <c r="Y10" s="1">
        <v>150</v>
      </c>
      <c r="Z10" s="175"/>
      <c r="AA10" s="9">
        <v>50</v>
      </c>
      <c r="AB10" s="9">
        <v>50</v>
      </c>
      <c r="AC10" s="9">
        <v>100</v>
      </c>
      <c r="AD10" s="175"/>
      <c r="AE10" s="9">
        <v>50</v>
      </c>
      <c r="AF10" s="9">
        <v>50</v>
      </c>
      <c r="AG10" s="175"/>
      <c r="AH10" s="1">
        <v>25</v>
      </c>
      <c r="AI10" s="1">
        <v>25</v>
      </c>
      <c r="AJ10" s="1">
        <v>50</v>
      </c>
      <c r="AK10" s="175"/>
      <c r="AL10" s="1">
        <v>25</v>
      </c>
      <c r="AM10" s="1">
        <v>25</v>
      </c>
      <c r="AN10" s="1">
        <v>50</v>
      </c>
      <c r="AO10" s="175"/>
      <c r="AP10" s="190"/>
      <c r="AQ10" s="123"/>
      <c r="AR10" s="123"/>
      <c r="AS10" s="123"/>
      <c r="AT10" s="123"/>
      <c r="AU10" s="124"/>
      <c r="AV10" s="123"/>
      <c r="BA10" s="26">
        <f t="shared" ref="BA10:BG10" ca="1" si="0">OFFSET($G$8,0,(COLUMN(G8)-7)*4)</f>
        <v>4</v>
      </c>
      <c r="BB10" s="26">
        <f t="shared" ca="1" si="0"/>
        <v>4</v>
      </c>
      <c r="BC10" s="26">
        <f t="shared" ca="1" si="0"/>
        <v>4</v>
      </c>
      <c r="BD10" s="26">
        <f t="shared" ca="1" si="0"/>
        <v>3</v>
      </c>
      <c r="BE10" s="26">
        <f t="shared" ca="1" si="0"/>
        <v>3</v>
      </c>
      <c r="BF10" s="26">
        <f t="shared" ca="1" si="0"/>
        <v>2</v>
      </c>
      <c r="BG10" s="26">
        <f t="shared" ca="1" si="0"/>
        <v>0</v>
      </c>
      <c r="BH10" s="26">
        <f ca="1">OFFSET($G$8,0,(COLUMN(N8)-7)*4-1)</f>
        <v>1</v>
      </c>
      <c r="BI10" s="26">
        <f ca="1">OFFSET($G$8,0,(COLUMN(O8)-7)*4-1)</f>
        <v>1</v>
      </c>
      <c r="BJ10" s="122"/>
    </row>
    <row r="11" spans="1:62" ht="177.75" customHeight="1" x14ac:dyDescent="0.15">
      <c r="A11" s="57">
        <v>1</v>
      </c>
      <c r="B11" s="50">
        <v>250090713001</v>
      </c>
      <c r="C11" s="259" t="s">
        <v>196</v>
      </c>
      <c r="D11" s="51">
        <v>255601</v>
      </c>
      <c r="E11" s="52" t="s">
        <v>197</v>
      </c>
      <c r="F11" s="52" t="s">
        <v>198</v>
      </c>
      <c r="G11" s="55">
        <v>64</v>
      </c>
      <c r="H11" s="57">
        <v>46</v>
      </c>
      <c r="I11" s="11">
        <f>SUM(G11:H11)</f>
        <v>110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B</v>
      </c>
      <c r="K11" s="55">
        <v>52</v>
      </c>
      <c r="L11" s="57">
        <v>40</v>
      </c>
      <c r="M11" s="11">
        <f>SUM(K11:L11)</f>
        <v>92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C</v>
      </c>
      <c r="O11" s="55">
        <v>43</v>
      </c>
      <c r="P11" s="266">
        <v>43</v>
      </c>
      <c r="Q11" s="11">
        <f>SUM(O11:P11)</f>
        <v>86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P</v>
      </c>
      <c r="S11" s="55">
        <v>60</v>
      </c>
      <c r="T11" s="57">
        <v>41</v>
      </c>
      <c r="U11" s="11">
        <f>SUM(S11:T11)</f>
        <v>101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C</v>
      </c>
      <c r="W11" s="55">
        <v>69</v>
      </c>
      <c r="X11" s="57">
        <v>40</v>
      </c>
      <c r="Y11" s="11">
        <f>SUM(W11:X11)</f>
        <v>109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B</v>
      </c>
      <c r="AA11" s="55">
        <v>34</v>
      </c>
      <c r="AB11" s="57">
        <v>47</v>
      </c>
      <c r="AC11" s="11">
        <f>SUM(AA11:AB11)</f>
        <v>81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A</v>
      </c>
      <c r="AE11" s="57">
        <v>42</v>
      </c>
      <c r="AF11" s="11">
        <f>SUM(AE11)</f>
        <v>42</v>
      </c>
      <c r="AG11" s="16" t="str">
        <f>IF(ISBLANK(AF11),"",IF(ISTEXT(AF11),AF11,IF(AF11&gt;=0.9*AF$10,"O",IF(AF11&gt;=0.85*AF$10,"A+",IF(AF11&gt;=0.8*AF$10,"A",IF(AF11&gt;=0.7*AF$10,"B",IF(AF11&gt;=0.6*AF$10,"C",IF(AF11&gt;=0.5*AF$10,"P",IF(AF11&lt;0.5*AF$10,"F",AF11)))))))))</f>
        <v>A</v>
      </c>
      <c r="AH11" s="55">
        <v>22</v>
      </c>
      <c r="AI11" s="57">
        <v>23</v>
      </c>
      <c r="AJ11" s="11">
        <f>SUM(AH11:AI11)</f>
        <v>45</v>
      </c>
      <c r="AK11" s="22" t="str">
        <f>IF(ISTEXT(AH11),IF(AH11="A","Ab",IF(AH11="D","Dt",IF(AH11="UFM","UFM",IF(AH11="NA","")))),IF(AND(ISBLANK(AH11),ISBLANK(AJ11)),"",IF(AH11&lt;0.4*AH$10,"F",IF(ISBLANK(AJ11),"",IF(ISTEXT(AJ11),AJ11,IF(AJ11&gt;=0.9*AJ$10,"O",IF(AJ11&gt;=0.85*AJ$10,"A+",IF(AJ11&gt;=0.8*AJ$10,"A",IF(AJ11&gt;=0.7*AJ$10,"B",IF(AJ11&gt;=0.6*AJ$10,"C",IF(AJ11&gt;=0.5*AJ$10,"P",IF(AJ11&lt;0.5*AJ$10,"F",AJ11))))))))))))</f>
        <v>O</v>
      </c>
      <c r="AL11" s="55">
        <v>22</v>
      </c>
      <c r="AM11" s="57">
        <v>23</v>
      </c>
      <c r="AN11" s="11">
        <f>SUM(AL11:AM11)</f>
        <v>45</v>
      </c>
      <c r="AO11" s="22" t="str">
        <f>IF(ISTEXT(AL11),IF(AL11="A","Ab",IF(AL11="D","Dt",IF(AL11="UFM","UFM",IF(AL11="NA","")))),IF(AND(ISBLANK(AL11),ISBLANK(AN11)),"",IF(AL11&lt;0.4*AL$10,"F",IF(ISBLANK(AN11),"",IF(ISTEXT(AN11),AN11,IF(AN11&gt;=0.9*AN$10,"O",IF(AN11&gt;=0.85*AN$10,"A+",IF(AN11&gt;=0.8*AN$10,"A",IF(AN11&gt;=0.7*AN$10,"B",IF(AN11&gt;=0.6*AN$10,"C",IF(AN11&gt;=0.5*AN$10,"P",IF(AN11&lt;0.5*AN$10,"F",AN11))))))))))))</f>
        <v>O</v>
      </c>
      <c r="AP11" s="22">
        <f>SUM(AN11,AJ11,AC11,Y11,U11,Q11,M11,I11)</f>
        <v>669</v>
      </c>
      <c r="AQ11" s="28">
        <f ca="1">BJ11/$AP$8</f>
        <v>6.6818181818181817</v>
      </c>
      <c r="AR11" s="28">
        <f ca="1">AQ11</f>
        <v>6.6818181818181817</v>
      </c>
      <c r="AS11" s="16">
        <f ca="1">SUMIF(BA11:BI11,"&gt;0",$BA$10:$BI$10)</f>
        <v>22</v>
      </c>
      <c r="AT11" s="19" t="str">
        <f>IF(OR(J11=$AX$19,N11=$AX$19,R11=$AX$19, V11=$AX$19, Z11=$AX$19, AD11=$AX$19, AG11=$AX$19, AK11=$AX$19, AO11=$AX$19), "CARRY OVER", "PASS")</f>
        <v>PASS</v>
      </c>
      <c r="AU11" s="18" t="str">
        <f>IF(AT11="CARRY OVER",_xlfn.TEXTJOIN(" ", TRUE, "BACK IN:",  IF(J11=$AX$19, $G$5, ""), IF(N11=$AX$19, $K$5, ""),IF(R11=$AX$19, $O$5, ""),IF(V11=$AX$19, $S$5, ""),IF(Z11=$AX$19, $W$5, ""), IF(AD11=$AX$19, $AA$5, ""),IF(AG11=$AX$19, $AE$5, ""),IF(AK11=$AX$19, $AH$5, ""),IF(AO11=$AX$19, $AL$5, "")), " ")</f>
        <v xml:space="preserve"> </v>
      </c>
      <c r="AV11" s="16">
        <f ca="1">AS11</f>
        <v>22</v>
      </c>
      <c r="BA11" s="25">
        <f t="shared" ref="BA11:BF11" ca="1" si="1">INDEX($AY$13:$AY$23,MATCH(INDIRECT(ADDRESS(ROW($J11),COLUMN($J11)+(COLUMN(J11)-10)*4,1)),$AX$13:$AX$23,0))</f>
        <v>7</v>
      </c>
      <c r="BB11" s="25">
        <f t="shared" ca="1" si="1"/>
        <v>6</v>
      </c>
      <c r="BC11" s="25">
        <f t="shared" ca="1" si="1"/>
        <v>5</v>
      </c>
      <c r="BD11" s="25">
        <f t="shared" ca="1" si="1"/>
        <v>6</v>
      </c>
      <c r="BE11" s="25">
        <f t="shared" ca="1" si="1"/>
        <v>7</v>
      </c>
      <c r="BF11" s="25">
        <f t="shared" ca="1" si="1"/>
        <v>8</v>
      </c>
      <c r="BG11" s="25">
        <f t="shared" ref="BG11:BI11" ca="1" si="2">INDEX($AY$13:$AY$23,MATCH(INDIRECT(ADDRESS(ROW($J11),COLUMN($J11)+(COLUMN(P11)-10)*4-1,1)),$AX$13:$AX$23,0))</f>
        <v>8</v>
      </c>
      <c r="BH11" s="25">
        <f t="shared" ca="1" si="2"/>
        <v>10</v>
      </c>
      <c r="BI11" s="25">
        <f t="shared" ca="1" si="2"/>
        <v>10</v>
      </c>
      <c r="BJ11" s="25">
        <f ca="1">SUMPRODUCT(BA11:BI11,$BA$10:$BI$10)</f>
        <v>147</v>
      </c>
    </row>
    <row r="12" spans="1:62" ht="62" x14ac:dyDescent="0.15">
      <c r="A12" s="57">
        <v>2</v>
      </c>
      <c r="B12" s="50">
        <v>250090713002</v>
      </c>
      <c r="C12" s="259" t="s">
        <v>199</v>
      </c>
      <c r="D12" s="51">
        <v>255602</v>
      </c>
      <c r="E12" s="52" t="s">
        <v>200</v>
      </c>
      <c r="F12" s="52" t="s">
        <v>201</v>
      </c>
      <c r="G12" s="55">
        <v>42</v>
      </c>
      <c r="H12" s="57">
        <v>47</v>
      </c>
      <c r="I12" s="11">
        <f>SUM(G12:H12)</f>
        <v>89</v>
      </c>
      <c r="J12" s="22" t="str">
        <f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P</v>
      </c>
      <c r="K12" s="55">
        <v>47</v>
      </c>
      <c r="L12" s="57">
        <v>41</v>
      </c>
      <c r="M12" s="11">
        <f>SUM(K12:L12)</f>
        <v>88</v>
      </c>
      <c r="N12" s="22" t="str">
        <f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P</v>
      </c>
      <c r="O12" s="267">
        <v>48</v>
      </c>
      <c r="P12" s="268">
        <v>45</v>
      </c>
      <c r="Q12" s="11">
        <f>SUM(O12:P12)</f>
        <v>93</v>
      </c>
      <c r="R12" s="22" t="str">
        <f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C</v>
      </c>
      <c r="S12" s="55">
        <v>38</v>
      </c>
      <c r="T12" s="57">
        <v>40</v>
      </c>
      <c r="U12" s="11">
        <f>SUM(S12:T12)</f>
        <v>78</v>
      </c>
      <c r="V12" s="22" t="str">
        <f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F</v>
      </c>
      <c r="W12" s="55">
        <v>77</v>
      </c>
      <c r="X12" s="57">
        <v>42</v>
      </c>
      <c r="Y12" s="11">
        <f>SUM(W12:X12)</f>
        <v>119</v>
      </c>
      <c r="Z12" s="22" t="str">
        <f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B</v>
      </c>
      <c r="AA12" s="55">
        <v>31</v>
      </c>
      <c r="AB12" s="57">
        <v>49</v>
      </c>
      <c r="AC12" s="11">
        <f>SUM(AA12:AB12)</f>
        <v>80</v>
      </c>
      <c r="AD12" s="22" t="str">
        <f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269">
        <v>34</v>
      </c>
      <c r="AF12" s="11">
        <f>SUM(AE12)</f>
        <v>34</v>
      </c>
      <c r="AG12" s="16" t="str">
        <f>IF(ISBLANK(AF12),"",IF(ISTEXT(AF12),AF12,IF(AF12&gt;=0.9*AF$10,"O",IF(AF12&gt;=0.85*AF$10,"A+",IF(AF12&gt;=0.8*AF$10,"A",IF(AF12&gt;=0.7*AF$10,"B",IF(AF12&gt;=0.6*AF$10,"C",IF(AF12&gt;=0.5*AF$10,"P",IF(AF12&lt;0.5*AF$10,"F",AF12)))))))))</f>
        <v>C</v>
      </c>
      <c r="AH12" s="55">
        <v>21</v>
      </c>
      <c r="AI12" s="57">
        <v>23</v>
      </c>
      <c r="AJ12" s="11">
        <f>SUM(AH12:AI12)</f>
        <v>44</v>
      </c>
      <c r="AK12" s="22" t="str">
        <f>IF(ISTEXT(AH12),IF(AH12="A","Ab",IF(AH12="D","Dt",IF(AH12="UFM","UFM",IF(AH12="NA","")))),IF(AND(ISBLANK(AH12),ISBLANK(AJ12)),"",IF(AH12&lt;0.4*AH$10,"F",IF(ISBLANK(AJ12),"",IF(ISTEXT(AJ12),AJ12,IF(AJ12&gt;=0.9*AJ$10,"O",IF(AJ12&gt;=0.85*AJ$10,"A+",IF(AJ12&gt;=0.8*AJ$10,"A",IF(AJ12&gt;=0.7*AJ$10,"B",IF(AJ12&gt;=0.6*AJ$10,"C",IF(AJ12&gt;=0.5*AJ$10,"P",IF(AJ12&lt;0.5*AJ$10,"F",AJ12))))))))))))</f>
        <v>A+</v>
      </c>
      <c r="AL12" s="55">
        <v>23</v>
      </c>
      <c r="AM12" s="57">
        <v>23</v>
      </c>
      <c r="AN12" s="11">
        <f>SUM(AL12:AM12)</f>
        <v>46</v>
      </c>
      <c r="AO12" s="22" t="str">
        <f>IF(ISTEXT(AL12),IF(AL12="A","Ab",IF(AL12="D","Dt",IF(AL12="UFM","UFM",IF(AL12="NA","")))),IF(AND(ISBLANK(AL12),ISBLANK(AN12)),"",IF(AL12&lt;0.4*AL$10,"F",IF(ISBLANK(AN12),"",IF(ISTEXT(AN12),AN12,IF(AN12&gt;=0.9*AN$10,"O",IF(AN12&gt;=0.85*AN$10,"A+",IF(AN12&gt;=0.8*AN$10,"A",IF(AN12&gt;=0.7*AN$10,"B",IF(AN12&gt;=0.6*AN$10,"C",IF(AN12&gt;=0.5*AN$10,"P",IF(AN12&lt;0.5*AN$10,"F",AN12))))))))))))</f>
        <v>O</v>
      </c>
      <c r="AP12" s="22">
        <f>SUM(AN12,AJ12,AC12,Y12,U12,Q12,M12,I12)</f>
        <v>637</v>
      </c>
      <c r="AQ12" s="28">
        <f ca="1">BJ12/$AP$8</f>
        <v>5.4545454545454541</v>
      </c>
      <c r="AR12" s="28">
        <f ca="1">AQ12</f>
        <v>5.4545454545454541</v>
      </c>
      <c r="AS12" s="16">
        <f ca="1">SUMIF(BA12:BI12,"&gt;0",$BA$10:$BI$10)</f>
        <v>19</v>
      </c>
      <c r="AT12" s="19" t="str">
        <f t="shared" ref="AT12" si="3">IF(OR(J12=$AX$19,N12=$AX$19,R12=$AX$19, V12=$AX$19, Z12=$AX$19, AD12=$AX$19, AG12=$AX$19, AK12=$AX$19, AO12=$AX$19), "CARRY OVER", "PASS")</f>
        <v>CARRY OVER</v>
      </c>
      <c r="AU12" s="18" t="str">
        <f t="shared" ref="AU12" si="4">IF(AT12="CARRY OVER",_xlfn.TEXTJOIN(" ", TRUE, "BACK IN:",  IF(J12=$AX$19, $G$5, ""), IF(N12=$AX$19, $K$5, ""),IF(R12=$AX$19, $O$5, ""),IF(V12=$AX$19, $S$5, ""),IF(Z12=$AX$19, $W$5, ""), IF(AD12=$AX$19, $AA$5, ""),IF(AG12=$AX$19, $AE$5, ""),IF(AK12=$AX$19, $AH$5, ""),IF(AO12=$AX$19, $AL$5, "")), " ")</f>
        <v>BACK IN: MPST 111</v>
      </c>
      <c r="AV12" s="16">
        <f ca="1">AS12</f>
        <v>19</v>
      </c>
      <c r="AX12" s="23" t="s">
        <v>34</v>
      </c>
      <c r="AY12" s="24" t="s">
        <v>35</v>
      </c>
      <c r="BA12" s="264">
        <f t="shared" ref="BA12" ca="1" si="5">INDEX($AY$13:$AY$23,MATCH(INDIRECT(ADDRESS(ROW($J12),COLUMN($J12)+(COLUMN(J12)-10)*4,1)),$AX$13:$AX$23,0))</f>
        <v>5</v>
      </c>
      <c r="BB12" s="264">
        <f t="shared" ref="BB12" ca="1" si="6">INDEX($AY$13:$AY$23,MATCH(INDIRECT(ADDRESS(ROW($J12),COLUMN($J12)+(COLUMN(K12)-10)*4,1)),$AX$13:$AX$23,0))</f>
        <v>5</v>
      </c>
      <c r="BC12" s="264">
        <f t="shared" ref="BC12" ca="1" si="7">INDEX($AY$13:$AY$23,MATCH(INDIRECT(ADDRESS(ROW($J12),COLUMN($J12)+(COLUMN(L12)-10)*4,1)),$AX$13:$AX$23,0))</f>
        <v>6</v>
      </c>
      <c r="BD12" s="264">
        <f t="shared" ref="BD12" ca="1" si="8">INDEX($AY$13:$AY$23,MATCH(INDIRECT(ADDRESS(ROW($J12),COLUMN($J12)+(COLUMN(M12)-10)*4,1)),$AX$13:$AX$23,0))</f>
        <v>0</v>
      </c>
      <c r="BE12" s="264">
        <f t="shared" ref="BE12" ca="1" si="9">INDEX($AY$13:$AY$23,MATCH(INDIRECT(ADDRESS(ROW($J12),COLUMN($J12)+(COLUMN(N12)-10)*4,1)),$AX$13:$AX$23,0))</f>
        <v>7</v>
      </c>
      <c r="BF12" s="264">
        <f t="shared" ref="BF12" ca="1" si="10">INDEX($AY$13:$AY$23,MATCH(INDIRECT(ADDRESS(ROW($J12),COLUMN($J12)+(COLUMN(O12)-10)*4,1)),$AX$13:$AX$23,0))</f>
        <v>8</v>
      </c>
      <c r="BG12" s="264">
        <f t="shared" ref="BG12" ca="1" si="11">INDEX($AY$13:$AY$23,MATCH(INDIRECT(ADDRESS(ROW($J12),COLUMN($J12)+(COLUMN(P12)-10)*4-1,1)),$AX$13:$AX$23,0))</f>
        <v>6</v>
      </c>
      <c r="BH12" s="264">
        <f t="shared" ref="BH12" ca="1" si="12">INDEX($AY$13:$AY$23,MATCH(INDIRECT(ADDRESS(ROW($J12),COLUMN($J12)+(COLUMN(Q12)-10)*4-1,1)),$AX$13:$AX$23,0))</f>
        <v>9</v>
      </c>
      <c r="BI12" s="264">
        <f t="shared" ref="BI12" ca="1" si="13">INDEX($AY$13:$AY$23,MATCH(INDIRECT(ADDRESS(ROW($J12),COLUMN($J12)+(COLUMN(R12)-10)*4-1,1)),$AX$13:$AX$23,0))</f>
        <v>10</v>
      </c>
      <c r="BJ12" s="264">
        <f ca="1">SUMPRODUCT(BA12:BI12,$BA$10:$BI$10)</f>
        <v>120</v>
      </c>
    </row>
    <row r="13" spans="1:62" ht="20" x14ac:dyDescent="0.15">
      <c r="AX13" s="25" t="s">
        <v>36</v>
      </c>
      <c r="AY13" s="25">
        <v>10</v>
      </c>
    </row>
    <row r="14" spans="1:62" ht="20" x14ac:dyDescent="0.15">
      <c r="AX14" s="25" t="s">
        <v>37</v>
      </c>
      <c r="AY14" s="25">
        <v>9</v>
      </c>
    </row>
    <row r="15" spans="1:62" ht="20" x14ac:dyDescent="0.15">
      <c r="AX15" s="25" t="s">
        <v>38</v>
      </c>
      <c r="AY15" s="25">
        <v>8</v>
      </c>
    </row>
    <row r="16" spans="1:62" ht="20" x14ac:dyDescent="0.15">
      <c r="AX16" s="25" t="s">
        <v>39</v>
      </c>
      <c r="AY16" s="25">
        <v>7</v>
      </c>
    </row>
    <row r="17" spans="50:51" ht="20" x14ac:dyDescent="0.15">
      <c r="AX17" s="25" t="s">
        <v>40</v>
      </c>
      <c r="AY17" s="25">
        <v>6</v>
      </c>
    </row>
    <row r="18" spans="50:51" ht="20" x14ac:dyDescent="0.15">
      <c r="AX18" s="25" t="s">
        <v>41</v>
      </c>
      <c r="AY18" s="25">
        <v>5</v>
      </c>
    </row>
    <row r="19" spans="50:51" ht="20" x14ac:dyDescent="0.15">
      <c r="AX19" s="25" t="s">
        <v>42</v>
      </c>
      <c r="AY19" s="25">
        <v>0</v>
      </c>
    </row>
    <row r="20" spans="50:51" ht="20" x14ac:dyDescent="0.15">
      <c r="AX20" s="25" t="s">
        <v>43</v>
      </c>
      <c r="AY20" s="25">
        <v>0</v>
      </c>
    </row>
    <row r="21" spans="50:51" ht="20" x14ac:dyDescent="0.15">
      <c r="AX21" s="25" t="s">
        <v>44</v>
      </c>
      <c r="AY21" s="25">
        <v>0</v>
      </c>
    </row>
    <row r="22" spans="50:51" ht="20" x14ac:dyDescent="0.15">
      <c r="AX22" s="25" t="s">
        <v>45</v>
      </c>
      <c r="AY22" s="25">
        <v>0</v>
      </c>
    </row>
    <row r="23" spans="50:51" ht="20" x14ac:dyDescent="0.15">
      <c r="AX23" s="25" t="str">
        <f>""</f>
        <v/>
      </c>
      <c r="AY23" s="25" t="str">
        <f>""</f>
        <v/>
      </c>
    </row>
  </sheetData>
  <mergeCells count="56">
    <mergeCell ref="A1:AU1"/>
    <mergeCell ref="A2:AU2"/>
    <mergeCell ref="A3:AU3"/>
    <mergeCell ref="G8:I8"/>
    <mergeCell ref="K8:M8"/>
    <mergeCell ref="O8:Q8"/>
    <mergeCell ref="S8:U8"/>
    <mergeCell ref="W8:Y8"/>
    <mergeCell ref="AA8:AC8"/>
    <mergeCell ref="AE8:AF8"/>
    <mergeCell ref="AH8:AJ8"/>
    <mergeCell ref="AL8:AN8"/>
    <mergeCell ref="B4:B10"/>
    <mergeCell ref="C4:C10"/>
    <mergeCell ref="D4:D10"/>
    <mergeCell ref="E4:E10"/>
    <mergeCell ref="F4:F10"/>
    <mergeCell ref="G7:AO7"/>
    <mergeCell ref="AE5:AG5"/>
    <mergeCell ref="AE6:AG6"/>
    <mergeCell ref="AH5:AK5"/>
    <mergeCell ref="AH6:AK6"/>
    <mergeCell ref="AL5:AO5"/>
    <mergeCell ref="AL6:AO6"/>
    <mergeCell ref="W5:Z5"/>
    <mergeCell ref="AA5:AD5"/>
    <mergeCell ref="K6:N6"/>
    <mergeCell ref="O6:R6"/>
    <mergeCell ref="G6:J6"/>
    <mergeCell ref="K5:N5"/>
    <mergeCell ref="O5:R5"/>
    <mergeCell ref="S5:V5"/>
    <mergeCell ref="BA9:BI9"/>
    <mergeCell ref="BJ9:BJ10"/>
    <mergeCell ref="AP4:AP6"/>
    <mergeCell ref="AQ4:AQ10"/>
    <mergeCell ref="AR4:AR10"/>
    <mergeCell ref="AS4:AS10"/>
    <mergeCell ref="AT4:AT10"/>
    <mergeCell ref="AU4:AU10"/>
    <mergeCell ref="AP9:AP10"/>
    <mergeCell ref="AK8:AK10"/>
    <mergeCell ref="AO8:AO10"/>
    <mergeCell ref="AG8:AG10"/>
    <mergeCell ref="G4:AO4"/>
    <mergeCell ref="AV4:AV10"/>
    <mergeCell ref="W6:Z6"/>
    <mergeCell ref="AA6:AD6"/>
    <mergeCell ref="G5:J5"/>
    <mergeCell ref="J8:J10"/>
    <mergeCell ref="N8:N10"/>
    <mergeCell ref="R8:R10"/>
    <mergeCell ref="V8:V10"/>
    <mergeCell ref="S6:V6"/>
    <mergeCell ref="Z8:Z10"/>
    <mergeCell ref="AD8:AD10"/>
  </mergeCells>
  <conditionalFormatting sqref="I11:I12 M11:M12 Q11:Q12 U11:U12 Y11:Y12">
    <cfRule type="cellIs" dxfId="125" priority="63" stopIfTrue="1" operator="lessThan">
      <formula>75</formula>
    </cfRule>
  </conditionalFormatting>
  <conditionalFormatting sqref="J11:J12">
    <cfRule type="containsText" dxfId="124" priority="39" operator="containsText" text="Dt">
      <formula>NOT(ISERROR(SEARCH("Dt",J11)))</formula>
    </cfRule>
    <cfRule type="containsText" dxfId="123" priority="40" operator="containsText" text="Ab">
      <formula>NOT(ISERROR(SEARCH("Ab",J11)))</formula>
    </cfRule>
    <cfRule type="containsText" dxfId="122" priority="41" operator="containsText" text="F">
      <formula>NOT(ISERROR(SEARCH("F",J11)))</formula>
    </cfRule>
  </conditionalFormatting>
  <conditionalFormatting sqref="N11:N12">
    <cfRule type="containsText" dxfId="119" priority="36" operator="containsText" text="Dt">
      <formula>NOT(ISERROR(SEARCH("Dt",N11)))</formula>
    </cfRule>
    <cfRule type="containsText" dxfId="118" priority="37" operator="containsText" text="Ab">
      <formula>NOT(ISERROR(SEARCH("Ab",N11)))</formula>
    </cfRule>
    <cfRule type="containsText" dxfId="117" priority="38" operator="containsText" text="F">
      <formula>NOT(ISERROR(SEARCH("F",N11)))</formula>
    </cfRule>
  </conditionalFormatting>
  <conditionalFormatting sqref="R11:R12">
    <cfRule type="containsText" dxfId="114" priority="33" operator="containsText" text="Dt">
      <formula>NOT(ISERROR(SEARCH("Dt",R11)))</formula>
    </cfRule>
    <cfRule type="containsText" dxfId="113" priority="34" operator="containsText" text="Ab">
      <formula>NOT(ISERROR(SEARCH("Ab",R11)))</formula>
    </cfRule>
    <cfRule type="containsText" dxfId="112" priority="35" operator="containsText" text="F">
      <formula>NOT(ISERROR(SEARCH("F",R11)))</formula>
    </cfRule>
  </conditionalFormatting>
  <conditionalFormatting sqref="V11:V12">
    <cfRule type="containsText" dxfId="109" priority="30" operator="containsText" text="Dt">
      <formula>NOT(ISERROR(SEARCH("Dt",V11)))</formula>
    </cfRule>
    <cfRule type="containsText" dxfId="108" priority="31" operator="containsText" text="Ab">
      <formula>NOT(ISERROR(SEARCH("Ab",V11)))</formula>
    </cfRule>
    <cfRule type="containsText" dxfId="107" priority="32" operator="containsText" text="F">
      <formula>NOT(ISERROR(SEARCH("F",V11)))</formula>
    </cfRule>
  </conditionalFormatting>
  <conditionalFormatting sqref="Z11:Z12">
    <cfRule type="containsText" dxfId="104" priority="27" operator="containsText" text="Dt">
      <formula>NOT(ISERROR(SEARCH("Dt",Z11)))</formula>
    </cfRule>
    <cfRule type="containsText" dxfId="103" priority="28" operator="containsText" text="Ab">
      <formula>NOT(ISERROR(SEARCH("Ab",Z11)))</formula>
    </cfRule>
    <cfRule type="containsText" dxfId="102" priority="29" operator="containsText" text="F">
      <formula>NOT(ISERROR(SEARCH("F",Z11)))</formula>
    </cfRule>
  </conditionalFormatting>
  <conditionalFormatting sqref="AD11:AD12">
    <cfRule type="containsText" dxfId="100" priority="24" operator="containsText" text="Dt">
      <formula>NOT(ISERROR(SEARCH("Dt",AD11)))</formula>
    </cfRule>
    <cfRule type="containsText" dxfId="99" priority="25" operator="containsText" text="Ab">
      <formula>NOT(ISERROR(SEARCH("Ab",AD11)))</formula>
    </cfRule>
    <cfRule type="containsText" dxfId="98" priority="26" operator="containsText" text="F">
      <formula>NOT(ISERROR(SEARCH("F",AD11)))</formula>
    </cfRule>
  </conditionalFormatting>
  <conditionalFormatting sqref="AG11:AG12">
    <cfRule type="containsText" dxfId="97" priority="17" operator="containsText" text="F">
      <formula>NOT(ISERROR(SEARCH("F",AG11)))</formula>
    </cfRule>
  </conditionalFormatting>
  <conditionalFormatting sqref="AJ11:AJ12 AN11:AN12">
    <cfRule type="cellIs" dxfId="95" priority="47" stopIfTrue="1" operator="lessThan">
      <formula>25</formula>
    </cfRule>
  </conditionalFormatting>
  <conditionalFormatting sqref="AK11:AK12">
    <cfRule type="containsText" dxfId="94" priority="21" operator="containsText" text="Dt">
      <formula>NOT(ISERROR(SEARCH("Dt",AK11)))</formula>
    </cfRule>
    <cfRule type="containsText" dxfId="93" priority="22" operator="containsText" text="Ab">
      <formula>NOT(ISERROR(SEARCH("Ab",AK11)))</formula>
    </cfRule>
    <cfRule type="containsText" dxfId="92" priority="23" operator="containsText" text="F">
      <formula>NOT(ISERROR(SEARCH("F",AK11)))</formula>
    </cfRule>
  </conditionalFormatting>
  <conditionalFormatting sqref="AO11:AO12">
    <cfRule type="containsText" dxfId="90" priority="18" operator="containsText" text="Dt">
      <formula>NOT(ISERROR(SEARCH("Dt",AO11)))</formula>
    </cfRule>
    <cfRule type="containsText" dxfId="89" priority="19" operator="containsText" text="Ab">
      <formula>NOT(ISERROR(SEARCH("Ab",AO11)))</formula>
    </cfRule>
    <cfRule type="containsText" dxfId="88" priority="20" operator="containsText" text="F">
      <formula>NOT(ISERROR(SEARCH("F",AO11)))</formula>
    </cfRule>
  </conditionalFormatting>
  <conditionalFormatting sqref="W11:W12">
    <cfRule type="cellIs" dxfId="87" priority="3" stopIfTrue="1" operator="lessThan">
      <formula>40</formula>
    </cfRule>
  </conditionalFormatting>
  <conditionalFormatting sqref="AT11:AT12">
    <cfRule type="cellIs" dxfId="1" priority="1" operator="equal">
      <formula>"PASS"</formula>
    </cfRule>
    <cfRule type="cellIs" dxfId="0" priority="2" operator="equal">
      <formula>"CARRY OVER"</formula>
    </cfRule>
  </conditionalFormatting>
  <pageMargins left="0.70866141732283472" right="0.70866141732283472" top="1.19" bottom="4.7244094488188981" header="0.31496062992125984" footer="4.0944881889763778"/>
  <pageSetup paperSize="8" scale="40" orientation="landscape" r:id="rId1"/>
  <headerFooter>
    <oddFooter>&amp;L&amp;"Arial,Bold"&amp;16($) Non Credit Subject(s)            Date: 25.07.2023         Prepared by    Checked by &amp;C&amp;"Arial,Bold"&amp;16          Examination Controller &amp;R&amp;"Arial,Bold"&amp;16CONTROLLER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23"/>
  <sheetViews>
    <sheetView topLeftCell="AB9" zoomScale="50" zoomScaleNormal="40" workbookViewId="0">
      <selection activeCell="AV11" sqref="AV11"/>
    </sheetView>
  </sheetViews>
  <sheetFormatPr baseColWidth="10" defaultColWidth="8.83203125" defaultRowHeight="13" x14ac:dyDescent="0.15"/>
  <cols>
    <col min="2" max="3" width="31.33203125" customWidth="1"/>
    <col min="4" max="4" width="20.6640625" customWidth="1"/>
    <col min="5" max="5" width="47.83203125" customWidth="1"/>
    <col min="6" max="6" width="35.33203125" customWidth="1"/>
    <col min="7" max="10" width="8.83203125" customWidth="1"/>
    <col min="11" max="14" width="10.5" customWidth="1"/>
    <col min="15" max="18" width="11.6640625" customWidth="1"/>
    <col min="19" max="22" width="8.83203125" customWidth="1"/>
    <col min="23" max="26" width="13.5" customWidth="1"/>
    <col min="27" max="30" width="8.83203125" customWidth="1"/>
    <col min="31" max="34" width="14.5" customWidth="1"/>
    <col min="35" max="35" width="10.83203125" customWidth="1"/>
    <col min="36" max="38" width="8.83203125" customWidth="1"/>
    <col min="39" max="42" width="13.1640625" customWidth="1"/>
    <col min="43" max="46" width="16.33203125" customWidth="1"/>
    <col min="47" max="47" width="33.5" customWidth="1"/>
    <col min="48" max="48" width="31.6640625" customWidth="1"/>
    <col min="49" max="49" width="17.5" customWidth="1"/>
  </cols>
  <sheetData>
    <row r="1" spans="1:63" ht="47.25" customHeight="1" x14ac:dyDescent="0.15">
      <c r="A1" s="196" t="s">
        <v>12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5"/>
      <c r="AS1" s="15"/>
      <c r="AT1" s="15"/>
      <c r="AU1" s="15"/>
    </row>
    <row r="2" spans="1:63" ht="43.5" customHeight="1" x14ac:dyDescent="0.15">
      <c r="A2" s="200" t="s">
        <v>15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0"/>
      <c r="AP2" s="200"/>
      <c r="AQ2" s="200"/>
      <c r="AR2" s="13"/>
      <c r="AS2" s="13"/>
      <c r="AT2" s="13"/>
      <c r="AU2" s="13"/>
    </row>
    <row r="3" spans="1:63" ht="66" customHeight="1" x14ac:dyDescent="0.15">
      <c r="A3" s="198" t="s">
        <v>136</v>
      </c>
      <c r="B3" s="198"/>
      <c r="C3" s="198"/>
      <c r="D3" s="198"/>
      <c r="E3" s="198"/>
      <c r="F3" s="198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4"/>
      <c r="AS3" s="14"/>
      <c r="AT3" s="14"/>
      <c r="AU3" s="14"/>
    </row>
    <row r="4" spans="1:63" ht="66" customHeight="1" x14ac:dyDescent="0.15">
      <c r="A4" s="34"/>
      <c r="B4" s="136" t="s">
        <v>7</v>
      </c>
      <c r="C4" s="136" t="s">
        <v>14</v>
      </c>
      <c r="D4" s="136" t="s">
        <v>16</v>
      </c>
      <c r="E4" s="136" t="s">
        <v>2</v>
      </c>
      <c r="F4" s="136" t="s">
        <v>1</v>
      </c>
      <c r="G4" s="191" t="s">
        <v>22</v>
      </c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26" t="s">
        <v>17</v>
      </c>
      <c r="AR4" s="123" t="s">
        <v>48</v>
      </c>
      <c r="AS4" s="123" t="s">
        <v>49</v>
      </c>
      <c r="AT4" s="123" t="s">
        <v>50</v>
      </c>
      <c r="AU4" s="123" t="s">
        <v>11</v>
      </c>
      <c r="AV4" s="124" t="s">
        <v>10</v>
      </c>
      <c r="AW4" s="123" t="s">
        <v>51</v>
      </c>
    </row>
    <row r="5" spans="1:63" ht="66" customHeight="1" x14ac:dyDescent="0.15">
      <c r="A5" s="34" t="s">
        <v>71</v>
      </c>
      <c r="B5" s="136"/>
      <c r="C5" s="136"/>
      <c r="D5" s="136"/>
      <c r="E5" s="136"/>
      <c r="F5" s="136"/>
      <c r="G5" s="191" t="s">
        <v>109</v>
      </c>
      <c r="H5" s="191"/>
      <c r="I5" s="191"/>
      <c r="J5" s="191"/>
      <c r="K5" s="191" t="s">
        <v>111</v>
      </c>
      <c r="L5" s="191"/>
      <c r="M5" s="191"/>
      <c r="N5" s="191"/>
      <c r="O5" s="191" t="s">
        <v>113</v>
      </c>
      <c r="P5" s="191"/>
      <c r="Q5" s="191"/>
      <c r="R5" s="191"/>
      <c r="S5" s="191" t="s">
        <v>115</v>
      </c>
      <c r="T5" s="191"/>
      <c r="U5" s="191"/>
      <c r="V5" s="191"/>
      <c r="W5" s="191" t="s">
        <v>137</v>
      </c>
      <c r="X5" s="191"/>
      <c r="Y5" s="191"/>
      <c r="Z5" s="191"/>
      <c r="AA5" s="191" t="s">
        <v>26</v>
      </c>
      <c r="AB5" s="191"/>
      <c r="AC5" s="191"/>
      <c r="AD5" s="191"/>
      <c r="AE5" s="191" t="s">
        <v>140</v>
      </c>
      <c r="AF5" s="191"/>
      <c r="AG5" s="191"/>
      <c r="AH5" s="191"/>
      <c r="AI5" s="191" t="s">
        <v>116</v>
      </c>
      <c r="AJ5" s="191"/>
      <c r="AK5" s="191"/>
      <c r="AL5" s="191"/>
      <c r="AM5" s="191" t="s">
        <v>139</v>
      </c>
      <c r="AN5" s="191"/>
      <c r="AO5" s="191"/>
      <c r="AP5" s="191"/>
      <c r="AQ5" s="126"/>
      <c r="AR5" s="123"/>
      <c r="AS5" s="123"/>
      <c r="AT5" s="123"/>
      <c r="AU5" s="123"/>
      <c r="AV5" s="124"/>
      <c r="AW5" s="123"/>
    </row>
    <row r="6" spans="1:63" ht="256.5" customHeight="1" x14ac:dyDescent="0.15">
      <c r="A6" s="34" t="s">
        <v>72</v>
      </c>
      <c r="B6" s="136"/>
      <c r="C6" s="136"/>
      <c r="D6" s="136"/>
      <c r="E6" s="136"/>
      <c r="F6" s="136"/>
      <c r="G6" s="126" t="s">
        <v>108</v>
      </c>
      <c r="H6" s="126"/>
      <c r="I6" s="126"/>
      <c r="J6" s="126"/>
      <c r="K6" s="126" t="s">
        <v>110</v>
      </c>
      <c r="L6" s="126"/>
      <c r="M6" s="126"/>
      <c r="N6" s="126"/>
      <c r="O6" s="126" t="s">
        <v>112</v>
      </c>
      <c r="P6" s="126"/>
      <c r="Q6" s="126"/>
      <c r="R6" s="126"/>
      <c r="S6" s="126" t="s">
        <v>114</v>
      </c>
      <c r="T6" s="126"/>
      <c r="U6" s="126"/>
      <c r="V6" s="126"/>
      <c r="W6" s="126" t="s">
        <v>138</v>
      </c>
      <c r="X6" s="126"/>
      <c r="Y6" s="126"/>
      <c r="Z6" s="126"/>
      <c r="AA6" s="126" t="s">
        <v>25</v>
      </c>
      <c r="AB6" s="126"/>
      <c r="AC6" s="126"/>
      <c r="AD6" s="126"/>
      <c r="AE6" s="126" t="s">
        <v>141</v>
      </c>
      <c r="AF6" s="126"/>
      <c r="AG6" s="126"/>
      <c r="AH6" s="126"/>
      <c r="AI6" s="126" t="s">
        <v>118</v>
      </c>
      <c r="AJ6" s="126"/>
      <c r="AK6" s="126"/>
      <c r="AL6" s="126"/>
      <c r="AM6" s="126" t="s">
        <v>117</v>
      </c>
      <c r="AN6" s="126"/>
      <c r="AO6" s="126"/>
      <c r="AP6" s="126"/>
      <c r="AQ6" s="126"/>
      <c r="AR6" s="123"/>
      <c r="AS6" s="123"/>
      <c r="AT6" s="123"/>
      <c r="AU6" s="123"/>
      <c r="AV6" s="124"/>
      <c r="AW6" s="123"/>
    </row>
    <row r="7" spans="1:63" ht="62.25" customHeight="1" x14ac:dyDescent="0.15">
      <c r="A7" s="34"/>
      <c r="B7" s="136"/>
      <c r="C7" s="136"/>
      <c r="D7" s="136"/>
      <c r="E7" s="136"/>
      <c r="F7" s="136"/>
      <c r="G7" s="192" t="s">
        <v>33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26"/>
      <c r="AR7" s="123"/>
      <c r="AS7" s="123"/>
      <c r="AT7" s="123"/>
      <c r="AU7" s="123"/>
      <c r="AV7" s="124"/>
      <c r="AW7" s="123"/>
    </row>
    <row r="8" spans="1:63" ht="62.25" customHeight="1" x14ac:dyDescent="0.15">
      <c r="A8" s="34" t="s">
        <v>40</v>
      </c>
      <c r="B8" s="136"/>
      <c r="C8" s="136"/>
      <c r="D8" s="136"/>
      <c r="E8" s="136"/>
      <c r="F8" s="136"/>
      <c r="G8" s="193">
        <v>4</v>
      </c>
      <c r="H8" s="194"/>
      <c r="I8" s="195"/>
      <c r="J8" s="173" t="s">
        <v>34</v>
      </c>
      <c r="K8" s="193">
        <v>4</v>
      </c>
      <c r="L8" s="194"/>
      <c r="M8" s="195"/>
      <c r="N8" s="173" t="s">
        <v>34</v>
      </c>
      <c r="O8" s="193">
        <v>4</v>
      </c>
      <c r="P8" s="194"/>
      <c r="Q8" s="195"/>
      <c r="R8" s="173" t="s">
        <v>34</v>
      </c>
      <c r="S8" s="193">
        <v>3</v>
      </c>
      <c r="T8" s="194"/>
      <c r="U8" s="195"/>
      <c r="V8" s="173" t="s">
        <v>34</v>
      </c>
      <c r="W8" s="193">
        <v>3</v>
      </c>
      <c r="X8" s="194"/>
      <c r="Y8" s="195"/>
      <c r="Z8" s="173" t="s">
        <v>34</v>
      </c>
      <c r="AA8" s="193">
        <v>2</v>
      </c>
      <c r="AB8" s="194"/>
      <c r="AC8" s="195"/>
      <c r="AD8" s="173" t="s">
        <v>34</v>
      </c>
      <c r="AE8" s="172">
        <v>0</v>
      </c>
      <c r="AF8" s="127"/>
      <c r="AG8" s="128"/>
      <c r="AH8" s="173" t="s">
        <v>34</v>
      </c>
      <c r="AI8" s="172">
        <v>1</v>
      </c>
      <c r="AJ8" s="127"/>
      <c r="AK8" s="128"/>
      <c r="AL8" s="173" t="s">
        <v>34</v>
      </c>
      <c r="AM8" s="172">
        <v>1</v>
      </c>
      <c r="AN8" s="127"/>
      <c r="AO8" s="128"/>
      <c r="AP8" s="173" t="s">
        <v>34</v>
      </c>
      <c r="AQ8" s="31">
        <f>SUM(AM8,AI8,AE8,AA8,W8,S8,O8,K8,G8)</f>
        <v>22</v>
      </c>
      <c r="AR8" s="123"/>
      <c r="AS8" s="123"/>
      <c r="AT8" s="123"/>
      <c r="AU8" s="123"/>
      <c r="AV8" s="124"/>
      <c r="AW8" s="123"/>
    </row>
    <row r="9" spans="1:63" ht="62.25" customHeight="1" x14ac:dyDescent="0.15">
      <c r="A9" s="34"/>
      <c r="B9" s="136"/>
      <c r="C9" s="136"/>
      <c r="D9" s="136"/>
      <c r="E9" s="136"/>
      <c r="F9" s="136"/>
      <c r="G9" s="20" t="s">
        <v>3</v>
      </c>
      <c r="H9" s="3" t="s">
        <v>4</v>
      </c>
      <c r="I9" s="3" t="s">
        <v>0</v>
      </c>
      <c r="J9" s="174"/>
      <c r="K9" s="20" t="s">
        <v>3</v>
      </c>
      <c r="L9" s="3" t="s">
        <v>4</v>
      </c>
      <c r="M9" s="3" t="s">
        <v>0</v>
      </c>
      <c r="N9" s="174"/>
      <c r="O9" s="20" t="s">
        <v>3</v>
      </c>
      <c r="P9" s="3" t="s">
        <v>4</v>
      </c>
      <c r="Q9" s="3" t="s">
        <v>0</v>
      </c>
      <c r="R9" s="174"/>
      <c r="S9" s="20" t="s">
        <v>3</v>
      </c>
      <c r="T9" s="3" t="s">
        <v>4</v>
      </c>
      <c r="U9" s="3" t="s">
        <v>0</v>
      </c>
      <c r="V9" s="174"/>
      <c r="W9" s="20" t="s">
        <v>3</v>
      </c>
      <c r="X9" s="3" t="s">
        <v>4</v>
      </c>
      <c r="Y9" s="3" t="s">
        <v>0</v>
      </c>
      <c r="Z9" s="174"/>
      <c r="AA9" s="20" t="s">
        <v>3</v>
      </c>
      <c r="AB9" s="3" t="s">
        <v>4</v>
      </c>
      <c r="AC9" s="3" t="s">
        <v>0</v>
      </c>
      <c r="AD9" s="174"/>
      <c r="AE9" s="20" t="s">
        <v>3</v>
      </c>
      <c r="AF9" s="3" t="s">
        <v>4</v>
      </c>
      <c r="AG9" s="3" t="s">
        <v>0</v>
      </c>
      <c r="AH9" s="174"/>
      <c r="AI9" s="3" t="s">
        <v>6</v>
      </c>
      <c r="AJ9" s="3" t="s">
        <v>4</v>
      </c>
      <c r="AK9" s="3" t="s">
        <v>0</v>
      </c>
      <c r="AL9" s="174"/>
      <c r="AM9" s="3" t="s">
        <v>6</v>
      </c>
      <c r="AN9" s="3" t="s">
        <v>4</v>
      </c>
      <c r="AO9" s="3" t="s">
        <v>0</v>
      </c>
      <c r="AP9" s="174"/>
      <c r="AQ9" s="189">
        <f>SUM(AO10,AK10,AC10,Y10,U10,Q10,M10,I10)</f>
        <v>950</v>
      </c>
      <c r="AR9" s="123"/>
      <c r="AS9" s="123"/>
      <c r="AT9" s="123"/>
      <c r="AU9" s="123"/>
      <c r="AV9" s="124"/>
      <c r="AW9" s="123"/>
      <c r="AY9" s="2"/>
      <c r="AZ9" s="2"/>
      <c r="BA9" s="2"/>
      <c r="BB9" s="120" t="s">
        <v>46</v>
      </c>
      <c r="BC9" s="120"/>
      <c r="BD9" s="120"/>
      <c r="BE9" s="120"/>
      <c r="BF9" s="120"/>
      <c r="BG9" s="120"/>
      <c r="BH9" s="120"/>
      <c r="BI9" s="120"/>
      <c r="BJ9" s="120"/>
      <c r="BK9" s="121" t="s">
        <v>47</v>
      </c>
    </row>
    <row r="10" spans="1:63" ht="62.25" customHeight="1" x14ac:dyDescent="0.15">
      <c r="A10" s="34" t="s">
        <v>73</v>
      </c>
      <c r="B10" s="136"/>
      <c r="C10" s="136"/>
      <c r="D10" s="136"/>
      <c r="E10" s="136"/>
      <c r="F10" s="136"/>
      <c r="G10" s="3">
        <v>100</v>
      </c>
      <c r="H10" s="3">
        <v>50</v>
      </c>
      <c r="I10" s="3">
        <v>150</v>
      </c>
      <c r="J10" s="175"/>
      <c r="K10" s="3">
        <v>100</v>
      </c>
      <c r="L10" s="3">
        <v>50</v>
      </c>
      <c r="M10" s="3">
        <v>150</v>
      </c>
      <c r="N10" s="175"/>
      <c r="O10" s="3">
        <v>100</v>
      </c>
      <c r="P10" s="3">
        <v>50</v>
      </c>
      <c r="Q10" s="3">
        <v>150</v>
      </c>
      <c r="R10" s="175"/>
      <c r="S10" s="3">
        <v>100</v>
      </c>
      <c r="T10" s="3">
        <v>50</v>
      </c>
      <c r="U10" s="3">
        <v>150</v>
      </c>
      <c r="V10" s="175"/>
      <c r="W10" s="3">
        <v>100</v>
      </c>
      <c r="X10" s="3">
        <v>50</v>
      </c>
      <c r="Y10" s="3">
        <v>150</v>
      </c>
      <c r="Z10" s="175"/>
      <c r="AA10" s="3">
        <v>50</v>
      </c>
      <c r="AB10" s="3">
        <v>50</v>
      </c>
      <c r="AC10" s="3">
        <v>100</v>
      </c>
      <c r="AD10" s="175"/>
      <c r="AE10" s="3">
        <v>100</v>
      </c>
      <c r="AF10" s="3">
        <v>50</v>
      </c>
      <c r="AG10" s="3">
        <v>150</v>
      </c>
      <c r="AH10" s="175"/>
      <c r="AI10" s="3">
        <v>25</v>
      </c>
      <c r="AJ10" s="3">
        <v>25</v>
      </c>
      <c r="AK10" s="3">
        <v>50</v>
      </c>
      <c r="AL10" s="175"/>
      <c r="AM10" s="3">
        <v>25</v>
      </c>
      <c r="AN10" s="3">
        <v>25</v>
      </c>
      <c r="AO10" s="3">
        <v>50</v>
      </c>
      <c r="AP10" s="175"/>
      <c r="AQ10" s="190"/>
      <c r="AR10" s="123"/>
      <c r="AS10" s="123"/>
      <c r="AT10" s="123"/>
      <c r="AU10" s="123"/>
      <c r="AV10" s="124"/>
      <c r="AW10" s="123"/>
      <c r="AY10" s="2"/>
      <c r="AZ10" s="2"/>
      <c r="BA10" s="2"/>
      <c r="BB10" s="26">
        <f t="shared" ref="BB10:BG10" ca="1" si="0">OFFSET($G$8,0,(COLUMN(G8)-7)*4)</f>
        <v>4</v>
      </c>
      <c r="BC10" s="26">
        <f t="shared" ca="1" si="0"/>
        <v>4</v>
      </c>
      <c r="BD10" s="26">
        <f t="shared" ca="1" si="0"/>
        <v>4</v>
      </c>
      <c r="BE10" s="26">
        <f t="shared" ca="1" si="0"/>
        <v>3</v>
      </c>
      <c r="BF10" s="26">
        <f t="shared" ca="1" si="0"/>
        <v>3</v>
      </c>
      <c r="BG10" s="26">
        <f t="shared" ca="1" si="0"/>
        <v>2</v>
      </c>
      <c r="BH10" s="26">
        <f t="shared" ref="BH10:BJ10" ca="1" si="1">OFFSET($G$8,0,(COLUMN(M8)-7)*4)</f>
        <v>0</v>
      </c>
      <c r="BI10" s="26">
        <f t="shared" ca="1" si="1"/>
        <v>1</v>
      </c>
      <c r="BJ10" s="26">
        <f t="shared" ca="1" si="1"/>
        <v>1</v>
      </c>
      <c r="BK10" s="122"/>
    </row>
    <row r="11" spans="1:63" ht="154.5" customHeight="1" x14ac:dyDescent="0.15">
      <c r="A11" s="256">
        <v>1</v>
      </c>
      <c r="B11" s="60">
        <v>250090703001</v>
      </c>
      <c r="C11" s="60" t="s">
        <v>176</v>
      </c>
      <c r="D11" s="60">
        <v>255201</v>
      </c>
      <c r="E11" s="67" t="s">
        <v>177</v>
      </c>
      <c r="F11" s="67" t="s">
        <v>178</v>
      </c>
      <c r="G11" s="65">
        <v>50</v>
      </c>
      <c r="H11" s="68">
        <v>38</v>
      </c>
      <c r="I11" s="22">
        <f>SUM(G11:H11)</f>
        <v>88</v>
      </c>
      <c r="J11" s="22" t="str">
        <f>IF(ISTEXT(G11),IF(G11="A","Ab",IF(G11="D","Dt",IF(G11="UFM","UFM",IF(G11="NA","")))),IF(AND(ISBLANK(G11),ISBLANK(I11)),"",IF(G11&lt;0.4*G$10,"F",IF(ISBLANK(I11),"",IF(ISTEXT(I11),I11,IF(I11&gt;=0.9*I$10,"O",IF(I11&gt;=0.85*I$10,"A+",IF(I11&gt;=0.8*I$10,"A",IF(I11&gt;=0.7*I$10,"B",IF(I11&gt;=0.6*I$10,"C",IF(I11&gt;=0.5*I$10,"P",IF(I11&lt;0.5*I$10,"F",I11))))))))))))</f>
        <v>P</v>
      </c>
      <c r="K11" s="65">
        <v>71</v>
      </c>
      <c r="L11" s="68">
        <v>43</v>
      </c>
      <c r="M11" s="22">
        <f>SUM(K11:L11)</f>
        <v>114</v>
      </c>
      <c r="N11" s="22" t="str">
        <f>IF(ISTEXT(K11),IF(K11="A","Ab",IF(K11="D","Dt",IF(K11="UFM","UFM",IF(K11="NA","")))),IF(AND(ISBLANK(K11),ISBLANK(M11)),"",IF(K11&lt;0.4*K$10,"F",IF(ISBLANK(M11),"",IF(ISTEXT(M11),M11,IF(M11&gt;=0.9*M$10,"O",IF(M11&gt;=0.85*M$10,"A+",IF(M11&gt;=0.8*M$10,"A",IF(M11&gt;=0.7*M$10,"B",IF(M11&gt;=0.6*M$10,"C",IF(M11&gt;=0.5*M$10,"P",IF(M11&lt;0.5*M$10,"F",M11))))))))))))</f>
        <v>B</v>
      </c>
      <c r="O11" s="65">
        <v>60</v>
      </c>
      <c r="P11" s="68">
        <v>41</v>
      </c>
      <c r="Q11" s="22">
        <f>SUM(O11:P11)</f>
        <v>101</v>
      </c>
      <c r="R11" s="22" t="str">
        <f>IF(ISTEXT(O11),IF(O11="A","Ab",IF(O11="D","Dt",IF(O11="UFM","UFM",IF(O11="NA","")))),IF(AND(ISBLANK(O11),ISBLANK(Q11)),"",IF(O11&lt;0.4*O$10,"F",IF(ISBLANK(Q11),"",IF(ISTEXT(Q11),Q11,IF(Q11&gt;=0.9*Q$10,"O",IF(Q11&gt;=0.85*Q$10,"A+",IF(Q11&gt;=0.8*Q$10,"A",IF(Q11&gt;=0.7*Q$10,"B",IF(Q11&gt;=0.6*Q$10,"C",IF(Q11&gt;=0.5*Q$10,"P",IF(Q11&lt;0.5*Q$10,"F",Q11))))))))))))</f>
        <v>C</v>
      </c>
      <c r="S11" s="65">
        <v>66</v>
      </c>
      <c r="T11" s="68">
        <v>34</v>
      </c>
      <c r="U11" s="22">
        <f>SUM(S11:T11)</f>
        <v>100</v>
      </c>
      <c r="V11" s="22" t="str">
        <f>IF(ISTEXT(S11),IF(S11="A","Ab",IF(S11="D","Dt",IF(S11="UFM","UFM",IF(S11="NA","")))),IF(AND(ISBLANK(S11),ISBLANK(U11)),"",IF(S11&lt;0.4*S$10,"F",IF(ISBLANK(U11),"",IF(ISTEXT(U11),U11,IF(U11&gt;=0.9*U$10,"O",IF(U11&gt;=0.85*U$10,"A+",IF(U11&gt;=0.8*U$10,"A",IF(U11&gt;=0.7*U$10,"B",IF(U11&gt;=0.6*U$10,"C",IF(U11&gt;=0.5*U$10,"P",IF(U11&lt;0.5*U$10,"F",U11))))))))))))</f>
        <v>C</v>
      </c>
      <c r="W11" s="68">
        <v>77</v>
      </c>
      <c r="X11" s="68">
        <v>42</v>
      </c>
      <c r="Y11" s="22">
        <f>SUM(W11:X11)</f>
        <v>119</v>
      </c>
      <c r="Z11" s="22" t="str">
        <f>IF(ISTEXT(W11),IF(W11="A","Ab",IF(W11="D","Dt",IF(W11="UFM","UFM",IF(W11="NA","")))),IF(AND(ISBLANK(W11),ISBLANK(Y11)),"",IF(W11&lt;0.4*W$10,"F",IF(ISBLANK(Y11),"",IF(ISTEXT(Y11),Y11,IF(Y11&gt;=0.9*Y$10,"O",IF(Y11&gt;=0.85*Y$10,"A+",IF(Y11&gt;=0.8*Y$10,"A",IF(Y11&gt;=0.7*Y$10,"B",IF(Y11&gt;=0.6*Y$10,"C",IF(Y11&gt;=0.5*Y$10,"P",IF(Y11&lt;0.5*Y$10,"F",Y11))))))))))))</f>
        <v>B</v>
      </c>
      <c r="AA11" s="65">
        <v>42</v>
      </c>
      <c r="AB11" s="68">
        <v>47</v>
      </c>
      <c r="AC11" s="22">
        <f>SUM(AA11:AB11)</f>
        <v>89</v>
      </c>
      <c r="AD11" s="22" t="str">
        <f>IF(ISTEXT(AA11),IF(AA11="A","Ab",IF(AA11="D","Dt",IF(AA11="UFM","UFM",IF(AA11="NA","")))),IF(AND(ISBLANK(AA11),ISBLANK(AC11)),"",IF(AA11&lt;0.4*AA$10,"F",IF(ISBLANK(AC11),"",IF(ISTEXT(AC11),AC11,IF(AC11&gt;=0.9*AC$10,"O",IF(AC11&gt;=0.85*AC$10,"A+",IF(AC11&gt;=0.8*AC$10,"A",IF(AC11&gt;=0.7*AC$10,"B",IF(AC11&gt;=0.6*AC$10,"C",IF(AC11&gt;=0.5*AC$10,"P",IF(AC11&lt;0.5*AC$10,"F",AC11))))))))))))</f>
        <v>A+</v>
      </c>
      <c r="AE11" s="68">
        <v>69</v>
      </c>
      <c r="AF11" s="68">
        <v>38</v>
      </c>
      <c r="AG11" s="16">
        <f>SUM(AE11:AF11)</f>
        <v>107</v>
      </c>
      <c r="AH11" s="16" t="str">
        <f>IF(ISBLANK(AG11),"",IF(ISTEXT(AG11),AG11,IF(AG11&gt;=0.9*AG$10,"O",IF(AG11&gt;=0.85*AG$10,"A+",IF(AG11&gt;=0.8*AG$10,"A",IF(AG11&gt;=0.7*AG$10,"B",IF(AG11&gt;=0.6*AG$10,"C",IF(AG11&gt;=0.5*AG$10,"P",IF(AG11&lt;0.5*AG$10,"F",AG11)))))))))</f>
        <v>B</v>
      </c>
      <c r="AI11" s="68">
        <v>22</v>
      </c>
      <c r="AJ11" s="68">
        <v>22</v>
      </c>
      <c r="AK11" s="22">
        <f>SUM(AI11:AJ11)</f>
        <v>44</v>
      </c>
      <c r="AL11" s="22" t="str">
        <f>IF(ISTEXT(AI11),IF(AI11="A","Ab",IF(AI11="D","Dt",IF(AI11="UFM","UFM",IF(AI11="NA","")))),IF(AND(ISBLANK(AI11),ISBLANK(AK11)),"",IF(AI11&lt;0.4*AI$10,"F",IF(ISBLANK(AK11),"",IF(ISTEXT(AK11),AK11,IF(AK11&gt;=0.9*AK$10,"O",IF(AK11&gt;=0.85*AK$10,"A+",IF(AK11&gt;=0.8*AK$10,"A",IF(AK11&gt;=0.7*AK$10,"B",IF(AK11&gt;=0.6*AK$10,"C",IF(AK11&gt;=0.5*AK$10,"P",IF(AK11&lt;0.5*AK$10,"F",AK11))))))))))))</f>
        <v>A+</v>
      </c>
      <c r="AM11" s="68">
        <v>21</v>
      </c>
      <c r="AN11" s="68">
        <v>19</v>
      </c>
      <c r="AO11" s="22">
        <f>SUM(AM11:AN11)</f>
        <v>40</v>
      </c>
      <c r="AP11" s="22" t="str">
        <f>IF(ISTEXT(AM11),IF(AM11="A","Ab",IF(AM11="D","Dt",IF(AM11="UFM","UFM",IF(AM11="NA","")))),IF(AND(ISBLANK(AM11),ISBLANK(AO11)),"",IF(AM11&lt;0.4*AM$10,"F",IF(ISBLANK(AO11),"",IF(ISTEXT(AO11),AO11,IF(AO11&gt;=0.9*AO$10,"O",IF(AO11&gt;=0.85*AO$10,"A+",IF(AO11&gt;=0.8*AO$10,"A",IF(AO11&gt;=0.7*AO$10,"B",IF(AO11&gt;=0.6*AO$10,"C",IF(AO11&gt;=0.5*AO$10,"P",IF(AO11&lt;0.5*AO$10,"F",AO11))))))))))))</f>
        <v>A</v>
      </c>
      <c r="AQ11" s="32">
        <f t="shared" ref="AQ11:AQ12" si="2">SUM(AO11,AK11,AC11,Y11,U11,Q11,M11,I11)</f>
        <v>695</v>
      </c>
      <c r="AR11" s="28">
        <f ca="1">BK11/$AQ$8</f>
        <v>6.6363636363636367</v>
      </c>
      <c r="AS11" s="28">
        <f ca="1">AR11</f>
        <v>6.6363636363636367</v>
      </c>
      <c r="AT11" s="16">
        <f ca="1">SUMIF(BB11:BJ11,"&gt;0",$BB$10:$BJ$10)</f>
        <v>22</v>
      </c>
      <c r="AU11" s="19" t="str">
        <f>IF(OR(J11=$AY$19,N11=$AY$19,R11=$AY$19, V11=$AY$19, Z11=$AY$19, AD11=$AY$19, AH11=$AY$19, AL11=$AY$19, AP11=$AY$19), "CARRY OVER", "PASS")</f>
        <v>PASS</v>
      </c>
      <c r="AV11" s="18" t="str">
        <f>IF(AU11="CARRY OVER",_xlfn.TEXTJOIN(" ", TRUE, "BACK IN:",  IF(J11=$AY$19, $G$5, ""), IF(N11=$AY$19, $K$5, ""),IF(R11=$AY$19, $O$5, ""),IF(V11=$AY$19, $S$5, ""),IF(Z11=$AY$19, $W$5, ""), IF(AD11=$AY$19, $AA$5, ""),IF(AH11=$AY$19, $AE$5, ""),IF(AL11=$AY$19, $AI$5, ""),IF(AP11=$AY$19, $AM$5, "")), " ")</f>
        <v xml:space="preserve"> </v>
      </c>
      <c r="AW11" s="16">
        <f ca="1">AT11</f>
        <v>22</v>
      </c>
      <c r="AY11" s="2"/>
      <c r="AZ11" s="2"/>
      <c r="BA11" s="2"/>
      <c r="BB11" s="25">
        <f t="shared" ref="BB11:BG12" ca="1" si="3">INDEX($AZ$13:$AZ$23,MATCH(INDIRECT(ADDRESS(ROW($J11),COLUMN($J11)+(COLUMN(J11)-10)*4,1)),$AY$13:$AY$23,0))</f>
        <v>5</v>
      </c>
      <c r="BC11" s="25">
        <f t="shared" ca="1" si="3"/>
        <v>7</v>
      </c>
      <c r="BD11" s="25">
        <f t="shared" ca="1" si="3"/>
        <v>6</v>
      </c>
      <c r="BE11" s="25">
        <f t="shared" ca="1" si="3"/>
        <v>6</v>
      </c>
      <c r="BF11" s="25">
        <f t="shared" ca="1" si="3"/>
        <v>7</v>
      </c>
      <c r="BG11" s="25">
        <f t="shared" ca="1" si="3"/>
        <v>9</v>
      </c>
      <c r="BH11" s="25">
        <f t="shared" ref="BH11:BJ12" ca="1" si="4">INDEX($AZ$13:$AZ$23,MATCH(INDIRECT(ADDRESS(ROW($J11),COLUMN($J11)+(COLUMN(P11)-10)*4,1)),$AY$13:$AY$23,0))</f>
        <v>7</v>
      </c>
      <c r="BI11" s="25">
        <f t="shared" ca="1" si="4"/>
        <v>9</v>
      </c>
      <c r="BJ11" s="25">
        <f t="shared" ca="1" si="4"/>
        <v>8</v>
      </c>
      <c r="BK11" s="25">
        <f ca="1">SUMPRODUCT(BB11:BJ11,$BB$10:$BJ$10)</f>
        <v>146</v>
      </c>
    </row>
    <row r="12" spans="1:63" ht="154.5" customHeight="1" x14ac:dyDescent="0.15">
      <c r="A12" s="256">
        <v>2</v>
      </c>
      <c r="B12" s="60">
        <v>250090703002</v>
      </c>
      <c r="C12" s="60" t="s">
        <v>179</v>
      </c>
      <c r="D12" s="60">
        <v>255202</v>
      </c>
      <c r="E12" s="67" t="s">
        <v>180</v>
      </c>
      <c r="F12" s="67" t="s">
        <v>181</v>
      </c>
      <c r="G12" s="65">
        <v>40</v>
      </c>
      <c r="H12" s="68">
        <v>36</v>
      </c>
      <c r="I12" s="22">
        <f>SUM(G12:H12)</f>
        <v>76</v>
      </c>
      <c r="J12" s="22" t="str">
        <f>IF(ISTEXT(G12),IF(G12="A","Ab",IF(G12="D","Dt",IF(G12="UFM","UFM",IF(G12="NA","")))),IF(AND(ISBLANK(G12),ISBLANK(I12)),"",IF(G12&lt;0.4*G$10,"F",IF(ISBLANK(I12),"",IF(ISTEXT(I12),I12,IF(I12&gt;=0.9*I$10,"O",IF(I12&gt;=0.85*I$10,"A+",IF(I12&gt;=0.8*I$10,"A",IF(I12&gt;=0.7*I$10,"B",IF(I12&gt;=0.6*I$10,"C",IF(I12&gt;=0.5*I$10,"P",IF(I12&lt;0.5*I$10,"F",I12))))))))))))</f>
        <v>P</v>
      </c>
      <c r="K12" s="65">
        <v>71</v>
      </c>
      <c r="L12" s="68">
        <v>37</v>
      </c>
      <c r="M12" s="22">
        <f>SUM(K12:L12)</f>
        <v>108</v>
      </c>
      <c r="N12" s="22" t="str">
        <f>IF(ISTEXT(K12),IF(K12="A","Ab",IF(K12="D","Dt",IF(K12="UFM","UFM",IF(K12="NA","")))),IF(AND(ISBLANK(K12),ISBLANK(M12)),"",IF(K12&lt;0.4*K$10,"F",IF(ISBLANK(M12),"",IF(ISTEXT(M12),M12,IF(M12&gt;=0.9*M$10,"O",IF(M12&gt;=0.85*M$10,"A+",IF(M12&gt;=0.8*M$10,"A",IF(M12&gt;=0.7*M$10,"B",IF(M12&gt;=0.6*M$10,"C",IF(M12&gt;=0.5*M$10,"P",IF(M12&lt;0.5*M$10,"F",M12))))))))))))</f>
        <v>B</v>
      </c>
      <c r="O12" s="65">
        <v>43</v>
      </c>
      <c r="P12" s="68">
        <v>32</v>
      </c>
      <c r="Q12" s="22">
        <f>SUM(O12:P12)</f>
        <v>75</v>
      </c>
      <c r="R12" s="22" t="str">
        <f>IF(ISTEXT(O12),IF(O12="A","Ab",IF(O12="D","Dt",IF(O12="UFM","UFM",IF(O12="NA","")))),IF(AND(ISBLANK(O12),ISBLANK(Q12)),"",IF(O12&lt;0.4*O$10,"F",IF(ISBLANK(Q12),"",IF(ISTEXT(Q12),Q12,IF(Q12&gt;=0.9*Q$10,"O",IF(Q12&gt;=0.85*Q$10,"A+",IF(Q12&gt;=0.8*Q$10,"A",IF(Q12&gt;=0.7*Q$10,"B",IF(Q12&gt;=0.6*Q$10,"C",IF(Q12&gt;=0.5*Q$10,"P",IF(Q12&lt;0.5*Q$10,"F",Q12))))))))))))</f>
        <v>P</v>
      </c>
      <c r="S12" s="65">
        <v>46</v>
      </c>
      <c r="T12" s="68">
        <v>36</v>
      </c>
      <c r="U12" s="22">
        <f>SUM(S12:T12)</f>
        <v>82</v>
      </c>
      <c r="V12" s="22" t="str">
        <f>IF(ISTEXT(S12),IF(S12="A","Ab",IF(S12="D","Dt",IF(S12="UFM","UFM",IF(S12="NA","")))),IF(AND(ISBLANK(S12),ISBLANK(U12)),"",IF(S12&lt;0.4*S$10,"F",IF(ISBLANK(U12),"",IF(ISTEXT(U12),U12,IF(U12&gt;=0.9*U$10,"O",IF(U12&gt;=0.85*U$10,"A+",IF(U12&gt;=0.8*U$10,"A",IF(U12&gt;=0.7*U$10,"B",IF(U12&gt;=0.6*U$10,"C",IF(U12&gt;=0.5*U$10,"P",IF(U12&lt;0.5*U$10,"F",U12))))))))))))</f>
        <v>P</v>
      </c>
      <c r="W12" s="68">
        <v>77</v>
      </c>
      <c r="X12" s="68">
        <v>42</v>
      </c>
      <c r="Y12" s="22">
        <f>SUM(W12:X12)</f>
        <v>119</v>
      </c>
      <c r="Z12" s="22" t="str">
        <f>IF(ISTEXT(W12),IF(W12="A","Ab",IF(W12="D","Dt",IF(W12="UFM","UFM",IF(W12="NA","")))),IF(AND(ISBLANK(W12),ISBLANK(Y12)),"",IF(W12&lt;0.4*W$10,"F",IF(ISBLANK(Y12),"",IF(ISTEXT(Y12),Y12,IF(Y12&gt;=0.9*Y$10,"O",IF(Y12&gt;=0.85*Y$10,"A+",IF(Y12&gt;=0.8*Y$10,"A",IF(Y12&gt;=0.7*Y$10,"B",IF(Y12&gt;=0.6*Y$10,"C",IF(Y12&gt;=0.5*Y$10,"P",IF(Y12&lt;0.5*Y$10,"F",Y12))))))))))))</f>
        <v>B</v>
      </c>
      <c r="AA12" s="65">
        <v>39</v>
      </c>
      <c r="AB12" s="68">
        <v>45</v>
      </c>
      <c r="AC12" s="22">
        <f>SUM(AA12:AB12)</f>
        <v>84</v>
      </c>
      <c r="AD12" s="22" t="str">
        <f>IF(ISTEXT(AA12),IF(AA12="A","Ab",IF(AA12="D","Dt",IF(AA12="UFM","UFM",IF(AA12="NA","")))),IF(AND(ISBLANK(AA12),ISBLANK(AC12)),"",IF(AA12&lt;0.4*AA$10,"F",IF(ISBLANK(AC12),"",IF(ISTEXT(AC12),AC12,IF(AC12&gt;=0.9*AC$10,"O",IF(AC12&gt;=0.85*AC$10,"A+",IF(AC12&gt;=0.8*AC$10,"A",IF(AC12&gt;=0.7*AC$10,"B",IF(AC12&gt;=0.6*AC$10,"C",IF(AC12&gt;=0.5*AC$10,"P",IF(AC12&lt;0.5*AC$10,"F",AC12))))))))))))</f>
        <v>A</v>
      </c>
      <c r="AE12" s="68">
        <v>63</v>
      </c>
      <c r="AF12" s="68">
        <v>39</v>
      </c>
      <c r="AG12" s="16">
        <f>SUM(AE12:AF12)</f>
        <v>102</v>
      </c>
      <c r="AH12" s="16" t="str">
        <f>IF(ISBLANK(AG12),"",IF(ISTEXT(AG12),AG12,IF(AG12&gt;=0.9*AG$10,"O",IF(AG12&gt;=0.85*AG$10,"A+",IF(AG12&gt;=0.8*AG$10,"A",IF(AG12&gt;=0.7*AG$10,"B",IF(AG12&gt;=0.6*AG$10,"C",IF(AG12&gt;=0.5*AG$10,"P",IF(AG12&lt;0.5*AG$10,"F",AG12)))))))))</f>
        <v>C</v>
      </c>
      <c r="AI12" s="68">
        <v>23</v>
      </c>
      <c r="AJ12" s="68">
        <v>21</v>
      </c>
      <c r="AK12" s="22">
        <f>SUM(AI12:AJ12)</f>
        <v>44</v>
      </c>
      <c r="AL12" s="22" t="str">
        <f>IF(ISTEXT(AI12),IF(AI12="A","Ab",IF(AI12="D","Dt",IF(AI12="UFM","UFM",IF(AI12="NA","")))),IF(AND(ISBLANK(AI12),ISBLANK(AK12)),"",IF(AI12&lt;0.4*AI$10,"F",IF(ISBLANK(AK12),"",IF(ISTEXT(AK12),AK12,IF(AK12&gt;=0.9*AK$10,"O",IF(AK12&gt;=0.85*AK$10,"A+",IF(AK12&gt;=0.8*AK$10,"A",IF(AK12&gt;=0.7*AK$10,"B",IF(AK12&gt;=0.6*AK$10,"C",IF(AK12&gt;=0.5*AK$10,"P",IF(AK12&lt;0.5*AK$10,"F",AK12))))))))))))</f>
        <v>A+</v>
      </c>
      <c r="AM12" s="68">
        <v>19</v>
      </c>
      <c r="AN12" s="68">
        <v>16</v>
      </c>
      <c r="AO12" s="22">
        <f>SUM(AM12:AN12)</f>
        <v>35</v>
      </c>
      <c r="AP12" s="22" t="str">
        <f>IF(ISTEXT(AM12),IF(AM12="A","Ab",IF(AM12="D","Dt",IF(AM12="UFM","UFM",IF(AM12="NA","")))),IF(AND(ISBLANK(AM12),ISBLANK(AO12)),"",IF(AM12&lt;0.4*AM$10,"F",IF(ISBLANK(AO12),"",IF(ISTEXT(AO12),AO12,IF(AO12&gt;=0.9*AO$10,"O",IF(AO12&gt;=0.85*AO$10,"A+",IF(AO12&gt;=0.8*AO$10,"A",IF(AO12&gt;=0.7*AO$10,"B",IF(AO12&gt;=0.6*AO$10,"C",IF(AO12&gt;=0.5*AO$10,"P",IF(AO12&lt;0.5*AO$10,"F",AO12))))))))))))</f>
        <v>B</v>
      </c>
      <c r="AQ12" s="32">
        <f t="shared" ref="AQ12:AQ13" si="5">SUM(AO12,AK12,AC12,Y12,U12,Q12,M12,I12)</f>
        <v>623</v>
      </c>
      <c r="AR12" s="28">
        <f ca="1">BK12/$AQ$8</f>
        <v>6.1818181818181817</v>
      </c>
      <c r="AS12" s="28">
        <f ca="1">AR12</f>
        <v>6.1818181818181817</v>
      </c>
      <c r="AT12" s="16">
        <f ca="1">SUMIF(BB12:BJ12,"&gt;0",$BB$10:$BJ$10)</f>
        <v>22</v>
      </c>
      <c r="AU12" s="19" t="str">
        <f>IF(OR(J12=$AY$19,N12=$AY$19,R12=$AY$19, V12=$AY$19, Z12=$AY$19, AD12=$AY$19, AH12=$AY$19, AL12=$AY$19, AP12=$AY$19), "CARRY OVER", "PASS")</f>
        <v>PASS</v>
      </c>
      <c r="AV12" s="18" t="str">
        <f>IF(AU12="CARRY OVER",_xlfn.TEXTJOIN(" ", TRUE, "BACK IN:",  IF(J12=$AY$19, $G$5, ""), IF(N12=$AY$19, $K$5, ""),IF(R12=$AY$19, $O$5, ""),IF(V12=$AY$19, $S$5, ""),IF(Z12=$AY$19, $W$5, ""), IF(AD12=$AY$19, $AA$5, ""),IF(AH12=$AY$19, $AE$5, ""),IF(AL12=$AY$19, $AI$5, ""),IF(AP12=$AY$19, $AM$5, "")), " ")</f>
        <v xml:space="preserve"> </v>
      </c>
      <c r="AW12" s="16">
        <f ca="1">AT12</f>
        <v>22</v>
      </c>
      <c r="AY12" s="23" t="s">
        <v>34</v>
      </c>
      <c r="AZ12" s="24" t="s">
        <v>35</v>
      </c>
      <c r="BA12" s="2"/>
      <c r="BB12" s="25">
        <f t="shared" ca="1" si="3"/>
        <v>5</v>
      </c>
      <c r="BC12" s="25">
        <f t="shared" ca="1" si="3"/>
        <v>7</v>
      </c>
      <c r="BD12" s="25">
        <f t="shared" ca="1" si="3"/>
        <v>5</v>
      </c>
      <c r="BE12" s="25">
        <f t="shared" ca="1" si="3"/>
        <v>5</v>
      </c>
      <c r="BF12" s="25">
        <f t="shared" ca="1" si="3"/>
        <v>7</v>
      </c>
      <c r="BG12" s="25">
        <f t="shared" ca="1" si="3"/>
        <v>8</v>
      </c>
      <c r="BH12" s="25">
        <f t="shared" ca="1" si="4"/>
        <v>6</v>
      </c>
      <c r="BI12" s="25">
        <f t="shared" ca="1" si="4"/>
        <v>9</v>
      </c>
      <c r="BJ12" s="25">
        <f t="shared" ca="1" si="4"/>
        <v>7</v>
      </c>
      <c r="BK12" s="25">
        <f ca="1">SUMPRODUCT(BB12:BJ12,$BB$10:$BJ$10)</f>
        <v>136</v>
      </c>
    </row>
    <row r="13" spans="1:63" ht="154.5" customHeight="1" x14ac:dyDescent="0.15">
      <c r="A13" s="256">
        <v>3</v>
      </c>
      <c r="B13" s="60">
        <v>250090703003</v>
      </c>
      <c r="C13" s="60" t="s">
        <v>182</v>
      </c>
      <c r="D13" s="60">
        <v>255203</v>
      </c>
      <c r="E13" s="67" t="s">
        <v>183</v>
      </c>
      <c r="F13" s="67" t="s">
        <v>184</v>
      </c>
      <c r="G13" s="65">
        <v>45</v>
      </c>
      <c r="H13" s="68">
        <v>38</v>
      </c>
      <c r="I13" s="22">
        <f>SUM(G13:H13)</f>
        <v>83</v>
      </c>
      <c r="J13" s="22" t="str">
        <f>IF(ISTEXT(G13),IF(G13="A","Ab",IF(G13="D","Dt",IF(G13="UFM","UFM",IF(G13="NA","")))),IF(AND(ISBLANK(G13),ISBLANK(I13)),"",IF(G13&lt;0.4*G$10,"F",IF(ISBLANK(I13),"",IF(ISTEXT(I13),I13,IF(I13&gt;=0.9*I$10,"O",IF(I13&gt;=0.85*I$10,"A+",IF(I13&gt;=0.8*I$10,"A",IF(I13&gt;=0.7*I$10,"B",IF(I13&gt;=0.6*I$10,"C",IF(I13&gt;=0.5*I$10,"P",IF(I13&lt;0.5*I$10,"F",I13))))))))))))</f>
        <v>P</v>
      </c>
      <c r="K13" s="65">
        <v>75</v>
      </c>
      <c r="L13" s="68">
        <v>40</v>
      </c>
      <c r="M13" s="22">
        <f>SUM(K13:L13)</f>
        <v>115</v>
      </c>
      <c r="N13" s="22" t="str">
        <f>IF(ISTEXT(K13),IF(K13="A","Ab",IF(K13="D","Dt",IF(K13="UFM","UFM",IF(K13="NA","")))),IF(AND(ISBLANK(K13),ISBLANK(M13)),"",IF(K13&lt;0.4*K$10,"F",IF(ISBLANK(M13),"",IF(ISTEXT(M13),M13,IF(M13&gt;=0.9*M$10,"O",IF(M13&gt;=0.85*M$10,"A+",IF(M13&gt;=0.8*M$10,"A",IF(M13&gt;=0.7*M$10,"B",IF(M13&gt;=0.6*M$10,"C",IF(M13&gt;=0.5*M$10,"P",IF(M13&lt;0.5*M$10,"F",M13))))))))))))</f>
        <v>B</v>
      </c>
      <c r="O13" s="65">
        <v>69</v>
      </c>
      <c r="P13" s="68">
        <v>38</v>
      </c>
      <c r="Q13" s="22">
        <f>SUM(O13:P13)</f>
        <v>107</v>
      </c>
      <c r="R13" s="22" t="str">
        <f>IF(ISTEXT(O13),IF(O13="A","Ab",IF(O13="D","Dt",IF(O13="UFM","UFM",IF(O13="NA","")))),IF(AND(ISBLANK(O13),ISBLANK(Q13)),"",IF(O13&lt;0.4*O$10,"F",IF(ISBLANK(Q13),"",IF(ISTEXT(Q13),Q13,IF(Q13&gt;=0.9*Q$10,"O",IF(Q13&gt;=0.85*Q$10,"A+",IF(Q13&gt;=0.8*Q$10,"A",IF(Q13&gt;=0.7*Q$10,"B",IF(Q13&gt;=0.6*Q$10,"C",IF(Q13&gt;=0.5*Q$10,"P",IF(Q13&lt;0.5*Q$10,"F",Q13))))))))))))</f>
        <v>B</v>
      </c>
      <c r="S13" s="65">
        <v>76</v>
      </c>
      <c r="T13" s="68">
        <v>36</v>
      </c>
      <c r="U13" s="22">
        <f>SUM(S13:T13)</f>
        <v>112</v>
      </c>
      <c r="V13" s="22" t="str">
        <f>IF(ISTEXT(S13),IF(S13="A","Ab",IF(S13="D","Dt",IF(S13="UFM","UFM",IF(S13="NA","")))),IF(AND(ISBLANK(S13),ISBLANK(U13)),"",IF(S13&lt;0.4*S$10,"F",IF(ISBLANK(U13),"",IF(ISTEXT(U13),U13,IF(U13&gt;=0.9*U$10,"O",IF(U13&gt;=0.85*U$10,"A+",IF(U13&gt;=0.8*U$10,"A",IF(U13&gt;=0.7*U$10,"B",IF(U13&gt;=0.6*U$10,"C",IF(U13&gt;=0.5*U$10,"P",IF(U13&lt;0.5*U$10,"F",U13))))))))))))</f>
        <v>B</v>
      </c>
      <c r="W13" s="68">
        <v>80</v>
      </c>
      <c r="X13" s="68">
        <v>40</v>
      </c>
      <c r="Y13" s="22">
        <f>SUM(W13:X13)</f>
        <v>120</v>
      </c>
      <c r="Z13" s="22" t="str">
        <f>IF(ISTEXT(W13),IF(W13="A","Ab",IF(W13="D","Dt",IF(W13="UFM","UFM",IF(W13="NA","")))),IF(AND(ISBLANK(W13),ISBLANK(Y13)),"",IF(W13&lt;0.4*W$10,"F",IF(ISBLANK(Y13),"",IF(ISTEXT(Y13),Y13,IF(Y13&gt;=0.9*Y$10,"O",IF(Y13&gt;=0.85*Y$10,"A+",IF(Y13&gt;=0.8*Y$10,"A",IF(Y13&gt;=0.7*Y$10,"B",IF(Y13&gt;=0.6*Y$10,"C",IF(Y13&gt;=0.5*Y$10,"P",IF(Y13&lt;0.5*Y$10,"F",Y13))))))))))))</f>
        <v>A</v>
      </c>
      <c r="AA13" s="65">
        <v>47</v>
      </c>
      <c r="AB13" s="68">
        <v>47</v>
      </c>
      <c r="AC13" s="22">
        <f>SUM(AA13:AB13)</f>
        <v>94</v>
      </c>
      <c r="AD13" s="22" t="str">
        <f>IF(ISTEXT(AA13),IF(AA13="A","Ab",IF(AA13="D","Dt",IF(AA13="UFM","UFM",IF(AA13="NA","")))),IF(AND(ISBLANK(AA13),ISBLANK(AC13)),"",IF(AA13&lt;0.4*AA$10,"F",IF(ISBLANK(AC13),"",IF(ISTEXT(AC13),AC13,IF(AC13&gt;=0.9*AC$10,"O",IF(AC13&gt;=0.85*AC$10,"A+",IF(AC13&gt;=0.8*AC$10,"A",IF(AC13&gt;=0.7*AC$10,"B",IF(AC13&gt;=0.6*AC$10,"C",IF(AC13&gt;=0.5*AC$10,"P",IF(AC13&lt;0.5*AC$10,"F",AC13))))))))))))</f>
        <v>O</v>
      </c>
      <c r="AE13" s="68">
        <v>69</v>
      </c>
      <c r="AF13" s="68">
        <v>38</v>
      </c>
      <c r="AG13" s="16">
        <f>SUM(AE13:AF13)</f>
        <v>107</v>
      </c>
      <c r="AH13" s="16" t="str">
        <f>IF(ISBLANK(AG13),"",IF(ISTEXT(AG13),AG13,IF(AG13&gt;=0.9*AG$10,"O",IF(AG13&gt;=0.85*AG$10,"A+",IF(AG13&gt;=0.8*AG$10,"A",IF(AG13&gt;=0.7*AG$10,"B",IF(AG13&gt;=0.6*AG$10,"C",IF(AG13&gt;=0.5*AG$10,"P",IF(AG13&lt;0.5*AG$10,"F",AG13)))))))))</f>
        <v>B</v>
      </c>
      <c r="AI13" s="68">
        <v>20</v>
      </c>
      <c r="AJ13" s="68">
        <v>21</v>
      </c>
      <c r="AK13" s="22">
        <f>SUM(AI13:AJ13)</f>
        <v>41</v>
      </c>
      <c r="AL13" s="22" t="str">
        <f>IF(ISTEXT(AI13),IF(AI13="A","Ab",IF(AI13="D","Dt",IF(AI13="UFM","UFM",IF(AI13="NA","")))),IF(AND(ISBLANK(AI13),ISBLANK(AK13)),"",IF(AI13&lt;0.4*AI$10,"F",IF(ISBLANK(AK13),"",IF(ISTEXT(AK13),AK13,IF(AK13&gt;=0.9*AK$10,"O",IF(AK13&gt;=0.85*AK$10,"A+",IF(AK13&gt;=0.8*AK$10,"A",IF(AK13&gt;=0.7*AK$10,"B",IF(AK13&gt;=0.6*AK$10,"C",IF(AK13&gt;=0.5*AK$10,"P",IF(AK13&lt;0.5*AK$10,"F",AK13))))))))))))</f>
        <v>A</v>
      </c>
      <c r="AM13" s="65">
        <v>21</v>
      </c>
      <c r="AN13" s="68">
        <v>19</v>
      </c>
      <c r="AO13" s="22">
        <f>SUM(AM13:AN13)</f>
        <v>40</v>
      </c>
      <c r="AP13" s="22" t="str">
        <f>IF(ISTEXT(AM13),IF(AM13="A","Ab",IF(AM13="D","Dt",IF(AM13="UFM","UFM",IF(AM13="NA","")))),IF(AND(ISBLANK(AM13),ISBLANK(AO13)),"",IF(AM13&lt;0.4*AM$10,"F",IF(ISBLANK(AO13),"",IF(ISTEXT(AO13),AO13,IF(AO13&gt;=0.9*AO$10,"O",IF(AO13&gt;=0.85*AO$10,"A+",IF(AO13&gt;=0.8*AO$10,"A",IF(AO13&gt;=0.7*AO$10,"B",IF(AO13&gt;=0.6*AO$10,"C",IF(AO13&gt;=0.5*AO$10,"P",IF(AO13&lt;0.5*AO$10,"F",AO13))))))))))))</f>
        <v>A</v>
      </c>
      <c r="AQ13" s="32">
        <f t="shared" si="5"/>
        <v>712</v>
      </c>
      <c r="AR13" s="28">
        <f ca="1">BK13/$AQ$8</f>
        <v>7.1363636363636367</v>
      </c>
      <c r="AS13" s="28">
        <f ca="1">AR13</f>
        <v>7.1363636363636367</v>
      </c>
      <c r="AT13" s="16">
        <f ca="1">SUMIF(BB13:BJ13,"&gt;0",$BB$10:$BJ$10)</f>
        <v>22</v>
      </c>
      <c r="AU13" s="19" t="str">
        <f>IF(OR(J13=$AY$19,N13=$AY$19,R13=$AY$19, V13=$AY$19, Z13=$AY$19, AD13=$AY$19, AH13=$AY$19, AL13=$AY$19, AP13=$AY$19), "CARRY OVER", "PASS")</f>
        <v>PASS</v>
      </c>
      <c r="AV13" s="18" t="str">
        <f>IF(AU13="CARRY OVER",_xlfn.TEXTJOIN(" ", TRUE, "BACK IN:",  IF(J13=$AY$19, $G$5, ""), IF(N13=$AY$19, $K$5, ""),IF(R13=$AY$19, $O$5, ""),IF(V13=$AY$19, $S$5, ""),IF(Z13=$AY$19, $W$5, ""), IF(AD13=$AY$19, $AA$5, ""),IF(AH13=$AY$19, $AE$5, ""),IF(AL13=$AY$19, $AI$5, ""),IF(AP13=$AY$19, $AM$5, "")), " ")</f>
        <v xml:space="preserve"> </v>
      </c>
      <c r="AW13" s="16">
        <f ca="1">AT13</f>
        <v>22</v>
      </c>
      <c r="AY13" s="25" t="s">
        <v>36</v>
      </c>
      <c r="AZ13" s="25">
        <v>10</v>
      </c>
      <c r="BA13" s="2"/>
      <c r="BB13" s="25">
        <f t="shared" ref="BB13" ca="1" si="6">INDEX($AZ$13:$AZ$23,MATCH(INDIRECT(ADDRESS(ROW($J13),COLUMN($J13)+(COLUMN(J13)-10)*4,1)),$AY$13:$AY$23,0))</f>
        <v>5</v>
      </c>
      <c r="BC13" s="25">
        <f t="shared" ref="BC13" ca="1" si="7">INDEX($AZ$13:$AZ$23,MATCH(INDIRECT(ADDRESS(ROW($J13),COLUMN($J13)+(COLUMN(K13)-10)*4,1)),$AY$13:$AY$23,0))</f>
        <v>7</v>
      </c>
      <c r="BD13" s="25">
        <f t="shared" ref="BD13" ca="1" si="8">INDEX($AZ$13:$AZ$23,MATCH(INDIRECT(ADDRESS(ROW($J13),COLUMN($J13)+(COLUMN(L13)-10)*4,1)),$AY$13:$AY$23,0))</f>
        <v>7</v>
      </c>
      <c r="BE13" s="25">
        <f t="shared" ref="BE13" ca="1" si="9">INDEX($AZ$13:$AZ$23,MATCH(INDIRECT(ADDRESS(ROW($J13),COLUMN($J13)+(COLUMN(M13)-10)*4,1)),$AY$13:$AY$23,0))</f>
        <v>7</v>
      </c>
      <c r="BF13" s="25">
        <f t="shared" ref="BF13" ca="1" si="10">INDEX($AZ$13:$AZ$23,MATCH(INDIRECT(ADDRESS(ROW($J13),COLUMN($J13)+(COLUMN(N13)-10)*4,1)),$AY$13:$AY$23,0))</f>
        <v>8</v>
      </c>
      <c r="BG13" s="25">
        <f t="shared" ref="BG13" ca="1" si="11">INDEX($AZ$13:$AZ$23,MATCH(INDIRECT(ADDRESS(ROW($J13),COLUMN($J13)+(COLUMN(O13)-10)*4,1)),$AY$13:$AY$23,0))</f>
        <v>10</v>
      </c>
      <c r="BH13" s="25">
        <f t="shared" ref="BH13" ca="1" si="12">INDEX($AZ$13:$AZ$23,MATCH(INDIRECT(ADDRESS(ROW($J13),COLUMN($J13)+(COLUMN(P13)-10)*4,1)),$AY$13:$AY$23,0))</f>
        <v>7</v>
      </c>
      <c r="BI13" s="25">
        <f t="shared" ref="BI13" ca="1" si="13">INDEX($AZ$13:$AZ$23,MATCH(INDIRECT(ADDRESS(ROW($J13),COLUMN($J13)+(COLUMN(Q13)-10)*4,1)),$AY$13:$AY$23,0))</f>
        <v>8</v>
      </c>
      <c r="BJ13" s="25">
        <f t="shared" ref="BJ13" ca="1" si="14">INDEX($AZ$13:$AZ$23,MATCH(INDIRECT(ADDRESS(ROW($J13),COLUMN($J13)+(COLUMN(R13)-10)*4,1)),$AY$13:$AY$23,0))</f>
        <v>8</v>
      </c>
      <c r="BK13" s="25">
        <f ca="1">SUMPRODUCT(BB13:BJ13,$BB$10:$BJ$10)</f>
        <v>157</v>
      </c>
    </row>
    <row r="14" spans="1:63" ht="154.5" customHeight="1" x14ac:dyDescent="0.15">
      <c r="A14" s="22"/>
      <c r="B14" s="53"/>
      <c r="C14" s="53"/>
      <c r="D14" s="53"/>
      <c r="E14" s="54"/>
      <c r="F14" s="54"/>
      <c r="G14" s="55"/>
      <c r="H14" s="57"/>
      <c r="I14" s="22"/>
      <c r="J14" s="22"/>
      <c r="K14" s="55"/>
      <c r="L14" s="57"/>
      <c r="M14" s="22"/>
      <c r="N14" s="22"/>
      <c r="O14" s="55"/>
      <c r="P14" s="57"/>
      <c r="Q14" s="22"/>
      <c r="R14" s="22"/>
      <c r="S14" s="55"/>
      <c r="T14" s="57"/>
      <c r="U14" s="22"/>
      <c r="V14" s="22"/>
      <c r="W14" s="57"/>
      <c r="X14" s="57"/>
      <c r="Y14" s="22"/>
      <c r="Z14" s="22"/>
      <c r="AA14" s="57"/>
      <c r="AB14" s="57"/>
      <c r="AC14" s="22"/>
      <c r="AD14" s="22"/>
      <c r="AE14" s="57"/>
      <c r="AF14" s="57"/>
      <c r="AG14" s="16"/>
      <c r="AH14" s="16"/>
      <c r="AI14" s="57"/>
      <c r="AJ14" s="57"/>
      <c r="AK14" s="22"/>
      <c r="AL14" s="22"/>
      <c r="AM14" s="57"/>
      <c r="AN14" s="57"/>
      <c r="AO14" s="22"/>
      <c r="AP14" s="22"/>
      <c r="AQ14" s="32"/>
      <c r="AR14" s="28"/>
      <c r="AS14" s="28"/>
      <c r="AT14" s="16"/>
      <c r="AU14" s="19"/>
      <c r="AV14" s="18"/>
      <c r="AW14" s="16"/>
      <c r="AY14" s="25" t="s">
        <v>37</v>
      </c>
      <c r="AZ14" s="25">
        <v>9</v>
      </c>
      <c r="BA14" s="2"/>
      <c r="BB14" s="25"/>
      <c r="BC14" s="25"/>
      <c r="BD14" s="25"/>
      <c r="BE14" s="25"/>
      <c r="BF14" s="25"/>
      <c r="BG14" s="25"/>
      <c r="BH14" s="25"/>
      <c r="BI14" s="25"/>
      <c r="BJ14" s="25"/>
      <c r="BK14" s="25"/>
    </row>
    <row r="15" spans="1:63" ht="154.5" customHeight="1" x14ac:dyDescent="0.15">
      <c r="A15" s="22"/>
      <c r="B15" s="53"/>
      <c r="C15" s="53"/>
      <c r="D15" s="53"/>
      <c r="E15" s="54"/>
      <c r="F15" s="54"/>
      <c r="G15" s="55"/>
      <c r="H15" s="57"/>
      <c r="I15" s="22"/>
      <c r="J15" s="22"/>
      <c r="K15" s="55"/>
      <c r="L15" s="57"/>
      <c r="M15" s="22"/>
      <c r="N15" s="22"/>
      <c r="O15" s="55"/>
      <c r="P15" s="57"/>
      <c r="Q15" s="22"/>
      <c r="R15" s="22"/>
      <c r="S15" s="55"/>
      <c r="T15" s="57"/>
      <c r="U15" s="22"/>
      <c r="V15" s="22"/>
      <c r="W15" s="57"/>
      <c r="X15" s="57"/>
      <c r="Y15" s="22"/>
      <c r="Z15" s="22"/>
      <c r="AA15" s="57"/>
      <c r="AB15" s="57"/>
      <c r="AC15" s="22"/>
      <c r="AD15" s="22"/>
      <c r="AE15" s="57"/>
      <c r="AF15" s="57"/>
      <c r="AG15" s="16"/>
      <c r="AH15" s="16"/>
      <c r="AI15" s="57"/>
      <c r="AJ15" s="57"/>
      <c r="AK15" s="22"/>
      <c r="AL15" s="22"/>
      <c r="AM15" s="57"/>
      <c r="AN15" s="57"/>
      <c r="AO15" s="22"/>
      <c r="AP15" s="22"/>
      <c r="AQ15" s="32"/>
      <c r="AR15" s="28"/>
      <c r="AS15" s="28"/>
      <c r="AT15" s="16"/>
      <c r="AU15" s="19"/>
      <c r="AV15" s="18"/>
      <c r="AW15" s="16"/>
      <c r="AY15" s="25" t="s">
        <v>38</v>
      </c>
      <c r="AZ15" s="25">
        <v>8</v>
      </c>
      <c r="BA15" s="2"/>
      <c r="BB15" s="25"/>
      <c r="BC15" s="25"/>
      <c r="BD15" s="25"/>
      <c r="BE15" s="25"/>
      <c r="BF15" s="25"/>
      <c r="BG15" s="25"/>
      <c r="BH15" s="25"/>
      <c r="BI15" s="25"/>
      <c r="BJ15" s="25"/>
      <c r="BK15" s="25"/>
    </row>
    <row r="16" spans="1:63" ht="154.5" customHeight="1" x14ac:dyDescent="0.15">
      <c r="A16" s="22"/>
      <c r="B16" s="53"/>
      <c r="C16" s="53"/>
      <c r="D16" s="53"/>
      <c r="E16" s="54"/>
      <c r="F16" s="54"/>
      <c r="G16" s="55"/>
      <c r="H16" s="57"/>
      <c r="I16" s="22"/>
      <c r="J16" s="22"/>
      <c r="K16" s="55"/>
      <c r="L16" s="57"/>
      <c r="M16" s="22"/>
      <c r="N16" s="22"/>
      <c r="O16" s="55"/>
      <c r="P16" s="57"/>
      <c r="Q16" s="22"/>
      <c r="R16" s="22"/>
      <c r="S16" s="55"/>
      <c r="T16" s="57"/>
      <c r="U16" s="22"/>
      <c r="V16" s="22"/>
      <c r="W16" s="57"/>
      <c r="X16" s="57"/>
      <c r="Y16" s="22"/>
      <c r="Z16" s="22"/>
      <c r="AA16" s="57"/>
      <c r="AB16" s="57"/>
      <c r="AC16" s="22"/>
      <c r="AD16" s="22"/>
      <c r="AE16" s="57"/>
      <c r="AF16" s="57"/>
      <c r="AG16" s="16"/>
      <c r="AH16" s="16"/>
      <c r="AI16" s="57"/>
      <c r="AJ16" s="57"/>
      <c r="AK16" s="22"/>
      <c r="AL16" s="22"/>
      <c r="AM16" s="57"/>
      <c r="AN16" s="57"/>
      <c r="AO16" s="22"/>
      <c r="AP16" s="22"/>
      <c r="AQ16" s="22"/>
      <c r="AR16" s="28"/>
      <c r="AS16" s="28"/>
      <c r="AT16" s="16"/>
      <c r="AU16" s="19"/>
      <c r="AV16" s="18"/>
      <c r="AW16" s="16"/>
      <c r="AY16" s="25" t="s">
        <v>39</v>
      </c>
      <c r="AZ16" s="25">
        <v>7</v>
      </c>
      <c r="BA16" s="2"/>
      <c r="BB16" s="25"/>
      <c r="BC16" s="25"/>
      <c r="BD16" s="25"/>
      <c r="BE16" s="25"/>
      <c r="BF16" s="25"/>
      <c r="BG16" s="25"/>
      <c r="BH16" s="25"/>
      <c r="BI16" s="25"/>
      <c r="BJ16" s="25"/>
      <c r="BK16" s="25"/>
    </row>
    <row r="17" spans="1:63" ht="44.25" customHeight="1" x14ac:dyDescent="0.15">
      <c r="A17" s="22"/>
      <c r="B17" s="53"/>
      <c r="C17" s="53"/>
      <c r="D17" s="53"/>
      <c r="E17" s="54"/>
      <c r="F17" s="54"/>
      <c r="G17" s="55"/>
      <c r="H17" s="57"/>
      <c r="I17" s="22"/>
      <c r="J17" s="22"/>
      <c r="K17" s="55"/>
      <c r="L17" s="57"/>
      <c r="M17" s="22"/>
      <c r="N17" s="22"/>
      <c r="O17" s="55"/>
      <c r="P17" s="57"/>
      <c r="Q17" s="22"/>
      <c r="R17" s="22"/>
      <c r="S17" s="55"/>
      <c r="T17" s="57"/>
      <c r="U17" s="22"/>
      <c r="V17" s="22"/>
      <c r="W17" s="57"/>
      <c r="X17" s="57"/>
      <c r="Y17" s="22"/>
      <c r="Z17" s="22"/>
      <c r="AA17" s="57"/>
      <c r="AB17" s="57"/>
      <c r="AC17" s="22"/>
      <c r="AD17" s="22"/>
      <c r="AE17" s="57"/>
      <c r="AF17" s="57"/>
      <c r="AG17" s="16"/>
      <c r="AH17" s="16"/>
      <c r="AI17" s="57"/>
      <c r="AJ17" s="57"/>
      <c r="AK17" s="22"/>
      <c r="AL17" s="22"/>
      <c r="AM17" s="57"/>
      <c r="AN17" s="57"/>
      <c r="AO17" s="22"/>
      <c r="AP17" s="22"/>
      <c r="AQ17" s="22"/>
      <c r="AR17" s="28"/>
      <c r="AS17" s="28"/>
      <c r="AT17" s="16"/>
      <c r="AU17" s="19"/>
      <c r="AV17" s="18"/>
      <c r="AW17" s="16"/>
      <c r="AY17" s="25" t="s">
        <v>40</v>
      </c>
      <c r="AZ17" s="25">
        <v>6</v>
      </c>
      <c r="BA17" s="2"/>
      <c r="BB17" s="25"/>
      <c r="BC17" s="25"/>
      <c r="BD17" s="25"/>
      <c r="BE17" s="25"/>
      <c r="BF17" s="25"/>
      <c r="BG17" s="25"/>
      <c r="BH17" s="25"/>
      <c r="BI17" s="25"/>
      <c r="BJ17" s="25"/>
      <c r="BK17" s="25"/>
    </row>
    <row r="18" spans="1:63" ht="53.5" customHeight="1" x14ac:dyDescent="0.15">
      <c r="A18" s="22"/>
      <c r="B18" s="58"/>
      <c r="C18" s="58"/>
      <c r="D18" s="58"/>
      <c r="E18" s="59"/>
      <c r="F18" s="59"/>
      <c r="G18" s="55"/>
      <c r="H18" s="57"/>
      <c r="I18" s="22"/>
      <c r="J18" s="22"/>
      <c r="K18" s="55"/>
      <c r="L18" s="57"/>
      <c r="M18" s="22"/>
      <c r="N18" s="22"/>
      <c r="O18" s="55"/>
      <c r="P18" s="57"/>
      <c r="Q18" s="22"/>
      <c r="R18" s="22"/>
      <c r="S18" s="55"/>
      <c r="T18" s="57"/>
      <c r="U18" s="22"/>
      <c r="V18" s="22"/>
      <c r="W18" s="57"/>
      <c r="X18" s="57"/>
      <c r="Y18" s="22"/>
      <c r="Z18" s="22"/>
      <c r="AA18" s="57"/>
      <c r="AB18" s="57"/>
      <c r="AC18" s="22"/>
      <c r="AD18" s="22"/>
      <c r="AE18" s="57"/>
      <c r="AF18" s="57"/>
      <c r="AG18" s="16"/>
      <c r="AH18" s="16"/>
      <c r="AI18" s="57"/>
      <c r="AJ18" s="57"/>
      <c r="AK18" s="22"/>
      <c r="AL18" s="22"/>
      <c r="AM18" s="57"/>
      <c r="AN18" s="57"/>
      <c r="AO18" s="22"/>
      <c r="AP18" s="22"/>
      <c r="AQ18" s="22"/>
      <c r="AR18" s="28"/>
      <c r="AS18" s="28"/>
      <c r="AT18" s="16"/>
      <c r="AU18" s="19"/>
      <c r="AV18" s="18"/>
      <c r="AW18" s="16"/>
      <c r="AY18" s="25" t="s">
        <v>41</v>
      </c>
      <c r="AZ18" s="25">
        <v>5</v>
      </c>
      <c r="BA18" s="2"/>
      <c r="BB18" s="25"/>
      <c r="BC18" s="25"/>
      <c r="BD18" s="25"/>
      <c r="BE18" s="25"/>
      <c r="BF18" s="25"/>
      <c r="BG18" s="25"/>
      <c r="BH18" s="25"/>
      <c r="BI18" s="25"/>
      <c r="BJ18" s="25"/>
      <c r="BK18" s="25"/>
    </row>
    <row r="19" spans="1:63" ht="20" x14ac:dyDescent="0.15">
      <c r="AY19" s="25" t="s">
        <v>42</v>
      </c>
      <c r="AZ19" s="25">
        <v>0</v>
      </c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20" x14ac:dyDescent="0.15">
      <c r="AY20" s="25" t="s">
        <v>43</v>
      </c>
      <c r="AZ20" s="25">
        <v>0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 ht="20" x14ac:dyDescent="0.15">
      <c r="AY21" s="25" t="s">
        <v>44</v>
      </c>
      <c r="AZ21" s="25">
        <v>0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spans="1:63" ht="20" x14ac:dyDescent="0.15">
      <c r="AY22" s="25" t="s">
        <v>45</v>
      </c>
      <c r="AZ22" s="25">
        <v>0</v>
      </c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20" x14ac:dyDescent="0.15">
      <c r="AY23" s="25" t="str">
        <f>""</f>
        <v/>
      </c>
      <c r="AZ23" s="25" t="str">
        <f>""</f>
        <v/>
      </c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</sheetData>
  <mergeCells count="56">
    <mergeCell ref="AM8:AO8"/>
    <mergeCell ref="AM5:AP5"/>
    <mergeCell ref="AI6:AL6"/>
    <mergeCell ref="AE5:AH5"/>
    <mergeCell ref="AE6:AH6"/>
    <mergeCell ref="AI5:AL5"/>
    <mergeCell ref="AE8:AG8"/>
    <mergeCell ref="AI8:AK8"/>
    <mergeCell ref="A1:AQ1"/>
    <mergeCell ref="A3:AQ3"/>
    <mergeCell ref="A2:AQ2"/>
    <mergeCell ref="W5:Z5"/>
    <mergeCell ref="AA5:AD5"/>
    <mergeCell ref="G5:J5"/>
    <mergeCell ref="F4:F10"/>
    <mergeCell ref="G4:AP4"/>
    <mergeCell ref="AQ4:AQ7"/>
    <mergeCell ref="B4:B10"/>
    <mergeCell ref="C4:C10"/>
    <mergeCell ref="D4:D10"/>
    <mergeCell ref="E4:E10"/>
    <mergeCell ref="G6:J6"/>
    <mergeCell ref="K5:N5"/>
    <mergeCell ref="O5:R5"/>
    <mergeCell ref="J8:J10"/>
    <mergeCell ref="N8:N10"/>
    <mergeCell ref="R8:R10"/>
    <mergeCell ref="G7:AP7"/>
    <mergeCell ref="G8:I8"/>
    <mergeCell ref="K8:M8"/>
    <mergeCell ref="O8:Q8"/>
    <mergeCell ref="S8:U8"/>
    <mergeCell ref="W8:Y8"/>
    <mergeCell ref="AA8:AC8"/>
    <mergeCell ref="V8:V10"/>
    <mergeCell ref="Z8:Z10"/>
    <mergeCell ref="AD8:AD10"/>
    <mergeCell ref="AL8:AL10"/>
    <mergeCell ref="AP8:AP10"/>
    <mergeCell ref="AH8:AH10"/>
    <mergeCell ref="BB9:BJ9"/>
    <mergeCell ref="BK9:BK10"/>
    <mergeCell ref="K6:N6"/>
    <mergeCell ref="O6:R6"/>
    <mergeCell ref="AU4:AU10"/>
    <mergeCell ref="AV4:AV10"/>
    <mergeCell ref="AW4:AW10"/>
    <mergeCell ref="AM6:AP6"/>
    <mergeCell ref="AR4:AR10"/>
    <mergeCell ref="AS4:AS10"/>
    <mergeCell ref="S6:V6"/>
    <mergeCell ref="W6:Z6"/>
    <mergeCell ref="AA6:AD6"/>
    <mergeCell ref="S5:V5"/>
    <mergeCell ref="AT4:AT10"/>
    <mergeCell ref="AQ9:AQ10"/>
  </mergeCells>
  <phoneticPr fontId="2" type="noConversion"/>
  <conditionalFormatting sqref="G14:G18">
    <cfRule type="cellIs" dxfId="86" priority="8" stopIfTrue="1" operator="lessThan">
      <formula>40</formula>
    </cfRule>
  </conditionalFormatting>
  <conditionalFormatting sqref="I11:I18">
    <cfRule type="cellIs" dxfId="85" priority="11" stopIfTrue="1" operator="lessThan">
      <formula>75</formula>
    </cfRule>
  </conditionalFormatting>
  <conditionalFormatting sqref="J11:J18">
    <cfRule type="containsText" dxfId="84" priority="43" operator="containsText" text="Dt">
      <formula>NOT(ISERROR(SEARCH("Dt",J11)))</formula>
    </cfRule>
    <cfRule type="containsText" dxfId="83" priority="44" operator="containsText" text="Ab">
      <formula>NOT(ISERROR(SEARCH("Ab",J11)))</formula>
    </cfRule>
    <cfRule type="containsText" dxfId="82" priority="45" operator="containsText" text="F">
      <formula>NOT(ISERROR(SEARCH("F",J11)))</formula>
    </cfRule>
  </conditionalFormatting>
  <conditionalFormatting sqref="K14:K18">
    <cfRule type="cellIs" dxfId="81" priority="7" stopIfTrue="1" operator="lessThan">
      <formula>40</formula>
    </cfRule>
  </conditionalFormatting>
  <conditionalFormatting sqref="M11:M18">
    <cfRule type="cellIs" dxfId="80" priority="18" stopIfTrue="1" operator="lessThan">
      <formula>75</formula>
    </cfRule>
  </conditionalFormatting>
  <conditionalFormatting sqref="N11:N18">
    <cfRule type="containsText" dxfId="79" priority="40" operator="containsText" text="Dt">
      <formula>NOT(ISERROR(SEARCH("Dt",N11)))</formula>
    </cfRule>
    <cfRule type="containsText" dxfId="78" priority="41" operator="containsText" text="Ab">
      <formula>NOT(ISERROR(SEARCH("Ab",N11)))</formula>
    </cfRule>
    <cfRule type="containsText" dxfId="77" priority="42" operator="containsText" text="F">
      <formula>NOT(ISERROR(SEARCH("F",N11)))</formula>
    </cfRule>
  </conditionalFormatting>
  <conditionalFormatting sqref="O14:O18">
    <cfRule type="cellIs" dxfId="76" priority="6" stopIfTrue="1" operator="lessThan">
      <formula>40</formula>
    </cfRule>
  </conditionalFormatting>
  <conditionalFormatting sqref="Q11:Q18">
    <cfRule type="cellIs" dxfId="75" priority="16" stopIfTrue="1" operator="lessThan">
      <formula>75</formula>
    </cfRule>
  </conditionalFormatting>
  <conditionalFormatting sqref="R11:R18">
    <cfRule type="containsText" dxfId="74" priority="37" operator="containsText" text="Dt">
      <formula>NOT(ISERROR(SEARCH("Dt",R11)))</formula>
    </cfRule>
    <cfRule type="containsText" dxfId="73" priority="38" operator="containsText" text="Ab">
      <formula>NOT(ISERROR(SEARCH("Ab",R11)))</formula>
    </cfRule>
    <cfRule type="containsText" dxfId="72" priority="39" operator="containsText" text="F">
      <formula>NOT(ISERROR(SEARCH("F",R11)))</formula>
    </cfRule>
  </conditionalFormatting>
  <conditionalFormatting sqref="S14:S18">
    <cfRule type="cellIs" dxfId="71" priority="5" stopIfTrue="1" operator="lessThan">
      <formula>40</formula>
    </cfRule>
  </conditionalFormatting>
  <conditionalFormatting sqref="U11:U18">
    <cfRule type="cellIs" dxfId="70" priority="14" stopIfTrue="1" operator="lessThan">
      <formula>75</formula>
    </cfRule>
  </conditionalFormatting>
  <conditionalFormatting sqref="V11:V18">
    <cfRule type="containsText" dxfId="69" priority="34" operator="containsText" text="Dt">
      <formula>NOT(ISERROR(SEARCH("Dt",V11)))</formula>
    </cfRule>
    <cfRule type="containsText" dxfId="68" priority="35" operator="containsText" text="Ab">
      <formula>NOT(ISERROR(SEARCH("Ab",V11)))</formula>
    </cfRule>
    <cfRule type="containsText" dxfId="67" priority="36" operator="containsText" text="F">
      <formula>NOT(ISERROR(SEARCH("F",V11)))</formula>
    </cfRule>
  </conditionalFormatting>
  <conditionalFormatting sqref="Y11:Y18">
    <cfRule type="cellIs" dxfId="66" priority="13" stopIfTrue="1" operator="lessThan">
      <formula>75</formula>
    </cfRule>
  </conditionalFormatting>
  <conditionalFormatting sqref="Z11:Z18">
    <cfRule type="containsText" dxfId="65" priority="31" operator="containsText" text="Dt">
      <formula>NOT(ISERROR(SEARCH("Dt",Z11)))</formula>
    </cfRule>
    <cfRule type="containsText" dxfId="64" priority="32" operator="containsText" text="Ab">
      <formula>NOT(ISERROR(SEARCH("Ab",Z11)))</formula>
    </cfRule>
    <cfRule type="containsText" dxfId="63" priority="33" operator="containsText" text="F">
      <formula>NOT(ISERROR(SEARCH("F",Z11)))</formula>
    </cfRule>
  </conditionalFormatting>
  <conditionalFormatting sqref="AD11:AD18">
    <cfRule type="containsText" dxfId="62" priority="28" operator="containsText" text="Dt">
      <formula>NOT(ISERROR(SEARCH("Dt",AD11)))</formula>
    </cfRule>
    <cfRule type="containsText" dxfId="61" priority="29" operator="containsText" text="Ab">
      <formula>NOT(ISERROR(SEARCH("Ab",AD11)))</formula>
    </cfRule>
    <cfRule type="containsText" dxfId="60" priority="30" operator="containsText" text="F">
      <formula>NOT(ISERROR(SEARCH("F",AD11)))</formula>
    </cfRule>
  </conditionalFormatting>
  <conditionalFormatting sqref="AG11:AG18">
    <cfRule type="containsText" dxfId="59" priority="46" stopIfTrue="1" operator="containsText" text="D">
      <formula>NOT(ISERROR(SEARCH("D",AG11)))</formula>
    </cfRule>
    <cfRule type="cellIs" dxfId="58" priority="47" stopIfTrue="1" operator="lessThan">
      <formula>25</formula>
    </cfRule>
  </conditionalFormatting>
  <conditionalFormatting sqref="AL11:AL18">
    <cfRule type="containsText" dxfId="57" priority="25" operator="containsText" text="Dt">
      <formula>NOT(ISERROR(SEARCH("Dt",AL11)))</formula>
    </cfRule>
    <cfRule type="containsText" dxfId="56" priority="26" operator="containsText" text="Ab">
      <formula>NOT(ISERROR(SEARCH("Ab",AL11)))</formula>
    </cfRule>
    <cfRule type="containsText" dxfId="55" priority="27" operator="containsText" text="F">
      <formula>NOT(ISERROR(SEARCH("F",AL11)))</formula>
    </cfRule>
  </conditionalFormatting>
  <conditionalFormatting sqref="AP11:AP18">
    <cfRule type="containsText" dxfId="54" priority="22" operator="containsText" text="Dt">
      <formula>NOT(ISERROR(SEARCH("Dt",AP11)))</formula>
    </cfRule>
    <cfRule type="containsText" dxfId="53" priority="23" operator="containsText" text="Ab">
      <formula>NOT(ISERROR(SEARCH("Ab",AP11)))</formula>
    </cfRule>
    <cfRule type="containsText" dxfId="52" priority="24" operator="containsText" text="F">
      <formula>NOT(ISERROR(SEARCH("F",AP11)))</formula>
    </cfRule>
  </conditionalFormatting>
  <conditionalFormatting sqref="AU11:AU18">
    <cfRule type="cellIs" dxfId="51" priority="9" operator="equal">
      <formula>"PASS"</formula>
    </cfRule>
    <cfRule type="cellIs" dxfId="50" priority="10" operator="equal">
      <formula>"CARRY OVER"</formula>
    </cfRule>
  </conditionalFormatting>
  <conditionalFormatting sqref="G11:G13">
    <cfRule type="cellIs" dxfId="49" priority="4" stopIfTrue="1" operator="lessThan">
      <formula>40</formula>
    </cfRule>
  </conditionalFormatting>
  <conditionalFormatting sqref="K11:K13">
    <cfRule type="cellIs" dxfId="48" priority="3" stopIfTrue="1" operator="lessThan">
      <formula>40</formula>
    </cfRule>
  </conditionalFormatting>
  <conditionalFormatting sqref="O11:O13">
    <cfRule type="cellIs" dxfId="47" priority="2" stopIfTrue="1" operator="lessThan">
      <formula>40</formula>
    </cfRule>
  </conditionalFormatting>
  <conditionalFormatting sqref="S11:S13">
    <cfRule type="cellIs" dxfId="46" priority="1" stopIfTrue="1" operator="lessThan">
      <formula>40</formula>
    </cfRule>
  </conditionalFormatting>
  <pageMargins left="0.79" right="1.39" top="1.1417322834645669" bottom="3.2283464566929134" header="0.31496062992125984" footer="2.598425196850394"/>
  <pageSetup paperSize="8" scale="33" orientation="landscape" r:id="rId1"/>
  <headerFooter>
    <oddFooter>&amp;L&amp;14(&amp;"Arial,Bold"$) Non Credit Subject(s)Date: 25-07-2023               Prapared By                    Checked by&amp;C&amp;"Arial,Bold"&amp;14Controller of Exam.                 &amp;R&amp;"Arial,Bold"&amp;16                    UTU ( Conf. Sec.)              CONTROLLER (UTU)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6599-C044-4194-8F70-645C1F623705}">
  <dimension ref="A1:AB151"/>
  <sheetViews>
    <sheetView view="pageLayout" topLeftCell="A4" zoomScaleNormal="100" workbookViewId="0">
      <selection activeCell="A5" sqref="A5:N7"/>
    </sheetView>
  </sheetViews>
  <sheetFormatPr baseColWidth="10" defaultColWidth="8.83203125" defaultRowHeight="12.75" customHeight="1" x14ac:dyDescent="0.15"/>
  <cols>
    <col min="5" max="5" width="18.33203125" customWidth="1"/>
  </cols>
  <sheetData>
    <row r="1" spans="1:23" ht="26" x14ac:dyDescent="0.15">
      <c r="A1" s="201" t="s">
        <v>132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V1" s="35" t="s">
        <v>34</v>
      </c>
      <c r="W1" s="36" t="s">
        <v>35</v>
      </c>
    </row>
    <row r="2" spans="1:23" ht="13" x14ac:dyDescent="0.15">
      <c r="A2" s="202" t="s">
        <v>74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V2" s="37" t="s">
        <v>36</v>
      </c>
      <c r="W2" s="37">
        <v>10</v>
      </c>
    </row>
    <row r="3" spans="1:23" ht="13" x14ac:dyDescent="0.15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V3" s="37" t="s">
        <v>37</v>
      </c>
      <c r="W3" s="37">
        <v>9</v>
      </c>
    </row>
    <row r="4" spans="1:23" ht="13" x14ac:dyDescent="0.15">
      <c r="A4" s="202" t="s">
        <v>75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V4" s="37" t="s">
        <v>38</v>
      </c>
      <c r="W4" s="37">
        <v>8</v>
      </c>
    </row>
    <row r="5" spans="1:23" ht="13" x14ac:dyDescent="0.15">
      <c r="A5" s="203" t="str">
        <f>_xlfn.TEXTJOIN("",TRUE,"Tabulation Chart for Master of Technology", IF($F$8="CSE_I"," (Computer Science and Engineering)",IF($F$8="PS_I"," (Power Systems)",IF($F$8="BT_I"," (Biotechnology)",IF($F$8="ECE_I"," (Electronics and Communication Engineering)",IF($F$8="GT_I"," (Geotechnology)",))))),CHAR(10),"I Semester December 2025")</f>
        <v>Tabulation Chart for Master of Technology (Biotechnology)
I Semester December 2025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V5" s="37" t="s">
        <v>39</v>
      </c>
      <c r="W5" s="37">
        <v>7</v>
      </c>
    </row>
    <row r="6" spans="1:23" ht="12.75" customHeight="1" x14ac:dyDescent="0.15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V6" s="37" t="s">
        <v>40</v>
      </c>
      <c r="W6" s="37">
        <v>6</v>
      </c>
    </row>
    <row r="7" spans="1:23" ht="28" customHeight="1" x14ac:dyDescent="0.15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V7" s="37" t="s">
        <v>41</v>
      </c>
      <c r="W7" s="37">
        <v>5</v>
      </c>
    </row>
    <row r="8" spans="1:23" ht="12.75" customHeight="1" x14ac:dyDescent="0.15">
      <c r="A8" s="38" t="s">
        <v>73</v>
      </c>
      <c r="B8" s="38">
        <v>1</v>
      </c>
      <c r="C8" s="38" t="s">
        <v>71</v>
      </c>
      <c r="D8" s="38" t="s">
        <v>72</v>
      </c>
      <c r="E8" s="38" t="s">
        <v>40</v>
      </c>
      <c r="F8" s="38" t="s">
        <v>127</v>
      </c>
      <c r="G8" s="39"/>
      <c r="H8" s="39"/>
      <c r="I8" s="39"/>
      <c r="J8" s="39"/>
      <c r="K8" s="39"/>
      <c r="L8" s="39"/>
      <c r="M8" s="39"/>
      <c r="N8" s="39"/>
      <c r="P8">
        <f>26+22</f>
        <v>48</v>
      </c>
      <c r="V8" s="37" t="s">
        <v>42</v>
      </c>
      <c r="W8" s="37">
        <v>0</v>
      </c>
    </row>
    <row r="9" spans="1:23" ht="12.75" customHeight="1" x14ac:dyDescent="0.15">
      <c r="A9" s="204" t="s">
        <v>76</v>
      </c>
      <c r="B9" s="204" t="str">
        <f ca="1">VLOOKUP(B8,INDIRECT($F$8),5,0)</f>
        <v>Mayank Negi</v>
      </c>
      <c r="C9" s="204"/>
      <c r="D9" s="204" t="s">
        <v>77</v>
      </c>
      <c r="E9" s="204" t="str">
        <f ca="1">VLOOKUP(B8,INDIRECT($F$8),6,0)</f>
        <v>Narendra Singh Negi</v>
      </c>
      <c r="F9" s="204"/>
      <c r="G9" s="204" t="s">
        <v>78</v>
      </c>
      <c r="H9" s="204"/>
      <c r="I9" s="205">
        <f ca="1">VLOOKUP(B8,INDIRECT($F$8),2,0)</f>
        <v>250090703001</v>
      </c>
      <c r="J9" s="205"/>
      <c r="K9" s="204" t="s">
        <v>79</v>
      </c>
      <c r="L9" s="204"/>
      <c r="M9" s="205" t="str">
        <f ca="1">IF(VLOOKUP(B8,INDIRECT($F$8),3,0)=0,"",VLOOKUP(B8,INDIRECT($F$8),3,0))</f>
        <v>UTU/2507100053</v>
      </c>
      <c r="N9" s="205"/>
      <c r="V9" s="37" t="s">
        <v>43</v>
      </c>
      <c r="W9" s="37">
        <v>0</v>
      </c>
    </row>
    <row r="10" spans="1:23" ht="12.75" customHeight="1" x14ac:dyDescent="0.15">
      <c r="A10" s="204"/>
      <c r="B10" s="204"/>
      <c r="C10" s="204"/>
      <c r="D10" s="204"/>
      <c r="E10" s="204"/>
      <c r="F10" s="204"/>
      <c r="G10" s="204"/>
      <c r="H10" s="204"/>
      <c r="I10" s="205"/>
      <c r="J10" s="205"/>
      <c r="K10" s="204"/>
      <c r="L10" s="204"/>
      <c r="M10" s="205"/>
      <c r="N10" s="205"/>
      <c r="V10" s="37" t="s">
        <v>44</v>
      </c>
      <c r="W10" s="37">
        <v>0</v>
      </c>
    </row>
    <row r="11" spans="1:23" ht="12.75" customHeight="1" x14ac:dyDescent="0.15">
      <c r="A11" s="206" t="s">
        <v>80</v>
      </c>
      <c r="B11" s="206" t="s">
        <v>81</v>
      </c>
      <c r="C11" s="206"/>
      <c r="D11" s="206"/>
      <c r="E11" s="206"/>
      <c r="F11" s="206" t="s">
        <v>33</v>
      </c>
      <c r="G11" s="206" t="s">
        <v>82</v>
      </c>
      <c r="H11" s="206"/>
      <c r="I11" s="206" t="s">
        <v>83</v>
      </c>
      <c r="J11" s="206"/>
      <c r="K11" s="206" t="s">
        <v>84</v>
      </c>
      <c r="L11" s="206"/>
      <c r="M11" s="206" t="s">
        <v>34</v>
      </c>
      <c r="N11" s="206" t="s">
        <v>85</v>
      </c>
      <c r="V11" s="37" t="s">
        <v>45</v>
      </c>
      <c r="W11" s="37">
        <v>0</v>
      </c>
    </row>
    <row r="12" spans="1:23" ht="12.75" customHeight="1" x14ac:dyDescent="0.15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V12" s="37" t="str">
        <f>""</f>
        <v/>
      </c>
      <c r="W12" s="37" t="str">
        <f>""</f>
        <v/>
      </c>
    </row>
    <row r="13" spans="1:23" ht="12.75" customHeight="1" x14ac:dyDescent="0.15">
      <c r="A13" s="40" t="str">
        <f ca="1">VLOOKUP(C8,INDIRECT($F$8),7+(O13-1)*4,0)</f>
        <v>BTT 301</v>
      </c>
      <c r="B13" s="207" t="str">
        <f ca="1">VLOOKUP(D8,INDIRECT($F$8),7+(O13-1)*4,0)</f>
        <v>Advanced Biostatistics</v>
      </c>
      <c r="C13" s="207"/>
      <c r="D13" s="207"/>
      <c r="E13" s="207"/>
      <c r="F13" s="40">
        <f ca="1">VLOOKUP(E8,INDIRECT($F$8),7+(O13-1)*4,0)</f>
        <v>4</v>
      </c>
      <c r="G13" s="208" t="str">
        <f ca="1">_xlfn.TEXTJOIN("/",FALSE,VLOOKUP(B8,INDIRECT($F$8),7+(O13-1)*4),VLOOKUP(A8,INDIRECT($F$8),7+(O13-1)*4))</f>
        <v>50/100</v>
      </c>
      <c r="H13" s="208"/>
      <c r="I13" s="208" t="str">
        <f ca="1">_xlfn.TEXTJOIN("/",FALSE,VLOOKUP(B8,INDIRECT($F$8),8+(O13-1)*4,0),VLOOKUP(A8,INDIRECT($F$8),8+(O13-1)*4,0))</f>
        <v>38/50</v>
      </c>
      <c r="J13" s="208"/>
      <c r="K13" s="208" t="str">
        <f ca="1">_xlfn.TEXTJOIN("/",FALSE,VLOOKUP(B8,INDIRECT($F$8),9+(O13-1)*4),VLOOKUP(A8,INDIRECT($F$8),9+(O13-1)*4))</f>
        <v>88/150</v>
      </c>
      <c r="L13" s="208"/>
      <c r="M13" s="40" t="str">
        <f ca="1">VLOOKUP(B8,INDIRECT($F$8),10+(O13-1)*4,0)</f>
        <v>P</v>
      </c>
      <c r="N13" s="41">
        <f t="shared" ref="N13:N21" ca="1" si="0">INDEX($W$2:$W$12,MATCH(M13,$V$2:$V$12,0))</f>
        <v>5</v>
      </c>
      <c r="O13">
        <v>1</v>
      </c>
      <c r="P13" s="42">
        <f ca="1">IFERROR(VALUE(IFERROR(LEFT(G13,SEARCH("/",G13)-1),0)),"")</f>
        <v>50</v>
      </c>
      <c r="Q13" s="42">
        <f ca="1">IFERROR(VALUE(IFERROR(LEFT(I13,SEARCH("/",I13)-1),0)),"")</f>
        <v>38</v>
      </c>
      <c r="R13" s="42">
        <f ca="1">IFERROR(VALUE(IFERROR(LEFT(K13,SEARCH("/",K13)-1),0)),"")</f>
        <v>88</v>
      </c>
      <c r="S13" s="42">
        <f ca="1">VALUE(IFERROR(RIGHT(G13,LEN(G13)-SEARCH("/",G13)),0))</f>
        <v>100</v>
      </c>
      <c r="T13" s="42">
        <f ca="1">VALUE(IFERROR(RIGHT(I13,LEN(I13)-SEARCH("/",I13)),0))</f>
        <v>50</v>
      </c>
      <c r="U13" s="42">
        <f ca="1">VALUE(IFERROR(RIGHT(K13,LEN(K13)-SEARCH("/",K13)),0))</f>
        <v>150</v>
      </c>
    </row>
    <row r="14" spans="1:23" ht="12.75" customHeight="1" x14ac:dyDescent="0.15">
      <c r="A14" s="40" t="str">
        <f ca="1">VLOOKUP(C8,INDIRECT($F$8),7+(O14-1)*4,0)</f>
        <v>BTT 302</v>
      </c>
      <c r="B14" s="207" t="str">
        <f ca="1">VLOOKUP(D8,INDIRECT($F$8),7+(O14-1)*4,0)</f>
        <v>Applied Biochemistry</v>
      </c>
      <c r="C14" s="207"/>
      <c r="D14" s="207"/>
      <c r="E14" s="207"/>
      <c r="F14" s="40">
        <f ca="1">VLOOKUP(E8,INDIRECT($F$8),7+(O14-1)*4,0)</f>
        <v>4</v>
      </c>
      <c r="G14" s="208" t="str">
        <f ca="1">_xlfn.TEXTJOIN("/",FALSE,VLOOKUP(B8,INDIRECT($F$8),7+(O14-1)*4),VLOOKUP(A8,INDIRECT($F$8),7+(O14-1)*4))</f>
        <v>71/100</v>
      </c>
      <c r="H14" s="208"/>
      <c r="I14" s="208" t="str">
        <f ca="1">_xlfn.TEXTJOIN("/",FALSE,VLOOKUP(B8,INDIRECT($F$8),8+(O14-1)*4),VLOOKUP(A8,INDIRECT($F$8),8+(O14-1)*4))</f>
        <v>43/50</v>
      </c>
      <c r="J14" s="208"/>
      <c r="K14" s="208" t="str">
        <f ca="1">_xlfn.TEXTJOIN("/",FALSE,VLOOKUP(B8,INDIRECT($F$8),9+(O14-1)*4),VLOOKUP(A8,INDIRECT($F$8),9+(O14-1)*4))</f>
        <v>114/150</v>
      </c>
      <c r="L14" s="208"/>
      <c r="M14" s="40" t="str">
        <f ca="1">VLOOKUP(B8,INDIRECT($F$8),10+(O14-1)*4,0)</f>
        <v>B</v>
      </c>
      <c r="N14" s="41">
        <f t="shared" ca="1" si="0"/>
        <v>7</v>
      </c>
      <c r="O14">
        <v>2</v>
      </c>
      <c r="P14" s="42">
        <f ca="1">IFERROR(VALUE(IFERROR(LEFT(G14,SEARCH("/",G14)-1),0)),"")</f>
        <v>71</v>
      </c>
      <c r="Q14" s="42">
        <f t="shared" ref="Q14:Q21" ca="1" si="1">IFERROR(VALUE(IFERROR(LEFT(I14,SEARCH("/",I14)-1),0)),"")</f>
        <v>43</v>
      </c>
      <c r="R14" s="42">
        <f t="shared" ref="R14:R21" ca="1" si="2">IFERROR(VALUE(IFERROR(LEFT(K14,SEARCH("/",K14)-1),0)),"")</f>
        <v>114</v>
      </c>
      <c r="S14" s="42">
        <f t="shared" ref="S14:S21" ca="1" si="3">VALUE(IFERROR(RIGHT(G14,LEN(G14)-SEARCH("/",G14)),0))</f>
        <v>100</v>
      </c>
      <c r="T14" s="42">
        <f t="shared" ref="T14:T21" ca="1" si="4">VALUE(IFERROR(RIGHT(I14,LEN(I14)-SEARCH("/",I14)),0))</f>
        <v>50</v>
      </c>
      <c r="U14" s="42">
        <f t="shared" ref="U14:U21" ca="1" si="5">VALUE(IFERROR(RIGHT(K14,LEN(K14)-SEARCH("/",K14)),0))</f>
        <v>150</v>
      </c>
    </row>
    <row r="15" spans="1:23" ht="12.75" customHeight="1" x14ac:dyDescent="0.15">
      <c r="A15" s="40" t="str">
        <f ca="1">VLOOKUP(C8,INDIRECT($F$8),7+(O15-1)*4,0)</f>
        <v>BTT 303</v>
      </c>
      <c r="B15" s="207" t="str">
        <f ca="1">VLOOKUP(D8,INDIRECT($F$8),7+(O15-1)*4,0)</f>
        <v>Microbial Biotechnology</v>
      </c>
      <c r="C15" s="207"/>
      <c r="D15" s="207"/>
      <c r="E15" s="207"/>
      <c r="F15" s="40">
        <f ca="1">VLOOKUP(E8,INDIRECT($F$8),7+(O15-1)*4,0)</f>
        <v>4</v>
      </c>
      <c r="G15" s="208" t="str">
        <f ca="1">_xlfn.TEXTJOIN("/",FALSE,VLOOKUP(B8,INDIRECT($F$8),7+(O15-1)*4),VLOOKUP(A8,INDIRECT($F$8),7+(O15-1)*4))</f>
        <v>60/100</v>
      </c>
      <c r="H15" s="208"/>
      <c r="I15" s="208" t="str">
        <f ca="1">_xlfn.TEXTJOIN("/",FALSE,VLOOKUP(B8,INDIRECT($F$8),8+(O15-1)*4),VLOOKUP(A8,INDIRECT($F$8),8+(O15-1)*4))</f>
        <v>41/50</v>
      </c>
      <c r="J15" s="208"/>
      <c r="K15" s="208" t="str">
        <f ca="1">_xlfn.TEXTJOIN("/",FALSE,VLOOKUP(B8,INDIRECT($F$8),9+(O15-1)*4),VLOOKUP(A8,INDIRECT($F$8),9+(O15-1)*4))</f>
        <v>101/150</v>
      </c>
      <c r="L15" s="208"/>
      <c r="M15" s="40" t="str">
        <f ca="1">VLOOKUP(B8,INDIRECT($F$8),10+(O15-1)*4,0)</f>
        <v>C</v>
      </c>
      <c r="N15" s="41">
        <f t="shared" ca="1" si="0"/>
        <v>6</v>
      </c>
      <c r="O15">
        <v>3</v>
      </c>
      <c r="P15" s="42">
        <f t="shared" ref="P15:P21" ca="1" si="6">IFERROR(VALUE(IFERROR(LEFT(G15,SEARCH("/",G15)-1),0)),"")</f>
        <v>60</v>
      </c>
      <c r="Q15" s="42">
        <f t="shared" ca="1" si="1"/>
        <v>41</v>
      </c>
      <c r="R15" s="42">
        <f t="shared" ca="1" si="2"/>
        <v>101</v>
      </c>
      <c r="S15" s="42">
        <f t="shared" ca="1" si="3"/>
        <v>100</v>
      </c>
      <c r="T15" s="42">
        <f t="shared" ca="1" si="4"/>
        <v>50</v>
      </c>
      <c r="U15" s="42">
        <f t="shared" ca="1" si="5"/>
        <v>150</v>
      </c>
    </row>
    <row r="16" spans="1:23" ht="12.75" customHeight="1" x14ac:dyDescent="0.15">
      <c r="A16" s="40" t="str">
        <f ca="1">VLOOKUP(C8,INDIRECT($F$8),7+(O16-1)*4,0)</f>
        <v>BTT 306</v>
      </c>
      <c r="B16" s="207" t="str">
        <f ca="1">VLOOKUP(D8,INDIRECT($F$8),7+(O16-1)*4,0)</f>
        <v>Bioprocess Engineering</v>
      </c>
      <c r="C16" s="207"/>
      <c r="D16" s="207"/>
      <c r="E16" s="207"/>
      <c r="F16" s="40">
        <f ca="1">VLOOKUP(E8,INDIRECT($F$8),7+(O16-1)*4,0)</f>
        <v>3</v>
      </c>
      <c r="G16" s="208" t="str">
        <f ca="1">_xlfn.TEXTJOIN("/",FALSE,VLOOKUP(B8,INDIRECT($F$8),7+(O16-1)*4),VLOOKUP(A8,INDIRECT($F$8),7+(O16-1)*4))</f>
        <v>66/100</v>
      </c>
      <c r="H16" s="208"/>
      <c r="I16" s="208" t="str">
        <f ca="1">_xlfn.TEXTJOIN("/",FALSE,VLOOKUP(B8,INDIRECT($F$8),8+(O16-1)*4),VLOOKUP(A8,INDIRECT($F$8),8+(O16-1)*4))</f>
        <v>34/50</v>
      </c>
      <c r="J16" s="208"/>
      <c r="K16" s="208" t="str">
        <f ca="1">_xlfn.TEXTJOIN("/",FALSE,VLOOKUP(B8,INDIRECT($F$8),9+(O16-1)*4),VLOOKUP(A8,INDIRECT($F$8),9+(O16-1)*4))</f>
        <v>100/150</v>
      </c>
      <c r="L16" s="208"/>
      <c r="M16" s="40" t="str">
        <f ca="1">VLOOKUP(B8,INDIRECT($F$8),10+(O16-1)*4,0)</f>
        <v>C</v>
      </c>
      <c r="N16" s="41">
        <f t="shared" ca="1" si="0"/>
        <v>6</v>
      </c>
      <c r="O16">
        <v>4</v>
      </c>
      <c r="P16" s="42">
        <f t="shared" ca="1" si="6"/>
        <v>66</v>
      </c>
      <c r="Q16" s="42">
        <f t="shared" ca="1" si="1"/>
        <v>34</v>
      </c>
      <c r="R16" s="42">
        <f t="shared" ca="1" si="2"/>
        <v>100</v>
      </c>
      <c r="S16" s="42">
        <f t="shared" ca="1" si="3"/>
        <v>100</v>
      </c>
      <c r="T16" s="42">
        <f t="shared" ca="1" si="4"/>
        <v>50</v>
      </c>
      <c r="U16" s="42">
        <f t="shared" ca="1" si="5"/>
        <v>150</v>
      </c>
    </row>
    <row r="17" spans="1:28" ht="12.75" customHeight="1" x14ac:dyDescent="0.15">
      <c r="A17" s="40" t="str">
        <f ca="1">VLOOKUP(C8,INDIRECT($F$8),7+(O17-1)*4,0)</f>
        <v>BTT 311</v>
      </c>
      <c r="B17" s="207" t="str">
        <f ca="1">VLOOKUP(D8,INDIRECT($F$8),7+(O17-1)*4,0)</f>
        <v>Herbal Biotechnology</v>
      </c>
      <c r="C17" s="207"/>
      <c r="D17" s="207"/>
      <c r="E17" s="207"/>
      <c r="F17" s="40">
        <f ca="1">VLOOKUP(E8,INDIRECT($F$8),7+(O17-1)*4,0)</f>
        <v>3</v>
      </c>
      <c r="G17" s="208" t="str">
        <f ca="1">_xlfn.TEXTJOIN("/",FALSE,VLOOKUP(B8,INDIRECT($F$8),7+(O17-1)*4),VLOOKUP(A8,INDIRECT($F$8),7+(O17-1)*4))</f>
        <v>77/100</v>
      </c>
      <c r="H17" s="208"/>
      <c r="I17" s="208" t="str">
        <f ca="1">_xlfn.TEXTJOIN("/",FALSE,VLOOKUP(B8,INDIRECT($F$8),8+(O17-1)*4),VLOOKUP(A8,INDIRECT($F$8),8+(O17-1)*4))</f>
        <v>42/50</v>
      </c>
      <c r="J17" s="208"/>
      <c r="K17" s="208" t="str">
        <f ca="1">_xlfn.TEXTJOIN("/",FALSE,VLOOKUP(B8,INDIRECT($F$8),9+(O17-1)*4),VLOOKUP(A8,INDIRECT($F$8),9+(O17-1)*4))</f>
        <v>119/150</v>
      </c>
      <c r="L17" s="208"/>
      <c r="M17" s="40" t="str">
        <f ca="1">VLOOKUP(B8,INDIRECT($F$8),10+(O17-1)*4,0)</f>
        <v>B</v>
      </c>
      <c r="N17" s="41">
        <f t="shared" ca="1" si="0"/>
        <v>7</v>
      </c>
      <c r="O17">
        <v>5</v>
      </c>
      <c r="P17" s="42">
        <f t="shared" ca="1" si="6"/>
        <v>77</v>
      </c>
      <c r="Q17" s="42">
        <f t="shared" ca="1" si="1"/>
        <v>42</v>
      </c>
      <c r="R17" s="42">
        <f t="shared" ca="1" si="2"/>
        <v>119</v>
      </c>
      <c r="S17" s="42">
        <f t="shared" ca="1" si="3"/>
        <v>100</v>
      </c>
      <c r="T17" s="42">
        <f t="shared" ca="1" si="4"/>
        <v>50</v>
      </c>
      <c r="U17" s="42">
        <f t="shared" ca="1" si="5"/>
        <v>150</v>
      </c>
    </row>
    <row r="18" spans="1:28" ht="12.75" customHeight="1" x14ac:dyDescent="0.15">
      <c r="A18" s="40" t="str">
        <f ca="1">VLOOKUP(C8,INDIRECT($F$8),7+(O18-1)*4,0)</f>
        <v>AHT 302</v>
      </c>
      <c r="B18" s="207" t="str">
        <f ca="1">VLOOKUP(D8,INDIRECT($F$8),7+(O18-1)*4,0)</f>
        <v>Research Methodology and IPR</v>
      </c>
      <c r="C18" s="207"/>
      <c r="D18" s="207"/>
      <c r="E18" s="207"/>
      <c r="F18" s="40">
        <f ca="1">VLOOKUP(E8,INDIRECT($F$8),7+(O18-1)*4,0)</f>
        <v>2</v>
      </c>
      <c r="G18" s="208" t="str">
        <f ca="1">_xlfn.TEXTJOIN("/",FALSE,VLOOKUP(B8,INDIRECT($F$8),7+(O18-1)*4),VLOOKUP(A8,INDIRECT($F$8),7+(O18-1)*4))</f>
        <v>42/50</v>
      </c>
      <c r="H18" s="208"/>
      <c r="I18" s="208" t="str">
        <f ca="1">_xlfn.TEXTJOIN("/",FALSE,VLOOKUP(B8,INDIRECT($F$8),8+(O18-1)*4),VLOOKUP(A8,INDIRECT($F$8),8+(O18-1)*4))</f>
        <v>47/50</v>
      </c>
      <c r="J18" s="208"/>
      <c r="K18" s="208" t="str">
        <f ca="1">_xlfn.TEXTJOIN("/",FALSE,VLOOKUP(B8,INDIRECT($F$8),9+(O18-1)*4),VLOOKUP(A8,INDIRECT($F$8),9+(O18-1)*4))</f>
        <v>89/100</v>
      </c>
      <c r="L18" s="208"/>
      <c r="M18" s="40" t="str">
        <f ca="1">VLOOKUP(B8,INDIRECT($F$8),10+(O18-1)*4,0)</f>
        <v>A+</v>
      </c>
      <c r="N18" s="41">
        <f t="shared" ca="1" si="0"/>
        <v>9</v>
      </c>
      <c r="O18">
        <v>6</v>
      </c>
      <c r="P18" s="42">
        <f t="shared" ca="1" si="6"/>
        <v>42</v>
      </c>
      <c r="Q18" s="42">
        <f t="shared" ca="1" si="1"/>
        <v>47</v>
      </c>
      <c r="R18" s="42">
        <f t="shared" ca="1" si="2"/>
        <v>89</v>
      </c>
      <c r="S18" s="42">
        <f t="shared" ca="1" si="3"/>
        <v>50</v>
      </c>
      <c r="T18" s="42">
        <f t="shared" ca="1" si="4"/>
        <v>50</v>
      </c>
      <c r="U18" s="42">
        <f t="shared" ca="1" si="5"/>
        <v>100</v>
      </c>
    </row>
    <row r="19" spans="1:28" ht="12.75" customHeight="1" x14ac:dyDescent="0.15">
      <c r="A19" s="40" t="str">
        <f ca="1">VLOOKUP(C8,INDIRECT($F$8),7+(O19-1)*4,0)</f>
        <v>AHT 304</v>
      </c>
      <c r="B19" s="207" t="str">
        <f ca="1">VLOOKUP(D8,INDIRECT($F$8),7+(O19-1)*4,0)</f>
        <v xml:space="preserve">English for Research Writing ($) </v>
      </c>
      <c r="C19" s="207"/>
      <c r="D19" s="207"/>
      <c r="E19" s="207"/>
      <c r="F19" s="40">
        <f ca="1">VLOOKUP(E8,INDIRECT($F$8),7+(O19-1)*4,0)</f>
        <v>0</v>
      </c>
      <c r="G19" s="208" t="str">
        <f ca="1">_xlfn.TEXTJOIN("/",FALSE,VLOOKUP(B8,INDIRECT($F$8),7+(O19-1)*4),VLOOKUP(A8,INDIRECT($F$8),7+(O19-1)*4))</f>
        <v>69/100</v>
      </c>
      <c r="H19" s="208"/>
      <c r="I19" s="208" t="str">
        <f ca="1">_xlfn.TEXTJOIN("/",FALSE,VLOOKUP(B8,INDIRECT($F$8),8+(O19-1)*4)-Z19,VLOOKUP(A8,INDIRECT($F$8),8+(O19-1)*4-Z19))</f>
        <v>38/50</v>
      </c>
      <c r="J19" s="208"/>
      <c r="K19" s="208" t="str">
        <f ca="1">_xlfn.TEXTJOIN("/",FALSE,VLOOKUP(B8,INDIRECT($F$8),9+(O19-1)*4),VLOOKUP(A8,INDIRECT($F$8),9+(O19-1)*4))</f>
        <v>107/150</v>
      </c>
      <c r="L19" s="208"/>
      <c r="M19" s="40" t="str">
        <f ca="1">VLOOKUP(B8,INDIRECT($F$8),10+(O19-1)*4,0)</f>
        <v>B</v>
      </c>
      <c r="N19" s="41">
        <f t="shared" ca="1" si="0"/>
        <v>7</v>
      </c>
      <c r="O19">
        <v>7</v>
      </c>
      <c r="P19" s="42">
        <f ca="1">IFERROR(VALUE(IFERROR(LEFT(G19,SEARCH("/",G19)-1),0)),"")</f>
        <v>69</v>
      </c>
      <c r="Q19" s="42">
        <f t="shared" ca="1" si="1"/>
        <v>38</v>
      </c>
      <c r="R19" s="42">
        <f t="shared" ca="1" si="2"/>
        <v>107</v>
      </c>
      <c r="S19" s="42">
        <f t="shared" ca="1" si="3"/>
        <v>100</v>
      </c>
      <c r="T19" s="42">
        <f t="shared" ca="1" si="4"/>
        <v>50</v>
      </c>
      <c r="U19" s="42">
        <f t="shared" ca="1" si="5"/>
        <v>150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</row>
    <row r="20" spans="1:28" ht="12.75" customHeight="1" x14ac:dyDescent="0.15">
      <c r="A20" s="40" t="str">
        <f ca="1">VLOOKUP(C8,INDIRECT($F$8),7+(O20-1)*4,0)</f>
        <v>BTP 301</v>
      </c>
      <c r="B20" s="207" t="str">
        <f ca="1">VLOOKUP(D8,INDIRECT($F$8),7+(O20-1)*4,0)</f>
        <v>Biochemistry and Bioanalytical Techniques Lab  ( Lab-I)</v>
      </c>
      <c r="C20" s="207"/>
      <c r="D20" s="207"/>
      <c r="E20" s="207"/>
      <c r="F20" s="40">
        <f ca="1">VLOOKUP(E8,INDIRECT($F$8),7+(O20-1)*4,0)</f>
        <v>1</v>
      </c>
      <c r="G20" s="208" t="str">
        <f ca="1">_xlfn.TEXTJOIN("/",FALSE,VLOOKUP(B8,INDIRECT($F$8),7+(O20-1)*4),VLOOKUP(A8,INDIRECT($F$8),7+(O20-1)*4))</f>
        <v>22/25</v>
      </c>
      <c r="H20" s="208"/>
      <c r="I20" s="208" t="str">
        <f ca="1">_xlfn.TEXTJOIN("/",FALSE,VLOOKUP(B8,INDIRECT($F$8),8+(O20-1)*4),VLOOKUP(A8,INDIRECT($F$8),8+(O20-1)*4))</f>
        <v>22/25</v>
      </c>
      <c r="J20" s="208"/>
      <c r="K20" s="208" t="str">
        <f ca="1">_xlfn.TEXTJOIN("/",FALSE,VLOOKUP(B8,INDIRECT($F$8),9+(O20-1)*4),VLOOKUP(A8,INDIRECT($F$8),9+(O20-1)*4))</f>
        <v>44/50</v>
      </c>
      <c r="L20" s="208"/>
      <c r="M20" s="40" t="str">
        <f ca="1">VLOOKUP(B8,INDIRECT($F$8),10+(O20-1)*4,0)</f>
        <v>A+</v>
      </c>
      <c r="N20" s="41">
        <f t="shared" ca="1" si="0"/>
        <v>9</v>
      </c>
      <c r="O20">
        <v>8</v>
      </c>
      <c r="P20" s="42">
        <f t="shared" ca="1" si="6"/>
        <v>22</v>
      </c>
      <c r="Q20" s="42">
        <f t="shared" ca="1" si="1"/>
        <v>22</v>
      </c>
      <c r="R20" s="42">
        <f t="shared" ca="1" si="2"/>
        <v>44</v>
      </c>
      <c r="S20" s="42">
        <f t="shared" ca="1" si="3"/>
        <v>25</v>
      </c>
      <c r="T20" s="42">
        <f t="shared" ca="1" si="4"/>
        <v>25</v>
      </c>
      <c r="U20" s="42">
        <f t="shared" ca="1" si="5"/>
        <v>50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ht="12.75" customHeight="1" x14ac:dyDescent="0.15">
      <c r="A21" s="40" t="str">
        <f ca="1">VLOOKUP(C8,INDIRECT($F$8),7+(O21-1)*4,0)</f>
        <v>BTP 302</v>
      </c>
      <c r="B21" s="207" t="str">
        <f ca="1">VLOOKUP(D8,INDIRECT($F$8),7+(O21-1)*4,0)</f>
        <v>Microbial Biotechnology/    Bioprocess Engg. Lab   (Lab-II )</v>
      </c>
      <c r="C21" s="207"/>
      <c r="D21" s="207"/>
      <c r="E21" s="207"/>
      <c r="F21" s="40">
        <f ca="1">VLOOKUP(E8,INDIRECT($F$8),7+(O21-1)*4,0)</f>
        <v>1</v>
      </c>
      <c r="G21" s="208" t="str">
        <f ca="1">_xlfn.TEXTJOIN("/",FALSE,VLOOKUP(B8,INDIRECT($F$8),7+(O21-1)*4),VLOOKUP(A8,INDIRECT($F$8),7+(O21-1)*4))</f>
        <v>21/25</v>
      </c>
      <c r="H21" s="208"/>
      <c r="I21" s="208" t="str">
        <f ca="1">_xlfn.TEXTJOIN("/",FALSE,VLOOKUP(B8,INDIRECT($F$8),8+(O21-1)*4,0),VLOOKUP(A8,INDIRECT($F$8),8+(O21-1)*4,0))</f>
        <v>19/25</v>
      </c>
      <c r="J21" s="208"/>
      <c r="K21" s="208" t="str">
        <f ca="1">_xlfn.TEXTJOIN("/",FALSE,VLOOKUP(B8,INDIRECT($F$8),9+(O21-1)*4,0),VLOOKUP(A8,INDIRECT($F$8),9+(O21-1)*4,0))</f>
        <v>40/50</v>
      </c>
      <c r="L21" s="208"/>
      <c r="M21" s="40" t="str">
        <f ca="1">VLOOKUP(B8,INDIRECT($F$8),10+(O21-1)*4,0)</f>
        <v>A</v>
      </c>
      <c r="N21" s="41">
        <f t="shared" ca="1" si="0"/>
        <v>8</v>
      </c>
      <c r="O21">
        <v>9</v>
      </c>
      <c r="P21" s="42">
        <f t="shared" ca="1" si="6"/>
        <v>21</v>
      </c>
      <c r="Q21" s="42">
        <f t="shared" ca="1" si="1"/>
        <v>19</v>
      </c>
      <c r="R21" s="42">
        <f t="shared" ca="1" si="2"/>
        <v>40</v>
      </c>
      <c r="S21" s="42">
        <f t="shared" ca="1" si="3"/>
        <v>25</v>
      </c>
      <c r="T21" s="42">
        <f t="shared" ca="1" si="4"/>
        <v>25</v>
      </c>
      <c r="U21" s="42">
        <f t="shared" ca="1" si="5"/>
        <v>50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ht="12.75" customHeight="1" x14ac:dyDescent="0.15">
      <c r="A22" s="209" t="s">
        <v>87</v>
      </c>
      <c r="B22" s="209"/>
      <c r="C22" s="209"/>
      <c r="D22" s="209"/>
      <c r="E22" s="209"/>
      <c r="F22" s="43">
        <f ca="1">SUM(F13:F21)</f>
        <v>22</v>
      </c>
      <c r="G22" s="209" t="str">
        <f ca="1">_xlfn.TEXTJOIN("/",TRUE,SUMIF(F13:F21,"&gt;0",P13:P21),SUMIF(F13:F21,"&gt;0",S13:S21))</f>
        <v>409/600</v>
      </c>
      <c r="H22" s="209"/>
      <c r="I22" s="209" t="str">
        <f ca="1">_xlfn.TEXTJOIN("/",TRUE,SUMIF(F13:F21,"&gt;0",Q13:Q21),SUMIF(F13:F21,"&gt;0",T13:T21))</f>
        <v>286/350</v>
      </c>
      <c r="J22" s="209"/>
      <c r="K22" s="209" t="str">
        <f ca="1">_xlfn.TEXTJOIN("/",TRUE,SUMIF(F13:F21,"&gt;0",R13:R21),SUMIF(F13:F21,"&gt;0",U13:U21))</f>
        <v>695/950</v>
      </c>
      <c r="L22" s="209"/>
      <c r="M22" s="210">
        <f ca="1">SUMPRODUCT(N13:N21,F13:F21)</f>
        <v>146</v>
      </c>
      <c r="N22" s="210"/>
    </row>
    <row r="23" spans="1:28" ht="12.75" customHeight="1" x14ac:dyDescent="0.15">
      <c r="A23" s="210" t="s">
        <v>88</v>
      </c>
      <c r="B23" s="206" t="str">
        <f>BT!AU11</f>
        <v>PASS</v>
      </c>
      <c r="C23" s="206"/>
      <c r="D23" s="210" t="s">
        <v>89</v>
      </c>
      <c r="E23" s="206" t="str">
        <f>BT!AV11</f>
        <v xml:space="preserve"> </v>
      </c>
      <c r="F23" s="206"/>
      <c r="G23" s="210" t="s">
        <v>90</v>
      </c>
      <c r="H23" s="211">
        <f ca="1">BT!AR11</f>
        <v>6.6363636363636367</v>
      </c>
      <c r="I23" s="210" t="s">
        <v>91</v>
      </c>
      <c r="J23" s="211">
        <f ca="1">BT!AS11</f>
        <v>6.6363636363636367</v>
      </c>
      <c r="K23" s="206" t="s">
        <v>92</v>
      </c>
      <c r="L23" s="210">
        <f ca="1">BT!AT11</f>
        <v>22</v>
      </c>
      <c r="M23" s="206" t="s">
        <v>93</v>
      </c>
      <c r="N23" s="212">
        <f ca="1">BT!AW11</f>
        <v>22</v>
      </c>
      <c r="V23">
        <v>0</v>
      </c>
    </row>
    <row r="24" spans="1:28" ht="12.75" customHeight="1" x14ac:dyDescent="0.15">
      <c r="A24" s="210"/>
      <c r="B24" s="206"/>
      <c r="C24" s="206"/>
      <c r="D24" s="210"/>
      <c r="E24" s="206"/>
      <c r="F24" s="206"/>
      <c r="G24" s="210"/>
      <c r="H24" s="211"/>
      <c r="I24" s="210"/>
      <c r="J24" s="211"/>
      <c r="K24" s="206"/>
      <c r="L24" s="210"/>
      <c r="M24" s="206"/>
      <c r="N24" s="210"/>
    </row>
    <row r="25" spans="1:28" ht="12.75" customHeight="1" x14ac:dyDescent="0.15">
      <c r="A25" s="210"/>
      <c r="B25" s="206"/>
      <c r="C25" s="206"/>
      <c r="D25" s="210"/>
      <c r="E25" s="206"/>
      <c r="F25" s="206"/>
      <c r="G25" s="210"/>
      <c r="H25" s="211"/>
      <c r="I25" s="210"/>
      <c r="J25" s="211"/>
      <c r="K25" s="206"/>
      <c r="L25" s="210"/>
      <c r="M25" s="206"/>
      <c r="N25" s="210"/>
    </row>
    <row r="26" spans="1:28" ht="12.75" customHeight="1" x14ac:dyDescent="0.15">
      <c r="A26" s="38" t="s">
        <v>73</v>
      </c>
      <c r="B26" s="38">
        <f>B8+1</f>
        <v>2</v>
      </c>
      <c r="C26" s="38" t="s">
        <v>71</v>
      </c>
      <c r="D26" s="38" t="s">
        <v>72</v>
      </c>
      <c r="E26" s="38" t="s">
        <v>40</v>
      </c>
      <c r="F26" s="38">
        <f ca="1">VLOOKUP(B26,INDIRECT($F$8),4,0)</f>
        <v>255202</v>
      </c>
      <c r="G26" s="39"/>
      <c r="H26" s="39"/>
      <c r="I26" s="39"/>
      <c r="J26" s="39"/>
      <c r="K26" s="39"/>
      <c r="L26" s="39"/>
      <c r="M26" s="39"/>
      <c r="N26" s="39"/>
    </row>
    <row r="27" spans="1:28" ht="12.75" customHeight="1" x14ac:dyDescent="0.15">
      <c r="A27" s="204" t="str">
        <f ca="1">IF(ISERROR(F26),"",A9)</f>
        <v>Name:</v>
      </c>
      <c r="B27" s="204" t="str">
        <f ca="1">IFERROR(VLOOKUP(B26,INDIRECT($F$8),5,0),"")</f>
        <v>Prabhav Singh</v>
      </c>
      <c r="C27" s="204"/>
      <c r="D27" s="204" t="str">
        <f ca="1">IF(ISERROR(F26),"",D9)</f>
        <v>Father's Name:</v>
      </c>
      <c r="E27" s="204" t="str">
        <f ca="1">IFERROR(VLOOKUP(B26,INDIRECT($F$8),6,0),"")</f>
        <v>Jaspal Singh</v>
      </c>
      <c r="F27" s="204"/>
      <c r="G27" s="204" t="str">
        <f ca="1">IF(ISERROR(F26),"",G9)</f>
        <v>University Roll No:</v>
      </c>
      <c r="H27" s="204"/>
      <c r="I27" s="205">
        <f ca="1">IFERROR(VLOOKUP(B26,INDIRECT($F$8),2,0),"")</f>
        <v>250090703002</v>
      </c>
      <c r="J27" s="205"/>
      <c r="K27" s="204" t="str">
        <f ca="1">IF(ISERROR(F26),"",K9)</f>
        <v>University Enrol. No:</v>
      </c>
      <c r="L27" s="204"/>
      <c r="M27" s="205" t="str">
        <f ca="1">IFERROR(IF(VLOOKUP(B26,INDIRECT($F$8),3,0)=0,"",VLOOKUP(B26,INDIRECT($F$8),3,0)),"")</f>
        <v>UTU/2507100025</v>
      </c>
      <c r="N27" s="205"/>
    </row>
    <row r="28" spans="1:28" ht="12.75" customHeight="1" x14ac:dyDescent="0.15">
      <c r="A28" s="204"/>
      <c r="B28" s="204"/>
      <c r="C28" s="204"/>
      <c r="D28" s="204"/>
      <c r="E28" s="204"/>
      <c r="F28" s="204"/>
      <c r="G28" s="204"/>
      <c r="H28" s="204"/>
      <c r="I28" s="205"/>
      <c r="J28" s="205"/>
      <c r="K28" s="204"/>
      <c r="L28" s="204"/>
      <c r="M28" s="205"/>
      <c r="N28" s="205"/>
    </row>
    <row r="29" spans="1:28" ht="12.75" customHeight="1" x14ac:dyDescent="0.15">
      <c r="A29" s="206" t="str">
        <f ca="1">IF(ISERROR(F26),"",A11)</f>
        <v>Subject Code</v>
      </c>
      <c r="B29" s="206" t="str">
        <f ca="1">IF(ISERROR(F26),"",B11)</f>
        <v>Subject Name</v>
      </c>
      <c r="C29" s="206"/>
      <c r="D29" s="206"/>
      <c r="E29" s="206"/>
      <c r="F29" s="206" t="str">
        <f ca="1">IF(ISERROR(F26),"",F11)</f>
        <v>Credits</v>
      </c>
      <c r="G29" s="206" t="str">
        <f ca="1">IF(ISERROR(F26),"",G11)</f>
        <v>External Marks</v>
      </c>
      <c r="H29" s="206"/>
      <c r="I29" s="206" t="str">
        <f ca="1">IF(ISERROR(F26),"",I11)</f>
        <v>Sessional Marks</v>
      </c>
      <c r="J29" s="206"/>
      <c r="K29" s="206" t="str">
        <f ca="1">IF(ISERROR(F26),"",K11)</f>
        <v>Total Marks</v>
      </c>
      <c r="L29" s="206"/>
      <c r="M29" s="206" t="str">
        <f ca="1">IF(ISERROR(F26),"",M11)</f>
        <v>Grade</v>
      </c>
      <c r="N29" s="206" t="str">
        <f ca="1">IF(ISERROR(F26),"",N11)</f>
        <v>Grade Points</v>
      </c>
    </row>
    <row r="30" spans="1:28" ht="12.75" customHeight="1" x14ac:dyDescent="0.15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</row>
    <row r="31" spans="1:28" ht="12.75" customHeight="1" x14ac:dyDescent="0.15">
      <c r="A31" s="40" t="str">
        <f ca="1">IF(ISERROR(F26),"",VLOOKUP(C26,INDIRECT($F$8),7+(O31-1)*4,0))</f>
        <v>BTT 301</v>
      </c>
      <c r="B31" s="207" t="str">
        <f ca="1">IF(ISERROR(F26),"",VLOOKUP(D26,INDIRECT($F$8),7+(O31-1)*4,0))</f>
        <v>Advanced Biostatistics</v>
      </c>
      <c r="C31" s="207"/>
      <c r="D31" s="207"/>
      <c r="E31" s="207"/>
      <c r="F31" s="40">
        <f ca="1">IF(ISERROR(F26),"",VLOOKUP(E26,INDIRECT($F$8),7+(O31-1)*4,0))</f>
        <v>4</v>
      </c>
      <c r="G31" s="208" t="str">
        <f ca="1">IF(ISERROR(F26),"",_xlfn.TEXTJOIN("/",FALSE,VLOOKUP(B26,INDIRECT($F$8),7+(O31-1)*4),VLOOKUP(A26,INDIRECT($F$8),7+(O31-1)*4)))</f>
        <v>40/100</v>
      </c>
      <c r="H31" s="208"/>
      <c r="I31" s="208" t="str">
        <f ca="1">IF(ISERROR(F26),"",_xlfn.TEXTJOIN("/",FALSE,VLOOKUP(B26,INDIRECT($F$8),8+(O31-1)*4,0),VLOOKUP(A26,INDIRECT($F$8),8+(O31-1)*4,0)))</f>
        <v>36/50</v>
      </c>
      <c r="J31" s="208"/>
      <c r="K31" s="208" t="str">
        <f ca="1">IF(ISERROR(F26),"",_xlfn.TEXTJOIN("/",FALSE,VLOOKUP(B26,INDIRECT($F$8),9+(O31-1)*4),VLOOKUP(A26,INDIRECT($F$8),9+(O31-1)*4)))</f>
        <v>76/150</v>
      </c>
      <c r="L31" s="208"/>
      <c r="M31" s="40" t="str">
        <f ca="1">IF(ISERROR(F26),"",VLOOKUP(B26,INDIRECT($F$8),10+(O31-1)*4,0))</f>
        <v>P</v>
      </c>
      <c r="N31" s="41">
        <f t="shared" ref="N31:N39" ca="1" si="7">INDEX($W$2:$W$12,MATCH(M31,$V$2:$V$12,0))</f>
        <v>5</v>
      </c>
      <c r="O31">
        <v>1</v>
      </c>
      <c r="P31" s="42">
        <f ca="1">IFERROR(VALUE(IFERROR(LEFT(G31,SEARCH("/",G31)-1),0)),"")</f>
        <v>40</v>
      </c>
      <c r="Q31" s="42">
        <f ca="1">IFERROR(VALUE(IFERROR(LEFT(I31,SEARCH("/",I31)-1),0)),"")</f>
        <v>36</v>
      </c>
      <c r="R31" s="42">
        <f ca="1">IFERROR(VALUE(IFERROR(LEFT(K31,SEARCH("/",K31)-1),0)),"")</f>
        <v>76</v>
      </c>
      <c r="S31" s="42">
        <f ca="1">VALUE(IFERROR(RIGHT(G31,LEN(G31)-SEARCH("/",G31)),0))</f>
        <v>100</v>
      </c>
      <c r="T31" s="42">
        <f ca="1">VALUE(IFERROR(RIGHT(I31,LEN(I31)-SEARCH("/",I31)),0))</f>
        <v>50</v>
      </c>
      <c r="U31" s="42">
        <f ca="1">VALUE(IFERROR(RIGHT(K31,LEN(K31)-SEARCH("/",K31)),0))</f>
        <v>150</v>
      </c>
    </row>
    <row r="32" spans="1:28" ht="12.75" customHeight="1" x14ac:dyDescent="0.15">
      <c r="A32" s="40" t="str">
        <f ca="1">IF(ISERROR(F26),"",VLOOKUP(C26,INDIRECT($F$8),7+(O32-1)*4,0))</f>
        <v>BTT 302</v>
      </c>
      <c r="B32" s="207" t="str">
        <f ca="1">IF(ISERROR(F26),"",VLOOKUP(D26,INDIRECT($F$8),7+(O32-1)*4,0))</f>
        <v>Applied Biochemistry</v>
      </c>
      <c r="C32" s="207"/>
      <c r="D32" s="207"/>
      <c r="E32" s="207"/>
      <c r="F32" s="40">
        <f ca="1">IF(ISERROR(F26),"",VLOOKUP(E26,INDIRECT($F$8),7+(O32-1)*4,0))</f>
        <v>4</v>
      </c>
      <c r="G32" s="208" t="str">
        <f ca="1">IF(ISERROR(F26),"",_xlfn.TEXTJOIN("/",FALSE,VLOOKUP(B26,INDIRECT($F$8),7+(O32-1)*4),VLOOKUP(A26,INDIRECT($F$8),7+(O32-1)*4)))</f>
        <v>71/100</v>
      </c>
      <c r="H32" s="208"/>
      <c r="I32" s="208" t="str">
        <f ca="1">IF(ISERROR(F26),"",_xlfn.TEXTJOIN("/",FALSE,VLOOKUP(B26,INDIRECT($F$8),8+(O32-1)*4),VLOOKUP(A26,INDIRECT($F$8),8+(O32-1)*4)))</f>
        <v>37/50</v>
      </c>
      <c r="J32" s="208"/>
      <c r="K32" s="208" t="str">
        <f ca="1">IF(ISERROR(F26),"",_xlfn.TEXTJOIN("/",FALSE,VLOOKUP(B26,INDIRECT($F$8),9+(O32-1)*4),VLOOKUP(A26,INDIRECT($F$8),9+(O32-1)*4)))</f>
        <v>108/150</v>
      </c>
      <c r="L32" s="208"/>
      <c r="M32" s="40" t="str">
        <f ca="1">IF(ISERROR(F26),"",VLOOKUP(B26,INDIRECT($F$8),10+(O32-1)*4,0))</f>
        <v>B</v>
      </c>
      <c r="N32" s="41">
        <f t="shared" ca="1" si="7"/>
        <v>7</v>
      </c>
      <c r="O32">
        <v>2</v>
      </c>
      <c r="P32" s="42">
        <f ca="1">IFERROR(VALUE(IFERROR(LEFT(G32,SEARCH("/",G32)-1),0)),"")</f>
        <v>71</v>
      </c>
      <c r="Q32" s="42">
        <f t="shared" ref="Q32:Q39" ca="1" si="8">IFERROR(VALUE(IFERROR(LEFT(I32,SEARCH("/",I32)-1),0)),"")</f>
        <v>37</v>
      </c>
      <c r="R32" s="42">
        <f t="shared" ref="R32:R39" ca="1" si="9">IFERROR(VALUE(IFERROR(LEFT(K32,SEARCH("/",K32)-1),0)),"")</f>
        <v>108</v>
      </c>
      <c r="S32" s="42">
        <f t="shared" ref="S32:S39" ca="1" si="10">VALUE(IFERROR(RIGHT(G32,LEN(G32)-SEARCH("/",G32)),0))</f>
        <v>100</v>
      </c>
      <c r="T32" s="42">
        <f t="shared" ref="T32:T39" ca="1" si="11">VALUE(IFERROR(RIGHT(I32,LEN(I32)-SEARCH("/",I32)),0))</f>
        <v>50</v>
      </c>
      <c r="U32" s="42">
        <f t="shared" ref="U32:U39" ca="1" si="12">VALUE(IFERROR(RIGHT(K32,LEN(K32)-SEARCH("/",K32)),0))</f>
        <v>150</v>
      </c>
    </row>
    <row r="33" spans="1:28" ht="12.75" customHeight="1" x14ac:dyDescent="0.15">
      <c r="A33" s="40" t="str">
        <f ca="1">IF(ISERROR(F26),"",VLOOKUP(C26,INDIRECT($F$8),7+(O33-1)*4,0))</f>
        <v>BTT 303</v>
      </c>
      <c r="B33" s="207" t="str">
        <f ca="1">IF(ISERROR(F26),"",VLOOKUP(D26,INDIRECT($F$8),7+(O33-1)*4,0))</f>
        <v>Microbial Biotechnology</v>
      </c>
      <c r="C33" s="207"/>
      <c r="D33" s="207"/>
      <c r="E33" s="207"/>
      <c r="F33" s="40">
        <f ca="1">IF(ISERROR(F26),"",VLOOKUP(E26,INDIRECT($F$8),7+(O33-1)*4,0))</f>
        <v>4</v>
      </c>
      <c r="G33" s="208" t="str">
        <f ca="1">IF(ISERROR(F26),"",_xlfn.TEXTJOIN("/",FALSE,VLOOKUP(B26,INDIRECT($F$8),7+(O33-1)*4),VLOOKUP(A26,INDIRECT($F$8),7+(O33-1)*4)))</f>
        <v>43/100</v>
      </c>
      <c r="H33" s="208"/>
      <c r="I33" s="208" t="str">
        <f ca="1">IF(ISERROR(F26),"",_xlfn.TEXTJOIN("/",FALSE,VLOOKUP(B26,INDIRECT($F$8),8+(O33-1)*4),VLOOKUP(A26,INDIRECT($F$8),8+(O33-1)*4)))</f>
        <v>32/50</v>
      </c>
      <c r="J33" s="208"/>
      <c r="K33" s="208" t="str">
        <f ca="1">IF(ISERROR(F26),"",_xlfn.TEXTJOIN("/",FALSE,VLOOKUP(B26,INDIRECT($F$8),9+(O33-1)*4),VLOOKUP(A26,INDIRECT($F$8),9+(O33-1)*4)))</f>
        <v>75/150</v>
      </c>
      <c r="L33" s="208"/>
      <c r="M33" s="40" t="str">
        <f ca="1">IF(ISERROR(F26),"",VLOOKUP(B26,INDIRECT($F$8),10+(O33-1)*4,0))</f>
        <v>P</v>
      </c>
      <c r="N33" s="41">
        <f t="shared" ca="1" si="7"/>
        <v>5</v>
      </c>
      <c r="O33">
        <v>3</v>
      </c>
      <c r="P33" s="42">
        <f t="shared" ref="P33:P39" ca="1" si="13">IFERROR(VALUE(IFERROR(LEFT(G33,SEARCH("/",G33)-1),0)),"")</f>
        <v>43</v>
      </c>
      <c r="Q33" s="42">
        <f t="shared" ca="1" si="8"/>
        <v>32</v>
      </c>
      <c r="R33" s="42">
        <f t="shared" ca="1" si="9"/>
        <v>75</v>
      </c>
      <c r="S33" s="42">
        <f t="shared" ca="1" si="10"/>
        <v>100</v>
      </c>
      <c r="T33" s="42">
        <f t="shared" ca="1" si="11"/>
        <v>50</v>
      </c>
      <c r="U33" s="42">
        <f t="shared" ca="1" si="12"/>
        <v>150</v>
      </c>
    </row>
    <row r="34" spans="1:28" ht="12.75" customHeight="1" x14ac:dyDescent="0.15">
      <c r="A34" s="40" t="str">
        <f ca="1">IF(ISERROR(F26),"",VLOOKUP(C26,INDIRECT($F$8),7+(O34-1)*4,0))</f>
        <v>BTT 306</v>
      </c>
      <c r="B34" s="207" t="str">
        <f ca="1">IF(ISERROR(F26),"",VLOOKUP(D26,INDIRECT($F$8),7+(O34-1)*4,0))</f>
        <v>Bioprocess Engineering</v>
      </c>
      <c r="C34" s="207"/>
      <c r="D34" s="207"/>
      <c r="E34" s="207"/>
      <c r="F34" s="40">
        <f ca="1">IF(ISERROR(F26),"",VLOOKUP(E26,INDIRECT($F$8),7+(O34-1)*4,0))</f>
        <v>3</v>
      </c>
      <c r="G34" s="208" t="str">
        <f ca="1">IF(ISERROR(F26),"",_xlfn.TEXTJOIN("/",FALSE,VLOOKUP(B26,INDIRECT($F$8),7+(O34-1)*4),VLOOKUP(A26,INDIRECT($F$8),7+(O34-1)*4)))</f>
        <v>46/100</v>
      </c>
      <c r="H34" s="208"/>
      <c r="I34" s="208" t="str">
        <f ca="1">IF(ISERROR(F26),"",_xlfn.TEXTJOIN("/",FALSE,VLOOKUP(B26,INDIRECT($F$8),8+(O34-1)*4),VLOOKUP(A26,INDIRECT($F$8),8+(O34-1)*4)))</f>
        <v>36/50</v>
      </c>
      <c r="J34" s="208"/>
      <c r="K34" s="208" t="str">
        <f ca="1">IF(ISERROR(F26),"",_xlfn.TEXTJOIN("/",FALSE,VLOOKUP(B26,INDIRECT($F$8),9+(O34-1)*4),VLOOKUP(A26,INDIRECT($F$8),9+(O34-1)*4)))</f>
        <v>82/150</v>
      </c>
      <c r="L34" s="208"/>
      <c r="M34" s="40" t="str">
        <f ca="1">IF(ISERROR(F26),"",VLOOKUP(B26,INDIRECT($F$8),10+(O34-1)*4,0))</f>
        <v>P</v>
      </c>
      <c r="N34" s="41">
        <f t="shared" ca="1" si="7"/>
        <v>5</v>
      </c>
      <c r="O34">
        <v>4</v>
      </c>
      <c r="P34" s="42">
        <f t="shared" ca="1" si="13"/>
        <v>46</v>
      </c>
      <c r="Q34" s="42">
        <f t="shared" ca="1" si="8"/>
        <v>36</v>
      </c>
      <c r="R34" s="42">
        <f t="shared" ca="1" si="9"/>
        <v>82</v>
      </c>
      <c r="S34" s="42">
        <f t="shared" ca="1" si="10"/>
        <v>100</v>
      </c>
      <c r="T34" s="42">
        <f t="shared" ca="1" si="11"/>
        <v>50</v>
      </c>
      <c r="U34" s="42">
        <f t="shared" ca="1" si="12"/>
        <v>150</v>
      </c>
    </row>
    <row r="35" spans="1:28" ht="12.75" customHeight="1" x14ac:dyDescent="0.15">
      <c r="A35" s="40" t="str">
        <f ca="1">IF(ISERROR(F26),"",VLOOKUP(C26,INDIRECT($F$8),7+(O35-1)*4,0))</f>
        <v>BTT 311</v>
      </c>
      <c r="B35" s="207" t="str">
        <f ca="1">IF(ISERROR(F26),"",VLOOKUP(D26,INDIRECT($F$8),7+(O35-1)*4,0))</f>
        <v>Herbal Biotechnology</v>
      </c>
      <c r="C35" s="207"/>
      <c r="D35" s="207"/>
      <c r="E35" s="207"/>
      <c r="F35" s="40">
        <f ca="1">IF(ISERROR(F26),"",VLOOKUP(E26,INDIRECT($F$8),7+(O35-1)*4,0))</f>
        <v>3</v>
      </c>
      <c r="G35" s="208" t="str">
        <f ca="1">IF(ISERROR(F26),"",_xlfn.TEXTJOIN("/",FALSE,VLOOKUP(B26,INDIRECT($F$8),7+(O35-1)*4),VLOOKUP(A26,INDIRECT($F$8),7+(O35-1)*4)))</f>
        <v>77/100</v>
      </c>
      <c r="H35" s="208"/>
      <c r="I35" s="208" t="str">
        <f ca="1">IF(ISERROR(F26),"",_xlfn.TEXTJOIN("/",FALSE,VLOOKUP(B26,INDIRECT($F$8),8+(O35-1)*4),VLOOKUP(A26,INDIRECT($F$8),8+(O35-1)*4)))</f>
        <v>42/50</v>
      </c>
      <c r="J35" s="208"/>
      <c r="K35" s="208" t="str">
        <f ca="1">IF(ISERROR(F26),"",_xlfn.TEXTJOIN("/",FALSE,VLOOKUP(B26,INDIRECT($F$8),9+(O35-1)*4),VLOOKUP(A26,INDIRECT($F$8),9+(O35-1)*4)))</f>
        <v>119/150</v>
      </c>
      <c r="L35" s="208"/>
      <c r="M35" s="40" t="str">
        <f ca="1">IF(ISERROR(F26),"",VLOOKUP(B26,INDIRECT($F$8),10+(O35-1)*4,0))</f>
        <v>B</v>
      </c>
      <c r="N35" s="41">
        <f t="shared" ca="1" si="7"/>
        <v>7</v>
      </c>
      <c r="O35">
        <v>5</v>
      </c>
      <c r="P35" s="42">
        <f t="shared" ca="1" si="13"/>
        <v>77</v>
      </c>
      <c r="Q35" s="42">
        <f t="shared" ca="1" si="8"/>
        <v>42</v>
      </c>
      <c r="R35" s="42">
        <f t="shared" ca="1" si="9"/>
        <v>119</v>
      </c>
      <c r="S35" s="42">
        <f t="shared" ca="1" si="10"/>
        <v>100</v>
      </c>
      <c r="T35" s="42">
        <f t="shared" ca="1" si="11"/>
        <v>50</v>
      </c>
      <c r="U35" s="42">
        <f t="shared" ca="1" si="12"/>
        <v>150</v>
      </c>
    </row>
    <row r="36" spans="1:28" ht="12.75" customHeight="1" x14ac:dyDescent="0.15">
      <c r="A36" s="40" t="str">
        <f ca="1">IF(ISERROR(F26),"",VLOOKUP(C26,INDIRECT($F$8),7+(O36-1)*4,0))</f>
        <v>AHT 302</v>
      </c>
      <c r="B36" s="207" t="str">
        <f ca="1">IF(ISERROR(F26),"",VLOOKUP(D26,INDIRECT($F$8),7+(O36-1)*4,0))</f>
        <v>Research Methodology and IPR</v>
      </c>
      <c r="C36" s="207"/>
      <c r="D36" s="207"/>
      <c r="E36" s="207"/>
      <c r="F36" s="40">
        <f ca="1">IF(ISERROR(F26),"",VLOOKUP(E26,INDIRECT($F$8),7+(O36-1)*4,0))</f>
        <v>2</v>
      </c>
      <c r="G36" s="208" t="str">
        <f ca="1">IF(ISERROR(F26),"",_xlfn.TEXTJOIN("/",FALSE,VLOOKUP(B26,INDIRECT($F$8),7+(O36-1)*4),VLOOKUP(A26,INDIRECT($F$8),7+(O36-1)*4)))</f>
        <v>39/50</v>
      </c>
      <c r="H36" s="208"/>
      <c r="I36" s="208" t="str">
        <f ca="1">IF(ISERROR(F26),"",_xlfn.TEXTJOIN("/",FALSE,VLOOKUP(B26,INDIRECT($F$8),8+(O36-1)*4),VLOOKUP(A26,INDIRECT($F$8),8+(O36-1)*4)))</f>
        <v>45/50</v>
      </c>
      <c r="J36" s="208"/>
      <c r="K36" s="208" t="str">
        <f ca="1">IF(ISERROR(F26),"",_xlfn.TEXTJOIN("/",FALSE,VLOOKUP(B26,INDIRECT($F$8),9+(O36-1)*4),VLOOKUP(A26,INDIRECT($F$8),9+(O36-1)*4)))</f>
        <v>84/100</v>
      </c>
      <c r="L36" s="208"/>
      <c r="M36" s="40" t="str">
        <f ca="1">IF(ISERROR(F26),"",VLOOKUP(B26,INDIRECT($F$8),10+(O36-1)*4,0))</f>
        <v>A</v>
      </c>
      <c r="N36" s="41">
        <f t="shared" ca="1" si="7"/>
        <v>8</v>
      </c>
      <c r="O36">
        <v>6</v>
      </c>
      <c r="P36" s="42">
        <f t="shared" ca="1" si="13"/>
        <v>39</v>
      </c>
      <c r="Q36" s="42">
        <f t="shared" ca="1" si="8"/>
        <v>45</v>
      </c>
      <c r="R36" s="42">
        <f t="shared" ca="1" si="9"/>
        <v>84</v>
      </c>
      <c r="S36" s="42">
        <f t="shared" ca="1" si="10"/>
        <v>50</v>
      </c>
      <c r="T36" s="42">
        <f t="shared" ca="1" si="11"/>
        <v>50</v>
      </c>
      <c r="U36" s="42">
        <f t="shared" ca="1" si="12"/>
        <v>100</v>
      </c>
    </row>
    <row r="37" spans="1:28" ht="12.75" customHeight="1" x14ac:dyDescent="0.15">
      <c r="A37" s="40" t="str">
        <f ca="1">VLOOKUP(C26,INDIRECT($F$8),7+(O37-1)*4,0)</f>
        <v>AHT 304</v>
      </c>
      <c r="B37" s="207" t="str">
        <f ca="1">VLOOKUP(D26,INDIRECT($F$8),7+(O37-1)*4,0)</f>
        <v xml:space="preserve">English for Research Writing ($) </v>
      </c>
      <c r="C37" s="207"/>
      <c r="D37" s="207"/>
      <c r="E37" s="207"/>
      <c r="F37" s="40">
        <f ca="1">VLOOKUP(E26,INDIRECT($F$8),7+(O37-1)*4,0)</f>
        <v>0</v>
      </c>
      <c r="G37" s="208" t="str">
        <f ca="1">_xlfn.TEXTJOIN("/",FALSE,VLOOKUP(B26,INDIRECT($F$8),7+(O37-1)*4),VLOOKUP(A26,INDIRECT($F$8),7+(O37-1)*4))</f>
        <v>63/100</v>
      </c>
      <c r="H37" s="208"/>
      <c r="I37" s="208" t="str">
        <f ca="1">_xlfn.TEXTJOIN("/",FALSE,VLOOKUP(B26,INDIRECT($F$8),8+(O37-1)*4)-Z37,VLOOKUP(A26,INDIRECT($F$8),8+(O37-1)*4-Z37))</f>
        <v>39/50</v>
      </c>
      <c r="J37" s="208"/>
      <c r="K37" s="208" t="str">
        <f ca="1">_xlfn.TEXTJOIN("/",FALSE,VLOOKUP(B26,INDIRECT($F$8),9+(O37-1)*4),VLOOKUP(A26,INDIRECT($F$8),9+(O37-1)*4))</f>
        <v>102/150</v>
      </c>
      <c r="L37" s="208"/>
      <c r="M37" s="40" t="str">
        <f ca="1">VLOOKUP(B26,INDIRECT($F$8),10+(O37-1)*4,0)</f>
        <v>C</v>
      </c>
      <c r="N37" s="41">
        <f t="shared" ca="1" si="7"/>
        <v>6</v>
      </c>
      <c r="O37">
        <v>7</v>
      </c>
      <c r="P37" s="42">
        <f t="shared" ca="1" si="13"/>
        <v>63</v>
      </c>
      <c r="Q37" s="42">
        <f t="shared" ca="1" si="8"/>
        <v>39</v>
      </c>
      <c r="R37" s="42">
        <f t="shared" ca="1" si="9"/>
        <v>102</v>
      </c>
      <c r="S37" s="42">
        <f t="shared" ca="1" si="10"/>
        <v>100</v>
      </c>
      <c r="T37" s="42">
        <f t="shared" ca="1" si="11"/>
        <v>50</v>
      </c>
      <c r="U37" s="42">
        <f t="shared" ca="1" si="12"/>
        <v>150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</row>
    <row r="38" spans="1:28" ht="12.75" customHeight="1" x14ac:dyDescent="0.15">
      <c r="A38" s="40" t="str">
        <f ca="1">VLOOKUP(C26,INDIRECT($F$8),7+(O38-1)*4,0)</f>
        <v>BTP 301</v>
      </c>
      <c r="B38" s="207" t="str">
        <f ca="1">VLOOKUP(D26,INDIRECT($F$8),7+(O38-1)*4,0)</f>
        <v>Biochemistry and Bioanalytical Techniques Lab  ( Lab-I)</v>
      </c>
      <c r="C38" s="207"/>
      <c r="D38" s="207"/>
      <c r="E38" s="207"/>
      <c r="F38" s="40">
        <f ca="1">VLOOKUP(E26,INDIRECT($F$8),7+(O38-1)*4,0)</f>
        <v>1</v>
      </c>
      <c r="G38" s="208" t="str">
        <f ca="1">_xlfn.TEXTJOIN("/",FALSE,VLOOKUP(B26,INDIRECT($F$8),7+(O38-1)*4),VLOOKUP(A26,INDIRECT($F$8),7+(O38-1)*4))</f>
        <v>23/25</v>
      </c>
      <c r="H38" s="208"/>
      <c r="I38" s="208" t="str">
        <f ca="1">_xlfn.TEXTJOIN("/",FALSE,VLOOKUP(B26,INDIRECT($F$8),8+(O38-1)*4),VLOOKUP(A26,INDIRECT($F$8),8+(O38-1)*4))</f>
        <v>21/25</v>
      </c>
      <c r="J38" s="208"/>
      <c r="K38" s="208" t="str">
        <f ca="1">_xlfn.TEXTJOIN("/",FALSE,VLOOKUP(B26,INDIRECT($F$8),9+(O38-1)*4),VLOOKUP(A26,INDIRECT($F$8),9+(O38-1)*4))</f>
        <v>44/50</v>
      </c>
      <c r="L38" s="208"/>
      <c r="M38" s="40" t="str">
        <f ca="1">VLOOKUP(B26,INDIRECT($F$8),10+(O38-1)*4,0)</f>
        <v>A+</v>
      </c>
      <c r="N38" s="41">
        <f t="shared" ca="1" si="7"/>
        <v>9</v>
      </c>
      <c r="O38">
        <v>8</v>
      </c>
      <c r="P38" s="42">
        <f t="shared" ca="1" si="13"/>
        <v>23</v>
      </c>
      <c r="Q38" s="42">
        <f t="shared" ca="1" si="8"/>
        <v>21</v>
      </c>
      <c r="R38" s="42">
        <f t="shared" ca="1" si="9"/>
        <v>44</v>
      </c>
      <c r="S38" s="42">
        <f t="shared" ca="1" si="10"/>
        <v>25</v>
      </c>
      <c r="T38" s="42">
        <f t="shared" ca="1" si="11"/>
        <v>25</v>
      </c>
      <c r="U38" s="42">
        <f t="shared" ca="1" si="12"/>
        <v>50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1:28" ht="12.75" customHeight="1" x14ac:dyDescent="0.15">
      <c r="A39" s="40" t="str">
        <f ca="1">VLOOKUP(C26,INDIRECT($F$8),7+(O39-1)*4,0)</f>
        <v>BTP 302</v>
      </c>
      <c r="B39" s="207" t="str">
        <f ca="1">VLOOKUP(D26,INDIRECT($F$8),7+(O39-1)*4,0)</f>
        <v>Microbial Biotechnology/    Bioprocess Engg. Lab   (Lab-II )</v>
      </c>
      <c r="C39" s="207"/>
      <c r="D39" s="207"/>
      <c r="E39" s="207"/>
      <c r="F39" s="40">
        <f ca="1">VLOOKUP(E26,INDIRECT($F$8),7+(O39-1)*4,0)</f>
        <v>1</v>
      </c>
      <c r="G39" s="208" t="str">
        <f ca="1">_xlfn.TEXTJOIN("/",FALSE,VLOOKUP(B26,INDIRECT($F$8),7+(O39-1)*4),VLOOKUP(A26,INDIRECT($F$8),7+(O39-1)*4))</f>
        <v>19/25</v>
      </c>
      <c r="H39" s="208"/>
      <c r="I39" s="208" t="str">
        <f ca="1">_xlfn.TEXTJOIN("/",FALSE,VLOOKUP(B26,INDIRECT($F$8),8+(O39-1)*4,0),VLOOKUP(A26,INDIRECT($F$8),8+(O39-1)*4,0))</f>
        <v>16/25</v>
      </c>
      <c r="J39" s="208"/>
      <c r="K39" s="208" t="str">
        <f ca="1">_xlfn.TEXTJOIN("/",FALSE,VLOOKUP(B26,INDIRECT($F$8),9+(O39-1)*4,0),VLOOKUP(A26,INDIRECT($F$8),9+(O39-1)*4,0))</f>
        <v>35/50</v>
      </c>
      <c r="L39" s="208"/>
      <c r="M39" s="40" t="str">
        <f ca="1">VLOOKUP(B26,INDIRECT($F$8),10+(O39-1)*4,0)</f>
        <v>B</v>
      </c>
      <c r="N39" s="41">
        <f t="shared" ca="1" si="7"/>
        <v>7</v>
      </c>
      <c r="O39">
        <v>9</v>
      </c>
      <c r="P39" s="42">
        <f t="shared" ca="1" si="13"/>
        <v>19</v>
      </c>
      <c r="Q39" s="42">
        <f t="shared" ca="1" si="8"/>
        <v>16</v>
      </c>
      <c r="R39" s="42">
        <f t="shared" ca="1" si="9"/>
        <v>35</v>
      </c>
      <c r="S39" s="42">
        <f t="shared" ca="1" si="10"/>
        <v>25</v>
      </c>
      <c r="T39" s="42">
        <f t="shared" ca="1" si="11"/>
        <v>25</v>
      </c>
      <c r="U39" s="42">
        <f t="shared" ca="1" si="12"/>
        <v>50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</row>
    <row r="40" spans="1:28" ht="12.75" customHeight="1" x14ac:dyDescent="0.15">
      <c r="A40" s="209" t="str">
        <f ca="1">IF(ISERROR(F26),"",A22)</f>
        <v>Total Credits/ Marks/ Total Grade Points</v>
      </c>
      <c r="B40" s="209"/>
      <c r="C40" s="209"/>
      <c r="D40" s="209"/>
      <c r="E40" s="209"/>
      <c r="F40" s="43">
        <f ca="1">IF(ISERROR(F26),"",SUM(F31:F39))</f>
        <v>22</v>
      </c>
      <c r="G40" s="209" t="str">
        <f ca="1">IF(ISERROR(F26),"",_xlfn.TEXTJOIN("/",TRUE,SUMIF(F31:F39,"&gt;0",P31:P39),SUMIF(F31:F39,"&gt;0",S31:S39)))</f>
        <v>358/600</v>
      </c>
      <c r="H40" s="209"/>
      <c r="I40" s="209" t="str">
        <f ca="1">IF(ISERROR(F26),"",_xlfn.TEXTJOIN("/",TRUE,SUMIF(F31:F39,"&gt;0",Q31:Q39),SUMIF(F31:F39,"&gt;0",T31:T39)))</f>
        <v>265/350</v>
      </c>
      <c r="J40" s="209"/>
      <c r="K40" s="209" t="str">
        <f ca="1">IF(ISERROR(F26),"",IF(ISERROR(F26),"",_xlfn.TEXTJOIN("/",TRUE,SUMIF(F31:F39,"&gt;0",R31:R39),SUMIF(F31:F39,"&gt;0",U31:U39))))</f>
        <v>623/950</v>
      </c>
      <c r="L40" s="209"/>
      <c r="M40" s="210">
        <f ca="1">IF(ISERROR(F26),"",SUMPRODUCT(N31:N39,F31:F39))</f>
        <v>136</v>
      </c>
      <c r="N40" s="210"/>
    </row>
    <row r="41" spans="1:28" ht="12.75" customHeight="1" x14ac:dyDescent="0.15">
      <c r="A41" s="210" t="str">
        <f ca="1">IF(ISERROR(F26),"",A23)</f>
        <v>Result:</v>
      </c>
      <c r="B41" s="206" t="str">
        <f>BT!AU12</f>
        <v>PASS</v>
      </c>
      <c r="C41" s="206"/>
      <c r="D41" s="210" t="str">
        <f ca="1">IF(ISERROR(F26),"",D23)</f>
        <v>Remark:</v>
      </c>
      <c r="E41" s="206" t="str">
        <f>BT!AV12</f>
        <v xml:space="preserve"> </v>
      </c>
      <c r="F41" s="206"/>
      <c r="G41" s="210" t="str">
        <f ca="1">IF(ISERROR(F26),"",G23)</f>
        <v>SGPA:</v>
      </c>
      <c r="H41" s="211">
        <f ca="1">BT!AR12</f>
        <v>6.1818181818181817</v>
      </c>
      <c r="I41" s="210" t="str">
        <f ca="1">IF(ISERROR(F26),"",I23)</f>
        <v>CGPA:</v>
      </c>
      <c r="J41" s="211">
        <f ca="1">BT!AS12</f>
        <v>6.1818181818181817</v>
      </c>
      <c r="K41" s="206" t="str">
        <f ca="1">IF(ISERROR(F26),"",K23)</f>
        <v>Earned Credits:</v>
      </c>
      <c r="L41" s="210">
        <f ca="1">BT!AT12</f>
        <v>22</v>
      </c>
      <c r="M41" s="206" t="str">
        <f ca="1">IF(ISERROR(F26),"",M23)</f>
        <v>Cuml. Earned Credits:</v>
      </c>
      <c r="N41" s="210">
        <f ca="1">BT!AW12</f>
        <v>22</v>
      </c>
      <c r="V41">
        <v>0</v>
      </c>
    </row>
    <row r="42" spans="1:28" ht="12.75" customHeight="1" x14ac:dyDescent="0.15">
      <c r="A42" s="210"/>
      <c r="B42" s="206"/>
      <c r="C42" s="206"/>
      <c r="D42" s="210"/>
      <c r="E42" s="206"/>
      <c r="F42" s="206"/>
      <c r="G42" s="210"/>
      <c r="H42" s="211"/>
      <c r="I42" s="210"/>
      <c r="J42" s="211"/>
      <c r="K42" s="206"/>
      <c r="L42" s="210"/>
      <c r="M42" s="206"/>
      <c r="N42" s="210"/>
    </row>
    <row r="43" spans="1:28" ht="12.75" customHeight="1" x14ac:dyDescent="0.15">
      <c r="A43" s="210"/>
      <c r="B43" s="206"/>
      <c r="C43" s="206"/>
      <c r="D43" s="210"/>
      <c r="E43" s="206"/>
      <c r="F43" s="206"/>
      <c r="G43" s="210"/>
      <c r="H43" s="211"/>
      <c r="I43" s="210"/>
      <c r="J43" s="211"/>
      <c r="K43" s="206"/>
      <c r="L43" s="210"/>
      <c r="M43" s="206"/>
      <c r="N43" s="210"/>
    </row>
    <row r="44" spans="1:28" ht="12.75" customHeight="1" x14ac:dyDescent="0.15">
      <c r="A44" s="38" t="s">
        <v>73</v>
      </c>
      <c r="B44" s="38">
        <f>B26+1</f>
        <v>3</v>
      </c>
      <c r="C44" s="38" t="s">
        <v>71</v>
      </c>
      <c r="D44" s="38" t="s">
        <v>72</v>
      </c>
      <c r="E44" s="38" t="s">
        <v>40</v>
      </c>
      <c r="F44" s="38">
        <f ca="1">VLOOKUP(B44,INDIRECT($F$8),4,0)</f>
        <v>255203</v>
      </c>
      <c r="G44" s="39"/>
      <c r="H44" s="39"/>
      <c r="I44" s="39"/>
      <c r="J44" s="39"/>
      <c r="K44" s="39"/>
      <c r="L44" s="39"/>
      <c r="M44" s="39"/>
      <c r="N44" s="39"/>
    </row>
    <row r="45" spans="1:28" ht="12.75" customHeight="1" x14ac:dyDescent="0.15">
      <c r="A45" s="204" t="str">
        <f ca="1">IF(ISERROR(F44),"",A27)</f>
        <v>Name:</v>
      </c>
      <c r="B45" s="204" t="str">
        <f ca="1">IFERROR(VLOOKUP(B44,INDIRECT($F$8),5,0),"")</f>
        <v>Priyanshu Dobhal</v>
      </c>
      <c r="C45" s="204"/>
      <c r="D45" s="204" t="str">
        <f ca="1">IF(ISERROR(F44),"",D27)</f>
        <v>Father's Name:</v>
      </c>
      <c r="E45" s="204" t="str">
        <f ca="1">IFERROR(VLOOKUP(B44,INDIRECT($F$8),6,0),"")</f>
        <v>Jaiprakash Dobhal</v>
      </c>
      <c r="F45" s="204"/>
      <c r="G45" s="204" t="str">
        <f ca="1">IF(ISERROR(F44),"",G27)</f>
        <v>University Roll No:</v>
      </c>
      <c r="H45" s="204"/>
      <c r="I45" s="205">
        <f ca="1">IFERROR(VLOOKUP(B44,INDIRECT($F$8),2,0),"")</f>
        <v>250090703003</v>
      </c>
      <c r="J45" s="205"/>
      <c r="K45" s="204" t="str">
        <f ca="1">IF(ISERROR(F44),"",K27)</f>
        <v>University Enrol. No:</v>
      </c>
      <c r="L45" s="204"/>
      <c r="M45" s="205" t="str">
        <f ca="1">IFERROR(IF(VLOOKUP(B44,INDIRECT($F$8),3,0)=0,"",VLOOKUP(B44,INDIRECT($F$8),3,0)),"")</f>
        <v>UTU/2507100026</v>
      </c>
      <c r="N45" s="205"/>
    </row>
    <row r="46" spans="1:28" ht="12.75" customHeight="1" x14ac:dyDescent="0.15">
      <c r="A46" s="204"/>
      <c r="B46" s="204"/>
      <c r="C46" s="204"/>
      <c r="D46" s="204"/>
      <c r="E46" s="204"/>
      <c r="F46" s="204"/>
      <c r="G46" s="204"/>
      <c r="H46" s="204"/>
      <c r="I46" s="205"/>
      <c r="J46" s="205"/>
      <c r="K46" s="204"/>
      <c r="L46" s="204"/>
      <c r="M46" s="205"/>
      <c r="N46" s="205"/>
    </row>
    <row r="47" spans="1:28" ht="12.75" customHeight="1" x14ac:dyDescent="0.15">
      <c r="A47" s="206" t="str">
        <f ca="1">IF(ISERROR(F44),"",A29)</f>
        <v>Subject Code</v>
      </c>
      <c r="B47" s="206" t="str">
        <f ca="1">IF(ISERROR(F44),"",B29)</f>
        <v>Subject Name</v>
      </c>
      <c r="C47" s="206"/>
      <c r="D47" s="206"/>
      <c r="E47" s="206"/>
      <c r="F47" s="206" t="str">
        <f ca="1">IF(ISERROR(F44),"",F29)</f>
        <v>Credits</v>
      </c>
      <c r="G47" s="206" t="str">
        <f ca="1">IF(ISERROR(F44),"",G29)</f>
        <v>External Marks</v>
      </c>
      <c r="H47" s="206"/>
      <c r="I47" s="206" t="str">
        <f ca="1">IF(ISERROR(F44),"",I29)</f>
        <v>Sessional Marks</v>
      </c>
      <c r="J47" s="206"/>
      <c r="K47" s="206" t="str">
        <f ca="1">IF(ISERROR(F44),"",K29)</f>
        <v>Total Marks</v>
      </c>
      <c r="L47" s="206"/>
      <c r="M47" s="206" t="str">
        <f ca="1">IF(ISERROR(F44),"",M29)</f>
        <v>Grade</v>
      </c>
      <c r="N47" s="206" t="str">
        <f ca="1">IF(ISERROR(F44),"",N29)</f>
        <v>Grade Points</v>
      </c>
    </row>
    <row r="48" spans="1:28" ht="12.75" customHeight="1" x14ac:dyDescent="0.15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</row>
    <row r="49" spans="1:28" ht="12.75" customHeight="1" x14ac:dyDescent="0.15">
      <c r="A49" s="40" t="str">
        <f ca="1">IF(ISERROR(F44),"",VLOOKUP(C44,INDIRECT($F$8),7+(O49-1)*4,0))</f>
        <v>BTT 301</v>
      </c>
      <c r="B49" s="207" t="str">
        <f ca="1">IF(ISERROR(F44),"",VLOOKUP(D44,INDIRECT($F$8),7+(O49-1)*4,0))</f>
        <v>Advanced Biostatistics</v>
      </c>
      <c r="C49" s="207"/>
      <c r="D49" s="207"/>
      <c r="E49" s="207"/>
      <c r="F49" s="40">
        <f ca="1">IF(ISERROR(F44),"",VLOOKUP(E44,INDIRECT($F$8),7+(O49-1)*4,0))</f>
        <v>4</v>
      </c>
      <c r="G49" s="208" t="str">
        <f ca="1">IF(ISERROR(F44),"",_xlfn.TEXTJOIN("/",FALSE,VLOOKUP(B44,INDIRECT($F$8),7+(O49-1)*4),VLOOKUP(A44,INDIRECT($F$8),7+(O49-1)*4)))</f>
        <v>45/100</v>
      </c>
      <c r="H49" s="208"/>
      <c r="I49" s="208" t="str">
        <f ca="1">IF(ISERROR(F44),"",_xlfn.TEXTJOIN("/",FALSE,VLOOKUP(B44,INDIRECT($F$8),8+(O49-1)*4,0),VLOOKUP(A44,INDIRECT($F$8),8+(O49-1)*4,0)))</f>
        <v>38/50</v>
      </c>
      <c r="J49" s="208"/>
      <c r="K49" s="208" t="str">
        <f ca="1">IF(ISERROR(F44),"",_xlfn.TEXTJOIN("/",FALSE,VLOOKUP(B44,INDIRECT($F$8),9+(O49-1)*4),VLOOKUP(A44,INDIRECT($F$8),9+(O49-1)*4)))</f>
        <v>83/150</v>
      </c>
      <c r="L49" s="208"/>
      <c r="M49" s="40" t="str">
        <f ca="1">IF(ISERROR(F44),"",VLOOKUP(B44,INDIRECT($F$8),10+(O49-1)*4,0))</f>
        <v>P</v>
      </c>
      <c r="N49" s="41">
        <f t="shared" ref="N49:N57" ca="1" si="14">INDEX($W$2:$W$12,MATCH(M49,$V$2:$V$12,0))</f>
        <v>5</v>
      </c>
      <c r="O49">
        <v>1</v>
      </c>
      <c r="P49" s="42">
        <f ca="1">IFERROR(VALUE(IFERROR(LEFT(G49,SEARCH("/",G49)-1),0)),"")</f>
        <v>45</v>
      </c>
      <c r="Q49" s="42">
        <f ca="1">IFERROR(VALUE(IFERROR(LEFT(I49,SEARCH("/",I49)-1),0)),"")</f>
        <v>38</v>
      </c>
      <c r="R49" s="42">
        <f ca="1">IFERROR(VALUE(IFERROR(LEFT(K49,SEARCH("/",K49)-1),0)),"")</f>
        <v>83</v>
      </c>
      <c r="S49" s="42">
        <f ca="1">VALUE(IFERROR(RIGHT(G49,LEN(G49)-SEARCH("/",G49)),0))</f>
        <v>100</v>
      </c>
      <c r="T49" s="42">
        <f ca="1">VALUE(IFERROR(RIGHT(I49,LEN(I49)-SEARCH("/",I49)),0))</f>
        <v>50</v>
      </c>
      <c r="U49" s="42">
        <f ca="1">VALUE(IFERROR(RIGHT(K49,LEN(K49)-SEARCH("/",K49)),0))</f>
        <v>150</v>
      </c>
    </row>
    <row r="50" spans="1:28" ht="12.75" customHeight="1" x14ac:dyDescent="0.15">
      <c r="A50" s="40" t="str">
        <f ca="1">IF(ISERROR(F44),"",VLOOKUP(C44,INDIRECT($F$8),7+(O50-1)*4,0))</f>
        <v>BTT 302</v>
      </c>
      <c r="B50" s="207" t="str">
        <f ca="1">IF(ISERROR(F44),"",VLOOKUP(D44,INDIRECT($F$8),7+(O50-1)*4,0))</f>
        <v>Applied Biochemistry</v>
      </c>
      <c r="C50" s="207"/>
      <c r="D50" s="207"/>
      <c r="E50" s="207"/>
      <c r="F50" s="40">
        <f ca="1">IF(ISERROR(F44),"",VLOOKUP(E44,INDIRECT($F$8),7+(O50-1)*4,0))</f>
        <v>4</v>
      </c>
      <c r="G50" s="208" t="str">
        <f ca="1">IF(ISERROR(F44),"",_xlfn.TEXTJOIN("/",FALSE,VLOOKUP(B44,INDIRECT($F$8),7+(O50-1)*4),VLOOKUP(A44,INDIRECT($F$8),7+(O50-1)*4)))</f>
        <v>75/100</v>
      </c>
      <c r="H50" s="208"/>
      <c r="I50" s="208" t="str">
        <f ca="1">IF(ISERROR(F44),"",_xlfn.TEXTJOIN("/",FALSE,VLOOKUP(B44,INDIRECT($F$8),8+(O50-1)*4),VLOOKUP(A44,INDIRECT($F$8),8+(O50-1)*4)))</f>
        <v>40/50</v>
      </c>
      <c r="J50" s="208"/>
      <c r="K50" s="208" t="str">
        <f ca="1">IF(ISERROR(F44),"",_xlfn.TEXTJOIN("/",FALSE,VLOOKUP(B44,INDIRECT($F$8),9+(O50-1)*4),VLOOKUP(A44,INDIRECT($F$8),9+(O50-1)*4)))</f>
        <v>115/150</v>
      </c>
      <c r="L50" s="208"/>
      <c r="M50" s="40" t="str">
        <f ca="1">IF(ISERROR(F44),"",VLOOKUP(B44,INDIRECT($F$8),10+(O50-1)*4,0))</f>
        <v>B</v>
      </c>
      <c r="N50" s="41">
        <f t="shared" ca="1" si="14"/>
        <v>7</v>
      </c>
      <c r="O50">
        <v>2</v>
      </c>
      <c r="P50" s="42">
        <f ca="1">IFERROR(VALUE(IFERROR(LEFT(G50,SEARCH("/",G50)-1),0)),"")</f>
        <v>75</v>
      </c>
      <c r="Q50" s="42">
        <f t="shared" ref="Q50:Q57" ca="1" si="15">IFERROR(VALUE(IFERROR(LEFT(I50,SEARCH("/",I50)-1),0)),"")</f>
        <v>40</v>
      </c>
      <c r="R50" s="42">
        <f t="shared" ref="R50:R57" ca="1" si="16">IFERROR(VALUE(IFERROR(LEFT(K50,SEARCH("/",K50)-1),0)),"")</f>
        <v>115</v>
      </c>
      <c r="S50" s="42">
        <f t="shared" ref="S50:S57" ca="1" si="17">VALUE(IFERROR(RIGHT(G50,LEN(G50)-SEARCH("/",G50)),0))</f>
        <v>100</v>
      </c>
      <c r="T50" s="42">
        <f t="shared" ref="T50:T57" ca="1" si="18">VALUE(IFERROR(RIGHT(I50,LEN(I50)-SEARCH("/",I50)),0))</f>
        <v>50</v>
      </c>
      <c r="U50" s="42">
        <f t="shared" ref="U50:U57" ca="1" si="19">VALUE(IFERROR(RIGHT(K50,LEN(K50)-SEARCH("/",K50)),0))</f>
        <v>150</v>
      </c>
    </row>
    <row r="51" spans="1:28" ht="12.75" customHeight="1" x14ac:dyDescent="0.15">
      <c r="A51" s="40" t="str">
        <f ca="1">IF(ISERROR(F44),"",VLOOKUP(C44,INDIRECT($F$8),7+(O51-1)*4,0))</f>
        <v>BTT 303</v>
      </c>
      <c r="B51" s="207" t="str">
        <f ca="1">IF(ISERROR(F44),"",VLOOKUP(D44,INDIRECT($F$8),7+(O51-1)*4,0))</f>
        <v>Microbial Biotechnology</v>
      </c>
      <c r="C51" s="207"/>
      <c r="D51" s="207"/>
      <c r="E51" s="207"/>
      <c r="F51" s="40">
        <f ca="1">IF(ISERROR(F44),"",VLOOKUP(E44,INDIRECT($F$8),7+(O51-1)*4,0))</f>
        <v>4</v>
      </c>
      <c r="G51" s="208" t="str">
        <f ca="1">IF(ISERROR(F44),"",_xlfn.TEXTJOIN("/",FALSE,VLOOKUP(B44,INDIRECT($F$8),7+(O51-1)*4),VLOOKUP(A44,INDIRECT($F$8),7+(O51-1)*4)))</f>
        <v>69/100</v>
      </c>
      <c r="H51" s="208"/>
      <c r="I51" s="208" t="str">
        <f ca="1">IF(ISERROR(F44),"",_xlfn.TEXTJOIN("/",FALSE,VLOOKUP(B44,INDIRECT($F$8),8+(O51-1)*4),VLOOKUP(A44,INDIRECT($F$8),8+(O51-1)*4)))</f>
        <v>38/50</v>
      </c>
      <c r="J51" s="208"/>
      <c r="K51" s="208" t="str">
        <f ca="1">IF(ISERROR(F44),"",_xlfn.TEXTJOIN("/",FALSE,VLOOKUP(B44,INDIRECT($F$8),9+(O51-1)*4),VLOOKUP(A44,INDIRECT($F$8),9+(O51-1)*4)))</f>
        <v>107/150</v>
      </c>
      <c r="L51" s="208"/>
      <c r="M51" s="40" t="str">
        <f ca="1">IF(ISERROR(F44),"",VLOOKUP(B44,INDIRECT($F$8),10+(O51-1)*4,0))</f>
        <v>B</v>
      </c>
      <c r="N51" s="41">
        <f t="shared" ca="1" si="14"/>
        <v>7</v>
      </c>
      <c r="O51">
        <v>3</v>
      </c>
      <c r="P51" s="42">
        <f t="shared" ref="P51:P57" ca="1" si="20">IFERROR(VALUE(IFERROR(LEFT(G51,SEARCH("/",G51)-1),0)),"")</f>
        <v>69</v>
      </c>
      <c r="Q51" s="42">
        <f t="shared" ca="1" si="15"/>
        <v>38</v>
      </c>
      <c r="R51" s="42">
        <f t="shared" ca="1" si="16"/>
        <v>107</v>
      </c>
      <c r="S51" s="42">
        <f t="shared" ca="1" si="17"/>
        <v>100</v>
      </c>
      <c r="T51" s="42">
        <f t="shared" ca="1" si="18"/>
        <v>50</v>
      </c>
      <c r="U51" s="42">
        <f t="shared" ca="1" si="19"/>
        <v>150</v>
      </c>
    </row>
    <row r="52" spans="1:28" ht="12.75" customHeight="1" x14ac:dyDescent="0.15">
      <c r="A52" s="40" t="str">
        <f ca="1">IF(ISERROR(F44),"",VLOOKUP(C44,INDIRECT($F$8),7+(O52-1)*4,0))</f>
        <v>BTT 306</v>
      </c>
      <c r="B52" s="207" t="str">
        <f ca="1">IF(ISERROR(F44),"",VLOOKUP(D44,INDIRECT($F$8),7+(O52-1)*4,0))</f>
        <v>Bioprocess Engineering</v>
      </c>
      <c r="C52" s="207"/>
      <c r="D52" s="207"/>
      <c r="E52" s="207"/>
      <c r="F52" s="40">
        <f ca="1">IF(ISERROR(F44),"",VLOOKUP(E44,INDIRECT($F$8),7+(O52-1)*4,0))</f>
        <v>3</v>
      </c>
      <c r="G52" s="208" t="str">
        <f ca="1">IF(ISERROR(F44),"",_xlfn.TEXTJOIN("/",FALSE,VLOOKUP(B44,INDIRECT($F$8),7+(O52-1)*4),VLOOKUP(A44,INDIRECT($F$8),7+(O52-1)*4)))</f>
        <v>76/100</v>
      </c>
      <c r="H52" s="208"/>
      <c r="I52" s="208" t="str">
        <f ca="1">IF(ISERROR(F44),"",_xlfn.TEXTJOIN("/",FALSE,VLOOKUP(B44,INDIRECT($F$8),8+(O52-1)*4),VLOOKUP(A44,INDIRECT($F$8),8+(O52-1)*4)))</f>
        <v>36/50</v>
      </c>
      <c r="J52" s="208"/>
      <c r="K52" s="208" t="str">
        <f ca="1">IF(ISERROR(F44),"",_xlfn.TEXTJOIN("/",FALSE,VLOOKUP(B44,INDIRECT($F$8),9+(O52-1)*4),VLOOKUP(A44,INDIRECT($F$8),9+(O52-1)*4)))</f>
        <v>112/150</v>
      </c>
      <c r="L52" s="208"/>
      <c r="M52" s="40" t="str">
        <f ca="1">IF(ISERROR(F44),"",VLOOKUP(B44,INDIRECT($F$8),10+(O52-1)*4,0))</f>
        <v>B</v>
      </c>
      <c r="N52" s="41">
        <f t="shared" ca="1" si="14"/>
        <v>7</v>
      </c>
      <c r="O52">
        <v>4</v>
      </c>
      <c r="P52" s="42">
        <f t="shared" ca="1" si="20"/>
        <v>76</v>
      </c>
      <c r="Q52" s="42">
        <f t="shared" ca="1" si="15"/>
        <v>36</v>
      </c>
      <c r="R52" s="42">
        <f t="shared" ca="1" si="16"/>
        <v>112</v>
      </c>
      <c r="S52" s="42">
        <f t="shared" ca="1" si="17"/>
        <v>100</v>
      </c>
      <c r="T52" s="42">
        <f t="shared" ca="1" si="18"/>
        <v>50</v>
      </c>
      <c r="U52" s="42">
        <f t="shared" ca="1" si="19"/>
        <v>150</v>
      </c>
    </row>
    <row r="53" spans="1:28" ht="12.75" customHeight="1" x14ac:dyDescent="0.15">
      <c r="A53" s="40" t="str">
        <f ca="1">IF(ISERROR(F44),"",VLOOKUP(C44,INDIRECT($F$8),7+(O53-1)*4,0))</f>
        <v>BTT 311</v>
      </c>
      <c r="B53" s="207" t="str">
        <f ca="1">IF(ISERROR(F44),"",VLOOKUP(D44,INDIRECT($F$8),7+(O53-1)*4,0))</f>
        <v>Herbal Biotechnology</v>
      </c>
      <c r="C53" s="207"/>
      <c r="D53" s="207"/>
      <c r="E53" s="207"/>
      <c r="F53" s="40">
        <f ca="1">IF(ISERROR(F44),"",VLOOKUP(E44,INDIRECT($F$8),7+(O53-1)*4,0))</f>
        <v>3</v>
      </c>
      <c r="G53" s="208" t="str">
        <f ca="1">IF(ISERROR(F44),"",_xlfn.TEXTJOIN("/",FALSE,VLOOKUP(B44,INDIRECT($F$8),7+(O53-1)*4),VLOOKUP(A44,INDIRECT($F$8),7+(O53-1)*4)))</f>
        <v>80/100</v>
      </c>
      <c r="H53" s="208"/>
      <c r="I53" s="208" t="str">
        <f ca="1">IF(ISERROR(F44),"",_xlfn.TEXTJOIN("/",FALSE,VLOOKUP(B44,INDIRECT($F$8),8+(O53-1)*4),VLOOKUP(A44,INDIRECT($F$8),8+(O53-1)*4)))</f>
        <v>40/50</v>
      </c>
      <c r="J53" s="208"/>
      <c r="K53" s="208" t="str">
        <f ca="1">IF(ISERROR(F44),"",_xlfn.TEXTJOIN("/",FALSE,VLOOKUP(B44,INDIRECT($F$8),9+(O53-1)*4),VLOOKUP(A44,INDIRECT($F$8),9+(O53-1)*4)))</f>
        <v>120/150</v>
      </c>
      <c r="L53" s="208"/>
      <c r="M53" s="40" t="str">
        <f ca="1">IF(ISERROR(F44),"",VLOOKUP(B44,INDIRECT($F$8),10+(O53-1)*4,0))</f>
        <v>A</v>
      </c>
      <c r="N53" s="41">
        <f t="shared" ca="1" si="14"/>
        <v>8</v>
      </c>
      <c r="O53">
        <v>5</v>
      </c>
      <c r="P53" s="42">
        <f t="shared" ca="1" si="20"/>
        <v>80</v>
      </c>
      <c r="Q53" s="42">
        <f t="shared" ca="1" si="15"/>
        <v>40</v>
      </c>
      <c r="R53" s="42">
        <f t="shared" ca="1" si="16"/>
        <v>120</v>
      </c>
      <c r="S53" s="42">
        <f t="shared" ca="1" si="17"/>
        <v>100</v>
      </c>
      <c r="T53" s="42">
        <f t="shared" ca="1" si="18"/>
        <v>50</v>
      </c>
      <c r="U53" s="42">
        <f t="shared" ca="1" si="19"/>
        <v>150</v>
      </c>
    </row>
    <row r="54" spans="1:28" ht="12.75" customHeight="1" x14ac:dyDescent="0.15">
      <c r="A54" s="40" t="str">
        <f ca="1">IF(ISERROR(F44),"",VLOOKUP(C44,INDIRECT($F$8),7+(O54-1)*4,0))</f>
        <v>AHT 302</v>
      </c>
      <c r="B54" s="207" t="str">
        <f ca="1">IF(ISERROR(F44),"",VLOOKUP(D44,INDIRECT($F$8),7+(O54-1)*4,0))</f>
        <v>Research Methodology and IPR</v>
      </c>
      <c r="C54" s="207"/>
      <c r="D54" s="207"/>
      <c r="E54" s="207"/>
      <c r="F54" s="40">
        <f ca="1">IF(ISERROR(F44),"",VLOOKUP(E44,INDIRECT($F$8),7+(O54-1)*4,0))</f>
        <v>2</v>
      </c>
      <c r="G54" s="208" t="str">
        <f ca="1">IF(ISERROR(F44),"",_xlfn.TEXTJOIN("/",FALSE,VLOOKUP(B44,INDIRECT($F$8),7+(O54-1)*4),VLOOKUP(A44,INDIRECT($F$8),7+(O54-1)*4)))</f>
        <v>47/50</v>
      </c>
      <c r="H54" s="208"/>
      <c r="I54" s="208" t="str">
        <f ca="1">IF(ISERROR(F44),"",_xlfn.TEXTJOIN("/",FALSE,VLOOKUP(B44,INDIRECT($F$8),8+(O54-1)*4),VLOOKUP(A44,INDIRECT($F$8),8+(O54-1)*4)))</f>
        <v>47/50</v>
      </c>
      <c r="J54" s="208"/>
      <c r="K54" s="208" t="str">
        <f ca="1">IF(ISERROR(F44),"",_xlfn.TEXTJOIN("/",FALSE,VLOOKUP(B44,INDIRECT($F$8),9+(O54-1)*4),VLOOKUP(A44,INDIRECT($F$8),9+(O54-1)*4)))</f>
        <v>94/100</v>
      </c>
      <c r="L54" s="208"/>
      <c r="M54" s="40" t="str">
        <f ca="1">IF(ISERROR(F44),"",VLOOKUP(B44,INDIRECT($F$8),10+(O54-1)*4,0))</f>
        <v>O</v>
      </c>
      <c r="N54" s="41">
        <f t="shared" ca="1" si="14"/>
        <v>10</v>
      </c>
      <c r="O54">
        <v>6</v>
      </c>
      <c r="P54" s="42">
        <f t="shared" ca="1" si="20"/>
        <v>47</v>
      </c>
      <c r="Q54" s="42">
        <f t="shared" ca="1" si="15"/>
        <v>47</v>
      </c>
      <c r="R54" s="42">
        <f t="shared" ca="1" si="16"/>
        <v>94</v>
      </c>
      <c r="S54" s="42">
        <f t="shared" ca="1" si="17"/>
        <v>50</v>
      </c>
      <c r="T54" s="42">
        <f t="shared" ca="1" si="18"/>
        <v>50</v>
      </c>
      <c r="U54" s="42">
        <f t="shared" ca="1" si="19"/>
        <v>100</v>
      </c>
    </row>
    <row r="55" spans="1:28" ht="12.75" customHeight="1" x14ac:dyDescent="0.15">
      <c r="A55" s="40" t="str">
        <f ca="1">VLOOKUP(C44,INDIRECT($F$8),7+(O55-1)*4,0)</f>
        <v>AHT 304</v>
      </c>
      <c r="B55" s="207" t="str">
        <f ca="1">VLOOKUP(D44,INDIRECT($F$8),7+(O55-1)*4,0)</f>
        <v xml:space="preserve">English for Research Writing ($) </v>
      </c>
      <c r="C55" s="207"/>
      <c r="D55" s="207"/>
      <c r="E55" s="207"/>
      <c r="F55" s="40">
        <f ca="1">VLOOKUP(E44,INDIRECT($F$8),7+(O55-1)*4,0)</f>
        <v>0</v>
      </c>
      <c r="G55" s="208" t="str">
        <f ca="1">_xlfn.TEXTJOIN("/",FALSE,VLOOKUP(B44,INDIRECT($F$8),7+(O55-1)*4),VLOOKUP(A44,INDIRECT($F$8),7+(O55-1)*4))</f>
        <v>69/100</v>
      </c>
      <c r="H55" s="208"/>
      <c r="I55" s="208" t="str">
        <f ca="1">_xlfn.TEXTJOIN("/",FALSE,VLOOKUP(B44,INDIRECT($F$8),8+(O55-1)*4)-Z55,VLOOKUP(A44,INDIRECT($F$8),8+(O55-1)*4-Z55))</f>
        <v>38/50</v>
      </c>
      <c r="J55" s="208"/>
      <c r="K55" s="208" t="str">
        <f ca="1">_xlfn.TEXTJOIN("/",FALSE,VLOOKUP(B44,INDIRECT($F$8),9+(O55-1)*4),VLOOKUP(A44,INDIRECT($F$8),9+(O55-1)*4))</f>
        <v>107/150</v>
      </c>
      <c r="L55" s="208"/>
      <c r="M55" s="40" t="str">
        <f ca="1">VLOOKUP(B44,INDIRECT($F$8),10+(O55-1)*4,0)</f>
        <v>B</v>
      </c>
      <c r="N55" s="41">
        <f t="shared" ca="1" si="14"/>
        <v>7</v>
      </c>
      <c r="O55">
        <v>7</v>
      </c>
      <c r="P55" s="42">
        <f t="shared" ca="1" si="20"/>
        <v>69</v>
      </c>
      <c r="Q55" s="42">
        <f t="shared" ca="1" si="15"/>
        <v>38</v>
      </c>
      <c r="R55" s="42">
        <f t="shared" ca="1" si="16"/>
        <v>107</v>
      </c>
      <c r="S55" s="42">
        <f t="shared" ca="1" si="17"/>
        <v>100</v>
      </c>
      <c r="T55" s="42">
        <f t="shared" ca="1" si="18"/>
        <v>50</v>
      </c>
      <c r="U55" s="42">
        <f t="shared" ca="1" si="19"/>
        <v>150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</row>
    <row r="56" spans="1:28" ht="12.75" customHeight="1" x14ac:dyDescent="0.15">
      <c r="A56" s="40" t="str">
        <f ca="1">VLOOKUP(C44,INDIRECT($F$8),7+(O56-1)*4,0)</f>
        <v>BTP 301</v>
      </c>
      <c r="B56" s="207" t="str">
        <f ca="1">VLOOKUP(D44,INDIRECT($F$8),7+(O56-1)*4,0)</f>
        <v>Biochemistry and Bioanalytical Techniques Lab  ( Lab-I)</v>
      </c>
      <c r="C56" s="207"/>
      <c r="D56" s="207"/>
      <c r="E56" s="207"/>
      <c r="F56" s="40">
        <f ca="1">VLOOKUP(E44,INDIRECT($F$8),7+(O56-1)*4,0)</f>
        <v>1</v>
      </c>
      <c r="G56" s="208" t="str">
        <f ca="1">_xlfn.TEXTJOIN("/",FALSE,VLOOKUP(B44,INDIRECT($F$8),7+(O56-1)*4),VLOOKUP(A44,INDIRECT($F$8),7+(O56-1)*4))</f>
        <v>20/25</v>
      </c>
      <c r="H56" s="208"/>
      <c r="I56" s="208" t="str">
        <f ca="1">_xlfn.TEXTJOIN("/",FALSE,VLOOKUP(B44,INDIRECT($F$8),8+(O56-1)*4),VLOOKUP(A44,INDIRECT($F$8),8+(O56-1)*4))</f>
        <v>21/25</v>
      </c>
      <c r="J56" s="208"/>
      <c r="K56" s="208" t="str">
        <f ca="1">_xlfn.TEXTJOIN("/",FALSE,VLOOKUP(B44,INDIRECT($F$8),9+(O56-1)*4),VLOOKUP(A44,INDIRECT($F$8),9+(O56-1)*4))</f>
        <v>41/50</v>
      </c>
      <c r="L56" s="208"/>
      <c r="M56" s="40" t="str">
        <f ca="1">VLOOKUP(B44,INDIRECT($F$8),10+(O56-1)*4,0)</f>
        <v>A</v>
      </c>
      <c r="N56" s="41">
        <f t="shared" ca="1" si="14"/>
        <v>8</v>
      </c>
      <c r="O56">
        <v>8</v>
      </c>
      <c r="P56" s="42">
        <f t="shared" ca="1" si="20"/>
        <v>20</v>
      </c>
      <c r="Q56" s="42">
        <f t="shared" ca="1" si="15"/>
        <v>21</v>
      </c>
      <c r="R56" s="42">
        <f t="shared" ca="1" si="16"/>
        <v>41</v>
      </c>
      <c r="S56" s="42">
        <f t="shared" ca="1" si="17"/>
        <v>25</v>
      </c>
      <c r="T56" s="42">
        <f t="shared" ca="1" si="18"/>
        <v>25</v>
      </c>
      <c r="U56" s="42">
        <f t="shared" ca="1" si="19"/>
        <v>50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</row>
    <row r="57" spans="1:28" ht="12.75" customHeight="1" x14ac:dyDescent="0.15">
      <c r="A57" s="40" t="str">
        <f ca="1">VLOOKUP(C44,INDIRECT($F$8),7+(O57-1)*4,0)</f>
        <v>BTP 302</v>
      </c>
      <c r="B57" s="207" t="str">
        <f ca="1">VLOOKUP(D44,INDIRECT($F$8),7+(O57-1)*4,0)</f>
        <v>Microbial Biotechnology/    Bioprocess Engg. Lab   (Lab-II )</v>
      </c>
      <c r="C57" s="207"/>
      <c r="D57" s="207"/>
      <c r="E57" s="207"/>
      <c r="F57" s="40">
        <f ca="1">VLOOKUP(E44,INDIRECT($F$8),7+(O57-1)*4,0)</f>
        <v>1</v>
      </c>
      <c r="G57" s="208" t="str">
        <f ca="1">_xlfn.TEXTJOIN("/",FALSE,VLOOKUP(B44,INDIRECT($F$8),7+(O57-1)*4),VLOOKUP(A44,INDIRECT($F$8),7+(O57-1)*4))</f>
        <v>21/25</v>
      </c>
      <c r="H57" s="208"/>
      <c r="I57" s="208" t="str">
        <f ca="1">_xlfn.TEXTJOIN("/",FALSE,VLOOKUP(B44,INDIRECT($F$8),8+(O57-1)*4,0),VLOOKUP(A44,INDIRECT($F$8),8+(O57-1)*4,0))</f>
        <v>19/25</v>
      </c>
      <c r="J57" s="208"/>
      <c r="K57" s="208" t="str">
        <f ca="1">_xlfn.TEXTJOIN("/",FALSE,VLOOKUP(B44,INDIRECT($F$8),9+(O57-1)*4,0),VLOOKUP(A44,INDIRECT($F$8),9+(O57-1)*4,0))</f>
        <v>40/50</v>
      </c>
      <c r="L57" s="208"/>
      <c r="M57" s="40" t="str">
        <f ca="1">VLOOKUP(B44,INDIRECT($F$8),10+(O57-1)*4,0)</f>
        <v>A</v>
      </c>
      <c r="N57" s="41">
        <f t="shared" ca="1" si="14"/>
        <v>8</v>
      </c>
      <c r="O57">
        <v>9</v>
      </c>
      <c r="P57" s="42">
        <f t="shared" ca="1" si="20"/>
        <v>21</v>
      </c>
      <c r="Q57" s="42">
        <f t="shared" ca="1" si="15"/>
        <v>19</v>
      </c>
      <c r="R57" s="42">
        <f t="shared" ca="1" si="16"/>
        <v>40</v>
      </c>
      <c r="S57" s="42">
        <f t="shared" ca="1" si="17"/>
        <v>25</v>
      </c>
      <c r="T57" s="42">
        <f t="shared" ca="1" si="18"/>
        <v>25</v>
      </c>
      <c r="U57" s="42">
        <f t="shared" ca="1" si="19"/>
        <v>50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</row>
    <row r="58" spans="1:28" ht="12.75" customHeight="1" x14ac:dyDescent="0.15">
      <c r="A58" s="209" t="str">
        <f ca="1">IF(ISERROR(F44),"",A40)</f>
        <v>Total Credits/ Marks/ Total Grade Points</v>
      </c>
      <c r="B58" s="209"/>
      <c r="C58" s="209"/>
      <c r="D58" s="209"/>
      <c r="E58" s="209"/>
      <c r="F58" s="43">
        <f ca="1">IF(ISERROR(F44),"",SUM(F49:F57))</f>
        <v>22</v>
      </c>
      <c r="G58" s="209" t="str">
        <f ca="1">IF(ISERROR(F44),"",_xlfn.TEXTJOIN("/",TRUE,SUMIF(F49:F57,"&gt;0",P49:P57),SUMIF(F49:F57,"&gt;0",S49:S57)))</f>
        <v>433/600</v>
      </c>
      <c r="H58" s="209"/>
      <c r="I58" s="209" t="str">
        <f ca="1">IF(ISERROR(F44),"",_xlfn.TEXTJOIN("/",TRUE,SUMIF(F49:F57,"&gt;0",Q49:Q57),SUMIF(F49:F57,"&gt;0",T49:T57)))</f>
        <v>279/350</v>
      </c>
      <c r="J58" s="209"/>
      <c r="K58" s="209" t="str">
        <f ca="1">IF(ISERROR(F44),"",IF(ISERROR(F44),"",_xlfn.TEXTJOIN("/",TRUE,SUMIF(F49:F57,"&gt;0",R49:R57),SUMIF(F49:F57,"&gt;0",U49:U57))))</f>
        <v>712/950</v>
      </c>
      <c r="L58" s="209"/>
      <c r="M58" s="210">
        <f ca="1">IF(ISERROR(F44),"",SUMPRODUCT(N49:N57,F49:F57))</f>
        <v>157</v>
      </c>
      <c r="N58" s="210"/>
    </row>
    <row r="59" spans="1:28" ht="12.75" customHeight="1" x14ac:dyDescent="0.15">
      <c r="A59" s="210" t="str">
        <f ca="1">IF(ISERROR(F44),"",A41)</f>
        <v>Result:</v>
      </c>
      <c r="B59" s="206" t="str">
        <f>BT!AU13</f>
        <v>PASS</v>
      </c>
      <c r="C59" s="206"/>
      <c r="D59" s="210" t="str">
        <f ca="1">IF(ISERROR(F44),"",D41)</f>
        <v>Remark:</v>
      </c>
      <c r="E59" s="206" t="str">
        <f>BT!AV13</f>
        <v xml:space="preserve"> </v>
      </c>
      <c r="F59" s="206"/>
      <c r="G59" s="210" t="str">
        <f ca="1">IF(ISERROR(F44),"",G41)</f>
        <v>SGPA:</v>
      </c>
      <c r="H59" s="211">
        <f ca="1">BT!AR13</f>
        <v>7.1363636363636367</v>
      </c>
      <c r="I59" s="210" t="str">
        <f ca="1">IF(ISERROR(F44),"",I41)</f>
        <v>CGPA:</v>
      </c>
      <c r="J59" s="211">
        <f ca="1">BT!AS13</f>
        <v>7.1363636363636367</v>
      </c>
      <c r="K59" s="206" t="str">
        <f ca="1">IF(ISERROR(F44),"",K41)</f>
        <v>Earned Credits:</v>
      </c>
      <c r="L59" s="210">
        <f ca="1">BT!AT13</f>
        <v>22</v>
      </c>
      <c r="M59" s="206" t="str">
        <f ca="1">IF(ISERROR(F44),"",M41)</f>
        <v>Cuml. Earned Credits:</v>
      </c>
      <c r="N59" s="210">
        <f ca="1">BT!AW13</f>
        <v>22</v>
      </c>
      <c r="V59">
        <v>0</v>
      </c>
    </row>
    <row r="60" spans="1:28" ht="12.75" customHeight="1" x14ac:dyDescent="0.15">
      <c r="A60" s="210"/>
      <c r="B60" s="206"/>
      <c r="C60" s="206"/>
      <c r="D60" s="210"/>
      <c r="E60" s="206"/>
      <c r="F60" s="206"/>
      <c r="G60" s="210"/>
      <c r="H60" s="211"/>
      <c r="I60" s="210"/>
      <c r="J60" s="211"/>
      <c r="K60" s="206"/>
      <c r="L60" s="210"/>
      <c r="M60" s="206"/>
      <c r="N60" s="210"/>
    </row>
    <row r="61" spans="1:28" ht="12.75" customHeight="1" x14ac:dyDescent="0.15">
      <c r="A61" s="210"/>
      <c r="B61" s="206"/>
      <c r="C61" s="206"/>
      <c r="D61" s="210"/>
      <c r="E61" s="206"/>
      <c r="F61" s="206"/>
      <c r="G61" s="210"/>
      <c r="H61" s="211"/>
      <c r="I61" s="210"/>
      <c r="J61" s="211"/>
      <c r="K61" s="206"/>
      <c r="L61" s="210"/>
      <c r="M61" s="206"/>
      <c r="N61" s="210"/>
    </row>
    <row r="62" spans="1:28" ht="12.75" customHeight="1" x14ac:dyDescent="0.15">
      <c r="A62" s="38" t="s">
        <v>73</v>
      </c>
      <c r="B62" s="38">
        <f>B44+1</f>
        <v>4</v>
      </c>
      <c r="C62" s="38" t="s">
        <v>71</v>
      </c>
      <c r="D62" s="38" t="s">
        <v>72</v>
      </c>
      <c r="E62" s="38" t="s">
        <v>40</v>
      </c>
      <c r="F62" s="38" t="e">
        <f ca="1">VLOOKUP(B62,INDIRECT($F$8),4,0)</f>
        <v>#N/A</v>
      </c>
      <c r="G62" s="39"/>
      <c r="H62" s="39"/>
      <c r="I62" s="39"/>
      <c r="J62" s="39"/>
      <c r="K62" s="39"/>
      <c r="L62" s="39"/>
      <c r="M62" s="39"/>
      <c r="N62" s="39"/>
    </row>
    <row r="63" spans="1:28" ht="12.75" customHeight="1" x14ac:dyDescent="0.15">
      <c r="A63" s="204" t="str">
        <f ca="1">IF(ISERROR(F62),"",A45)</f>
        <v/>
      </c>
      <c r="B63" s="204" t="str">
        <f ca="1">IFERROR(VLOOKUP(B62,INDIRECT($F$8),5,0),"")</f>
        <v/>
      </c>
      <c r="C63" s="204"/>
      <c r="D63" s="204" t="str">
        <f ca="1">IF(ISERROR(F62),"",D45)</f>
        <v/>
      </c>
      <c r="E63" s="204" t="str">
        <f ca="1">IFERROR(VLOOKUP(B62,INDIRECT($F$8),6,0),"")</f>
        <v/>
      </c>
      <c r="F63" s="204"/>
      <c r="G63" s="204" t="str">
        <f ca="1">IF(ISERROR(F62),"",G45)</f>
        <v/>
      </c>
      <c r="H63" s="204"/>
      <c r="I63" s="205" t="str">
        <f ca="1">IFERROR(VLOOKUP(B62,INDIRECT($F$8),2,0),"")</f>
        <v/>
      </c>
      <c r="J63" s="205"/>
      <c r="K63" s="204" t="str">
        <f ca="1">IF(ISERROR(F62),"",K45)</f>
        <v/>
      </c>
      <c r="L63" s="204"/>
      <c r="M63" s="205" t="str">
        <f ca="1">IFERROR(IF(VLOOKUP(B62,INDIRECT($F$8),3,0)=0,"",VLOOKUP(B62,INDIRECT($F$8),3,0)),"")</f>
        <v/>
      </c>
      <c r="N63" s="205"/>
    </row>
    <row r="64" spans="1:28" ht="12.75" customHeight="1" x14ac:dyDescent="0.15">
      <c r="A64" s="204"/>
      <c r="B64" s="204"/>
      <c r="C64" s="204"/>
      <c r="D64" s="204"/>
      <c r="E64" s="204"/>
      <c r="F64" s="204"/>
      <c r="G64" s="204"/>
      <c r="H64" s="204"/>
      <c r="I64" s="205"/>
      <c r="J64" s="205"/>
      <c r="K64" s="204"/>
      <c r="L64" s="204"/>
      <c r="M64" s="205"/>
      <c r="N64" s="205"/>
    </row>
    <row r="65" spans="1:28" ht="12.75" customHeight="1" x14ac:dyDescent="0.15">
      <c r="A65" s="206" t="str">
        <f ca="1">IF(ISERROR(F62),"",A47)</f>
        <v/>
      </c>
      <c r="B65" s="206" t="str">
        <f ca="1">IF(ISERROR(F62),"",B47)</f>
        <v/>
      </c>
      <c r="C65" s="206"/>
      <c r="D65" s="206"/>
      <c r="E65" s="206"/>
      <c r="F65" s="206" t="str">
        <f ca="1">IF(ISERROR(F62),"",F47)</f>
        <v/>
      </c>
      <c r="G65" s="206" t="str">
        <f ca="1">IF(ISERROR(F62),"",G47)</f>
        <v/>
      </c>
      <c r="H65" s="206"/>
      <c r="I65" s="206" t="str">
        <f ca="1">IF(ISERROR(F62),"",I47)</f>
        <v/>
      </c>
      <c r="J65" s="206"/>
      <c r="K65" s="206" t="str">
        <f ca="1">IF(ISERROR(F62),"",K47)</f>
        <v/>
      </c>
      <c r="L65" s="206"/>
      <c r="M65" s="206" t="str">
        <f ca="1">IF(ISERROR(F62),"",M47)</f>
        <v/>
      </c>
      <c r="N65" s="206" t="str">
        <f ca="1">IF(ISERROR(F62),"",N47)</f>
        <v/>
      </c>
    </row>
    <row r="66" spans="1:28" ht="12.75" customHeight="1" x14ac:dyDescent="0.15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</row>
    <row r="67" spans="1:28" ht="12.75" customHeight="1" x14ac:dyDescent="0.15">
      <c r="A67" s="40" t="str">
        <f ca="1">IF(ISERROR(F62),"",VLOOKUP(C62,INDIRECT($F$8),7+(O67-1)*4,0))</f>
        <v/>
      </c>
      <c r="B67" s="207" t="str">
        <f ca="1">IF(ISERROR(F62),"",VLOOKUP(D62,INDIRECT($F$8),7+(O67-1)*4,0))</f>
        <v/>
      </c>
      <c r="C67" s="207"/>
      <c r="D67" s="207"/>
      <c r="E67" s="207"/>
      <c r="F67" s="40" t="str">
        <f ca="1">IF(ISERROR(F62),"",VLOOKUP(E62,INDIRECT($F$8),7+(O67-1)*4,0))</f>
        <v/>
      </c>
      <c r="G67" s="208" t="str">
        <f ca="1">IF(ISERROR(F62),"",_xlfn.TEXTJOIN("/",FALSE,VLOOKUP(B62,INDIRECT($F$8),7+(O67-1)*4),VLOOKUP(A62,INDIRECT($F$8),7+(O67-1)*4)))</f>
        <v/>
      </c>
      <c r="H67" s="208"/>
      <c r="I67" s="208" t="str">
        <f ca="1">IF(ISERROR(F62),"",_xlfn.TEXTJOIN("/",FALSE,VLOOKUP(B62,INDIRECT($F$8),8+(O67-1)*4,0),VLOOKUP(A62,INDIRECT($F$8),8+(O67-1)*4,0)))</f>
        <v/>
      </c>
      <c r="J67" s="208"/>
      <c r="K67" s="208" t="str">
        <f ca="1">IF(ISERROR(F62),"",_xlfn.TEXTJOIN("/",FALSE,VLOOKUP(B62,INDIRECT($F$8),9+(O67-1)*4),VLOOKUP(A62,INDIRECT($F$8),9+(O67-1)*4)))</f>
        <v/>
      </c>
      <c r="L67" s="208"/>
      <c r="M67" s="40" t="str">
        <f ca="1">IF(ISERROR(F62),"",VLOOKUP(B62,INDIRECT($F$8),10+(O67-1)*4,0))</f>
        <v/>
      </c>
      <c r="N67" s="41" t="str">
        <f t="shared" ref="N67:N75" ca="1" si="21">INDEX($W$2:$W$12,MATCH(M67,$V$2:$V$12,0))</f>
        <v/>
      </c>
      <c r="O67">
        <v>1</v>
      </c>
      <c r="P67" s="42">
        <f ca="1">IFERROR(VALUE(IFERROR(LEFT(G67,SEARCH("/",G67)-1),0)),"")</f>
        <v>0</v>
      </c>
      <c r="Q67" s="42">
        <f ca="1">IFERROR(VALUE(IFERROR(LEFT(I67,SEARCH("/",I67)-1),0)),"")</f>
        <v>0</v>
      </c>
      <c r="R67" s="42">
        <f ca="1">IFERROR(VALUE(IFERROR(LEFT(K67,SEARCH("/",K67)-1),0)),"")</f>
        <v>0</v>
      </c>
      <c r="S67" s="42">
        <f ca="1">VALUE(IFERROR(RIGHT(G67,LEN(G67)-SEARCH("/",G67)),0))</f>
        <v>0</v>
      </c>
      <c r="T67" s="42">
        <f ca="1">VALUE(IFERROR(RIGHT(I67,LEN(I67)-SEARCH("/",I67)),0))</f>
        <v>0</v>
      </c>
      <c r="U67" s="42">
        <f ca="1">VALUE(IFERROR(RIGHT(K67,LEN(K67)-SEARCH("/",K67)),0))</f>
        <v>0</v>
      </c>
    </row>
    <row r="68" spans="1:28" ht="12.75" customHeight="1" x14ac:dyDescent="0.15">
      <c r="A68" s="40" t="str">
        <f ca="1">IF(ISERROR(F62),"",VLOOKUP(C62,INDIRECT($F$8),7+(O68-1)*4,0))</f>
        <v/>
      </c>
      <c r="B68" s="207" t="str">
        <f ca="1">IF(ISERROR(F62),"",VLOOKUP(D62,INDIRECT($F$8),7+(O68-1)*4,0))</f>
        <v/>
      </c>
      <c r="C68" s="207"/>
      <c r="D68" s="207"/>
      <c r="E68" s="207"/>
      <c r="F68" s="40" t="str">
        <f ca="1">IF(ISERROR(F62),"",VLOOKUP(E62,INDIRECT($F$8),7+(O68-1)*4,0))</f>
        <v/>
      </c>
      <c r="G68" s="208" t="str">
        <f ca="1">IF(ISERROR(F62),"",_xlfn.TEXTJOIN("/",FALSE,VLOOKUP(B62,INDIRECT($F$8),7+(O68-1)*4),VLOOKUP(A62,INDIRECT($F$8),7+(O68-1)*4)))</f>
        <v/>
      </c>
      <c r="H68" s="208"/>
      <c r="I68" s="208" t="str">
        <f ca="1">IF(ISERROR(F62),"",_xlfn.TEXTJOIN("/",FALSE,VLOOKUP(B62,INDIRECT($F$8),8+(O68-1)*4),VLOOKUP(A62,INDIRECT($F$8),8+(O68-1)*4)))</f>
        <v/>
      </c>
      <c r="J68" s="208"/>
      <c r="K68" s="208" t="str">
        <f ca="1">IF(ISERROR(F62),"",_xlfn.TEXTJOIN("/",FALSE,VLOOKUP(B62,INDIRECT($F$8),9+(O68-1)*4),VLOOKUP(A62,INDIRECT($F$8),9+(O68-1)*4)))</f>
        <v/>
      </c>
      <c r="L68" s="208"/>
      <c r="M68" s="40" t="str">
        <f ca="1">IF(ISERROR(F62),"",VLOOKUP(B62,INDIRECT($F$8),10+(O68-1)*4,0))</f>
        <v/>
      </c>
      <c r="N68" s="41" t="str">
        <f t="shared" ca="1" si="21"/>
        <v/>
      </c>
      <c r="O68">
        <v>2</v>
      </c>
      <c r="P68" s="42">
        <f ca="1">IFERROR(VALUE(IFERROR(LEFT(G68,SEARCH("/",G68)-1),0)),"")</f>
        <v>0</v>
      </c>
      <c r="Q68" s="42">
        <f t="shared" ref="Q68:Q75" ca="1" si="22">IFERROR(VALUE(IFERROR(LEFT(I68,SEARCH("/",I68)-1),0)),"")</f>
        <v>0</v>
      </c>
      <c r="R68" s="42">
        <f t="shared" ref="R68:R75" ca="1" si="23">IFERROR(VALUE(IFERROR(LEFT(K68,SEARCH("/",K68)-1),0)),"")</f>
        <v>0</v>
      </c>
      <c r="S68" s="42">
        <f t="shared" ref="S68:S75" ca="1" si="24">VALUE(IFERROR(RIGHT(G68,LEN(G68)-SEARCH("/",G68)),0))</f>
        <v>0</v>
      </c>
      <c r="T68" s="42">
        <f t="shared" ref="T68:T75" ca="1" si="25">VALUE(IFERROR(RIGHT(I68,LEN(I68)-SEARCH("/",I68)),0))</f>
        <v>0</v>
      </c>
      <c r="U68" s="42">
        <f t="shared" ref="U68:U75" ca="1" si="26">VALUE(IFERROR(RIGHT(K68,LEN(K68)-SEARCH("/",K68)),0))</f>
        <v>0</v>
      </c>
    </row>
    <row r="69" spans="1:28" ht="12.75" customHeight="1" x14ac:dyDescent="0.15">
      <c r="A69" s="40" t="str">
        <f ca="1">IF(ISERROR(F62),"",VLOOKUP(C62,INDIRECT($F$8),7+(O69-1)*4,0))</f>
        <v/>
      </c>
      <c r="B69" s="207" t="str">
        <f ca="1">IF(ISERROR(F62),"",VLOOKUP(D62,INDIRECT($F$8),7+(O69-1)*4,0))</f>
        <v/>
      </c>
      <c r="C69" s="207"/>
      <c r="D69" s="207"/>
      <c r="E69" s="207"/>
      <c r="F69" s="40" t="str">
        <f ca="1">IF(ISERROR(F62),"",VLOOKUP(E62,INDIRECT($F$8),7+(O69-1)*4,0))</f>
        <v/>
      </c>
      <c r="G69" s="208" t="str">
        <f ca="1">IF(ISERROR(F62),"",_xlfn.TEXTJOIN("/",FALSE,VLOOKUP(B62,INDIRECT($F$8),7+(O69-1)*4),VLOOKUP(A62,INDIRECT($F$8),7+(O69-1)*4)))</f>
        <v/>
      </c>
      <c r="H69" s="208"/>
      <c r="I69" s="208" t="str">
        <f ca="1">IF(ISERROR(F62),"",_xlfn.TEXTJOIN("/",FALSE,VLOOKUP(B62,INDIRECT($F$8),8+(O69-1)*4),VLOOKUP(A62,INDIRECT($F$8),8+(O69-1)*4)))</f>
        <v/>
      </c>
      <c r="J69" s="208"/>
      <c r="K69" s="208" t="str">
        <f ca="1">IF(ISERROR(F62),"",_xlfn.TEXTJOIN("/",FALSE,VLOOKUP(B62,INDIRECT($F$8),9+(O69-1)*4),VLOOKUP(A62,INDIRECT($F$8),9+(O69-1)*4)))</f>
        <v/>
      </c>
      <c r="L69" s="208"/>
      <c r="M69" s="40" t="str">
        <f ca="1">IF(ISERROR(F62),"",VLOOKUP(B62,INDIRECT($F$8),10+(O69-1)*4,0))</f>
        <v/>
      </c>
      <c r="N69" s="41" t="str">
        <f t="shared" ca="1" si="21"/>
        <v/>
      </c>
      <c r="O69">
        <v>3</v>
      </c>
      <c r="P69" s="42">
        <f t="shared" ref="P69:P75" ca="1" si="27">IFERROR(VALUE(IFERROR(LEFT(G69,SEARCH("/",G69)-1),0)),"")</f>
        <v>0</v>
      </c>
      <c r="Q69" s="42">
        <f t="shared" ca="1" si="22"/>
        <v>0</v>
      </c>
      <c r="R69" s="42">
        <f t="shared" ca="1" si="23"/>
        <v>0</v>
      </c>
      <c r="S69" s="42">
        <f t="shared" ca="1" si="24"/>
        <v>0</v>
      </c>
      <c r="T69" s="42">
        <f t="shared" ca="1" si="25"/>
        <v>0</v>
      </c>
      <c r="U69" s="42">
        <f t="shared" ca="1" si="26"/>
        <v>0</v>
      </c>
    </row>
    <row r="70" spans="1:28" ht="12.75" customHeight="1" x14ac:dyDescent="0.15">
      <c r="A70" s="40" t="str">
        <f ca="1">IF(ISERROR(F62),"",VLOOKUP(C62,INDIRECT($F$8),7+(O70-1)*4,0))</f>
        <v/>
      </c>
      <c r="B70" s="207" t="str">
        <f ca="1">IF(ISERROR(F62),"",VLOOKUP(D62,INDIRECT($F$8),7+(O70-1)*4,0))</f>
        <v/>
      </c>
      <c r="C70" s="207"/>
      <c r="D70" s="207"/>
      <c r="E70" s="207"/>
      <c r="F70" s="40" t="str">
        <f ca="1">IF(ISERROR(F62),"",VLOOKUP(E62,INDIRECT($F$8),7+(O70-1)*4,0))</f>
        <v/>
      </c>
      <c r="G70" s="208" t="str">
        <f ca="1">IF(ISERROR(F62),"",_xlfn.TEXTJOIN("/",FALSE,VLOOKUP(B62,INDIRECT($F$8),7+(O70-1)*4),VLOOKUP(A62,INDIRECT($F$8),7+(O70-1)*4)))</f>
        <v/>
      </c>
      <c r="H70" s="208"/>
      <c r="I70" s="208" t="str">
        <f ca="1">IF(ISERROR(F62),"",_xlfn.TEXTJOIN("/",FALSE,VLOOKUP(B62,INDIRECT($F$8),8+(O70-1)*4),VLOOKUP(A62,INDIRECT($F$8),8+(O70-1)*4)))</f>
        <v/>
      </c>
      <c r="J70" s="208"/>
      <c r="K70" s="208" t="str">
        <f ca="1">IF(ISERROR(F62),"",_xlfn.TEXTJOIN("/",FALSE,VLOOKUP(B62,INDIRECT($F$8),9+(O70-1)*4),VLOOKUP(A62,INDIRECT($F$8),9+(O70-1)*4)))</f>
        <v/>
      </c>
      <c r="L70" s="208"/>
      <c r="M70" s="40" t="str">
        <f ca="1">IF(ISERROR(F62),"",VLOOKUP(B62,INDIRECT($F$8),10+(O70-1)*4,0))</f>
        <v/>
      </c>
      <c r="N70" s="41" t="str">
        <f t="shared" ca="1" si="21"/>
        <v/>
      </c>
      <c r="O70">
        <v>4</v>
      </c>
      <c r="P70" s="42">
        <f t="shared" ca="1" si="27"/>
        <v>0</v>
      </c>
      <c r="Q70" s="42">
        <f t="shared" ca="1" si="22"/>
        <v>0</v>
      </c>
      <c r="R70" s="42">
        <f t="shared" ca="1" si="23"/>
        <v>0</v>
      </c>
      <c r="S70" s="42">
        <f t="shared" ca="1" si="24"/>
        <v>0</v>
      </c>
      <c r="T70" s="42">
        <f t="shared" ca="1" si="25"/>
        <v>0</v>
      </c>
      <c r="U70" s="42">
        <f t="shared" ca="1" si="26"/>
        <v>0</v>
      </c>
    </row>
    <row r="71" spans="1:28" ht="12.75" customHeight="1" x14ac:dyDescent="0.15">
      <c r="A71" s="40" t="str">
        <f ca="1">IF(ISERROR(F62),"",VLOOKUP(C62,INDIRECT($F$8),7+(O71-1)*4,0))</f>
        <v/>
      </c>
      <c r="B71" s="207" t="str">
        <f ca="1">IF(ISERROR(F62),"",VLOOKUP(D62,INDIRECT($F$8),7+(O71-1)*4,0))</f>
        <v/>
      </c>
      <c r="C71" s="207"/>
      <c r="D71" s="207"/>
      <c r="E71" s="207"/>
      <c r="F71" s="40" t="str">
        <f ca="1">IF(ISERROR(F62),"",VLOOKUP(E62,INDIRECT($F$8),7+(O71-1)*4,0))</f>
        <v/>
      </c>
      <c r="G71" s="208" t="str">
        <f ca="1">IF(ISERROR(F62),"",_xlfn.TEXTJOIN("/",FALSE,VLOOKUP(B62,INDIRECT($F$8),7+(O71-1)*4),VLOOKUP(A62,INDIRECT($F$8),7+(O71-1)*4)))</f>
        <v/>
      </c>
      <c r="H71" s="208"/>
      <c r="I71" s="208" t="str">
        <f ca="1">IF(ISERROR(F62),"",_xlfn.TEXTJOIN("/",FALSE,VLOOKUP(B62,INDIRECT($F$8),8+(O71-1)*4),VLOOKUP(A62,INDIRECT($F$8),8+(O71-1)*4)))</f>
        <v/>
      </c>
      <c r="J71" s="208"/>
      <c r="K71" s="208" t="str">
        <f ca="1">IF(ISERROR(F62),"",_xlfn.TEXTJOIN("/",FALSE,VLOOKUP(B62,INDIRECT($F$8),9+(O71-1)*4),VLOOKUP(A62,INDIRECT($F$8),9+(O71-1)*4)))</f>
        <v/>
      </c>
      <c r="L71" s="208"/>
      <c r="M71" s="40" t="str">
        <f ca="1">IF(ISERROR(F62),"",VLOOKUP(B62,INDIRECT($F$8),10+(O71-1)*4,0))</f>
        <v/>
      </c>
      <c r="N71" s="41" t="str">
        <f t="shared" ca="1" si="21"/>
        <v/>
      </c>
      <c r="O71">
        <v>5</v>
      </c>
      <c r="P71" s="42">
        <f t="shared" ca="1" si="27"/>
        <v>0</v>
      </c>
      <c r="Q71" s="42">
        <f t="shared" ca="1" si="22"/>
        <v>0</v>
      </c>
      <c r="R71" s="42">
        <f t="shared" ca="1" si="23"/>
        <v>0</v>
      </c>
      <c r="S71" s="42">
        <f t="shared" ca="1" si="24"/>
        <v>0</v>
      </c>
      <c r="T71" s="42">
        <f t="shared" ca="1" si="25"/>
        <v>0</v>
      </c>
      <c r="U71" s="42">
        <f t="shared" ca="1" si="26"/>
        <v>0</v>
      </c>
    </row>
    <row r="72" spans="1:28" ht="12.75" customHeight="1" x14ac:dyDescent="0.15">
      <c r="A72" s="40" t="str">
        <f ca="1">IF(ISERROR(F62),"",VLOOKUP(C62,INDIRECT($F$8),7+(O72-1)*4,0))</f>
        <v/>
      </c>
      <c r="B72" s="207" t="str">
        <f ca="1">IF(ISERROR(F62),"",VLOOKUP(D62,INDIRECT($F$8),7+(O72-1)*4,0))</f>
        <v/>
      </c>
      <c r="C72" s="207"/>
      <c r="D72" s="207"/>
      <c r="E72" s="207"/>
      <c r="F72" s="40" t="str">
        <f ca="1">IF(ISERROR(F62),"",VLOOKUP(E62,INDIRECT($F$8),7+(O72-1)*4,0))</f>
        <v/>
      </c>
      <c r="G72" s="208" t="str">
        <f ca="1">IF(ISERROR(F62),"",_xlfn.TEXTJOIN("/",FALSE,VLOOKUP(B62,INDIRECT($F$8),7+(O72-1)*4),VLOOKUP(A62,INDIRECT($F$8),7+(O72-1)*4)))</f>
        <v/>
      </c>
      <c r="H72" s="208"/>
      <c r="I72" s="208" t="str">
        <f ca="1">IF(ISERROR(F62),"",_xlfn.TEXTJOIN("/",FALSE,VLOOKUP(B62,INDIRECT($F$8),8+(O72-1)*4),VLOOKUP(A62,INDIRECT($F$8),8+(O72-1)*4)))</f>
        <v/>
      </c>
      <c r="J72" s="208"/>
      <c r="K72" s="208" t="str">
        <f ca="1">IF(ISERROR(F62),"",_xlfn.TEXTJOIN("/",FALSE,VLOOKUP(B62,INDIRECT($F$8),9+(O72-1)*4),VLOOKUP(A62,INDIRECT($F$8),9+(O72-1)*4)))</f>
        <v/>
      </c>
      <c r="L72" s="208"/>
      <c r="M72" s="40" t="str">
        <f ca="1">IF(ISERROR(F62),"",VLOOKUP(B62,INDIRECT($F$8),10+(O72-1)*4,0))</f>
        <v/>
      </c>
      <c r="N72" s="41" t="str">
        <f t="shared" ca="1" si="21"/>
        <v/>
      </c>
      <c r="O72">
        <v>6</v>
      </c>
      <c r="P72" s="42">
        <f t="shared" ca="1" si="27"/>
        <v>0</v>
      </c>
      <c r="Q72" s="42">
        <f t="shared" ca="1" si="22"/>
        <v>0</v>
      </c>
      <c r="R72" s="42">
        <f t="shared" ca="1" si="23"/>
        <v>0</v>
      </c>
      <c r="S72" s="42">
        <f t="shared" ca="1" si="24"/>
        <v>0</v>
      </c>
      <c r="T72" s="42">
        <f t="shared" ca="1" si="25"/>
        <v>0</v>
      </c>
      <c r="U72" s="42">
        <f t="shared" ca="1" si="26"/>
        <v>0</v>
      </c>
    </row>
    <row r="73" spans="1:28" ht="12.75" customHeight="1" x14ac:dyDescent="0.15">
      <c r="A73" s="40" t="str">
        <f ca="1">VLOOKUP(C62,INDIRECT($F$8),7+(O73-1)*4,0)</f>
        <v>AHT 304</v>
      </c>
      <c r="B73" s="207" t="str">
        <f ca="1">VLOOKUP(D62,INDIRECT($F$8),7+(O73-1)*4,0)</f>
        <v xml:space="preserve">English for Research Writing ($) </v>
      </c>
      <c r="C73" s="207"/>
      <c r="D73" s="207"/>
      <c r="E73" s="207"/>
      <c r="F73" s="40">
        <f ca="1">VLOOKUP(E62,INDIRECT($F$8),7+(O73-1)*4,0)</f>
        <v>0</v>
      </c>
      <c r="G73" s="208" t="str">
        <f ca="1">_xlfn.TEXTJOIN("/",FALSE,VLOOKUP(B62,INDIRECT($F$8),7+(O73-1)*4),VLOOKUP(A62,INDIRECT($F$8),7+(O73-1)*4))</f>
        <v>69/100</v>
      </c>
      <c r="H73" s="208"/>
      <c r="I73" s="208" t="str">
        <f ca="1">_xlfn.TEXTJOIN("/",FALSE,VLOOKUP(B62,INDIRECT($F$8),8+(O73-1)*4)-Z73,VLOOKUP(A62,INDIRECT($F$8),8+(O73-1)*4-Z73))</f>
        <v>38/50</v>
      </c>
      <c r="J73" s="208"/>
      <c r="K73" s="208" t="str">
        <f ca="1">_xlfn.TEXTJOIN("/",FALSE,VLOOKUP(B62,INDIRECT($F$8),9+(O73-1)*4),VLOOKUP(A62,INDIRECT($F$8),9+(O73-1)*4))</f>
        <v>107/150</v>
      </c>
      <c r="L73" s="208"/>
      <c r="M73" s="40" t="e">
        <f ca="1">VLOOKUP(B62,INDIRECT($F$8),10+(O73-1)*4,0)</f>
        <v>#N/A</v>
      </c>
      <c r="N73" s="41" t="e">
        <f t="shared" ca="1" si="21"/>
        <v>#N/A</v>
      </c>
      <c r="O73">
        <v>7</v>
      </c>
      <c r="P73" s="42">
        <f t="shared" ca="1" si="27"/>
        <v>69</v>
      </c>
      <c r="Q73" s="42">
        <f t="shared" ca="1" si="22"/>
        <v>38</v>
      </c>
      <c r="R73" s="42">
        <f t="shared" ca="1" si="23"/>
        <v>107</v>
      </c>
      <c r="S73" s="42">
        <f t="shared" ca="1" si="24"/>
        <v>100</v>
      </c>
      <c r="T73" s="42">
        <f t="shared" ca="1" si="25"/>
        <v>50</v>
      </c>
      <c r="U73" s="42">
        <f t="shared" ca="1" si="26"/>
        <v>150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</row>
    <row r="74" spans="1:28" ht="12.75" customHeight="1" x14ac:dyDescent="0.15">
      <c r="A74" s="40" t="str">
        <f ca="1">VLOOKUP(C62,INDIRECT($F$8),7+(O74-1)*4,0)</f>
        <v>BTP 301</v>
      </c>
      <c r="B74" s="207" t="str">
        <f ca="1">VLOOKUP(D62,INDIRECT($F$8),7+(O74-1)*4,0)</f>
        <v>Biochemistry and Bioanalytical Techniques Lab  ( Lab-I)</v>
      </c>
      <c r="C74" s="207"/>
      <c r="D74" s="207"/>
      <c r="E74" s="207"/>
      <c r="F74" s="40">
        <f ca="1">VLOOKUP(E62,INDIRECT($F$8),7+(O74-1)*4,0)</f>
        <v>1</v>
      </c>
      <c r="G74" s="208" t="str">
        <f ca="1">_xlfn.TEXTJOIN("/",FALSE,VLOOKUP(B62,INDIRECT($F$8),7+(O74-1)*4),VLOOKUP(A62,INDIRECT($F$8),7+(O74-1)*4))</f>
        <v>20/25</v>
      </c>
      <c r="H74" s="208"/>
      <c r="I74" s="208" t="str">
        <f ca="1">_xlfn.TEXTJOIN("/",FALSE,VLOOKUP(B62,INDIRECT($F$8),8+(O74-1)*4),VLOOKUP(A62,INDIRECT($F$8),8+(O74-1)*4))</f>
        <v>21/25</v>
      </c>
      <c r="J74" s="208"/>
      <c r="K74" s="208" t="str">
        <f ca="1">_xlfn.TEXTJOIN("/",FALSE,VLOOKUP(B62,INDIRECT($F$8),9+(O74-1)*4),VLOOKUP(A62,INDIRECT($F$8),9+(O74-1)*4))</f>
        <v>41/50</v>
      </c>
      <c r="L74" s="208"/>
      <c r="M74" s="40" t="e">
        <f ca="1">VLOOKUP(B62,INDIRECT($F$8),10+(O74-1)*4,0)</f>
        <v>#N/A</v>
      </c>
      <c r="N74" s="41" t="e">
        <f t="shared" ca="1" si="21"/>
        <v>#N/A</v>
      </c>
      <c r="O74">
        <v>8</v>
      </c>
      <c r="P74" s="42">
        <f t="shared" ca="1" si="27"/>
        <v>20</v>
      </c>
      <c r="Q74" s="42">
        <f t="shared" ca="1" si="22"/>
        <v>21</v>
      </c>
      <c r="R74" s="42">
        <f t="shared" ca="1" si="23"/>
        <v>41</v>
      </c>
      <c r="S74" s="42">
        <f t="shared" ca="1" si="24"/>
        <v>25</v>
      </c>
      <c r="T74" s="42">
        <f t="shared" ca="1" si="25"/>
        <v>25</v>
      </c>
      <c r="U74" s="42">
        <f t="shared" ca="1" si="26"/>
        <v>50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</row>
    <row r="75" spans="1:28" ht="12.75" customHeight="1" x14ac:dyDescent="0.15">
      <c r="A75" s="40" t="str">
        <f ca="1">VLOOKUP(C62,INDIRECT($F$8),7+(O75-1)*4,0)</f>
        <v>BTP 302</v>
      </c>
      <c r="B75" s="207" t="str">
        <f ca="1">VLOOKUP(D62,INDIRECT($F$8),7+(O75-1)*4,0)</f>
        <v>Microbial Biotechnology/    Bioprocess Engg. Lab   (Lab-II )</v>
      </c>
      <c r="C75" s="207"/>
      <c r="D75" s="207"/>
      <c r="E75" s="207"/>
      <c r="F75" s="40">
        <f ca="1">VLOOKUP(E62,INDIRECT($F$8),7+(O75-1)*4,0)</f>
        <v>1</v>
      </c>
      <c r="G75" s="208" t="str">
        <f ca="1">_xlfn.TEXTJOIN("/",FALSE,VLOOKUP(B62,INDIRECT($F$8),7+(O75-1)*4),VLOOKUP(A62,INDIRECT($F$8),7+(O75-1)*4))</f>
        <v>21/25</v>
      </c>
      <c r="H75" s="208"/>
      <c r="I75" s="208" t="e">
        <f ca="1">_xlfn.TEXTJOIN("/",FALSE,VLOOKUP(B62,INDIRECT($F$8),8+(O75-1)*4,0),VLOOKUP(A62,INDIRECT($F$8),8+(O75-1)*4,0))</f>
        <v>#N/A</v>
      </c>
      <c r="J75" s="208"/>
      <c r="K75" s="208" t="e">
        <f ca="1">_xlfn.TEXTJOIN("/",FALSE,VLOOKUP(B62,INDIRECT($F$8),9+(O75-1)*4,0),VLOOKUP(A62,INDIRECT($F$8),9+(O75-1)*4,0))</f>
        <v>#N/A</v>
      </c>
      <c r="L75" s="208"/>
      <c r="M75" s="40" t="e">
        <f ca="1">VLOOKUP(B62,INDIRECT($F$8),10+(O75-1)*4,0)</f>
        <v>#N/A</v>
      </c>
      <c r="N75" s="41" t="e">
        <f t="shared" ca="1" si="21"/>
        <v>#N/A</v>
      </c>
      <c r="O75">
        <v>9</v>
      </c>
      <c r="P75" s="42">
        <f t="shared" ca="1" si="27"/>
        <v>21</v>
      </c>
      <c r="Q75" s="42">
        <f t="shared" ca="1" si="22"/>
        <v>0</v>
      </c>
      <c r="R75" s="42">
        <f t="shared" ca="1" si="23"/>
        <v>0</v>
      </c>
      <c r="S75" s="42">
        <f t="shared" ca="1" si="24"/>
        <v>25</v>
      </c>
      <c r="T75" s="42">
        <f t="shared" ca="1" si="25"/>
        <v>0</v>
      </c>
      <c r="U75" s="42">
        <f t="shared" ca="1" si="26"/>
        <v>0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</row>
    <row r="76" spans="1:28" ht="12.75" customHeight="1" x14ac:dyDescent="0.15">
      <c r="A76" s="209" t="str">
        <f ca="1">IF(ISERROR(F62),"",A58)</f>
        <v/>
      </c>
      <c r="B76" s="209"/>
      <c r="C76" s="209"/>
      <c r="D76" s="209"/>
      <c r="E76" s="209"/>
      <c r="F76" s="43" t="str">
        <f ca="1">IF(ISERROR(F62),"",SUM(F67:F75))</f>
        <v/>
      </c>
      <c r="G76" s="209" t="str">
        <f ca="1">IF(ISERROR(F62),"",_xlfn.TEXTJOIN("/",TRUE,SUMIF(F67:F75,"&gt;0",P67:P75),SUMIF(F67:F75,"&gt;0",S67:S75)))</f>
        <v/>
      </c>
      <c r="H76" s="209"/>
      <c r="I76" s="209" t="str">
        <f ca="1">IF(ISERROR(F62),"",_xlfn.TEXTJOIN("/",TRUE,SUMIF(F67:F75,"&gt;0",Q67:Q75),SUMIF(F67:F75,"&gt;0",T67:T75)))</f>
        <v/>
      </c>
      <c r="J76" s="209"/>
      <c r="K76" s="209" t="str">
        <f ca="1">IF(ISERROR(F62),"",IF(ISERROR(F62),"",_xlfn.TEXTJOIN("/",TRUE,SUMIF(F67:F75,"&gt;0",R67:R75),SUMIF(F67:F75,"&gt;0",U67:U75))))</f>
        <v/>
      </c>
      <c r="L76" s="209"/>
      <c r="M76" s="210" t="str">
        <f ca="1">IF(ISERROR(F62),"",SUMPRODUCT(N67:N75,F67:F75))</f>
        <v/>
      </c>
      <c r="N76" s="210"/>
    </row>
    <row r="77" spans="1:28" ht="12.75" customHeight="1" x14ac:dyDescent="0.15">
      <c r="A77" s="210" t="str">
        <f ca="1">IF(ISERROR(F62),"",A59)</f>
        <v/>
      </c>
      <c r="B77" s="206">
        <f>BT!AU14</f>
        <v>0</v>
      </c>
      <c r="C77" s="206"/>
      <c r="D77" s="210" t="str">
        <f ca="1">IF(ISERROR(F62),"",D59)</f>
        <v/>
      </c>
      <c r="E77" s="206">
        <f>BT!AV14</f>
        <v>0</v>
      </c>
      <c r="F77" s="206"/>
      <c r="G77" s="210" t="str">
        <f ca="1">IF(ISERROR(F62),"",G59)</f>
        <v/>
      </c>
      <c r="H77" s="211">
        <f>BT!AR14</f>
        <v>0</v>
      </c>
      <c r="I77" s="210" t="str">
        <f ca="1">IF(ISERROR(F62),"",I59)</f>
        <v/>
      </c>
      <c r="J77" s="211">
        <f>BT!AS14</f>
        <v>0</v>
      </c>
      <c r="K77" s="206" t="str">
        <f ca="1">IF(ISERROR(F62),"",K59)</f>
        <v/>
      </c>
      <c r="L77" s="210">
        <f>BT!AT14</f>
        <v>0</v>
      </c>
      <c r="M77" s="206" t="str">
        <f ca="1">IF(ISERROR(F62),"",M59)</f>
        <v/>
      </c>
      <c r="N77" s="210">
        <f>BT!AW14</f>
        <v>0</v>
      </c>
      <c r="V77">
        <v>0</v>
      </c>
    </row>
    <row r="78" spans="1:28" ht="12.75" customHeight="1" x14ac:dyDescent="0.15">
      <c r="A78" s="210"/>
      <c r="B78" s="206"/>
      <c r="C78" s="206"/>
      <c r="D78" s="210"/>
      <c r="E78" s="206"/>
      <c r="F78" s="206"/>
      <c r="G78" s="210"/>
      <c r="H78" s="211"/>
      <c r="I78" s="210"/>
      <c r="J78" s="211"/>
      <c r="K78" s="206"/>
      <c r="L78" s="210"/>
      <c r="M78" s="206"/>
      <c r="N78" s="210"/>
    </row>
    <row r="79" spans="1:28" ht="13" x14ac:dyDescent="0.15">
      <c r="A79" s="210"/>
      <c r="B79" s="206"/>
      <c r="C79" s="206"/>
      <c r="D79" s="210"/>
      <c r="E79" s="206"/>
      <c r="F79" s="206"/>
      <c r="G79" s="210"/>
      <c r="H79" s="211"/>
      <c r="I79" s="210"/>
      <c r="J79" s="211"/>
      <c r="K79" s="206"/>
      <c r="L79" s="210"/>
      <c r="M79" s="206"/>
      <c r="N79" s="210"/>
    </row>
    <row r="80" spans="1:28" ht="12.75" customHeight="1" x14ac:dyDescent="0.15">
      <c r="A80" s="38" t="s">
        <v>73</v>
      </c>
      <c r="B80" s="38">
        <f>B62+1</f>
        <v>5</v>
      </c>
      <c r="C80" s="38" t="s">
        <v>71</v>
      </c>
      <c r="D80" s="38" t="s">
        <v>72</v>
      </c>
      <c r="E80" s="38" t="s">
        <v>40</v>
      </c>
      <c r="F80" s="38" t="e">
        <f ca="1">VLOOKUP(B80,INDIRECT($F$8),4,0)</f>
        <v>#N/A</v>
      </c>
      <c r="G80" s="39"/>
      <c r="H80" s="39"/>
      <c r="I80" s="39"/>
      <c r="J80" s="39"/>
      <c r="K80" s="39"/>
      <c r="L80" s="39"/>
      <c r="M80" s="39"/>
      <c r="N80" s="39"/>
    </row>
    <row r="81" spans="1:28" ht="12.75" customHeight="1" x14ac:dyDescent="0.15">
      <c r="A81" s="204" t="str">
        <f ca="1">IF(ISERROR(F80),"",A63)</f>
        <v/>
      </c>
      <c r="B81" s="204" t="str">
        <f ca="1">IFERROR(VLOOKUP(B80,INDIRECT($F$8),5,0),"")</f>
        <v/>
      </c>
      <c r="C81" s="204"/>
      <c r="D81" s="204" t="str">
        <f ca="1">IF(ISERROR(F80),"",D63)</f>
        <v/>
      </c>
      <c r="E81" s="204" t="str">
        <f ca="1">IFERROR(VLOOKUP(B80,INDIRECT($F$8),6,0),"")</f>
        <v/>
      </c>
      <c r="F81" s="204"/>
      <c r="G81" s="204" t="str">
        <f ca="1">IF(ISERROR(F80),"",G63)</f>
        <v/>
      </c>
      <c r="H81" s="204"/>
      <c r="I81" s="205" t="str">
        <f ca="1">IFERROR(VLOOKUP(B80,INDIRECT($F$8),2,0),"")</f>
        <v/>
      </c>
      <c r="J81" s="205"/>
      <c r="K81" s="204" t="str">
        <f ca="1">IF(ISERROR(F80),"",K63)</f>
        <v/>
      </c>
      <c r="L81" s="204"/>
      <c r="M81" s="205" t="str">
        <f ca="1">IFERROR(IF(VLOOKUP(B80,INDIRECT($F$8),3,0)=0,"",VLOOKUP(B80,INDIRECT($F$8),3,0)),"")</f>
        <v/>
      </c>
      <c r="N81" s="205"/>
    </row>
    <row r="82" spans="1:28" ht="12.75" customHeight="1" x14ac:dyDescent="0.15">
      <c r="A82" s="204"/>
      <c r="B82" s="204"/>
      <c r="C82" s="204"/>
      <c r="D82" s="204"/>
      <c r="E82" s="204"/>
      <c r="F82" s="204"/>
      <c r="G82" s="204"/>
      <c r="H82" s="204"/>
      <c r="I82" s="205"/>
      <c r="J82" s="205"/>
      <c r="K82" s="204"/>
      <c r="L82" s="204"/>
      <c r="M82" s="205"/>
      <c r="N82" s="205"/>
    </row>
    <row r="83" spans="1:28" ht="12.75" customHeight="1" x14ac:dyDescent="0.15">
      <c r="A83" s="206" t="str">
        <f ca="1">IF(ISERROR(F80),"",A65)</f>
        <v/>
      </c>
      <c r="B83" s="206" t="str">
        <f ca="1">IF(ISERROR(F80),"",B65)</f>
        <v/>
      </c>
      <c r="C83" s="206"/>
      <c r="D83" s="206"/>
      <c r="E83" s="206"/>
      <c r="F83" s="206" t="str">
        <f ca="1">IF(ISERROR(F80),"",F65)</f>
        <v/>
      </c>
      <c r="G83" s="206" t="str">
        <f ca="1">IF(ISERROR(F80),"",G65)</f>
        <v/>
      </c>
      <c r="H83" s="206"/>
      <c r="I83" s="206" t="str">
        <f ca="1">IF(ISERROR(F80),"",I65)</f>
        <v/>
      </c>
      <c r="J83" s="206"/>
      <c r="K83" s="206" t="str">
        <f ca="1">IF(ISERROR(F80),"",K65)</f>
        <v/>
      </c>
      <c r="L83" s="206"/>
      <c r="M83" s="206" t="str">
        <f ca="1">IF(ISERROR(F80),"",M65)</f>
        <v/>
      </c>
      <c r="N83" s="206" t="str">
        <f ca="1">IF(ISERROR(F80),"",N65)</f>
        <v/>
      </c>
    </row>
    <row r="84" spans="1:28" ht="12.75" customHeight="1" x14ac:dyDescent="0.15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</row>
    <row r="85" spans="1:28" ht="12.75" customHeight="1" x14ac:dyDescent="0.15">
      <c r="A85" s="40" t="str">
        <f ca="1">IF(ISERROR(F80),"",VLOOKUP(C80,INDIRECT($F$8),7+(O85-1)*4,0))</f>
        <v/>
      </c>
      <c r="B85" s="207" t="str">
        <f ca="1">IF(ISERROR(F80),"",VLOOKUP(D80,INDIRECT($F$8),7+(O85-1)*4,0))</f>
        <v/>
      </c>
      <c r="C85" s="207"/>
      <c r="D85" s="207"/>
      <c r="E85" s="207"/>
      <c r="F85" s="40" t="str">
        <f ca="1">IF(ISERROR(F80),"",VLOOKUP(E80,INDIRECT($F$8),7+(O85-1)*4,0))</f>
        <v/>
      </c>
      <c r="G85" s="208" t="str">
        <f ca="1">IF(ISERROR(F80),"",_xlfn.TEXTJOIN("/",FALSE,VLOOKUP(B80,INDIRECT($F$8),7+(O85-1)*4),VLOOKUP(A80,INDIRECT($F$8),7+(O85-1)*4)))</f>
        <v/>
      </c>
      <c r="H85" s="208"/>
      <c r="I85" s="208" t="str">
        <f ca="1">IF(ISERROR(F80),"",_xlfn.TEXTJOIN("/",FALSE,VLOOKUP(B80,INDIRECT($F$8),8+(O85-1)*4,0),VLOOKUP(A80,INDIRECT($F$8),8+(O85-1)*4,0)))</f>
        <v/>
      </c>
      <c r="J85" s="208"/>
      <c r="K85" s="208" t="str">
        <f ca="1">IF(ISERROR(F80),"",_xlfn.TEXTJOIN("/",FALSE,VLOOKUP(B80,INDIRECT($F$8),9+(O85-1)*4),VLOOKUP(A80,INDIRECT($F$8),9+(O85-1)*4)))</f>
        <v/>
      </c>
      <c r="L85" s="208"/>
      <c r="M85" s="40" t="str">
        <f ca="1">IF(ISERROR(F80),"",VLOOKUP(B80,INDIRECT($F$8),10+(O85-1)*4,0))</f>
        <v/>
      </c>
      <c r="N85" s="41" t="str">
        <f t="shared" ref="N85:N93" ca="1" si="28">INDEX($W$2:$W$12,MATCH(M85,$V$2:$V$12,0))</f>
        <v/>
      </c>
      <c r="O85">
        <v>1</v>
      </c>
      <c r="P85" s="42">
        <f ca="1">IFERROR(VALUE(IFERROR(LEFT(G85,SEARCH("/",G85)-1),0)),"")</f>
        <v>0</v>
      </c>
      <c r="Q85" s="42">
        <f ca="1">IFERROR(VALUE(IFERROR(LEFT(I85,SEARCH("/",I85)-1),0)),"")</f>
        <v>0</v>
      </c>
      <c r="R85" s="42">
        <f ca="1">IFERROR(VALUE(IFERROR(LEFT(K85,SEARCH("/",K85)-1),0)),"")</f>
        <v>0</v>
      </c>
      <c r="S85" s="42">
        <f ca="1">VALUE(IFERROR(RIGHT(G85,LEN(G85)-SEARCH("/",G85)),0))</f>
        <v>0</v>
      </c>
      <c r="T85" s="42">
        <f ca="1">VALUE(IFERROR(RIGHT(I85,LEN(I85)-SEARCH("/",I85)),0))</f>
        <v>0</v>
      </c>
      <c r="U85" s="42">
        <f ca="1">VALUE(IFERROR(RIGHT(K85,LEN(K85)-SEARCH("/",K85)),0))</f>
        <v>0</v>
      </c>
    </row>
    <row r="86" spans="1:28" ht="12.75" customHeight="1" x14ac:dyDescent="0.15">
      <c r="A86" s="40" t="str">
        <f ca="1">IF(ISERROR(F80),"",VLOOKUP(C80,INDIRECT($F$8),7+(O86-1)*4,0))</f>
        <v/>
      </c>
      <c r="B86" s="207" t="str">
        <f ca="1">IF(ISERROR(F80),"",VLOOKUP(D80,INDIRECT($F$8),7+(O86-1)*4,0))</f>
        <v/>
      </c>
      <c r="C86" s="207"/>
      <c r="D86" s="207"/>
      <c r="E86" s="207"/>
      <c r="F86" s="40" t="str">
        <f ca="1">IF(ISERROR(F80),"",VLOOKUP(E80,INDIRECT($F$8),7+(O86-1)*4,0))</f>
        <v/>
      </c>
      <c r="G86" s="208" t="str">
        <f ca="1">IF(ISERROR(F80),"",_xlfn.TEXTJOIN("/",FALSE,VLOOKUP(B80,INDIRECT($F$8),7+(O86-1)*4),VLOOKUP(A80,INDIRECT($F$8),7+(O86-1)*4)))</f>
        <v/>
      </c>
      <c r="H86" s="208"/>
      <c r="I86" s="208" t="str">
        <f ca="1">IF(ISERROR(F80),"",_xlfn.TEXTJOIN("/",FALSE,VLOOKUP(B80,INDIRECT($F$8),8+(O86-1)*4),VLOOKUP(A80,INDIRECT($F$8),8+(O86-1)*4)))</f>
        <v/>
      </c>
      <c r="J86" s="208"/>
      <c r="K86" s="208" t="str">
        <f ca="1">IF(ISERROR(F80),"",_xlfn.TEXTJOIN("/",FALSE,VLOOKUP(B80,INDIRECT($F$8),9+(O86-1)*4),VLOOKUP(A80,INDIRECT($F$8),9+(O86-1)*4)))</f>
        <v/>
      </c>
      <c r="L86" s="208"/>
      <c r="M86" s="40" t="str">
        <f ca="1">IF(ISERROR(F80),"",VLOOKUP(B80,INDIRECT($F$8),10+(O86-1)*4,0))</f>
        <v/>
      </c>
      <c r="N86" s="41" t="str">
        <f t="shared" ca="1" si="28"/>
        <v/>
      </c>
      <c r="O86">
        <v>2</v>
      </c>
      <c r="P86" s="42">
        <f ca="1">IFERROR(VALUE(IFERROR(LEFT(G86,SEARCH("/",G86)-1),0)),"")</f>
        <v>0</v>
      </c>
      <c r="Q86" s="42">
        <f t="shared" ref="Q86:Q93" ca="1" si="29">IFERROR(VALUE(IFERROR(LEFT(I86,SEARCH("/",I86)-1),0)),"")</f>
        <v>0</v>
      </c>
      <c r="R86" s="42">
        <f t="shared" ref="R86:R93" ca="1" si="30">IFERROR(VALUE(IFERROR(LEFT(K86,SEARCH("/",K86)-1),0)),"")</f>
        <v>0</v>
      </c>
      <c r="S86" s="42">
        <f t="shared" ref="S86:S93" ca="1" si="31">VALUE(IFERROR(RIGHT(G86,LEN(G86)-SEARCH("/",G86)),0))</f>
        <v>0</v>
      </c>
      <c r="T86" s="42">
        <f t="shared" ref="T86:T93" ca="1" si="32">VALUE(IFERROR(RIGHT(I86,LEN(I86)-SEARCH("/",I86)),0))</f>
        <v>0</v>
      </c>
      <c r="U86" s="42">
        <f t="shared" ref="U86:U93" ca="1" si="33">VALUE(IFERROR(RIGHT(K86,LEN(K86)-SEARCH("/",K86)),0))</f>
        <v>0</v>
      </c>
    </row>
    <row r="87" spans="1:28" ht="12.75" customHeight="1" x14ac:dyDescent="0.15">
      <c r="A87" s="40" t="str">
        <f ca="1">IF(ISERROR(F80),"",VLOOKUP(C80,INDIRECT($F$8),7+(O87-1)*4,0))</f>
        <v/>
      </c>
      <c r="B87" s="207" t="str">
        <f ca="1">IF(ISERROR(F80),"",VLOOKUP(D80,INDIRECT($F$8),7+(O87-1)*4,0))</f>
        <v/>
      </c>
      <c r="C87" s="207"/>
      <c r="D87" s="207"/>
      <c r="E87" s="207"/>
      <c r="F87" s="40" t="str">
        <f ca="1">IF(ISERROR(F80),"",VLOOKUP(E80,INDIRECT($F$8),7+(O87-1)*4,0))</f>
        <v/>
      </c>
      <c r="G87" s="208" t="str">
        <f ca="1">IF(ISERROR(F80),"",_xlfn.TEXTJOIN("/",FALSE,VLOOKUP(B80,INDIRECT($F$8),7+(O87-1)*4),VLOOKUP(A80,INDIRECT($F$8),7+(O87-1)*4)))</f>
        <v/>
      </c>
      <c r="H87" s="208"/>
      <c r="I87" s="208" t="str">
        <f ca="1">IF(ISERROR(F80),"",_xlfn.TEXTJOIN("/",FALSE,VLOOKUP(B80,INDIRECT($F$8),8+(O87-1)*4),VLOOKUP(A80,INDIRECT($F$8),8+(O87-1)*4)))</f>
        <v/>
      </c>
      <c r="J87" s="208"/>
      <c r="K87" s="208" t="str">
        <f ca="1">IF(ISERROR(F80),"",_xlfn.TEXTJOIN("/",FALSE,VLOOKUP(B80,INDIRECT($F$8),9+(O87-1)*4),VLOOKUP(A80,INDIRECT($F$8),9+(O87-1)*4)))</f>
        <v/>
      </c>
      <c r="L87" s="208"/>
      <c r="M87" s="40" t="str">
        <f ca="1">IF(ISERROR(F80),"",VLOOKUP(B80,INDIRECT($F$8),10+(O87-1)*4,0))</f>
        <v/>
      </c>
      <c r="N87" s="41" t="str">
        <f t="shared" ca="1" si="28"/>
        <v/>
      </c>
      <c r="O87">
        <v>3</v>
      </c>
      <c r="P87" s="42">
        <f t="shared" ref="P87:P93" ca="1" si="34">IFERROR(VALUE(IFERROR(LEFT(G87,SEARCH("/",G87)-1),0)),"")</f>
        <v>0</v>
      </c>
      <c r="Q87" s="42">
        <f t="shared" ca="1" si="29"/>
        <v>0</v>
      </c>
      <c r="R87" s="42">
        <f t="shared" ca="1" si="30"/>
        <v>0</v>
      </c>
      <c r="S87" s="42">
        <f t="shared" ca="1" si="31"/>
        <v>0</v>
      </c>
      <c r="T87" s="42">
        <f t="shared" ca="1" si="32"/>
        <v>0</v>
      </c>
      <c r="U87" s="42">
        <f t="shared" ca="1" si="33"/>
        <v>0</v>
      </c>
    </row>
    <row r="88" spans="1:28" ht="12.75" customHeight="1" x14ac:dyDescent="0.15">
      <c r="A88" s="40" t="str">
        <f ca="1">IF(ISERROR(F80),"",VLOOKUP(C80,INDIRECT($F$8),7+(O88-1)*4,0))</f>
        <v/>
      </c>
      <c r="B88" s="207" t="str">
        <f ca="1">IF(ISERROR(F80),"",VLOOKUP(D80,INDIRECT($F$8),7+(O88-1)*4,0))</f>
        <v/>
      </c>
      <c r="C88" s="207"/>
      <c r="D88" s="207"/>
      <c r="E88" s="207"/>
      <c r="F88" s="40" t="str">
        <f ca="1">IF(ISERROR(F80),"",VLOOKUP(E80,INDIRECT($F$8),7+(O88-1)*4,0))</f>
        <v/>
      </c>
      <c r="G88" s="208" t="str">
        <f ca="1">IF(ISERROR(F80),"",_xlfn.TEXTJOIN("/",FALSE,VLOOKUP(B80,INDIRECT($F$8),7+(O88-1)*4),VLOOKUP(A80,INDIRECT($F$8),7+(O88-1)*4)))</f>
        <v/>
      </c>
      <c r="H88" s="208"/>
      <c r="I88" s="208" t="str">
        <f ca="1">IF(ISERROR(F80),"",_xlfn.TEXTJOIN("/",FALSE,VLOOKUP(B80,INDIRECT($F$8),8+(O88-1)*4),VLOOKUP(A80,INDIRECT($F$8),8+(O88-1)*4)))</f>
        <v/>
      </c>
      <c r="J88" s="208"/>
      <c r="K88" s="208" t="str">
        <f ca="1">IF(ISERROR(F80),"",_xlfn.TEXTJOIN("/",FALSE,VLOOKUP(B80,INDIRECT($F$8),9+(O88-1)*4),VLOOKUP(A80,INDIRECT($F$8),9+(O88-1)*4)))</f>
        <v/>
      </c>
      <c r="L88" s="208"/>
      <c r="M88" s="40" t="str">
        <f ca="1">IF(ISERROR(F80),"",VLOOKUP(B80,INDIRECT($F$8),10+(O88-1)*4,0))</f>
        <v/>
      </c>
      <c r="N88" s="41" t="str">
        <f t="shared" ca="1" si="28"/>
        <v/>
      </c>
      <c r="O88">
        <v>4</v>
      </c>
      <c r="P88" s="42">
        <f t="shared" ca="1" si="34"/>
        <v>0</v>
      </c>
      <c r="Q88" s="42">
        <f t="shared" ca="1" si="29"/>
        <v>0</v>
      </c>
      <c r="R88" s="42">
        <f t="shared" ca="1" si="30"/>
        <v>0</v>
      </c>
      <c r="S88" s="42">
        <f t="shared" ca="1" si="31"/>
        <v>0</v>
      </c>
      <c r="T88" s="42">
        <f t="shared" ca="1" si="32"/>
        <v>0</v>
      </c>
      <c r="U88" s="42">
        <f t="shared" ca="1" si="33"/>
        <v>0</v>
      </c>
    </row>
    <row r="89" spans="1:28" ht="12.75" customHeight="1" x14ac:dyDescent="0.15">
      <c r="A89" s="40" t="str">
        <f ca="1">IF(ISERROR(F80),"",VLOOKUP(C80,INDIRECT($F$8),7+(O89-1)*4,0))</f>
        <v/>
      </c>
      <c r="B89" s="207" t="str">
        <f ca="1">IF(ISERROR(F80),"",VLOOKUP(D80,INDIRECT($F$8),7+(O89-1)*4,0))</f>
        <v/>
      </c>
      <c r="C89" s="207"/>
      <c r="D89" s="207"/>
      <c r="E89" s="207"/>
      <c r="F89" s="40" t="str">
        <f ca="1">IF(ISERROR(F80),"",VLOOKUP(E80,INDIRECT($F$8),7+(O89-1)*4,0))</f>
        <v/>
      </c>
      <c r="G89" s="208" t="str">
        <f ca="1">IF(ISERROR(F80),"",_xlfn.TEXTJOIN("/",FALSE,VLOOKUP(B80,INDIRECT($F$8),7+(O89-1)*4),VLOOKUP(A80,INDIRECT($F$8),7+(O89-1)*4)))</f>
        <v/>
      </c>
      <c r="H89" s="208"/>
      <c r="I89" s="208" t="str">
        <f ca="1">IF(ISERROR(F80),"",_xlfn.TEXTJOIN("/",FALSE,VLOOKUP(B80,INDIRECT($F$8),8+(O89-1)*4),VLOOKUP(A80,INDIRECT($F$8),8+(O89-1)*4)))</f>
        <v/>
      </c>
      <c r="J89" s="208"/>
      <c r="K89" s="208" t="str">
        <f ca="1">IF(ISERROR(F80),"",_xlfn.TEXTJOIN("/",FALSE,VLOOKUP(B80,INDIRECT($F$8),9+(O89-1)*4),VLOOKUP(A80,INDIRECT($F$8),9+(O89-1)*4)))</f>
        <v/>
      </c>
      <c r="L89" s="208"/>
      <c r="M89" s="40" t="str">
        <f ca="1">IF(ISERROR(F80),"",VLOOKUP(B80,INDIRECT($F$8),10+(O89-1)*4,0))</f>
        <v/>
      </c>
      <c r="N89" s="41" t="str">
        <f t="shared" ca="1" si="28"/>
        <v/>
      </c>
      <c r="O89">
        <v>5</v>
      </c>
      <c r="P89" s="42">
        <f t="shared" ca="1" si="34"/>
        <v>0</v>
      </c>
      <c r="Q89" s="42">
        <f t="shared" ca="1" si="29"/>
        <v>0</v>
      </c>
      <c r="R89" s="42">
        <f t="shared" ca="1" si="30"/>
        <v>0</v>
      </c>
      <c r="S89" s="42">
        <f t="shared" ca="1" si="31"/>
        <v>0</v>
      </c>
      <c r="T89" s="42">
        <f t="shared" ca="1" si="32"/>
        <v>0</v>
      </c>
      <c r="U89" s="42">
        <f t="shared" ca="1" si="33"/>
        <v>0</v>
      </c>
    </row>
    <row r="90" spans="1:28" ht="12.75" customHeight="1" x14ac:dyDescent="0.15">
      <c r="A90" s="40" t="str">
        <f ca="1">IF(ISERROR(F80),"",VLOOKUP(C80,INDIRECT($F$8),7+(O90-1)*4,0))</f>
        <v/>
      </c>
      <c r="B90" s="207" t="str">
        <f ca="1">IF(ISERROR(F80),"",VLOOKUP(D80,INDIRECT($F$8),7+(O90-1)*4,0))</f>
        <v/>
      </c>
      <c r="C90" s="207"/>
      <c r="D90" s="207"/>
      <c r="E90" s="207"/>
      <c r="F90" s="40" t="str">
        <f ca="1">IF(ISERROR(F80),"",VLOOKUP(E80,INDIRECT($F$8),7+(O90-1)*4,0))</f>
        <v/>
      </c>
      <c r="G90" s="208" t="str">
        <f ca="1">IF(ISERROR(F80),"",_xlfn.TEXTJOIN("/",FALSE,VLOOKUP(B80,INDIRECT($F$8),7+(O90-1)*4),VLOOKUP(A80,INDIRECT($F$8),7+(O90-1)*4)))</f>
        <v/>
      </c>
      <c r="H90" s="208"/>
      <c r="I90" s="208" t="str">
        <f ca="1">IF(ISERROR(F80),"",_xlfn.TEXTJOIN("/",FALSE,VLOOKUP(B80,INDIRECT($F$8),8+(O90-1)*4),VLOOKUP(A80,INDIRECT($F$8),8+(O90-1)*4)))</f>
        <v/>
      </c>
      <c r="J90" s="208"/>
      <c r="K90" s="208" t="str">
        <f ca="1">IF(ISERROR(F80),"",_xlfn.TEXTJOIN("/",FALSE,VLOOKUP(B80,INDIRECT($F$8),9+(O90-1)*4),VLOOKUP(A80,INDIRECT($F$8),9+(O90-1)*4)))</f>
        <v/>
      </c>
      <c r="L90" s="208"/>
      <c r="M90" s="40" t="str">
        <f ca="1">IF(ISERROR(F80),"",VLOOKUP(B80,INDIRECT($F$8),10+(O90-1)*4,0))</f>
        <v/>
      </c>
      <c r="N90" s="41" t="str">
        <f t="shared" ca="1" si="28"/>
        <v/>
      </c>
      <c r="O90">
        <v>6</v>
      </c>
      <c r="P90" s="42">
        <f t="shared" ca="1" si="34"/>
        <v>0</v>
      </c>
      <c r="Q90" s="42">
        <f t="shared" ca="1" si="29"/>
        <v>0</v>
      </c>
      <c r="R90" s="42">
        <f t="shared" ca="1" si="30"/>
        <v>0</v>
      </c>
      <c r="S90" s="42">
        <f t="shared" ca="1" si="31"/>
        <v>0</v>
      </c>
      <c r="T90" s="42">
        <f t="shared" ca="1" si="32"/>
        <v>0</v>
      </c>
      <c r="U90" s="42">
        <f t="shared" ca="1" si="33"/>
        <v>0</v>
      </c>
    </row>
    <row r="91" spans="1:28" ht="12.75" customHeight="1" x14ac:dyDescent="0.15">
      <c r="A91" s="40" t="str">
        <f ca="1">VLOOKUP(C80,INDIRECT($F$8),7+(O91-1)*4,0)</f>
        <v>AHT 304</v>
      </c>
      <c r="B91" s="207" t="str">
        <f ca="1">VLOOKUP(D80,INDIRECT($F$8),7+(O91-1)*4,0)</f>
        <v xml:space="preserve">English for Research Writing ($) </v>
      </c>
      <c r="C91" s="207"/>
      <c r="D91" s="207"/>
      <c r="E91" s="207"/>
      <c r="F91" s="40">
        <f ca="1">VLOOKUP(E80,INDIRECT($F$8),7+(O91-1)*4,0)</f>
        <v>0</v>
      </c>
      <c r="G91" s="208" t="str">
        <f ca="1">_xlfn.TEXTJOIN("/",FALSE,VLOOKUP(B80,INDIRECT($F$8),7+(O91-1)*4),VLOOKUP(A80,INDIRECT($F$8),7+(O91-1)*4))</f>
        <v>69/100</v>
      </c>
      <c r="H91" s="208"/>
      <c r="I91" s="208" t="str">
        <f ca="1">_xlfn.TEXTJOIN("/",FALSE,VLOOKUP(B80,INDIRECT($F$8),8+(O91-1)*4)-Z91,VLOOKUP(A80,INDIRECT($F$8),8+(O91-1)*4-Z91))</f>
        <v>38/50</v>
      </c>
      <c r="J91" s="208"/>
      <c r="K91" s="208" t="str">
        <f ca="1">_xlfn.TEXTJOIN("/",FALSE,VLOOKUP(B80,INDIRECT($F$8),9+(O91-1)*4),VLOOKUP(A80,INDIRECT($F$8),9+(O91-1)*4))</f>
        <v>107/150</v>
      </c>
      <c r="L91" s="208"/>
      <c r="M91" s="40" t="e">
        <f ca="1">VLOOKUP(B80,INDIRECT($F$8),10+(O91-1)*4,0)</f>
        <v>#N/A</v>
      </c>
      <c r="N91" s="41" t="e">
        <f t="shared" ca="1" si="28"/>
        <v>#N/A</v>
      </c>
      <c r="O91">
        <v>7</v>
      </c>
      <c r="P91" s="42">
        <f t="shared" ca="1" si="34"/>
        <v>69</v>
      </c>
      <c r="Q91" s="42">
        <f t="shared" ca="1" si="29"/>
        <v>38</v>
      </c>
      <c r="R91" s="42">
        <f t="shared" ca="1" si="30"/>
        <v>107</v>
      </c>
      <c r="S91" s="42">
        <f t="shared" ca="1" si="31"/>
        <v>100</v>
      </c>
      <c r="T91" s="42">
        <f t="shared" ca="1" si="32"/>
        <v>50</v>
      </c>
      <c r="U91" s="42">
        <f t="shared" ca="1" si="33"/>
        <v>150</v>
      </c>
      <c r="V91">
        <v>1</v>
      </c>
      <c r="W91">
        <v>1</v>
      </c>
      <c r="X91">
        <v>1</v>
      </c>
      <c r="Y91">
        <v>1</v>
      </c>
      <c r="Z91">
        <v>0</v>
      </c>
      <c r="AA91">
        <v>1</v>
      </c>
      <c r="AB91">
        <v>1</v>
      </c>
    </row>
    <row r="92" spans="1:28" ht="12.75" customHeight="1" x14ac:dyDescent="0.15">
      <c r="A92" s="40" t="str">
        <f ca="1">VLOOKUP(C80,INDIRECT($F$8),7+(O92-1)*4,0)</f>
        <v>BTP 301</v>
      </c>
      <c r="B92" s="207" t="str">
        <f ca="1">VLOOKUP(D80,INDIRECT($F$8),7+(O92-1)*4,0)</f>
        <v>Biochemistry and Bioanalytical Techniques Lab  ( Lab-I)</v>
      </c>
      <c r="C92" s="207"/>
      <c r="D92" s="207"/>
      <c r="E92" s="207"/>
      <c r="F92" s="40">
        <f ca="1">VLOOKUP(E80,INDIRECT($F$8),7+(O92-1)*4,0)</f>
        <v>1</v>
      </c>
      <c r="G92" s="208" t="str">
        <f ca="1">_xlfn.TEXTJOIN("/",FALSE,VLOOKUP(B80,INDIRECT($F$8),7+(O92-1)*4),VLOOKUP(A80,INDIRECT($F$8),7+(O92-1)*4))</f>
        <v>20/25</v>
      </c>
      <c r="H92" s="208"/>
      <c r="I92" s="208" t="str">
        <f ca="1">_xlfn.TEXTJOIN("/",FALSE,VLOOKUP(B80,INDIRECT($F$8),8+(O92-1)*4),VLOOKUP(A80,INDIRECT($F$8),8+(O92-1)*4))</f>
        <v>21/25</v>
      </c>
      <c r="J92" s="208"/>
      <c r="K92" s="208" t="str">
        <f ca="1">_xlfn.TEXTJOIN("/",FALSE,VLOOKUP(B80,INDIRECT($F$8),9+(O92-1)*4),VLOOKUP(A80,INDIRECT($F$8),9+(O92-1)*4))</f>
        <v>41/50</v>
      </c>
      <c r="L92" s="208"/>
      <c r="M92" s="40" t="e">
        <f ca="1">VLOOKUP(B80,INDIRECT($F$8),10+(O92-1)*4,0)</f>
        <v>#N/A</v>
      </c>
      <c r="N92" s="41" t="e">
        <f t="shared" ca="1" si="28"/>
        <v>#N/A</v>
      </c>
      <c r="O92">
        <v>8</v>
      </c>
      <c r="P92" s="42">
        <f t="shared" ca="1" si="34"/>
        <v>20</v>
      </c>
      <c r="Q92" s="42">
        <f t="shared" ca="1" si="29"/>
        <v>21</v>
      </c>
      <c r="R92" s="42">
        <f t="shared" ca="1" si="30"/>
        <v>41</v>
      </c>
      <c r="S92" s="42">
        <f t="shared" ca="1" si="31"/>
        <v>25</v>
      </c>
      <c r="T92" s="42">
        <f t="shared" ca="1" si="32"/>
        <v>25</v>
      </c>
      <c r="U92" s="42">
        <f t="shared" ca="1" si="33"/>
        <v>50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</row>
    <row r="93" spans="1:28" ht="12.75" customHeight="1" x14ac:dyDescent="0.15">
      <c r="A93" s="40" t="str">
        <f ca="1">VLOOKUP(C80,INDIRECT($F$8),7+(O93-1)*4,0)</f>
        <v>BTP 302</v>
      </c>
      <c r="B93" s="207" t="str">
        <f ca="1">VLOOKUP(D80,INDIRECT($F$8),7+(O93-1)*4,0)</f>
        <v>Microbial Biotechnology/    Bioprocess Engg. Lab   (Lab-II )</v>
      </c>
      <c r="C93" s="207"/>
      <c r="D93" s="207"/>
      <c r="E93" s="207"/>
      <c r="F93" s="40">
        <f ca="1">VLOOKUP(E80,INDIRECT($F$8),7+(O93-1)*4,0)</f>
        <v>1</v>
      </c>
      <c r="G93" s="208" t="str">
        <f ca="1">_xlfn.TEXTJOIN("/",FALSE,VLOOKUP(B80,INDIRECT($F$8),7+(O93-1)*4),VLOOKUP(A80,INDIRECT($F$8),7+(O93-1)*4))</f>
        <v>21/25</v>
      </c>
      <c r="H93" s="208"/>
      <c r="I93" s="208" t="e">
        <f ca="1">_xlfn.TEXTJOIN("/",FALSE,VLOOKUP(B80,INDIRECT($F$8),8+(O93-1)*4,0),VLOOKUP(A80,INDIRECT($F$8),8+(O93-1)*4,0))</f>
        <v>#N/A</v>
      </c>
      <c r="J93" s="208"/>
      <c r="K93" s="208" t="e">
        <f ca="1">_xlfn.TEXTJOIN("/",FALSE,VLOOKUP(B80,INDIRECT($F$8),9+(O93-1)*4,0),VLOOKUP(A80,INDIRECT($F$8),9+(O93-1)*4,0))</f>
        <v>#N/A</v>
      </c>
      <c r="L93" s="208"/>
      <c r="M93" s="40" t="e">
        <f ca="1">VLOOKUP(B80,INDIRECT($F$8),10+(O93-1)*4,0)</f>
        <v>#N/A</v>
      </c>
      <c r="N93" s="41" t="e">
        <f t="shared" ca="1" si="28"/>
        <v>#N/A</v>
      </c>
      <c r="O93">
        <v>9</v>
      </c>
      <c r="P93" s="42">
        <f t="shared" ca="1" si="34"/>
        <v>21</v>
      </c>
      <c r="Q93" s="42">
        <f t="shared" ca="1" si="29"/>
        <v>0</v>
      </c>
      <c r="R93" s="42">
        <f t="shared" ca="1" si="30"/>
        <v>0</v>
      </c>
      <c r="S93" s="42">
        <f t="shared" ca="1" si="31"/>
        <v>25</v>
      </c>
      <c r="T93" s="42">
        <f t="shared" ca="1" si="32"/>
        <v>0</v>
      </c>
      <c r="U93" s="42">
        <f t="shared" ca="1" si="33"/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</row>
    <row r="94" spans="1:28" ht="12.75" customHeight="1" x14ac:dyDescent="0.15">
      <c r="A94" s="209" t="str">
        <f ca="1">IF(ISERROR(F80),"",A76)</f>
        <v/>
      </c>
      <c r="B94" s="209"/>
      <c r="C94" s="209"/>
      <c r="D94" s="209"/>
      <c r="E94" s="209"/>
      <c r="F94" s="43" t="str">
        <f ca="1">IF(ISERROR(F80),"",SUM(F85:F93))</f>
        <v/>
      </c>
      <c r="G94" s="209" t="str">
        <f ca="1">IF(ISERROR(F80),"",_xlfn.TEXTJOIN("/",TRUE,SUMIF(F85:F93,"&gt;0",P85:P93),SUMIF(F85:F93,"&gt;0",S85:S93)))</f>
        <v/>
      </c>
      <c r="H94" s="209"/>
      <c r="I94" s="209" t="str">
        <f ca="1">IF(ISERROR(F80),"",_xlfn.TEXTJOIN("/",TRUE,SUMIF(F85:F93,"&gt;0",Q85:Q93),SUMIF(F85:F93,"&gt;0",T85:T93)))</f>
        <v/>
      </c>
      <c r="J94" s="209"/>
      <c r="K94" s="209" t="str">
        <f ca="1">IF(ISERROR(F80),"",IF(ISERROR(F80),"",_xlfn.TEXTJOIN("/",TRUE,SUMIF(F85:F93,"&gt;0",R85:R93),SUMIF(F85:F93,"&gt;0",U85:U93))))</f>
        <v/>
      </c>
      <c r="L94" s="209"/>
      <c r="M94" s="210" t="str">
        <f ca="1">IF(ISERROR(F80),"",SUMPRODUCT(N85:N93,F85:F93))</f>
        <v/>
      </c>
      <c r="N94" s="210"/>
    </row>
    <row r="95" spans="1:28" ht="12.75" customHeight="1" x14ac:dyDescent="0.15">
      <c r="A95" s="210" t="str">
        <f ca="1">IF(ISERROR(F80),"",A77)</f>
        <v/>
      </c>
      <c r="B95" s="206">
        <f>BT!AU15</f>
        <v>0</v>
      </c>
      <c r="C95" s="206"/>
      <c r="D95" s="210" t="str">
        <f ca="1">IF(ISERROR(F80),"",D77)</f>
        <v/>
      </c>
      <c r="E95" s="206">
        <f>BT!AV15</f>
        <v>0</v>
      </c>
      <c r="F95" s="206"/>
      <c r="G95" s="210" t="str">
        <f ca="1">IF(ISERROR(F80),"",G77)</f>
        <v/>
      </c>
      <c r="H95" s="211">
        <f>BT!AR15</f>
        <v>0</v>
      </c>
      <c r="I95" s="210" t="str">
        <f ca="1">IF(ISERROR(F80),"",I77)</f>
        <v/>
      </c>
      <c r="J95" s="211">
        <f>BT!AS15</f>
        <v>0</v>
      </c>
      <c r="K95" s="206" t="str">
        <f ca="1">IF(ISERROR(F80),"",K77)</f>
        <v/>
      </c>
      <c r="L95" s="210">
        <f>BT!AT15</f>
        <v>0</v>
      </c>
      <c r="M95" s="206" t="str">
        <f ca="1">IF(ISERROR(F80),"",M77)</f>
        <v/>
      </c>
      <c r="N95" s="210">
        <f>BT!AW15</f>
        <v>0</v>
      </c>
      <c r="V95">
        <v>0</v>
      </c>
    </row>
    <row r="96" spans="1:28" ht="12.75" customHeight="1" x14ac:dyDescent="0.15">
      <c r="A96" s="210"/>
      <c r="B96" s="206"/>
      <c r="C96" s="206"/>
      <c r="D96" s="210"/>
      <c r="E96" s="206"/>
      <c r="F96" s="206"/>
      <c r="G96" s="210"/>
      <c r="H96" s="211"/>
      <c r="I96" s="210"/>
      <c r="J96" s="211"/>
      <c r="K96" s="206"/>
      <c r="L96" s="210"/>
      <c r="M96" s="206"/>
      <c r="N96" s="210"/>
    </row>
    <row r="97" spans="1:28" ht="12.75" customHeight="1" x14ac:dyDescent="0.15">
      <c r="A97" s="210"/>
      <c r="B97" s="206"/>
      <c r="C97" s="206"/>
      <c r="D97" s="210"/>
      <c r="E97" s="206"/>
      <c r="F97" s="206"/>
      <c r="G97" s="210"/>
      <c r="H97" s="211"/>
      <c r="I97" s="210"/>
      <c r="J97" s="211"/>
      <c r="K97" s="206"/>
      <c r="L97" s="210"/>
      <c r="M97" s="206"/>
      <c r="N97" s="210"/>
    </row>
    <row r="98" spans="1:28" ht="12.75" customHeight="1" x14ac:dyDescent="0.15">
      <c r="A98" s="38" t="s">
        <v>73</v>
      </c>
      <c r="B98" s="38">
        <f>B80+1</f>
        <v>6</v>
      </c>
      <c r="C98" s="38" t="s">
        <v>71</v>
      </c>
      <c r="D98" s="38" t="s">
        <v>72</v>
      </c>
      <c r="E98" s="38" t="s">
        <v>40</v>
      </c>
      <c r="F98" s="38" t="e">
        <f ca="1">VLOOKUP(B98,INDIRECT($F$8),4,0)</f>
        <v>#N/A</v>
      </c>
      <c r="G98" s="39"/>
      <c r="H98" s="39"/>
      <c r="I98" s="39"/>
      <c r="J98" s="39"/>
      <c r="K98" s="39"/>
      <c r="L98" s="39"/>
      <c r="M98" s="39"/>
      <c r="N98" s="39"/>
    </row>
    <row r="99" spans="1:28" ht="12.75" customHeight="1" x14ac:dyDescent="0.15">
      <c r="A99" s="204" t="str">
        <f ca="1">IF(ISERROR(F98),"",A81)</f>
        <v/>
      </c>
      <c r="B99" s="204" t="str">
        <f ca="1">IFERROR(VLOOKUP(B98,INDIRECT($F$8),5,0),"")</f>
        <v/>
      </c>
      <c r="C99" s="204"/>
      <c r="D99" s="204" t="str">
        <f ca="1">IF(ISERROR(F98),"",D81)</f>
        <v/>
      </c>
      <c r="E99" s="204" t="str">
        <f ca="1">IFERROR(VLOOKUP(B98,INDIRECT($F$8),6,0),"")</f>
        <v/>
      </c>
      <c r="F99" s="204"/>
      <c r="G99" s="204" t="str">
        <f ca="1">IF(ISERROR(F98),"",G81)</f>
        <v/>
      </c>
      <c r="H99" s="204"/>
      <c r="I99" s="205" t="str">
        <f ca="1">IFERROR(VLOOKUP(B98,INDIRECT($F$8),2,0),"")</f>
        <v/>
      </c>
      <c r="J99" s="205"/>
      <c r="K99" s="204" t="str">
        <f ca="1">IF(ISERROR(F98),"",K81)</f>
        <v/>
      </c>
      <c r="L99" s="204"/>
      <c r="M99" s="205" t="str">
        <f ca="1">IFERROR(IF(VLOOKUP(B98,INDIRECT($F$8),3,0)=0,"",VLOOKUP(B98,INDIRECT($F$8),3,0)),"")</f>
        <v/>
      </c>
      <c r="N99" s="205"/>
    </row>
    <row r="100" spans="1:28" ht="12.75" customHeight="1" x14ac:dyDescent="0.15">
      <c r="A100" s="204"/>
      <c r="B100" s="204"/>
      <c r="C100" s="204"/>
      <c r="D100" s="204"/>
      <c r="E100" s="204"/>
      <c r="F100" s="204"/>
      <c r="G100" s="204"/>
      <c r="H100" s="204"/>
      <c r="I100" s="205"/>
      <c r="J100" s="205"/>
      <c r="K100" s="204"/>
      <c r="L100" s="204"/>
      <c r="M100" s="205"/>
      <c r="N100" s="205"/>
    </row>
    <row r="101" spans="1:28" ht="12.75" customHeight="1" x14ac:dyDescent="0.15">
      <c r="A101" s="206" t="str">
        <f ca="1">IF(ISERROR(F98),"",A83)</f>
        <v/>
      </c>
      <c r="B101" s="206" t="str">
        <f ca="1">IF(ISERROR(F98),"",B83)</f>
        <v/>
      </c>
      <c r="C101" s="206"/>
      <c r="D101" s="206"/>
      <c r="E101" s="206"/>
      <c r="F101" s="206" t="str">
        <f ca="1">IF(ISERROR(F98),"",F83)</f>
        <v/>
      </c>
      <c r="G101" s="206" t="str">
        <f ca="1">IF(ISERROR(F98),"",G83)</f>
        <v/>
      </c>
      <c r="H101" s="206"/>
      <c r="I101" s="206" t="str">
        <f ca="1">IF(ISERROR(F98),"",I83)</f>
        <v/>
      </c>
      <c r="J101" s="206"/>
      <c r="K101" s="206" t="str">
        <f ca="1">IF(ISERROR(F98),"",K83)</f>
        <v/>
      </c>
      <c r="L101" s="206"/>
      <c r="M101" s="206" t="str">
        <f ca="1">IF(ISERROR(F98),"",M83)</f>
        <v/>
      </c>
      <c r="N101" s="206" t="str">
        <f ca="1">IF(ISERROR(F98),"",N83)</f>
        <v/>
      </c>
    </row>
    <row r="102" spans="1:28" ht="12.75" customHeight="1" x14ac:dyDescent="0.15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</row>
    <row r="103" spans="1:28" ht="12.75" customHeight="1" x14ac:dyDescent="0.15">
      <c r="A103" s="40" t="str">
        <f ca="1">IF(ISERROR(F98),"",VLOOKUP(C98,INDIRECT($F$8),7+(O103-1)*4,0))</f>
        <v/>
      </c>
      <c r="B103" s="207" t="str">
        <f ca="1">IF(ISERROR(F98),"",VLOOKUP(D98,INDIRECT($F$8),7+(O103-1)*4,0))</f>
        <v/>
      </c>
      <c r="C103" s="207"/>
      <c r="D103" s="207"/>
      <c r="E103" s="207"/>
      <c r="F103" s="40" t="str">
        <f ca="1">IF(ISERROR(F98),"",VLOOKUP(E98,INDIRECT($F$8),7+(O103-1)*4,0))</f>
        <v/>
      </c>
      <c r="G103" s="208" t="str">
        <f ca="1">IF(ISERROR(F98),"",_xlfn.TEXTJOIN("/",FALSE,VLOOKUP(B98,INDIRECT($F$8),7+(O103-1)*4),VLOOKUP(A98,INDIRECT($F$8),7+(O103-1)*4)))</f>
        <v/>
      </c>
      <c r="H103" s="208"/>
      <c r="I103" s="208" t="str">
        <f ca="1">IF(ISERROR(F98),"",_xlfn.TEXTJOIN("/",FALSE,VLOOKUP(B98,INDIRECT($F$8),8+(O103-1)*4,0),VLOOKUP(A98,INDIRECT($F$8),8+(O103-1)*4,0)))</f>
        <v/>
      </c>
      <c r="J103" s="208"/>
      <c r="K103" s="208" t="str">
        <f ca="1">IF(ISERROR(F98),"",_xlfn.TEXTJOIN("/",FALSE,VLOOKUP(B98,INDIRECT($F$8),9+(O103-1)*4),VLOOKUP(A98,INDIRECT($F$8),9+(O103-1)*4)))</f>
        <v/>
      </c>
      <c r="L103" s="208"/>
      <c r="M103" s="40" t="str">
        <f ca="1">IF(ISERROR(F98),"",VLOOKUP(B98,INDIRECT($F$8),10+(O103-1)*4,0))</f>
        <v/>
      </c>
      <c r="N103" s="41" t="str">
        <f t="shared" ref="N103:N111" ca="1" si="35">INDEX($W$2:$W$12,MATCH(M103,$V$2:$V$12,0))</f>
        <v/>
      </c>
      <c r="O103">
        <v>1</v>
      </c>
      <c r="P103" s="42">
        <f ca="1">IFERROR(VALUE(IFERROR(LEFT(G103,SEARCH("/",G103)-1),0)),"")</f>
        <v>0</v>
      </c>
      <c r="Q103" s="42">
        <f ca="1">IFERROR(VALUE(IFERROR(LEFT(I103,SEARCH("/",I103)-1),0)),"")</f>
        <v>0</v>
      </c>
      <c r="R103" s="42">
        <f ca="1">IFERROR(VALUE(IFERROR(LEFT(K103,SEARCH("/",K103)-1),0)),"")</f>
        <v>0</v>
      </c>
      <c r="S103" s="42">
        <f ca="1">VALUE(IFERROR(RIGHT(G103,LEN(G103)-SEARCH("/",G103)),0))</f>
        <v>0</v>
      </c>
      <c r="T103" s="42">
        <f ca="1">VALUE(IFERROR(RIGHT(I103,LEN(I103)-SEARCH("/",I103)),0))</f>
        <v>0</v>
      </c>
      <c r="U103" s="42">
        <f ca="1">VALUE(IFERROR(RIGHT(K103,LEN(K103)-SEARCH("/",K103)),0))</f>
        <v>0</v>
      </c>
    </row>
    <row r="104" spans="1:28" ht="12.75" customHeight="1" x14ac:dyDescent="0.15">
      <c r="A104" s="40" t="str">
        <f ca="1">IF(ISERROR(F98),"",VLOOKUP(C98,INDIRECT($F$8),7+(O104-1)*4,0))</f>
        <v/>
      </c>
      <c r="B104" s="207" t="str">
        <f ca="1">IF(ISERROR(F98),"",VLOOKUP(D98,INDIRECT($F$8),7+(O104-1)*4,0))</f>
        <v/>
      </c>
      <c r="C104" s="207"/>
      <c r="D104" s="207"/>
      <c r="E104" s="207"/>
      <c r="F104" s="40" t="str">
        <f ca="1">IF(ISERROR(F98),"",VLOOKUP(E98,INDIRECT($F$8),7+(O104-1)*4,0))</f>
        <v/>
      </c>
      <c r="G104" s="208" t="str">
        <f ca="1">IF(ISERROR(F98),"",_xlfn.TEXTJOIN("/",FALSE,VLOOKUP(B98,INDIRECT($F$8),7+(O104-1)*4),VLOOKUP(A98,INDIRECT($F$8),7+(O104-1)*4)))</f>
        <v/>
      </c>
      <c r="H104" s="208"/>
      <c r="I104" s="208" t="str">
        <f ca="1">IF(ISERROR(F98),"",_xlfn.TEXTJOIN("/",FALSE,VLOOKUP(B98,INDIRECT($F$8),8+(O104-1)*4),VLOOKUP(A98,INDIRECT($F$8),8+(O104-1)*4)))</f>
        <v/>
      </c>
      <c r="J104" s="208"/>
      <c r="K104" s="208" t="str">
        <f ca="1">IF(ISERROR(F98),"",_xlfn.TEXTJOIN("/",FALSE,VLOOKUP(B98,INDIRECT($F$8),9+(O104-1)*4),VLOOKUP(A98,INDIRECT($F$8),9+(O104-1)*4)))</f>
        <v/>
      </c>
      <c r="L104" s="208"/>
      <c r="M104" s="40" t="str">
        <f ca="1">IF(ISERROR(F98),"",VLOOKUP(B98,INDIRECT($F$8),10+(O104-1)*4,0))</f>
        <v/>
      </c>
      <c r="N104" s="41" t="str">
        <f t="shared" ca="1" si="35"/>
        <v/>
      </c>
      <c r="O104">
        <v>2</v>
      </c>
      <c r="P104" s="42">
        <f ca="1">IFERROR(VALUE(IFERROR(LEFT(G104,SEARCH("/",G104)-1),0)),"")</f>
        <v>0</v>
      </c>
      <c r="Q104" s="42">
        <f t="shared" ref="Q104:Q111" ca="1" si="36">IFERROR(VALUE(IFERROR(LEFT(I104,SEARCH("/",I104)-1),0)),"")</f>
        <v>0</v>
      </c>
      <c r="R104" s="42">
        <f t="shared" ref="R104:R111" ca="1" si="37">IFERROR(VALUE(IFERROR(LEFT(K104,SEARCH("/",K104)-1),0)),"")</f>
        <v>0</v>
      </c>
      <c r="S104" s="42">
        <f t="shared" ref="S104:S111" ca="1" si="38">VALUE(IFERROR(RIGHT(G104,LEN(G104)-SEARCH("/",G104)),0))</f>
        <v>0</v>
      </c>
      <c r="T104" s="42">
        <f t="shared" ref="T104:T111" ca="1" si="39">VALUE(IFERROR(RIGHT(I104,LEN(I104)-SEARCH("/",I104)),0))</f>
        <v>0</v>
      </c>
      <c r="U104" s="42">
        <f t="shared" ref="U104:U111" ca="1" si="40">VALUE(IFERROR(RIGHT(K104,LEN(K104)-SEARCH("/",K104)),0))</f>
        <v>0</v>
      </c>
    </row>
    <row r="105" spans="1:28" ht="12.75" customHeight="1" x14ac:dyDescent="0.15">
      <c r="A105" s="40" t="str">
        <f ca="1">IF(ISERROR(F98),"",VLOOKUP(C98,INDIRECT($F$8),7+(O105-1)*4,0))</f>
        <v/>
      </c>
      <c r="B105" s="207" t="str">
        <f ca="1">IF(ISERROR(F98),"",VLOOKUP(D98,INDIRECT($F$8),7+(O105-1)*4,0))</f>
        <v/>
      </c>
      <c r="C105" s="207"/>
      <c r="D105" s="207"/>
      <c r="E105" s="207"/>
      <c r="F105" s="40" t="str">
        <f ca="1">IF(ISERROR(F98),"",VLOOKUP(E98,INDIRECT($F$8),7+(O105-1)*4,0))</f>
        <v/>
      </c>
      <c r="G105" s="208" t="str">
        <f ca="1">IF(ISERROR(F98),"",_xlfn.TEXTJOIN("/",FALSE,VLOOKUP(B98,INDIRECT($F$8),7+(O105-1)*4),VLOOKUP(A98,INDIRECT($F$8),7+(O105-1)*4)))</f>
        <v/>
      </c>
      <c r="H105" s="208"/>
      <c r="I105" s="208" t="str">
        <f ca="1">IF(ISERROR(F98),"",_xlfn.TEXTJOIN("/",FALSE,VLOOKUP(B98,INDIRECT($F$8),8+(O105-1)*4),VLOOKUP(A98,INDIRECT($F$8),8+(O105-1)*4)))</f>
        <v/>
      </c>
      <c r="J105" s="208"/>
      <c r="K105" s="208" t="str">
        <f ca="1">IF(ISERROR(F98),"",_xlfn.TEXTJOIN("/",FALSE,VLOOKUP(B98,INDIRECT($F$8),9+(O105-1)*4),VLOOKUP(A98,INDIRECT($F$8),9+(O105-1)*4)))</f>
        <v/>
      </c>
      <c r="L105" s="208"/>
      <c r="M105" s="40" t="str">
        <f ca="1">IF(ISERROR(F98),"",VLOOKUP(B98,INDIRECT($F$8),10+(O105-1)*4,0))</f>
        <v/>
      </c>
      <c r="N105" s="41" t="str">
        <f t="shared" ca="1" si="35"/>
        <v/>
      </c>
      <c r="O105">
        <v>3</v>
      </c>
      <c r="P105" s="42">
        <f t="shared" ref="P105:P111" ca="1" si="41">IFERROR(VALUE(IFERROR(LEFT(G105,SEARCH("/",G105)-1),0)),"")</f>
        <v>0</v>
      </c>
      <c r="Q105" s="42">
        <f t="shared" ca="1" si="36"/>
        <v>0</v>
      </c>
      <c r="R105" s="42">
        <f t="shared" ca="1" si="37"/>
        <v>0</v>
      </c>
      <c r="S105" s="42">
        <f t="shared" ca="1" si="38"/>
        <v>0</v>
      </c>
      <c r="T105" s="42">
        <f t="shared" ca="1" si="39"/>
        <v>0</v>
      </c>
      <c r="U105" s="42">
        <f t="shared" ca="1" si="40"/>
        <v>0</v>
      </c>
    </row>
    <row r="106" spans="1:28" ht="12.75" customHeight="1" x14ac:dyDescent="0.15">
      <c r="A106" s="40" t="str">
        <f ca="1">IF(ISERROR(F98),"",VLOOKUP(C98,INDIRECT($F$8),7+(O106-1)*4,0))</f>
        <v/>
      </c>
      <c r="B106" s="207" t="str">
        <f ca="1">IF(ISERROR(F98),"",VLOOKUP(D98,INDIRECT($F$8),7+(O106-1)*4,0))</f>
        <v/>
      </c>
      <c r="C106" s="207"/>
      <c r="D106" s="207"/>
      <c r="E106" s="207"/>
      <c r="F106" s="40" t="str">
        <f ca="1">IF(ISERROR(F98),"",VLOOKUP(E98,INDIRECT($F$8),7+(O106-1)*4,0))</f>
        <v/>
      </c>
      <c r="G106" s="208" t="str">
        <f ca="1">IF(ISERROR(F98),"",_xlfn.TEXTJOIN("/",FALSE,VLOOKUP(B98,INDIRECT($F$8),7+(O106-1)*4),VLOOKUP(A98,INDIRECT($F$8),7+(O106-1)*4)))</f>
        <v/>
      </c>
      <c r="H106" s="208"/>
      <c r="I106" s="208" t="str">
        <f ca="1">IF(ISERROR(F98),"",_xlfn.TEXTJOIN("/",FALSE,VLOOKUP(B98,INDIRECT($F$8),8+(O106-1)*4),VLOOKUP(A98,INDIRECT($F$8),8+(O106-1)*4)))</f>
        <v/>
      </c>
      <c r="J106" s="208"/>
      <c r="K106" s="208" t="str">
        <f ca="1">IF(ISERROR(F98),"",_xlfn.TEXTJOIN("/",FALSE,VLOOKUP(B98,INDIRECT($F$8),9+(O106-1)*4),VLOOKUP(A98,INDIRECT($F$8),9+(O106-1)*4)))</f>
        <v/>
      </c>
      <c r="L106" s="208"/>
      <c r="M106" s="40" t="str">
        <f ca="1">IF(ISERROR(F98),"",VLOOKUP(B98,INDIRECT($F$8),10+(O106-1)*4,0))</f>
        <v/>
      </c>
      <c r="N106" s="41" t="str">
        <f t="shared" ca="1" si="35"/>
        <v/>
      </c>
      <c r="O106">
        <v>4</v>
      </c>
      <c r="P106" s="42">
        <f t="shared" ca="1" si="41"/>
        <v>0</v>
      </c>
      <c r="Q106" s="42">
        <f t="shared" ca="1" si="36"/>
        <v>0</v>
      </c>
      <c r="R106" s="42">
        <f t="shared" ca="1" si="37"/>
        <v>0</v>
      </c>
      <c r="S106" s="42">
        <f t="shared" ca="1" si="38"/>
        <v>0</v>
      </c>
      <c r="T106" s="42">
        <f t="shared" ca="1" si="39"/>
        <v>0</v>
      </c>
      <c r="U106" s="42">
        <f t="shared" ca="1" si="40"/>
        <v>0</v>
      </c>
    </row>
    <row r="107" spans="1:28" ht="12.75" customHeight="1" x14ac:dyDescent="0.15">
      <c r="A107" s="40" t="str">
        <f ca="1">IF(ISERROR(F98),"",VLOOKUP(C98,INDIRECT($F$8),7+(O107-1)*4,0))</f>
        <v/>
      </c>
      <c r="B107" s="207" t="str">
        <f ca="1">IF(ISERROR(F98),"",VLOOKUP(D98,INDIRECT($F$8),7+(O107-1)*4,0))</f>
        <v/>
      </c>
      <c r="C107" s="207"/>
      <c r="D107" s="207"/>
      <c r="E107" s="207"/>
      <c r="F107" s="40" t="str">
        <f ca="1">IF(ISERROR(F98),"",VLOOKUP(E98,INDIRECT($F$8),7+(O107-1)*4,0))</f>
        <v/>
      </c>
      <c r="G107" s="208" t="str">
        <f ca="1">IF(ISERROR(F98),"",_xlfn.TEXTJOIN("/",FALSE,VLOOKUP(B98,INDIRECT($F$8),7+(O107-1)*4),VLOOKUP(A98,INDIRECT($F$8),7+(O107-1)*4)))</f>
        <v/>
      </c>
      <c r="H107" s="208"/>
      <c r="I107" s="208" t="str">
        <f ca="1">IF(ISERROR(F98),"",_xlfn.TEXTJOIN("/",FALSE,VLOOKUP(B98,INDIRECT($F$8),8+(O107-1)*4),VLOOKUP(A98,INDIRECT($F$8),8+(O107-1)*4)))</f>
        <v/>
      </c>
      <c r="J107" s="208"/>
      <c r="K107" s="208" t="str">
        <f ca="1">IF(ISERROR(F98),"",_xlfn.TEXTJOIN("/",FALSE,VLOOKUP(B98,INDIRECT($F$8),9+(O107-1)*4),VLOOKUP(A98,INDIRECT($F$8),9+(O107-1)*4)))</f>
        <v/>
      </c>
      <c r="L107" s="208"/>
      <c r="M107" s="40" t="str">
        <f ca="1">IF(ISERROR(F98),"",VLOOKUP(B98,INDIRECT($F$8),10+(O107-1)*4,0))</f>
        <v/>
      </c>
      <c r="N107" s="41" t="str">
        <f t="shared" ca="1" si="35"/>
        <v/>
      </c>
      <c r="O107">
        <v>5</v>
      </c>
      <c r="P107" s="42">
        <f t="shared" ca="1" si="41"/>
        <v>0</v>
      </c>
      <c r="Q107" s="42">
        <f t="shared" ca="1" si="36"/>
        <v>0</v>
      </c>
      <c r="R107" s="42">
        <f t="shared" ca="1" si="37"/>
        <v>0</v>
      </c>
      <c r="S107" s="42">
        <f t="shared" ca="1" si="38"/>
        <v>0</v>
      </c>
      <c r="T107" s="42">
        <f t="shared" ca="1" si="39"/>
        <v>0</v>
      </c>
      <c r="U107" s="42">
        <f t="shared" ca="1" si="40"/>
        <v>0</v>
      </c>
    </row>
    <row r="108" spans="1:28" ht="12.75" customHeight="1" x14ac:dyDescent="0.15">
      <c r="A108" s="40" t="str">
        <f ca="1">IF(ISERROR(F98),"",VLOOKUP(C98,INDIRECT($F$8),7+(O108-1)*4,0))</f>
        <v/>
      </c>
      <c r="B108" s="207" t="str">
        <f ca="1">IF(ISERROR(F98),"",VLOOKUP(D98,INDIRECT($F$8),7+(O108-1)*4,0))</f>
        <v/>
      </c>
      <c r="C108" s="207"/>
      <c r="D108" s="207"/>
      <c r="E108" s="207"/>
      <c r="F108" s="40" t="str">
        <f ca="1">IF(ISERROR(F98),"",VLOOKUP(E98,INDIRECT($F$8),7+(O108-1)*4,0))</f>
        <v/>
      </c>
      <c r="G108" s="208" t="str">
        <f ca="1">IF(ISERROR(F98),"",_xlfn.TEXTJOIN("/",FALSE,VLOOKUP(B98,INDIRECT($F$8),7+(O108-1)*4),VLOOKUP(A98,INDIRECT($F$8),7+(O108-1)*4)))</f>
        <v/>
      </c>
      <c r="H108" s="208"/>
      <c r="I108" s="208" t="str">
        <f ca="1">IF(ISERROR(F98),"",_xlfn.TEXTJOIN("/",FALSE,VLOOKUP(B98,INDIRECT($F$8),8+(O108-1)*4),VLOOKUP(A98,INDIRECT($F$8),8+(O108-1)*4)))</f>
        <v/>
      </c>
      <c r="J108" s="208"/>
      <c r="K108" s="208" t="str">
        <f ca="1">IF(ISERROR(F98),"",_xlfn.TEXTJOIN("/",FALSE,VLOOKUP(B98,INDIRECT($F$8),9+(O108-1)*4),VLOOKUP(A98,INDIRECT($F$8),9+(O108-1)*4)))</f>
        <v/>
      </c>
      <c r="L108" s="208"/>
      <c r="M108" s="40" t="str">
        <f ca="1">IF(ISERROR(F98),"",VLOOKUP(B98,INDIRECT($F$8),10+(O108-1)*4,0))</f>
        <v/>
      </c>
      <c r="N108" s="41" t="str">
        <f t="shared" ca="1" si="35"/>
        <v/>
      </c>
      <c r="O108">
        <v>6</v>
      </c>
      <c r="P108" s="42">
        <f t="shared" ca="1" si="41"/>
        <v>0</v>
      </c>
      <c r="Q108" s="42">
        <f t="shared" ca="1" si="36"/>
        <v>0</v>
      </c>
      <c r="R108" s="42">
        <f t="shared" ca="1" si="37"/>
        <v>0</v>
      </c>
      <c r="S108" s="42">
        <f t="shared" ca="1" si="38"/>
        <v>0</v>
      </c>
      <c r="T108" s="42">
        <f t="shared" ca="1" si="39"/>
        <v>0</v>
      </c>
      <c r="U108" s="42">
        <f t="shared" ca="1" si="40"/>
        <v>0</v>
      </c>
    </row>
    <row r="109" spans="1:28" ht="12.75" customHeight="1" x14ac:dyDescent="0.15">
      <c r="A109" s="40" t="str">
        <f ca="1">VLOOKUP(C98,INDIRECT($F$8),7+(O109-1)*4,0)</f>
        <v>AHT 304</v>
      </c>
      <c r="B109" s="207" t="str">
        <f ca="1">VLOOKUP(D98,INDIRECT($F$8),7+(O109-1)*4,0)</f>
        <v xml:space="preserve">English for Research Writing ($) </v>
      </c>
      <c r="C109" s="207"/>
      <c r="D109" s="207"/>
      <c r="E109" s="207"/>
      <c r="F109" s="40">
        <f ca="1">VLOOKUP(E98,INDIRECT($F$8),7+(O109-1)*4,0)</f>
        <v>0</v>
      </c>
      <c r="G109" s="208" t="str">
        <f ca="1">_xlfn.TEXTJOIN("/",FALSE,VLOOKUP(B98,INDIRECT($F$8),7+(O109-1)*4),VLOOKUP(A98,INDIRECT($F$8),7+(O109-1)*4))</f>
        <v>69/100</v>
      </c>
      <c r="H109" s="208"/>
      <c r="I109" s="208" t="str">
        <f ca="1">_xlfn.TEXTJOIN("/",FALSE,VLOOKUP(B98,INDIRECT($F$8),8+(O109-1)*4)-Z109,VLOOKUP(A98,INDIRECT($F$8),8+(O109-1)*4-Z109))</f>
        <v>38/50</v>
      </c>
      <c r="J109" s="208"/>
      <c r="K109" s="208" t="str">
        <f ca="1">_xlfn.TEXTJOIN("/",FALSE,VLOOKUP(B98,INDIRECT($F$8),9+(O109-1)*4),VLOOKUP(A98,INDIRECT($F$8),9+(O109-1)*4))</f>
        <v>107/150</v>
      </c>
      <c r="L109" s="208"/>
      <c r="M109" s="40" t="e">
        <f ca="1">VLOOKUP(B98,INDIRECT($F$8),10+(O109-1)*4,0)</f>
        <v>#N/A</v>
      </c>
      <c r="N109" s="41" t="e">
        <f t="shared" ca="1" si="35"/>
        <v>#N/A</v>
      </c>
      <c r="O109">
        <v>7</v>
      </c>
      <c r="P109" s="42">
        <f t="shared" ca="1" si="41"/>
        <v>69</v>
      </c>
      <c r="Q109" s="42">
        <f t="shared" ca="1" si="36"/>
        <v>38</v>
      </c>
      <c r="R109" s="42">
        <f t="shared" ca="1" si="37"/>
        <v>107</v>
      </c>
      <c r="S109" s="42">
        <f t="shared" ca="1" si="38"/>
        <v>100</v>
      </c>
      <c r="T109" s="42">
        <f t="shared" ca="1" si="39"/>
        <v>50</v>
      </c>
      <c r="U109" s="42">
        <f t="shared" ca="1" si="40"/>
        <v>150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</row>
    <row r="110" spans="1:28" ht="12.75" customHeight="1" x14ac:dyDescent="0.15">
      <c r="A110" s="40" t="str">
        <f ca="1">VLOOKUP(C98,INDIRECT($F$8),7+(O110-1)*4,0)</f>
        <v>BTP 301</v>
      </c>
      <c r="B110" s="207" t="str">
        <f ca="1">VLOOKUP(D98,INDIRECT($F$8),7+(O110-1)*4,0)</f>
        <v>Biochemistry and Bioanalytical Techniques Lab  ( Lab-I)</v>
      </c>
      <c r="C110" s="207"/>
      <c r="D110" s="207"/>
      <c r="E110" s="207"/>
      <c r="F110" s="40">
        <f ca="1">VLOOKUP(E98,INDIRECT($F$8),7+(O110-1)*4,0)</f>
        <v>1</v>
      </c>
      <c r="G110" s="208" t="str">
        <f ca="1">_xlfn.TEXTJOIN("/",FALSE,VLOOKUP(B98,INDIRECT($F$8),7+(O110-1)*4),VLOOKUP(A98,INDIRECT($F$8),7+(O110-1)*4))</f>
        <v>20/25</v>
      </c>
      <c r="H110" s="208"/>
      <c r="I110" s="208" t="str">
        <f ca="1">_xlfn.TEXTJOIN("/",FALSE,VLOOKUP(B98,INDIRECT($F$8),8+(O110-1)*4),VLOOKUP(A98,INDIRECT($F$8),8+(O110-1)*4))</f>
        <v>21/25</v>
      </c>
      <c r="J110" s="208"/>
      <c r="K110" s="208" t="str">
        <f ca="1">_xlfn.TEXTJOIN("/",FALSE,VLOOKUP(B98,INDIRECT($F$8),9+(O110-1)*4),VLOOKUP(A98,INDIRECT($F$8),9+(O110-1)*4))</f>
        <v>41/50</v>
      </c>
      <c r="L110" s="208"/>
      <c r="M110" s="40" t="e">
        <f ca="1">VLOOKUP(B98,INDIRECT($F$8),10+(O110-1)*4,0)</f>
        <v>#N/A</v>
      </c>
      <c r="N110" s="41" t="e">
        <f t="shared" ca="1" si="35"/>
        <v>#N/A</v>
      </c>
      <c r="O110">
        <v>8</v>
      </c>
      <c r="P110" s="42">
        <f t="shared" ca="1" si="41"/>
        <v>20</v>
      </c>
      <c r="Q110" s="42">
        <f t="shared" ca="1" si="36"/>
        <v>21</v>
      </c>
      <c r="R110" s="42">
        <f t="shared" ca="1" si="37"/>
        <v>41</v>
      </c>
      <c r="S110" s="42">
        <f t="shared" ca="1" si="38"/>
        <v>25</v>
      </c>
      <c r="T110" s="42">
        <f t="shared" ca="1" si="39"/>
        <v>25</v>
      </c>
      <c r="U110" s="42">
        <f t="shared" ca="1" si="40"/>
        <v>50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</row>
    <row r="111" spans="1:28" ht="12.75" customHeight="1" x14ac:dyDescent="0.15">
      <c r="A111" s="40" t="str">
        <f ca="1">VLOOKUP(C98,INDIRECT($F$8),7+(O111-1)*4,0)</f>
        <v>BTP 302</v>
      </c>
      <c r="B111" s="207" t="str">
        <f ca="1">VLOOKUP(D98,INDIRECT($F$8),7+(O111-1)*4,0)</f>
        <v>Microbial Biotechnology/    Bioprocess Engg. Lab   (Lab-II )</v>
      </c>
      <c r="C111" s="207"/>
      <c r="D111" s="207"/>
      <c r="E111" s="207"/>
      <c r="F111" s="40">
        <f ca="1">VLOOKUP(E98,INDIRECT($F$8),7+(O111-1)*4,0)</f>
        <v>1</v>
      </c>
      <c r="G111" s="208" t="str">
        <f ca="1">_xlfn.TEXTJOIN("/",FALSE,VLOOKUP(B98,INDIRECT($F$8),7+(O111-1)*4),VLOOKUP(A98,INDIRECT($F$8),7+(O111-1)*4))</f>
        <v>21/25</v>
      </c>
      <c r="H111" s="208"/>
      <c r="I111" s="208" t="e">
        <f ca="1">_xlfn.TEXTJOIN("/",FALSE,VLOOKUP(B98,INDIRECT($F$8),8+(O111-1)*4,0),VLOOKUP(A98,INDIRECT($F$8),8+(O111-1)*4,0))</f>
        <v>#N/A</v>
      </c>
      <c r="J111" s="208"/>
      <c r="K111" s="208" t="e">
        <f ca="1">_xlfn.TEXTJOIN("/",FALSE,VLOOKUP(B98,INDIRECT($F$8),9+(O111-1)*4,0),VLOOKUP(A98,INDIRECT($F$8),9+(O111-1)*4,0))</f>
        <v>#N/A</v>
      </c>
      <c r="L111" s="208"/>
      <c r="M111" s="40" t="e">
        <f ca="1">VLOOKUP(B98,INDIRECT($F$8),10+(O111-1)*4,0)</f>
        <v>#N/A</v>
      </c>
      <c r="N111" s="41" t="e">
        <f t="shared" ca="1" si="35"/>
        <v>#N/A</v>
      </c>
      <c r="O111">
        <v>9</v>
      </c>
      <c r="P111" s="42">
        <f t="shared" ca="1" si="41"/>
        <v>21</v>
      </c>
      <c r="Q111" s="42">
        <f t="shared" ca="1" si="36"/>
        <v>0</v>
      </c>
      <c r="R111" s="42">
        <f t="shared" ca="1" si="37"/>
        <v>0</v>
      </c>
      <c r="S111" s="42">
        <f t="shared" ca="1" si="38"/>
        <v>25</v>
      </c>
      <c r="T111" s="42">
        <f t="shared" ca="1" si="39"/>
        <v>0</v>
      </c>
      <c r="U111" s="42">
        <f t="shared" ca="1" si="40"/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</row>
    <row r="112" spans="1:28" ht="12.75" customHeight="1" x14ac:dyDescent="0.15">
      <c r="A112" s="209" t="str">
        <f ca="1">IF(ISERROR(F98),"",A94)</f>
        <v/>
      </c>
      <c r="B112" s="209"/>
      <c r="C112" s="209"/>
      <c r="D112" s="209"/>
      <c r="E112" s="209"/>
      <c r="F112" s="43" t="str">
        <f ca="1">IF(ISERROR(F98),"",SUM(F103:F111))</f>
        <v/>
      </c>
      <c r="G112" s="209" t="str">
        <f ca="1">IF(ISERROR(F98),"",_xlfn.TEXTJOIN("/",TRUE,SUMIF(F103:F111,"&gt;0",P103:P111),SUMIF(F103:F111,"&gt;0",S103:S111)))</f>
        <v/>
      </c>
      <c r="H112" s="209"/>
      <c r="I112" s="209" t="str">
        <f ca="1">IF(ISERROR(F98),"",_xlfn.TEXTJOIN("/",TRUE,SUMIF(F103:F111,"&gt;0",Q103:Q111),SUMIF(F103:F111,"&gt;0",T103:T111)))</f>
        <v/>
      </c>
      <c r="J112" s="209"/>
      <c r="K112" s="209" t="str">
        <f ca="1">IF(ISERROR(F98),"",IF(ISERROR(F98),"",_xlfn.TEXTJOIN("/",TRUE,SUMIF(F103:F111,"&gt;0",R103:R111),SUMIF(F103:F111,"&gt;0",U103:U111))))</f>
        <v/>
      </c>
      <c r="L112" s="209"/>
      <c r="M112" s="210" t="str">
        <f ca="1">IF(ISERROR(F98),"",SUMPRODUCT(N103:N111,F103:F111))</f>
        <v/>
      </c>
      <c r="N112" s="210"/>
    </row>
    <row r="113" spans="1:28" ht="12.75" customHeight="1" x14ac:dyDescent="0.15">
      <c r="A113" s="210" t="str">
        <f ca="1">IF(ISERROR(F98),"",A95)</f>
        <v/>
      </c>
      <c r="B113" s="206">
        <f>BT!AU16</f>
        <v>0</v>
      </c>
      <c r="C113" s="206"/>
      <c r="D113" s="210" t="str">
        <f ca="1">IF(ISERROR(F98),"",D95)</f>
        <v/>
      </c>
      <c r="E113" s="206">
        <f>BT!AV16</f>
        <v>0</v>
      </c>
      <c r="F113" s="206"/>
      <c r="G113" s="210" t="str">
        <f ca="1">IF(ISERROR(F98),"",G95)</f>
        <v/>
      </c>
      <c r="H113" s="211">
        <f>BT!AR16</f>
        <v>0</v>
      </c>
      <c r="I113" s="210" t="str">
        <f ca="1">IF(ISERROR(F98),"",I95)</f>
        <v/>
      </c>
      <c r="J113" s="211">
        <f>BT!AS16</f>
        <v>0</v>
      </c>
      <c r="K113" s="206" t="str">
        <f ca="1">IF(ISERROR(F98),"",K95)</f>
        <v/>
      </c>
      <c r="L113" s="210">
        <f>BT!AT16</f>
        <v>0</v>
      </c>
      <c r="M113" s="206" t="str">
        <f ca="1">IF(ISERROR(F98),"",M95)</f>
        <v/>
      </c>
      <c r="N113" s="210">
        <f>BT!AW16</f>
        <v>0</v>
      </c>
      <c r="V113">
        <v>0</v>
      </c>
    </row>
    <row r="114" spans="1:28" ht="12.75" customHeight="1" x14ac:dyDescent="0.15">
      <c r="A114" s="210"/>
      <c r="B114" s="206"/>
      <c r="C114" s="206"/>
      <c r="D114" s="210"/>
      <c r="E114" s="206"/>
      <c r="F114" s="206"/>
      <c r="G114" s="210"/>
      <c r="H114" s="211"/>
      <c r="I114" s="210"/>
      <c r="J114" s="211"/>
      <c r="K114" s="206"/>
      <c r="L114" s="210"/>
      <c r="M114" s="206"/>
      <c r="N114" s="210"/>
    </row>
    <row r="115" spans="1:28" ht="12.75" customHeight="1" x14ac:dyDescent="0.15">
      <c r="A115" s="210"/>
      <c r="B115" s="206"/>
      <c r="C115" s="206"/>
      <c r="D115" s="210"/>
      <c r="E115" s="206"/>
      <c r="F115" s="206"/>
      <c r="G115" s="210"/>
      <c r="H115" s="211"/>
      <c r="I115" s="210"/>
      <c r="J115" s="211"/>
      <c r="K115" s="206"/>
      <c r="L115" s="210"/>
      <c r="M115" s="206"/>
      <c r="N115" s="210"/>
    </row>
    <row r="116" spans="1:28" ht="12.75" customHeight="1" x14ac:dyDescent="0.15">
      <c r="A116" s="38" t="s">
        <v>73</v>
      </c>
      <c r="B116" s="38">
        <f>B98+1</f>
        <v>7</v>
      </c>
      <c r="C116" s="38" t="s">
        <v>71</v>
      </c>
      <c r="D116" s="38" t="s">
        <v>72</v>
      </c>
      <c r="E116" s="38" t="s">
        <v>40</v>
      </c>
      <c r="F116" s="38" t="e">
        <f ca="1">VLOOKUP(B116,INDIRECT($F$8),4,0)</f>
        <v>#N/A</v>
      </c>
      <c r="G116" s="39"/>
      <c r="H116" s="39"/>
      <c r="I116" s="39"/>
      <c r="J116" s="39"/>
      <c r="K116" s="39"/>
      <c r="L116" s="39"/>
      <c r="M116" s="39"/>
      <c r="N116" s="39"/>
    </row>
    <row r="117" spans="1:28" ht="12.75" customHeight="1" x14ac:dyDescent="0.15">
      <c r="A117" s="204" t="str">
        <f ca="1">IF(ISERROR(F116),"",A99)</f>
        <v/>
      </c>
      <c r="B117" s="204" t="str">
        <f ca="1">IFERROR(VLOOKUP(B116,INDIRECT($F$8),5,0),"")</f>
        <v/>
      </c>
      <c r="C117" s="204"/>
      <c r="D117" s="204" t="str">
        <f ca="1">IF(ISERROR(F116),"",D99)</f>
        <v/>
      </c>
      <c r="E117" s="204" t="str">
        <f ca="1">IFERROR(VLOOKUP(B116,INDIRECT($F$8),6,0),"")</f>
        <v/>
      </c>
      <c r="F117" s="204"/>
      <c r="G117" s="204" t="str">
        <f ca="1">IF(ISERROR(F116),"",G99)</f>
        <v/>
      </c>
      <c r="H117" s="204"/>
      <c r="I117" s="205" t="str">
        <f ca="1">IFERROR(VLOOKUP(B116,INDIRECT($F$8),2,0),"")</f>
        <v/>
      </c>
      <c r="J117" s="205"/>
      <c r="K117" s="204" t="str">
        <f ca="1">IF(ISERROR(F116),"",K99)</f>
        <v/>
      </c>
      <c r="L117" s="204"/>
      <c r="M117" s="205" t="str">
        <f ca="1">IFERROR(IF(VLOOKUP(B116,INDIRECT($F$8),3,0)=0,"",VLOOKUP(B116,INDIRECT($F$8),3,0)),"")</f>
        <v/>
      </c>
      <c r="N117" s="205"/>
    </row>
    <row r="118" spans="1:28" ht="12.75" customHeight="1" x14ac:dyDescent="0.15">
      <c r="A118" s="204"/>
      <c r="B118" s="204"/>
      <c r="C118" s="204"/>
      <c r="D118" s="204"/>
      <c r="E118" s="204"/>
      <c r="F118" s="204"/>
      <c r="G118" s="204"/>
      <c r="H118" s="204"/>
      <c r="I118" s="205"/>
      <c r="J118" s="205"/>
      <c r="K118" s="204"/>
      <c r="L118" s="204"/>
      <c r="M118" s="205"/>
      <c r="N118" s="205"/>
    </row>
    <row r="119" spans="1:28" ht="12.75" customHeight="1" x14ac:dyDescent="0.15">
      <c r="A119" s="206" t="str">
        <f ca="1">IF(ISERROR(F116),"",A101)</f>
        <v/>
      </c>
      <c r="B119" s="206" t="str">
        <f ca="1">IF(ISERROR(F116),"",B101)</f>
        <v/>
      </c>
      <c r="C119" s="206"/>
      <c r="D119" s="206"/>
      <c r="E119" s="206"/>
      <c r="F119" s="206" t="str">
        <f ca="1">IF(ISERROR(F116),"",F101)</f>
        <v/>
      </c>
      <c r="G119" s="206" t="str">
        <f ca="1">IF(ISERROR(F116),"",G101)</f>
        <v/>
      </c>
      <c r="H119" s="206"/>
      <c r="I119" s="206" t="str">
        <f ca="1">IF(ISERROR(F116),"",I101)</f>
        <v/>
      </c>
      <c r="J119" s="206"/>
      <c r="K119" s="206" t="str">
        <f ca="1">IF(ISERROR(F116),"",K101)</f>
        <v/>
      </c>
      <c r="L119" s="206"/>
      <c r="M119" s="206" t="str">
        <f ca="1">IF(ISERROR(F116),"",M101)</f>
        <v/>
      </c>
      <c r="N119" s="206" t="str">
        <f ca="1">IF(ISERROR(F116),"",N101)</f>
        <v/>
      </c>
    </row>
    <row r="120" spans="1:28" ht="12.75" customHeight="1" x14ac:dyDescent="0.15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</row>
    <row r="121" spans="1:28" ht="12.75" customHeight="1" x14ac:dyDescent="0.15">
      <c r="A121" s="40" t="str">
        <f ca="1">IF(ISERROR(F116),"",VLOOKUP(C116,INDIRECT($F$8),7+(O121-1)*4,0))</f>
        <v/>
      </c>
      <c r="B121" s="207" t="str">
        <f ca="1">IF(ISERROR(F116),"",VLOOKUP(D116,INDIRECT($F$8),7+(O121-1)*4,0))</f>
        <v/>
      </c>
      <c r="C121" s="207"/>
      <c r="D121" s="207"/>
      <c r="E121" s="207"/>
      <c r="F121" s="40" t="str">
        <f ca="1">IF(ISERROR(F116),"",VLOOKUP(E116,INDIRECT($F$8),7+(O121-1)*4,0))</f>
        <v/>
      </c>
      <c r="G121" s="208" t="str">
        <f ca="1">IF(ISERROR(F116),"",_xlfn.TEXTJOIN("/",FALSE,VLOOKUP(B116,INDIRECT($F$8),7+(O121-1)*4),VLOOKUP(A116,INDIRECT($F$8),7+(O121-1)*4)))</f>
        <v/>
      </c>
      <c r="H121" s="208"/>
      <c r="I121" s="208" t="str">
        <f ca="1">IF(ISERROR(F116),"",_xlfn.TEXTJOIN("/",FALSE,VLOOKUP(B116,INDIRECT($F$8),8+(O121-1)*4,0),VLOOKUP(A116,INDIRECT($F$8),8+(O121-1)*4,0)))</f>
        <v/>
      </c>
      <c r="J121" s="208"/>
      <c r="K121" s="208" t="str">
        <f ca="1">IF(ISERROR(F116),"",_xlfn.TEXTJOIN("/",FALSE,VLOOKUP(B116,INDIRECT($F$8),9+(O121-1)*4),VLOOKUP(A116,INDIRECT($F$8),9+(O121-1)*4)))</f>
        <v/>
      </c>
      <c r="L121" s="208"/>
      <c r="M121" s="40" t="str">
        <f ca="1">IF(ISERROR(F116),"",VLOOKUP(B116,INDIRECT($F$8),10+(O121-1)*4,0))</f>
        <v/>
      </c>
      <c r="N121" s="41" t="str">
        <f t="shared" ref="N121:N129" ca="1" si="42">INDEX($W$2:$W$12,MATCH(M121,$V$2:$V$12,0))</f>
        <v/>
      </c>
      <c r="O121">
        <v>1</v>
      </c>
      <c r="P121" s="42">
        <f ca="1">IFERROR(VALUE(IFERROR(LEFT(G121,SEARCH("/",G121)-1),0)),"")</f>
        <v>0</v>
      </c>
      <c r="Q121" s="42">
        <f ca="1">IFERROR(VALUE(IFERROR(LEFT(I121,SEARCH("/",I121)-1),0)),"")</f>
        <v>0</v>
      </c>
      <c r="R121" s="42">
        <f ca="1">IFERROR(VALUE(IFERROR(LEFT(K121,SEARCH("/",K121)-1),0)),"")</f>
        <v>0</v>
      </c>
      <c r="S121" s="42">
        <f ca="1">VALUE(IFERROR(RIGHT(G121,LEN(G121)-SEARCH("/",G121)),0))</f>
        <v>0</v>
      </c>
      <c r="T121" s="42">
        <f ca="1">VALUE(IFERROR(RIGHT(I121,LEN(I121)-SEARCH("/",I121)),0))</f>
        <v>0</v>
      </c>
      <c r="U121" s="42">
        <f ca="1">VALUE(IFERROR(RIGHT(K121,LEN(K121)-SEARCH("/",K121)),0))</f>
        <v>0</v>
      </c>
    </row>
    <row r="122" spans="1:28" ht="12.75" customHeight="1" x14ac:dyDescent="0.15">
      <c r="A122" s="40" t="str">
        <f ca="1">IF(ISERROR(F116),"",VLOOKUP(C116,INDIRECT($F$8),7+(O122-1)*4,0))</f>
        <v/>
      </c>
      <c r="B122" s="207" t="str">
        <f ca="1">IF(ISERROR(F116),"",VLOOKUP(D116,INDIRECT($F$8),7+(O122-1)*4,0))</f>
        <v/>
      </c>
      <c r="C122" s="207"/>
      <c r="D122" s="207"/>
      <c r="E122" s="207"/>
      <c r="F122" s="40" t="str">
        <f ca="1">IF(ISERROR(F116),"",VLOOKUP(E116,INDIRECT($F$8),7+(O122-1)*4,0))</f>
        <v/>
      </c>
      <c r="G122" s="208" t="str">
        <f ca="1">IF(ISERROR(F116),"",_xlfn.TEXTJOIN("/",FALSE,VLOOKUP(B116,INDIRECT($F$8),7+(O122-1)*4),VLOOKUP(A116,INDIRECT($F$8),7+(O122-1)*4)))</f>
        <v/>
      </c>
      <c r="H122" s="208"/>
      <c r="I122" s="208" t="str">
        <f ca="1">IF(ISERROR(F116),"",_xlfn.TEXTJOIN("/",FALSE,VLOOKUP(B116,INDIRECT($F$8),8+(O122-1)*4),VLOOKUP(A116,INDIRECT($F$8),8+(O122-1)*4)))</f>
        <v/>
      </c>
      <c r="J122" s="208"/>
      <c r="K122" s="208" t="str">
        <f ca="1">IF(ISERROR(F116),"",_xlfn.TEXTJOIN("/",FALSE,VLOOKUP(B116,INDIRECT($F$8),9+(O122-1)*4),VLOOKUP(A116,INDIRECT($F$8),9+(O122-1)*4)))</f>
        <v/>
      </c>
      <c r="L122" s="208"/>
      <c r="M122" s="40" t="str">
        <f ca="1">IF(ISERROR(F116),"",VLOOKUP(B116,INDIRECT($F$8),10+(O122-1)*4,0))</f>
        <v/>
      </c>
      <c r="N122" s="41" t="str">
        <f t="shared" ca="1" si="42"/>
        <v/>
      </c>
      <c r="O122">
        <v>2</v>
      </c>
      <c r="P122" s="42">
        <f ca="1">IFERROR(VALUE(IFERROR(LEFT(G122,SEARCH("/",G122)-1),0)),"")</f>
        <v>0</v>
      </c>
      <c r="Q122" s="42">
        <f t="shared" ref="Q122:Q129" ca="1" si="43">IFERROR(VALUE(IFERROR(LEFT(I122,SEARCH("/",I122)-1),0)),"")</f>
        <v>0</v>
      </c>
      <c r="R122" s="42">
        <f t="shared" ref="R122:R129" ca="1" si="44">IFERROR(VALUE(IFERROR(LEFT(K122,SEARCH("/",K122)-1),0)),"")</f>
        <v>0</v>
      </c>
      <c r="S122" s="42">
        <f t="shared" ref="S122:S129" ca="1" si="45">VALUE(IFERROR(RIGHT(G122,LEN(G122)-SEARCH("/",G122)),0))</f>
        <v>0</v>
      </c>
      <c r="T122" s="42">
        <f t="shared" ref="T122:T129" ca="1" si="46">VALUE(IFERROR(RIGHT(I122,LEN(I122)-SEARCH("/",I122)),0))</f>
        <v>0</v>
      </c>
      <c r="U122" s="42">
        <f t="shared" ref="U122:U129" ca="1" si="47">VALUE(IFERROR(RIGHT(K122,LEN(K122)-SEARCH("/",K122)),0))</f>
        <v>0</v>
      </c>
    </row>
    <row r="123" spans="1:28" ht="12.75" customHeight="1" x14ac:dyDescent="0.15">
      <c r="A123" s="40" t="str">
        <f ca="1">IF(ISERROR(F116),"",VLOOKUP(C116,INDIRECT($F$8),7+(O123-1)*4,0))</f>
        <v/>
      </c>
      <c r="B123" s="207" t="str">
        <f ca="1">IF(ISERROR(F116),"",VLOOKUP(D116,INDIRECT($F$8),7+(O123-1)*4,0))</f>
        <v/>
      </c>
      <c r="C123" s="207"/>
      <c r="D123" s="207"/>
      <c r="E123" s="207"/>
      <c r="F123" s="40" t="str">
        <f ca="1">IF(ISERROR(F116),"",VLOOKUP(E116,INDIRECT($F$8),7+(O123-1)*4,0))</f>
        <v/>
      </c>
      <c r="G123" s="208" t="str">
        <f ca="1">IF(ISERROR(F116),"",_xlfn.TEXTJOIN("/",FALSE,VLOOKUP(B116,INDIRECT($F$8),7+(O123-1)*4),VLOOKUP(A116,INDIRECT($F$8),7+(O123-1)*4)))</f>
        <v/>
      </c>
      <c r="H123" s="208"/>
      <c r="I123" s="208" t="str">
        <f ca="1">IF(ISERROR(F116),"",_xlfn.TEXTJOIN("/",FALSE,VLOOKUP(B116,INDIRECT($F$8),8+(O123-1)*4),VLOOKUP(A116,INDIRECT($F$8),8+(O123-1)*4)))</f>
        <v/>
      </c>
      <c r="J123" s="208"/>
      <c r="K123" s="208" t="str">
        <f ca="1">IF(ISERROR(F116),"",_xlfn.TEXTJOIN("/",FALSE,VLOOKUP(B116,INDIRECT($F$8),9+(O123-1)*4),VLOOKUP(A116,INDIRECT($F$8),9+(O123-1)*4)))</f>
        <v/>
      </c>
      <c r="L123" s="208"/>
      <c r="M123" s="40" t="str">
        <f ca="1">IF(ISERROR(F116),"",VLOOKUP(B116,INDIRECT($F$8),10+(O123-1)*4,0))</f>
        <v/>
      </c>
      <c r="N123" s="41" t="str">
        <f t="shared" ca="1" si="42"/>
        <v/>
      </c>
      <c r="O123">
        <v>3</v>
      </c>
      <c r="P123" s="42">
        <f t="shared" ref="P123:P129" ca="1" si="48">IFERROR(VALUE(IFERROR(LEFT(G123,SEARCH("/",G123)-1),0)),"")</f>
        <v>0</v>
      </c>
      <c r="Q123" s="42">
        <f t="shared" ca="1" si="43"/>
        <v>0</v>
      </c>
      <c r="R123" s="42">
        <f t="shared" ca="1" si="44"/>
        <v>0</v>
      </c>
      <c r="S123" s="42">
        <f t="shared" ca="1" si="45"/>
        <v>0</v>
      </c>
      <c r="T123" s="42">
        <f t="shared" ca="1" si="46"/>
        <v>0</v>
      </c>
      <c r="U123" s="42">
        <f t="shared" ca="1" si="47"/>
        <v>0</v>
      </c>
    </row>
    <row r="124" spans="1:28" ht="12.75" customHeight="1" x14ac:dyDescent="0.15">
      <c r="A124" s="40" t="str">
        <f ca="1">IF(ISERROR(F116),"",VLOOKUP(C116,INDIRECT($F$8),7+(O124-1)*4,0))</f>
        <v/>
      </c>
      <c r="B124" s="207" t="str">
        <f ca="1">IF(ISERROR(F116),"",VLOOKUP(D116,INDIRECT($F$8),7+(O124-1)*4,0))</f>
        <v/>
      </c>
      <c r="C124" s="207"/>
      <c r="D124" s="207"/>
      <c r="E124" s="207"/>
      <c r="F124" s="40" t="str">
        <f ca="1">IF(ISERROR(F116),"",VLOOKUP(E116,INDIRECT($F$8),7+(O124-1)*4,0))</f>
        <v/>
      </c>
      <c r="G124" s="208" t="str">
        <f ca="1">IF(ISERROR(F116),"",_xlfn.TEXTJOIN("/",FALSE,VLOOKUP(B116,INDIRECT($F$8),7+(O124-1)*4),VLOOKUP(A116,INDIRECT($F$8),7+(O124-1)*4)))</f>
        <v/>
      </c>
      <c r="H124" s="208"/>
      <c r="I124" s="208" t="str">
        <f ca="1">IF(ISERROR(F116),"",_xlfn.TEXTJOIN("/",FALSE,VLOOKUP(B116,INDIRECT($F$8),8+(O124-1)*4),VLOOKUP(A116,INDIRECT($F$8),8+(O124-1)*4)))</f>
        <v/>
      </c>
      <c r="J124" s="208"/>
      <c r="K124" s="208" t="str">
        <f ca="1">IF(ISERROR(F116),"",_xlfn.TEXTJOIN("/",FALSE,VLOOKUP(B116,INDIRECT($F$8),9+(O124-1)*4),VLOOKUP(A116,INDIRECT($F$8),9+(O124-1)*4)))</f>
        <v/>
      </c>
      <c r="L124" s="208"/>
      <c r="M124" s="40" t="str">
        <f ca="1">IF(ISERROR(F116),"",VLOOKUP(B116,INDIRECT($F$8),10+(O124-1)*4,0))</f>
        <v/>
      </c>
      <c r="N124" s="41" t="str">
        <f t="shared" ca="1" si="42"/>
        <v/>
      </c>
      <c r="O124">
        <v>4</v>
      </c>
      <c r="P124" s="42">
        <f t="shared" ca="1" si="48"/>
        <v>0</v>
      </c>
      <c r="Q124" s="42">
        <f t="shared" ca="1" si="43"/>
        <v>0</v>
      </c>
      <c r="R124" s="42">
        <f t="shared" ca="1" si="44"/>
        <v>0</v>
      </c>
      <c r="S124" s="42">
        <f t="shared" ca="1" si="45"/>
        <v>0</v>
      </c>
      <c r="T124" s="42">
        <f t="shared" ca="1" si="46"/>
        <v>0</v>
      </c>
      <c r="U124" s="42">
        <f t="shared" ca="1" si="47"/>
        <v>0</v>
      </c>
    </row>
    <row r="125" spans="1:28" ht="12.75" customHeight="1" x14ac:dyDescent="0.15">
      <c r="A125" s="40" t="str">
        <f ca="1">IF(ISERROR(F116),"",VLOOKUP(C116,INDIRECT($F$8),7+(O125-1)*4,0))</f>
        <v/>
      </c>
      <c r="B125" s="207" t="str">
        <f ca="1">IF(ISERROR(F116),"",VLOOKUP(D116,INDIRECT($F$8),7+(O125-1)*4,0))</f>
        <v/>
      </c>
      <c r="C125" s="207"/>
      <c r="D125" s="207"/>
      <c r="E125" s="207"/>
      <c r="F125" s="40" t="str">
        <f ca="1">IF(ISERROR(F116),"",VLOOKUP(E116,INDIRECT($F$8),7+(O125-1)*4,0))</f>
        <v/>
      </c>
      <c r="G125" s="208" t="str">
        <f ca="1">IF(ISERROR(F116),"",_xlfn.TEXTJOIN("/",FALSE,VLOOKUP(B116,INDIRECT($F$8),7+(O125-1)*4),VLOOKUP(A116,INDIRECT($F$8),7+(O125-1)*4)))</f>
        <v/>
      </c>
      <c r="H125" s="208"/>
      <c r="I125" s="208" t="str">
        <f ca="1">IF(ISERROR(F116),"",_xlfn.TEXTJOIN("/",FALSE,VLOOKUP(B116,INDIRECT($F$8),8+(O125-1)*4),VLOOKUP(A116,INDIRECT($F$8),8+(O125-1)*4)))</f>
        <v/>
      </c>
      <c r="J125" s="208"/>
      <c r="K125" s="208" t="str">
        <f ca="1">IF(ISERROR(F116),"",_xlfn.TEXTJOIN("/",FALSE,VLOOKUP(B116,INDIRECT($F$8),9+(O125-1)*4),VLOOKUP(A116,INDIRECT($F$8),9+(O125-1)*4)))</f>
        <v/>
      </c>
      <c r="L125" s="208"/>
      <c r="M125" s="40" t="str">
        <f ca="1">IF(ISERROR(F116),"",VLOOKUP(B116,INDIRECT($F$8),10+(O125-1)*4,0))</f>
        <v/>
      </c>
      <c r="N125" s="41" t="str">
        <f t="shared" ca="1" si="42"/>
        <v/>
      </c>
      <c r="O125">
        <v>5</v>
      </c>
      <c r="P125" s="42">
        <f t="shared" ca="1" si="48"/>
        <v>0</v>
      </c>
      <c r="Q125" s="42">
        <f t="shared" ca="1" si="43"/>
        <v>0</v>
      </c>
      <c r="R125" s="42">
        <f t="shared" ca="1" si="44"/>
        <v>0</v>
      </c>
      <c r="S125" s="42">
        <f t="shared" ca="1" si="45"/>
        <v>0</v>
      </c>
      <c r="T125" s="42">
        <f t="shared" ca="1" si="46"/>
        <v>0</v>
      </c>
      <c r="U125" s="42">
        <f t="shared" ca="1" si="47"/>
        <v>0</v>
      </c>
    </row>
    <row r="126" spans="1:28" ht="12.75" customHeight="1" x14ac:dyDescent="0.15">
      <c r="A126" s="40" t="str">
        <f ca="1">IF(ISERROR(F116),"",VLOOKUP(C116,INDIRECT($F$8),7+(O126-1)*4,0))</f>
        <v/>
      </c>
      <c r="B126" s="207" t="str">
        <f ca="1">IF(ISERROR(F116),"",VLOOKUP(D116,INDIRECT($F$8),7+(O126-1)*4,0))</f>
        <v/>
      </c>
      <c r="C126" s="207"/>
      <c r="D126" s="207"/>
      <c r="E126" s="207"/>
      <c r="F126" s="40" t="str">
        <f ca="1">IF(ISERROR(F116),"",VLOOKUP(E116,INDIRECT($F$8),7+(O126-1)*4,0))</f>
        <v/>
      </c>
      <c r="G126" s="208" t="str">
        <f ca="1">IF(ISERROR(F116),"",_xlfn.TEXTJOIN("/",FALSE,VLOOKUP(B116,INDIRECT($F$8),7+(O126-1)*4),VLOOKUP(A116,INDIRECT($F$8),7+(O126-1)*4)))</f>
        <v/>
      </c>
      <c r="H126" s="208"/>
      <c r="I126" s="208" t="str">
        <f ca="1">IF(ISERROR(F116),"",_xlfn.TEXTJOIN("/",FALSE,VLOOKUP(B116,INDIRECT($F$8),8+(O126-1)*4),VLOOKUP(A116,INDIRECT($F$8),8+(O126-1)*4)))</f>
        <v/>
      </c>
      <c r="J126" s="208"/>
      <c r="K126" s="208" t="str">
        <f ca="1">IF(ISERROR(F116),"",_xlfn.TEXTJOIN("/",FALSE,VLOOKUP(B116,INDIRECT($F$8),9+(O126-1)*4),VLOOKUP(A116,INDIRECT($F$8),9+(O126-1)*4)))</f>
        <v/>
      </c>
      <c r="L126" s="208"/>
      <c r="M126" s="40" t="str">
        <f ca="1">IF(ISERROR(F116),"",VLOOKUP(B116,INDIRECT($F$8),10+(O126-1)*4,0))</f>
        <v/>
      </c>
      <c r="N126" s="41" t="str">
        <f t="shared" ca="1" si="42"/>
        <v/>
      </c>
      <c r="O126">
        <v>6</v>
      </c>
      <c r="P126" s="42">
        <f t="shared" ca="1" si="48"/>
        <v>0</v>
      </c>
      <c r="Q126" s="42">
        <f t="shared" ca="1" si="43"/>
        <v>0</v>
      </c>
      <c r="R126" s="42">
        <f t="shared" ca="1" si="44"/>
        <v>0</v>
      </c>
      <c r="S126" s="42">
        <f t="shared" ca="1" si="45"/>
        <v>0</v>
      </c>
      <c r="T126" s="42">
        <f t="shared" ca="1" si="46"/>
        <v>0</v>
      </c>
      <c r="U126" s="42">
        <f t="shared" ca="1" si="47"/>
        <v>0</v>
      </c>
    </row>
    <row r="127" spans="1:28" ht="12.75" customHeight="1" x14ac:dyDescent="0.15">
      <c r="A127" s="40" t="str">
        <f ca="1">VLOOKUP(C116,INDIRECT($F$8),7+(O127-1)*4,0)</f>
        <v>AHT 304</v>
      </c>
      <c r="B127" s="207" t="str">
        <f ca="1">VLOOKUP(D116,INDIRECT($F$8),7+(O127-1)*4,0)</f>
        <v xml:space="preserve">English for Research Writing ($) </v>
      </c>
      <c r="C127" s="207"/>
      <c r="D127" s="207"/>
      <c r="E127" s="207"/>
      <c r="F127" s="40">
        <f ca="1">VLOOKUP(E116,INDIRECT($F$8),7+(O127-1)*4,0)</f>
        <v>0</v>
      </c>
      <c r="G127" s="208" t="str">
        <f ca="1">_xlfn.TEXTJOIN("/",FALSE,VLOOKUP(B116,INDIRECT($F$8),7+(O127-1)*4),VLOOKUP(A116,INDIRECT($F$8),7+(O127-1)*4))</f>
        <v>69/100</v>
      </c>
      <c r="H127" s="208"/>
      <c r="I127" s="208" t="str">
        <f ca="1">_xlfn.TEXTJOIN("/",FALSE,VLOOKUP(B116,INDIRECT($F$8),8+(O127-1)*4)-Z127,VLOOKUP(A116,INDIRECT($F$8),8+(O127-1)*4-Z127))</f>
        <v>38/50</v>
      </c>
      <c r="J127" s="208"/>
      <c r="K127" s="208" t="str">
        <f ca="1">_xlfn.TEXTJOIN("/",FALSE,VLOOKUP(B116,INDIRECT($F$8),9+(O127-1)*4),VLOOKUP(A116,INDIRECT($F$8),9+(O127-1)*4))</f>
        <v>107/150</v>
      </c>
      <c r="L127" s="208"/>
      <c r="M127" s="40" t="e">
        <f ca="1">VLOOKUP(B116,INDIRECT($F$8),10+(O127-1)*4,0)</f>
        <v>#N/A</v>
      </c>
      <c r="N127" s="41" t="e">
        <f t="shared" ca="1" si="42"/>
        <v>#N/A</v>
      </c>
      <c r="O127">
        <v>7</v>
      </c>
      <c r="P127" s="42">
        <f t="shared" ca="1" si="48"/>
        <v>69</v>
      </c>
      <c r="Q127" s="42">
        <f t="shared" ca="1" si="43"/>
        <v>38</v>
      </c>
      <c r="R127" s="42">
        <f t="shared" ca="1" si="44"/>
        <v>107</v>
      </c>
      <c r="S127" s="42">
        <f t="shared" ca="1" si="45"/>
        <v>100</v>
      </c>
      <c r="T127" s="42">
        <f t="shared" ca="1" si="46"/>
        <v>50</v>
      </c>
      <c r="U127" s="42">
        <f t="shared" ca="1" si="47"/>
        <v>150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1</v>
      </c>
    </row>
    <row r="128" spans="1:28" ht="12.75" customHeight="1" x14ac:dyDescent="0.15">
      <c r="A128" s="40" t="str">
        <f ca="1">VLOOKUP(C116,INDIRECT($F$8),7+(O128-1)*4,0)</f>
        <v>BTP 301</v>
      </c>
      <c r="B128" s="207" t="str">
        <f ca="1">VLOOKUP(D116,INDIRECT($F$8),7+(O128-1)*4,0)</f>
        <v>Biochemistry and Bioanalytical Techniques Lab  ( Lab-I)</v>
      </c>
      <c r="C128" s="207"/>
      <c r="D128" s="207"/>
      <c r="E128" s="207"/>
      <c r="F128" s="40">
        <f ca="1">VLOOKUP(E116,INDIRECT($F$8),7+(O128-1)*4,0)</f>
        <v>1</v>
      </c>
      <c r="G128" s="208" t="str">
        <f ca="1">_xlfn.TEXTJOIN("/",FALSE,VLOOKUP(B116,INDIRECT($F$8),7+(O128-1)*4),VLOOKUP(A116,INDIRECT($F$8),7+(O128-1)*4))</f>
        <v>20/25</v>
      </c>
      <c r="H128" s="208"/>
      <c r="I128" s="208" t="str">
        <f ca="1">_xlfn.TEXTJOIN("/",FALSE,VLOOKUP(B116,INDIRECT($F$8),8+(O128-1)*4),VLOOKUP(A116,INDIRECT($F$8),8+(O128-1)*4))</f>
        <v>21/25</v>
      </c>
      <c r="J128" s="208"/>
      <c r="K128" s="208" t="str">
        <f ca="1">_xlfn.TEXTJOIN("/",FALSE,VLOOKUP(B116,INDIRECT($F$8),9+(O128-1)*4),VLOOKUP(A116,INDIRECT($F$8),9+(O128-1)*4))</f>
        <v>41/50</v>
      </c>
      <c r="L128" s="208"/>
      <c r="M128" s="40" t="e">
        <f ca="1">VLOOKUP(B116,INDIRECT($F$8),10+(O128-1)*4,0)</f>
        <v>#N/A</v>
      </c>
      <c r="N128" s="41" t="e">
        <f t="shared" ca="1" si="42"/>
        <v>#N/A</v>
      </c>
      <c r="O128">
        <v>8</v>
      </c>
      <c r="P128" s="42">
        <f t="shared" ca="1" si="48"/>
        <v>20</v>
      </c>
      <c r="Q128" s="42">
        <f t="shared" ca="1" si="43"/>
        <v>21</v>
      </c>
      <c r="R128" s="42">
        <f t="shared" ca="1" si="44"/>
        <v>41</v>
      </c>
      <c r="S128" s="42">
        <f t="shared" ca="1" si="45"/>
        <v>25</v>
      </c>
      <c r="T128" s="42">
        <f t="shared" ca="1" si="46"/>
        <v>25</v>
      </c>
      <c r="U128" s="42">
        <f t="shared" ca="1" si="47"/>
        <v>50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</row>
    <row r="129" spans="1:28" ht="12.75" customHeight="1" x14ac:dyDescent="0.15">
      <c r="A129" s="40" t="str">
        <f ca="1">VLOOKUP(C116,INDIRECT($F$8),7+(O129-1)*4,0)</f>
        <v>BTP 302</v>
      </c>
      <c r="B129" s="207" t="str">
        <f ca="1">VLOOKUP(D116,INDIRECT($F$8),7+(O129-1)*4,0)</f>
        <v>Microbial Biotechnology/    Bioprocess Engg. Lab   (Lab-II )</v>
      </c>
      <c r="C129" s="207"/>
      <c r="D129" s="207"/>
      <c r="E129" s="207"/>
      <c r="F129" s="40">
        <f ca="1">VLOOKUP(E116,INDIRECT($F$8),7+(O129-1)*4,0)</f>
        <v>1</v>
      </c>
      <c r="G129" s="208" t="str">
        <f ca="1">_xlfn.TEXTJOIN("/",FALSE,VLOOKUP(B116,INDIRECT($F$8),7+(O129-1)*4),VLOOKUP(A116,INDIRECT($F$8),7+(O129-1)*4))</f>
        <v>21/25</v>
      </c>
      <c r="H129" s="208"/>
      <c r="I129" s="208" t="e">
        <f ca="1">_xlfn.TEXTJOIN("/",FALSE,VLOOKUP(B116,INDIRECT($F$8),8+(O129-1)*4,0),VLOOKUP(A116,INDIRECT($F$8),8+(O129-1)*4,0))</f>
        <v>#N/A</v>
      </c>
      <c r="J129" s="208"/>
      <c r="K129" s="208" t="e">
        <f ca="1">_xlfn.TEXTJOIN("/",FALSE,VLOOKUP(B116,INDIRECT($F$8),9+(O129-1)*4,0),VLOOKUP(A116,INDIRECT($F$8),9+(O129-1)*4,0))</f>
        <v>#N/A</v>
      </c>
      <c r="L129" s="208"/>
      <c r="M129" s="40" t="e">
        <f ca="1">VLOOKUP(B116,INDIRECT($F$8),10+(O129-1)*4,0)</f>
        <v>#N/A</v>
      </c>
      <c r="N129" s="41" t="e">
        <f t="shared" ca="1" si="42"/>
        <v>#N/A</v>
      </c>
      <c r="O129">
        <v>9</v>
      </c>
      <c r="P129" s="42">
        <f t="shared" ca="1" si="48"/>
        <v>21</v>
      </c>
      <c r="Q129" s="42">
        <f t="shared" ca="1" si="43"/>
        <v>0</v>
      </c>
      <c r="R129" s="42">
        <f t="shared" ca="1" si="44"/>
        <v>0</v>
      </c>
      <c r="S129" s="42">
        <f t="shared" ca="1" si="45"/>
        <v>25</v>
      </c>
      <c r="T129" s="42">
        <f t="shared" ca="1" si="46"/>
        <v>0</v>
      </c>
      <c r="U129" s="42">
        <f t="shared" ca="1" si="47"/>
        <v>0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</row>
    <row r="130" spans="1:28" ht="12.75" customHeight="1" x14ac:dyDescent="0.15">
      <c r="A130" s="209" t="str">
        <f ca="1">IF(ISERROR(F116),"",A112)</f>
        <v/>
      </c>
      <c r="B130" s="209"/>
      <c r="C130" s="209"/>
      <c r="D130" s="209"/>
      <c r="E130" s="209"/>
      <c r="F130" s="43" t="str">
        <f ca="1">IF(ISERROR(F116),"",SUM(F121:F129))</f>
        <v/>
      </c>
      <c r="G130" s="209" t="str">
        <f ca="1">IF(ISERROR(F116),"",_xlfn.TEXTJOIN("/",TRUE,SUMIF(F121:F129,"&gt;0",P121:P129),SUMIF(F121:F129,"&gt;0",S121:S129)))</f>
        <v/>
      </c>
      <c r="H130" s="209"/>
      <c r="I130" s="209" t="str">
        <f ca="1">IF(ISERROR(F116),"",_xlfn.TEXTJOIN("/",TRUE,SUMIF(F121:F129,"&gt;0",Q121:Q129),SUMIF(F121:F129,"&gt;0",T121:T129)))</f>
        <v/>
      </c>
      <c r="J130" s="209"/>
      <c r="K130" s="209" t="str">
        <f ca="1">IF(ISERROR(F116),"",IF(ISERROR(F116),"",_xlfn.TEXTJOIN("/",TRUE,SUMIF(F121:F129,"&gt;0",R121:R129),SUMIF(F121:F129,"&gt;0",U121:U129))))</f>
        <v/>
      </c>
      <c r="L130" s="209"/>
      <c r="M130" s="210" t="str">
        <f ca="1">IF(ISERROR(F116),"",SUMPRODUCT(N121:N129,F121:F129))</f>
        <v/>
      </c>
      <c r="N130" s="210"/>
    </row>
    <row r="131" spans="1:28" ht="12.75" customHeight="1" x14ac:dyDescent="0.15">
      <c r="A131" s="210" t="str">
        <f ca="1">IF(ISERROR(F116),"",A113)</f>
        <v/>
      </c>
      <c r="B131" s="206">
        <f>BT!AU17</f>
        <v>0</v>
      </c>
      <c r="C131" s="206"/>
      <c r="D131" s="210" t="str">
        <f ca="1">IF(ISERROR(F116),"",D113)</f>
        <v/>
      </c>
      <c r="E131" s="206">
        <f>BT!AV17</f>
        <v>0</v>
      </c>
      <c r="F131" s="206"/>
      <c r="G131" s="210" t="str">
        <f ca="1">IF(ISERROR(F116),"",G113)</f>
        <v/>
      </c>
      <c r="H131" s="211">
        <f>BT!AR17</f>
        <v>0</v>
      </c>
      <c r="I131" s="210" t="str">
        <f ca="1">IF(ISERROR(F116),"",I113)</f>
        <v/>
      </c>
      <c r="J131" s="211">
        <f>BT!AS17</f>
        <v>0</v>
      </c>
      <c r="K131" s="206" t="str">
        <f ca="1">IF(ISERROR(F116),"",K113)</f>
        <v/>
      </c>
      <c r="L131" s="210">
        <f>BT!AT17</f>
        <v>0</v>
      </c>
      <c r="M131" s="206" t="str">
        <f ca="1">IF(ISERROR(F116),"",M113)</f>
        <v/>
      </c>
      <c r="N131" s="210">
        <f>BT!AW17</f>
        <v>0</v>
      </c>
      <c r="V131">
        <v>0</v>
      </c>
    </row>
    <row r="132" spans="1:28" ht="12.75" customHeight="1" x14ac:dyDescent="0.15">
      <c r="A132" s="210"/>
      <c r="B132" s="206"/>
      <c r="C132" s="206"/>
      <c r="D132" s="210"/>
      <c r="E132" s="206"/>
      <c r="F132" s="206"/>
      <c r="G132" s="210"/>
      <c r="H132" s="211"/>
      <c r="I132" s="210"/>
      <c r="J132" s="211"/>
      <c r="K132" s="206"/>
      <c r="L132" s="210"/>
      <c r="M132" s="206"/>
      <c r="N132" s="210"/>
    </row>
    <row r="133" spans="1:28" ht="12.75" customHeight="1" x14ac:dyDescent="0.15">
      <c r="A133" s="210"/>
      <c r="B133" s="206"/>
      <c r="C133" s="206"/>
      <c r="D133" s="210"/>
      <c r="E133" s="206"/>
      <c r="F133" s="206"/>
      <c r="G133" s="210"/>
      <c r="H133" s="211"/>
      <c r="I133" s="210"/>
      <c r="J133" s="211"/>
      <c r="K133" s="206"/>
      <c r="L133" s="210"/>
      <c r="M133" s="206"/>
      <c r="N133" s="210"/>
    </row>
    <row r="134" spans="1:28" ht="12.75" customHeight="1" x14ac:dyDescent="0.15">
      <c r="A134" s="38" t="s">
        <v>73</v>
      </c>
      <c r="B134" s="38">
        <f>B116+1</f>
        <v>8</v>
      </c>
      <c r="C134" s="38" t="s">
        <v>71</v>
      </c>
      <c r="D134" s="38" t="s">
        <v>72</v>
      </c>
      <c r="E134" s="38" t="s">
        <v>40</v>
      </c>
      <c r="F134" s="38" t="e">
        <f ca="1">VLOOKUP(B134,INDIRECT($F$8),4,0)</f>
        <v>#N/A</v>
      </c>
      <c r="G134" s="39"/>
      <c r="H134" s="39"/>
      <c r="I134" s="39"/>
      <c r="J134" s="39"/>
      <c r="K134" s="39"/>
      <c r="L134" s="39"/>
      <c r="M134" s="39"/>
      <c r="N134" s="39"/>
    </row>
    <row r="135" spans="1:28" ht="12.75" customHeight="1" x14ac:dyDescent="0.15">
      <c r="A135" s="204" t="str">
        <f ca="1">IF(ISERROR(F134),"",A117)</f>
        <v/>
      </c>
      <c r="B135" s="204" t="str">
        <f ca="1">IFERROR(VLOOKUP(B134,INDIRECT($F$8),5,0),"")</f>
        <v/>
      </c>
      <c r="C135" s="204"/>
      <c r="D135" s="204" t="str">
        <f ca="1">IF(ISERROR(F134),"",D117)</f>
        <v/>
      </c>
      <c r="E135" s="204" t="str">
        <f ca="1">IFERROR(VLOOKUP(B134,INDIRECT($F$8),6,0),"")</f>
        <v/>
      </c>
      <c r="F135" s="204"/>
      <c r="G135" s="204" t="str">
        <f ca="1">IF(ISERROR(F134),"",G117)</f>
        <v/>
      </c>
      <c r="H135" s="204"/>
      <c r="I135" s="205" t="str">
        <f ca="1">IFERROR(VLOOKUP(B134,INDIRECT($F$8),2,0),"")</f>
        <v/>
      </c>
      <c r="J135" s="205"/>
      <c r="K135" s="204" t="str">
        <f ca="1">IF(ISERROR(F134),"",K117)</f>
        <v/>
      </c>
      <c r="L135" s="204"/>
      <c r="M135" s="205" t="str">
        <f ca="1">IFERROR(IF(VLOOKUP(B134,INDIRECT($F$8),3,0)=0,"",VLOOKUP(B134,INDIRECT($F$8),3,0)),"")</f>
        <v/>
      </c>
      <c r="N135" s="205"/>
    </row>
    <row r="136" spans="1:28" ht="12.75" customHeight="1" x14ac:dyDescent="0.15">
      <c r="A136" s="204"/>
      <c r="B136" s="204"/>
      <c r="C136" s="204"/>
      <c r="D136" s="204"/>
      <c r="E136" s="204"/>
      <c r="F136" s="204"/>
      <c r="G136" s="204"/>
      <c r="H136" s="204"/>
      <c r="I136" s="205"/>
      <c r="J136" s="205"/>
      <c r="K136" s="204"/>
      <c r="L136" s="204"/>
      <c r="M136" s="205"/>
      <c r="N136" s="205"/>
    </row>
    <row r="137" spans="1:28" ht="12.75" customHeight="1" x14ac:dyDescent="0.15">
      <c r="A137" s="206" t="str">
        <f ca="1">IF(ISERROR(F134),"",A119)</f>
        <v/>
      </c>
      <c r="B137" s="206" t="str">
        <f ca="1">IF(ISERROR(F134),"",B119)</f>
        <v/>
      </c>
      <c r="C137" s="206"/>
      <c r="D137" s="206"/>
      <c r="E137" s="206"/>
      <c r="F137" s="206" t="str">
        <f ca="1">IF(ISERROR(F134),"",F119)</f>
        <v/>
      </c>
      <c r="G137" s="206" t="str">
        <f ca="1">IF(ISERROR(F134),"",G119)</f>
        <v/>
      </c>
      <c r="H137" s="206"/>
      <c r="I137" s="206" t="str">
        <f ca="1">IF(ISERROR(F134),"",I119)</f>
        <v/>
      </c>
      <c r="J137" s="206"/>
      <c r="K137" s="206" t="str">
        <f ca="1">IF(ISERROR(F134),"",K119)</f>
        <v/>
      </c>
      <c r="L137" s="206"/>
      <c r="M137" s="206" t="str">
        <f ca="1">IF(ISERROR(F134),"",M119)</f>
        <v/>
      </c>
      <c r="N137" s="206" t="str">
        <f ca="1">IF(ISERROR(F134),"",N119)</f>
        <v/>
      </c>
    </row>
    <row r="138" spans="1:28" ht="12.75" customHeight="1" x14ac:dyDescent="0.15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</row>
    <row r="139" spans="1:28" ht="12.75" customHeight="1" x14ac:dyDescent="0.15">
      <c r="A139" s="40" t="str">
        <f ca="1">IF(ISERROR(F134),"",VLOOKUP(C134,INDIRECT($F$8),7+(O139-1)*4,0))</f>
        <v/>
      </c>
      <c r="B139" s="207" t="str">
        <f ca="1">IF(ISERROR(F134),"",VLOOKUP(D134,INDIRECT($F$8),7+(O139-1)*4,0))</f>
        <v/>
      </c>
      <c r="C139" s="207"/>
      <c r="D139" s="207"/>
      <c r="E139" s="207"/>
      <c r="F139" s="40" t="str">
        <f ca="1">IF(ISERROR(F134),"",VLOOKUP(E134,INDIRECT($F$8),7+(O139-1)*4,0))</f>
        <v/>
      </c>
      <c r="G139" s="208" t="str">
        <f ca="1">IF(ISERROR(F134),"",_xlfn.TEXTJOIN("/",FALSE,VLOOKUP(B134,INDIRECT($F$8),7+(O139-1)*4),VLOOKUP(A134,INDIRECT($F$8),7+(O139-1)*4)))</f>
        <v/>
      </c>
      <c r="H139" s="208"/>
      <c r="I139" s="208" t="str">
        <f ca="1">IF(ISERROR(F134),"",_xlfn.TEXTJOIN("/",FALSE,VLOOKUP(B134,INDIRECT($F$8),8+(O139-1)*4,0),VLOOKUP(A134,INDIRECT($F$8),8+(O139-1)*4,0)))</f>
        <v/>
      </c>
      <c r="J139" s="208"/>
      <c r="K139" s="208" t="str">
        <f ca="1">IF(ISERROR(F134),"",_xlfn.TEXTJOIN("/",FALSE,VLOOKUP(B134,INDIRECT($F$8),9+(O139-1)*4),VLOOKUP(A134,INDIRECT($F$8),9+(O139-1)*4)))</f>
        <v/>
      </c>
      <c r="L139" s="208"/>
      <c r="M139" s="40" t="str">
        <f ca="1">IF(ISERROR(F134),"",VLOOKUP(B134,INDIRECT($F$8),10+(O139-1)*4,0))</f>
        <v/>
      </c>
      <c r="N139" s="41" t="str">
        <f t="shared" ref="N139:N147" ca="1" si="49">INDEX($W$2:$W$12,MATCH(M139,$V$2:$V$12,0))</f>
        <v/>
      </c>
      <c r="O139">
        <v>1</v>
      </c>
      <c r="P139" s="42">
        <f ca="1">IFERROR(VALUE(IFERROR(LEFT(G139,SEARCH("/",G139)-1),0)),"")</f>
        <v>0</v>
      </c>
      <c r="Q139" s="42">
        <f ca="1">IFERROR(VALUE(IFERROR(LEFT(I139,SEARCH("/",I139)-1),0)),"")</f>
        <v>0</v>
      </c>
      <c r="R139" s="42">
        <f ca="1">IFERROR(VALUE(IFERROR(LEFT(K139,SEARCH("/",K139)-1),0)),"")</f>
        <v>0</v>
      </c>
      <c r="S139" s="42">
        <f ca="1">VALUE(IFERROR(RIGHT(G139,LEN(G139)-SEARCH("/",G139)),0))</f>
        <v>0</v>
      </c>
      <c r="T139" s="42">
        <f ca="1">VALUE(IFERROR(RIGHT(I139,LEN(I139)-SEARCH("/",I139)),0))</f>
        <v>0</v>
      </c>
      <c r="U139" s="42">
        <f ca="1">VALUE(IFERROR(RIGHT(K139,LEN(K139)-SEARCH("/",K139)),0))</f>
        <v>0</v>
      </c>
    </row>
    <row r="140" spans="1:28" ht="12.75" customHeight="1" x14ac:dyDescent="0.15">
      <c r="A140" s="40" t="str">
        <f ca="1">IF(ISERROR(F134),"",VLOOKUP(C134,INDIRECT($F$8),7+(O140-1)*4,0))</f>
        <v/>
      </c>
      <c r="B140" s="207" t="str">
        <f ca="1">IF(ISERROR(F134),"",VLOOKUP(D134,INDIRECT($F$8),7+(O140-1)*4,0))</f>
        <v/>
      </c>
      <c r="C140" s="207"/>
      <c r="D140" s="207"/>
      <c r="E140" s="207"/>
      <c r="F140" s="40" t="str">
        <f ca="1">IF(ISERROR(F134),"",VLOOKUP(E134,INDIRECT($F$8),7+(O140-1)*4,0))</f>
        <v/>
      </c>
      <c r="G140" s="208" t="str">
        <f ca="1">IF(ISERROR(F134),"",_xlfn.TEXTJOIN("/",FALSE,VLOOKUP(B134,INDIRECT($F$8),7+(O140-1)*4),VLOOKUP(A134,INDIRECT($F$8),7+(O140-1)*4)))</f>
        <v/>
      </c>
      <c r="H140" s="208"/>
      <c r="I140" s="208" t="str">
        <f ca="1">IF(ISERROR(F134),"",_xlfn.TEXTJOIN("/",FALSE,VLOOKUP(B134,INDIRECT($F$8),8+(O140-1)*4),VLOOKUP(A134,INDIRECT($F$8),8+(O140-1)*4)))</f>
        <v/>
      </c>
      <c r="J140" s="208"/>
      <c r="K140" s="208" t="str">
        <f ca="1">IF(ISERROR(F134),"",_xlfn.TEXTJOIN("/",FALSE,VLOOKUP(B134,INDIRECT($F$8),9+(O140-1)*4),VLOOKUP(A134,INDIRECT($F$8),9+(O140-1)*4)))</f>
        <v/>
      </c>
      <c r="L140" s="208"/>
      <c r="M140" s="40" t="str">
        <f ca="1">IF(ISERROR(F134),"",VLOOKUP(B134,INDIRECT($F$8),10+(O140-1)*4,0))</f>
        <v/>
      </c>
      <c r="N140" s="41" t="str">
        <f t="shared" ca="1" si="49"/>
        <v/>
      </c>
      <c r="O140">
        <v>2</v>
      </c>
      <c r="P140" s="42">
        <f ca="1">IFERROR(VALUE(IFERROR(LEFT(G140,SEARCH("/",G140)-1),0)),"")</f>
        <v>0</v>
      </c>
      <c r="Q140" s="42">
        <f t="shared" ref="Q140:Q147" ca="1" si="50">IFERROR(VALUE(IFERROR(LEFT(I140,SEARCH("/",I140)-1),0)),"")</f>
        <v>0</v>
      </c>
      <c r="R140" s="42">
        <f t="shared" ref="R140:R147" ca="1" si="51">IFERROR(VALUE(IFERROR(LEFT(K140,SEARCH("/",K140)-1),0)),"")</f>
        <v>0</v>
      </c>
      <c r="S140" s="42">
        <f t="shared" ref="S140:S147" ca="1" si="52">VALUE(IFERROR(RIGHT(G140,LEN(G140)-SEARCH("/",G140)),0))</f>
        <v>0</v>
      </c>
      <c r="T140" s="42">
        <f t="shared" ref="T140:T147" ca="1" si="53">VALUE(IFERROR(RIGHT(I140,LEN(I140)-SEARCH("/",I140)),0))</f>
        <v>0</v>
      </c>
      <c r="U140" s="42">
        <f t="shared" ref="U140:U147" ca="1" si="54">VALUE(IFERROR(RIGHT(K140,LEN(K140)-SEARCH("/",K140)),0))</f>
        <v>0</v>
      </c>
    </row>
    <row r="141" spans="1:28" ht="12.75" customHeight="1" x14ac:dyDescent="0.15">
      <c r="A141" s="40" t="str">
        <f ca="1">IF(ISERROR(F134),"",VLOOKUP(C134,INDIRECT($F$8),7+(O141-1)*4,0))</f>
        <v/>
      </c>
      <c r="B141" s="207" t="str">
        <f ca="1">IF(ISERROR(F134),"",VLOOKUP(D134,INDIRECT($F$8),7+(O141-1)*4,0))</f>
        <v/>
      </c>
      <c r="C141" s="207"/>
      <c r="D141" s="207"/>
      <c r="E141" s="207"/>
      <c r="F141" s="40" t="str">
        <f ca="1">IF(ISERROR(F134),"",VLOOKUP(E134,INDIRECT($F$8),7+(O141-1)*4,0))</f>
        <v/>
      </c>
      <c r="G141" s="208" t="str">
        <f ca="1">IF(ISERROR(F134),"",_xlfn.TEXTJOIN("/",FALSE,VLOOKUP(B134,INDIRECT($F$8),7+(O141-1)*4),VLOOKUP(A134,INDIRECT($F$8),7+(O141-1)*4)))</f>
        <v/>
      </c>
      <c r="H141" s="208"/>
      <c r="I141" s="208" t="str">
        <f ca="1">IF(ISERROR(F134),"",_xlfn.TEXTJOIN("/",FALSE,VLOOKUP(B134,INDIRECT($F$8),8+(O141-1)*4),VLOOKUP(A134,INDIRECT($F$8),8+(O141-1)*4)))</f>
        <v/>
      </c>
      <c r="J141" s="208"/>
      <c r="K141" s="208" t="str">
        <f ca="1">IF(ISERROR(F134),"",_xlfn.TEXTJOIN("/",FALSE,VLOOKUP(B134,INDIRECT($F$8),9+(O141-1)*4),VLOOKUP(A134,INDIRECT($F$8),9+(O141-1)*4)))</f>
        <v/>
      </c>
      <c r="L141" s="208"/>
      <c r="M141" s="40" t="str">
        <f ca="1">IF(ISERROR(F134),"",VLOOKUP(B134,INDIRECT($F$8),10+(O141-1)*4,0))</f>
        <v/>
      </c>
      <c r="N141" s="41" t="str">
        <f t="shared" ca="1" si="49"/>
        <v/>
      </c>
      <c r="O141">
        <v>3</v>
      </c>
      <c r="P141" s="42">
        <f t="shared" ref="P141:P147" ca="1" si="55">IFERROR(VALUE(IFERROR(LEFT(G141,SEARCH("/",G141)-1),0)),"")</f>
        <v>0</v>
      </c>
      <c r="Q141" s="42">
        <f t="shared" ca="1" si="50"/>
        <v>0</v>
      </c>
      <c r="R141" s="42">
        <f t="shared" ca="1" si="51"/>
        <v>0</v>
      </c>
      <c r="S141" s="42">
        <f t="shared" ca="1" si="52"/>
        <v>0</v>
      </c>
      <c r="T141" s="42">
        <f t="shared" ca="1" si="53"/>
        <v>0</v>
      </c>
      <c r="U141" s="42">
        <f t="shared" ca="1" si="54"/>
        <v>0</v>
      </c>
    </row>
    <row r="142" spans="1:28" ht="12.75" customHeight="1" x14ac:dyDescent="0.15">
      <c r="A142" s="40" t="str">
        <f ca="1">IF(ISERROR(F134),"",VLOOKUP(C134,INDIRECT($F$8),7+(O142-1)*4,0))</f>
        <v/>
      </c>
      <c r="B142" s="207" t="str">
        <f ca="1">IF(ISERROR(F134),"",VLOOKUP(D134,INDIRECT($F$8),7+(O142-1)*4,0))</f>
        <v/>
      </c>
      <c r="C142" s="207"/>
      <c r="D142" s="207"/>
      <c r="E142" s="207"/>
      <c r="F142" s="40" t="str">
        <f ca="1">IF(ISERROR(F134),"",VLOOKUP(E134,INDIRECT($F$8),7+(O142-1)*4,0))</f>
        <v/>
      </c>
      <c r="G142" s="208" t="str">
        <f ca="1">IF(ISERROR(F134),"",_xlfn.TEXTJOIN("/",FALSE,VLOOKUP(B134,INDIRECT($F$8),7+(O142-1)*4),VLOOKUP(A134,INDIRECT($F$8),7+(O142-1)*4)))</f>
        <v/>
      </c>
      <c r="H142" s="208"/>
      <c r="I142" s="208" t="str">
        <f ca="1">IF(ISERROR(F134),"",_xlfn.TEXTJOIN("/",FALSE,VLOOKUP(B134,INDIRECT($F$8),8+(O142-1)*4),VLOOKUP(A134,INDIRECT($F$8),8+(O142-1)*4)))</f>
        <v/>
      </c>
      <c r="J142" s="208"/>
      <c r="K142" s="208" t="str">
        <f ca="1">IF(ISERROR(F134),"",_xlfn.TEXTJOIN("/",FALSE,VLOOKUP(B134,INDIRECT($F$8),9+(O142-1)*4),VLOOKUP(A134,INDIRECT($F$8),9+(O142-1)*4)))</f>
        <v/>
      </c>
      <c r="L142" s="208"/>
      <c r="M142" s="40" t="str">
        <f ca="1">IF(ISERROR(F134),"",VLOOKUP(B134,INDIRECT($F$8),10+(O142-1)*4,0))</f>
        <v/>
      </c>
      <c r="N142" s="41" t="str">
        <f t="shared" ca="1" si="49"/>
        <v/>
      </c>
      <c r="O142">
        <v>4</v>
      </c>
      <c r="P142" s="42">
        <f t="shared" ca="1" si="55"/>
        <v>0</v>
      </c>
      <c r="Q142" s="42">
        <f t="shared" ca="1" si="50"/>
        <v>0</v>
      </c>
      <c r="R142" s="42">
        <f t="shared" ca="1" si="51"/>
        <v>0</v>
      </c>
      <c r="S142" s="42">
        <f t="shared" ca="1" si="52"/>
        <v>0</v>
      </c>
      <c r="T142" s="42">
        <f t="shared" ca="1" si="53"/>
        <v>0</v>
      </c>
      <c r="U142" s="42">
        <f t="shared" ca="1" si="54"/>
        <v>0</v>
      </c>
    </row>
    <row r="143" spans="1:28" ht="12.75" customHeight="1" x14ac:dyDescent="0.15">
      <c r="A143" s="40" t="str">
        <f ca="1">IF(ISERROR(F134),"",VLOOKUP(C134,INDIRECT($F$8),7+(O143-1)*4,0))</f>
        <v/>
      </c>
      <c r="B143" s="207" t="str">
        <f ca="1">IF(ISERROR(F134),"",VLOOKUP(D134,INDIRECT($F$8),7+(O143-1)*4,0))</f>
        <v/>
      </c>
      <c r="C143" s="207"/>
      <c r="D143" s="207"/>
      <c r="E143" s="207"/>
      <c r="F143" s="40" t="str">
        <f ca="1">IF(ISERROR(F134),"",VLOOKUP(E134,INDIRECT($F$8),7+(O143-1)*4,0))</f>
        <v/>
      </c>
      <c r="G143" s="208" t="str">
        <f ca="1">IF(ISERROR(F134),"",_xlfn.TEXTJOIN("/",FALSE,VLOOKUP(B134,INDIRECT($F$8),7+(O143-1)*4),VLOOKUP(A134,INDIRECT($F$8),7+(O143-1)*4)))</f>
        <v/>
      </c>
      <c r="H143" s="208"/>
      <c r="I143" s="208" t="str">
        <f ca="1">IF(ISERROR(F134),"",_xlfn.TEXTJOIN("/",FALSE,VLOOKUP(B134,INDIRECT($F$8),8+(O143-1)*4),VLOOKUP(A134,INDIRECT($F$8),8+(O143-1)*4)))</f>
        <v/>
      </c>
      <c r="J143" s="208"/>
      <c r="K143" s="208" t="str">
        <f ca="1">IF(ISERROR(F134),"",_xlfn.TEXTJOIN("/",FALSE,VLOOKUP(B134,INDIRECT($F$8),9+(O143-1)*4),VLOOKUP(A134,INDIRECT($F$8),9+(O143-1)*4)))</f>
        <v/>
      </c>
      <c r="L143" s="208"/>
      <c r="M143" s="40" t="str">
        <f ca="1">IF(ISERROR(F134),"",VLOOKUP(B134,INDIRECT($F$8),10+(O143-1)*4,0))</f>
        <v/>
      </c>
      <c r="N143" s="41" t="str">
        <f t="shared" ca="1" si="49"/>
        <v/>
      </c>
      <c r="O143">
        <v>5</v>
      </c>
      <c r="P143" s="42">
        <f t="shared" ca="1" si="55"/>
        <v>0</v>
      </c>
      <c r="Q143" s="42">
        <f t="shared" ca="1" si="50"/>
        <v>0</v>
      </c>
      <c r="R143" s="42">
        <f t="shared" ca="1" si="51"/>
        <v>0</v>
      </c>
      <c r="S143" s="42">
        <f t="shared" ca="1" si="52"/>
        <v>0</v>
      </c>
      <c r="T143" s="42">
        <f t="shared" ca="1" si="53"/>
        <v>0</v>
      </c>
      <c r="U143" s="42">
        <f t="shared" ca="1" si="54"/>
        <v>0</v>
      </c>
    </row>
    <row r="144" spans="1:28" ht="12.75" customHeight="1" x14ac:dyDescent="0.15">
      <c r="A144" s="40" t="str">
        <f ca="1">IF(ISERROR(F134),"",VLOOKUP(C134,INDIRECT($F$8),7+(O144-1)*4,0))</f>
        <v/>
      </c>
      <c r="B144" s="207" t="str">
        <f ca="1">IF(ISERROR(F134),"",VLOOKUP(D134,INDIRECT($F$8),7+(O144-1)*4,0))</f>
        <v/>
      </c>
      <c r="C144" s="207"/>
      <c r="D144" s="207"/>
      <c r="E144" s="207"/>
      <c r="F144" s="40" t="str">
        <f ca="1">IF(ISERROR(F134),"",VLOOKUP(E134,INDIRECT($F$8),7+(O144-1)*4,0))</f>
        <v/>
      </c>
      <c r="G144" s="208" t="str">
        <f ca="1">IF(ISERROR(F134),"",_xlfn.TEXTJOIN("/",FALSE,VLOOKUP(B134,INDIRECT($F$8),7+(O144-1)*4),VLOOKUP(A134,INDIRECT($F$8),7+(O144-1)*4)))</f>
        <v/>
      </c>
      <c r="H144" s="208"/>
      <c r="I144" s="208" t="str">
        <f ca="1">IF(ISERROR(F134),"",_xlfn.TEXTJOIN("/",FALSE,VLOOKUP(B134,INDIRECT($F$8),8+(O144-1)*4),VLOOKUP(A134,INDIRECT($F$8),8+(O144-1)*4)))</f>
        <v/>
      </c>
      <c r="J144" s="208"/>
      <c r="K144" s="208" t="str">
        <f ca="1">IF(ISERROR(F134),"",_xlfn.TEXTJOIN("/",FALSE,VLOOKUP(B134,INDIRECT($F$8),9+(O144-1)*4),VLOOKUP(A134,INDIRECT($F$8),9+(O144-1)*4)))</f>
        <v/>
      </c>
      <c r="L144" s="208"/>
      <c r="M144" s="40" t="str">
        <f ca="1">IF(ISERROR(F134),"",VLOOKUP(B134,INDIRECT($F$8),10+(O144-1)*4,0))</f>
        <v/>
      </c>
      <c r="N144" s="41" t="str">
        <f t="shared" ca="1" si="49"/>
        <v/>
      </c>
      <c r="O144">
        <v>6</v>
      </c>
      <c r="P144" s="42">
        <f t="shared" ca="1" si="55"/>
        <v>0</v>
      </c>
      <c r="Q144" s="42">
        <f t="shared" ca="1" si="50"/>
        <v>0</v>
      </c>
      <c r="R144" s="42">
        <f t="shared" ca="1" si="51"/>
        <v>0</v>
      </c>
      <c r="S144" s="42">
        <f t="shared" ca="1" si="52"/>
        <v>0</v>
      </c>
      <c r="T144" s="42">
        <f t="shared" ca="1" si="53"/>
        <v>0</v>
      </c>
      <c r="U144" s="42">
        <f t="shared" ca="1" si="54"/>
        <v>0</v>
      </c>
    </row>
    <row r="145" spans="1:28" ht="12.75" customHeight="1" x14ac:dyDescent="0.15">
      <c r="A145" s="40" t="str">
        <f ca="1">VLOOKUP(C134,INDIRECT($F$8),7+(O145-1)*4,0)</f>
        <v>AHT 304</v>
      </c>
      <c r="B145" s="207" t="str">
        <f ca="1">VLOOKUP(D134,INDIRECT($F$8),7+(O145-1)*4,0)</f>
        <v xml:space="preserve">English for Research Writing ($) </v>
      </c>
      <c r="C145" s="207"/>
      <c r="D145" s="207"/>
      <c r="E145" s="207"/>
      <c r="F145" s="40">
        <f ca="1">VLOOKUP(E134,INDIRECT($F$8),7+(O145-1)*4,0)</f>
        <v>0</v>
      </c>
      <c r="G145" s="208" t="str">
        <f ca="1">_xlfn.TEXTJOIN("/",FALSE,VLOOKUP(B134,INDIRECT($F$8),7+(O145-1)*4),VLOOKUP(A134,INDIRECT($F$8),7+(O145-1)*4))</f>
        <v>69/100</v>
      </c>
      <c r="H145" s="208"/>
      <c r="I145" s="208" t="str">
        <f ca="1">_xlfn.TEXTJOIN("/",FALSE,VLOOKUP(B134,INDIRECT($F$8),8+(O145-1)*4)-Z145,VLOOKUP(A134,INDIRECT($F$8),8+(O145-1)*4-Z145))</f>
        <v>38/50</v>
      </c>
      <c r="J145" s="208"/>
      <c r="K145" s="208" t="str">
        <f ca="1">_xlfn.TEXTJOIN("/",FALSE,VLOOKUP(B134,INDIRECT($F$8),9+(O145-1)*4),VLOOKUP(A134,INDIRECT($F$8),9+(O145-1)*4))</f>
        <v>107/150</v>
      </c>
      <c r="L145" s="208"/>
      <c r="M145" s="40" t="e">
        <f ca="1">VLOOKUP(B134,INDIRECT($F$8),10+(O145-1)*4,0)</f>
        <v>#N/A</v>
      </c>
      <c r="N145" s="41" t="e">
        <f t="shared" ca="1" si="49"/>
        <v>#N/A</v>
      </c>
      <c r="O145">
        <v>7</v>
      </c>
      <c r="P145" s="42">
        <f t="shared" ca="1" si="55"/>
        <v>69</v>
      </c>
      <c r="Q145" s="42">
        <f t="shared" ca="1" si="50"/>
        <v>38</v>
      </c>
      <c r="R145" s="42">
        <f t="shared" ca="1" si="51"/>
        <v>107</v>
      </c>
      <c r="S145" s="42">
        <f t="shared" ca="1" si="52"/>
        <v>100</v>
      </c>
      <c r="T145" s="42">
        <f t="shared" ca="1" si="53"/>
        <v>50</v>
      </c>
      <c r="U145" s="42">
        <f t="shared" ca="1" si="54"/>
        <v>150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</row>
    <row r="146" spans="1:28" ht="12.75" customHeight="1" x14ac:dyDescent="0.15">
      <c r="A146" s="40" t="str">
        <f ca="1">VLOOKUP(C134,INDIRECT($F$8),7+(O146-1)*4,0)</f>
        <v>BTP 301</v>
      </c>
      <c r="B146" s="207" t="str">
        <f ca="1">VLOOKUP(D134,INDIRECT($F$8),7+(O146-1)*4,0)</f>
        <v>Biochemistry and Bioanalytical Techniques Lab  ( Lab-I)</v>
      </c>
      <c r="C146" s="207"/>
      <c r="D146" s="207"/>
      <c r="E146" s="207"/>
      <c r="F146" s="40">
        <f ca="1">VLOOKUP(E134,INDIRECT($F$8),7+(O146-1)*4,0)</f>
        <v>1</v>
      </c>
      <c r="G146" s="208" t="str">
        <f ca="1">_xlfn.TEXTJOIN("/",FALSE,VLOOKUP(B134,INDIRECT($F$8),7+(O146-1)*4),VLOOKUP(A134,INDIRECT($F$8),7+(O146-1)*4))</f>
        <v>20/25</v>
      </c>
      <c r="H146" s="208"/>
      <c r="I146" s="208" t="str">
        <f ca="1">_xlfn.TEXTJOIN("/",FALSE,VLOOKUP(B134,INDIRECT($F$8),8+(O146-1)*4),VLOOKUP(A134,INDIRECT($F$8),8+(O146-1)*4))</f>
        <v>21/25</v>
      </c>
      <c r="J146" s="208"/>
      <c r="K146" s="208" t="str">
        <f ca="1">_xlfn.TEXTJOIN("/",FALSE,VLOOKUP(B134,INDIRECT($F$8),9+(O146-1)*4),VLOOKUP(A134,INDIRECT($F$8),9+(O146-1)*4))</f>
        <v>41/50</v>
      </c>
      <c r="L146" s="208"/>
      <c r="M146" s="40" t="e">
        <f ca="1">VLOOKUP(B134,INDIRECT($F$8),10+(O146-1)*4,0)</f>
        <v>#N/A</v>
      </c>
      <c r="N146" s="41" t="e">
        <f t="shared" ca="1" si="49"/>
        <v>#N/A</v>
      </c>
      <c r="O146">
        <v>8</v>
      </c>
      <c r="P146" s="42">
        <f t="shared" ca="1" si="55"/>
        <v>20</v>
      </c>
      <c r="Q146" s="42">
        <f t="shared" ca="1" si="50"/>
        <v>21</v>
      </c>
      <c r="R146" s="42">
        <f t="shared" ca="1" si="51"/>
        <v>41</v>
      </c>
      <c r="S146" s="42">
        <f t="shared" ca="1" si="52"/>
        <v>25</v>
      </c>
      <c r="T146" s="42">
        <f t="shared" ca="1" si="53"/>
        <v>25</v>
      </c>
      <c r="U146" s="42">
        <f t="shared" ca="1" si="54"/>
        <v>50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</row>
    <row r="147" spans="1:28" ht="12.75" customHeight="1" x14ac:dyDescent="0.15">
      <c r="A147" s="40" t="str">
        <f ca="1">VLOOKUP(C134,INDIRECT($F$8),7+(O147-1)*4,0)</f>
        <v>BTP 302</v>
      </c>
      <c r="B147" s="207" t="str">
        <f ca="1">VLOOKUP(D134,INDIRECT($F$8),7+(O147-1)*4,0)</f>
        <v>Microbial Biotechnology/    Bioprocess Engg. Lab   (Lab-II )</v>
      </c>
      <c r="C147" s="207"/>
      <c r="D147" s="207"/>
      <c r="E147" s="207"/>
      <c r="F147" s="40">
        <f ca="1">VLOOKUP(E134,INDIRECT($F$8),7+(O147-1)*4,0)</f>
        <v>1</v>
      </c>
      <c r="G147" s="208" t="str">
        <f ca="1">_xlfn.TEXTJOIN("/",FALSE,VLOOKUP(B134,INDIRECT($F$8),7+(O147-1)*4),VLOOKUP(A134,INDIRECT($F$8),7+(O147-1)*4))</f>
        <v>21/25</v>
      </c>
      <c r="H147" s="208"/>
      <c r="I147" s="208" t="e">
        <f ca="1">_xlfn.TEXTJOIN("/",FALSE,VLOOKUP(B134,INDIRECT($F$8),8+(O147-1)*4,0),VLOOKUP(A134,INDIRECT($F$8),8+(O147-1)*4,0))</f>
        <v>#N/A</v>
      </c>
      <c r="J147" s="208"/>
      <c r="K147" s="208" t="e">
        <f ca="1">_xlfn.TEXTJOIN("/",FALSE,VLOOKUP(B134,INDIRECT($F$8),9+(O147-1)*4,0),VLOOKUP(A134,INDIRECT($F$8),9+(O147-1)*4,0))</f>
        <v>#N/A</v>
      </c>
      <c r="L147" s="208"/>
      <c r="M147" s="40" t="e">
        <f ca="1">VLOOKUP(B134,INDIRECT($F$8),10+(O147-1)*4,0)</f>
        <v>#N/A</v>
      </c>
      <c r="N147" s="41" t="e">
        <f t="shared" ca="1" si="49"/>
        <v>#N/A</v>
      </c>
      <c r="O147">
        <v>9</v>
      </c>
      <c r="P147" s="42">
        <f t="shared" ca="1" si="55"/>
        <v>21</v>
      </c>
      <c r="Q147" s="42">
        <f t="shared" ca="1" si="50"/>
        <v>0</v>
      </c>
      <c r="R147" s="42">
        <f t="shared" ca="1" si="51"/>
        <v>0</v>
      </c>
      <c r="S147" s="42">
        <f t="shared" ca="1" si="52"/>
        <v>25</v>
      </c>
      <c r="T147" s="42">
        <f t="shared" ca="1" si="53"/>
        <v>0</v>
      </c>
      <c r="U147" s="42">
        <f t="shared" ca="1" si="54"/>
        <v>0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</row>
    <row r="148" spans="1:28" ht="12.75" customHeight="1" x14ac:dyDescent="0.15">
      <c r="A148" s="209" t="str">
        <f ca="1">IF(ISERROR(F134),"",A130)</f>
        <v/>
      </c>
      <c r="B148" s="209"/>
      <c r="C148" s="209"/>
      <c r="D148" s="209"/>
      <c r="E148" s="209"/>
      <c r="F148" s="43" t="str">
        <f ca="1">IF(ISERROR(F134),"",SUM(F139:F147))</f>
        <v/>
      </c>
      <c r="G148" s="209" t="str">
        <f ca="1">IF(ISERROR(F134),"",_xlfn.TEXTJOIN("/",TRUE,SUMIF(F139:F147,"&gt;0",P139:P147),SUMIF(F139:F147,"&gt;0",S139:S147)))</f>
        <v/>
      </c>
      <c r="H148" s="209"/>
      <c r="I148" s="209" t="str">
        <f ca="1">IF(ISERROR(F134),"",_xlfn.TEXTJOIN("/",TRUE,SUMIF(F139:F147,"&gt;0",Q139:Q147),SUMIF(F139:F147,"&gt;0",T139:T147)))</f>
        <v/>
      </c>
      <c r="J148" s="209"/>
      <c r="K148" s="209" t="str">
        <f ca="1">IF(ISERROR(F134),"",IF(ISERROR(F134),"",_xlfn.TEXTJOIN("/",TRUE,SUMIF(F139:F147,"&gt;0",R139:R147),SUMIF(F139:F147,"&gt;0",U139:U147))))</f>
        <v/>
      </c>
      <c r="L148" s="209"/>
      <c r="M148" s="210" t="str">
        <f ca="1">IF(ISERROR(F134),"",SUMPRODUCT(N139:N147,F139:F147))</f>
        <v/>
      </c>
      <c r="N148" s="210"/>
    </row>
    <row r="149" spans="1:28" ht="12.75" customHeight="1" x14ac:dyDescent="0.15">
      <c r="A149" s="210" t="str">
        <f ca="1">IF(ISERROR(F134),"",A131)</f>
        <v/>
      </c>
      <c r="B149" s="206">
        <f>BT!AU18</f>
        <v>0</v>
      </c>
      <c r="C149" s="206"/>
      <c r="D149" s="210" t="str">
        <f ca="1">IF(ISERROR(F134),"",D131)</f>
        <v/>
      </c>
      <c r="E149" s="206">
        <f>BT!AV18</f>
        <v>0</v>
      </c>
      <c r="F149" s="206"/>
      <c r="G149" s="210" t="str">
        <f ca="1">IF(ISERROR(F134),"",G131)</f>
        <v/>
      </c>
      <c r="H149" s="211">
        <f>BT!AR18</f>
        <v>0</v>
      </c>
      <c r="I149" s="210" t="str">
        <f ca="1">IF(ISERROR(F134),"",I131)</f>
        <v/>
      </c>
      <c r="J149" s="211">
        <f>BT!AS18</f>
        <v>0</v>
      </c>
      <c r="K149" s="206" t="str">
        <f ca="1">IF(ISERROR(F134),"",K131)</f>
        <v/>
      </c>
      <c r="L149" s="210">
        <f>BT!AT18</f>
        <v>0</v>
      </c>
      <c r="M149" s="206" t="str">
        <f ca="1">IF(ISERROR(F134),"",M131)</f>
        <v/>
      </c>
      <c r="N149" s="210">
        <f>BT!AW18</f>
        <v>0</v>
      </c>
      <c r="V149">
        <v>0</v>
      </c>
    </row>
    <row r="150" spans="1:28" ht="12.75" customHeight="1" x14ac:dyDescent="0.15">
      <c r="A150" s="210"/>
      <c r="B150" s="206"/>
      <c r="C150" s="206"/>
      <c r="D150" s="210"/>
      <c r="E150" s="206"/>
      <c r="F150" s="206"/>
      <c r="G150" s="210"/>
      <c r="H150" s="211"/>
      <c r="I150" s="210"/>
      <c r="J150" s="211"/>
      <c r="K150" s="206"/>
      <c r="L150" s="210"/>
      <c r="M150" s="206"/>
      <c r="N150" s="210"/>
    </row>
    <row r="151" spans="1:28" ht="12.75" customHeight="1" x14ac:dyDescent="0.15">
      <c r="A151" s="210"/>
      <c r="B151" s="206"/>
      <c r="C151" s="206"/>
      <c r="D151" s="210"/>
      <c r="E151" s="206"/>
      <c r="F151" s="206"/>
      <c r="G151" s="210"/>
      <c r="H151" s="211"/>
      <c r="I151" s="210"/>
      <c r="J151" s="211"/>
      <c r="K151" s="206"/>
      <c r="L151" s="210"/>
      <c r="M151" s="206"/>
      <c r="N151" s="210"/>
    </row>
  </sheetData>
  <mergeCells count="556">
    <mergeCell ref="L149:L151"/>
    <mergeCell ref="M149:M151"/>
    <mergeCell ref="N149:N151"/>
    <mergeCell ref="M148:N148"/>
    <mergeCell ref="A149:A151"/>
    <mergeCell ref="B149:C151"/>
    <mergeCell ref="D149:D151"/>
    <mergeCell ref="E149:F151"/>
    <mergeCell ref="G149:G151"/>
    <mergeCell ref="H149:H151"/>
    <mergeCell ref="I149:I151"/>
    <mergeCell ref="J149:J151"/>
    <mergeCell ref="K149:K151"/>
    <mergeCell ref="B147:E147"/>
    <mergeCell ref="G147:H147"/>
    <mergeCell ref="I147:J147"/>
    <mergeCell ref="K147:L147"/>
    <mergeCell ref="A148:E148"/>
    <mergeCell ref="G148:H148"/>
    <mergeCell ref="I148:J148"/>
    <mergeCell ref="K148:L148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3:E143"/>
    <mergeCell ref="G143:H143"/>
    <mergeCell ref="I143:J143"/>
    <mergeCell ref="K143:L143"/>
    <mergeCell ref="B144:E144"/>
    <mergeCell ref="G144:H144"/>
    <mergeCell ref="I144:J144"/>
    <mergeCell ref="K144:L144"/>
    <mergeCell ref="B141:E141"/>
    <mergeCell ref="G141:H141"/>
    <mergeCell ref="I141:J141"/>
    <mergeCell ref="K141:L141"/>
    <mergeCell ref="B142:E142"/>
    <mergeCell ref="G142:H142"/>
    <mergeCell ref="I142:J142"/>
    <mergeCell ref="K142:L142"/>
    <mergeCell ref="B139:E139"/>
    <mergeCell ref="G139:H139"/>
    <mergeCell ref="I139:J139"/>
    <mergeCell ref="K139:L139"/>
    <mergeCell ref="B140:E140"/>
    <mergeCell ref="G140:H140"/>
    <mergeCell ref="I140:J140"/>
    <mergeCell ref="K140:L140"/>
    <mergeCell ref="M135:N136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L131:L133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0:N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B129:E129"/>
    <mergeCell ref="G129:H129"/>
    <mergeCell ref="I129:J129"/>
    <mergeCell ref="K129:L129"/>
    <mergeCell ref="A130:E130"/>
    <mergeCell ref="G130:H130"/>
    <mergeCell ref="I130:J130"/>
    <mergeCell ref="K130:L130"/>
    <mergeCell ref="B127:E127"/>
    <mergeCell ref="G127:H127"/>
    <mergeCell ref="I127:J127"/>
    <mergeCell ref="K127:L127"/>
    <mergeCell ref="B128:E128"/>
    <mergeCell ref="G128:H128"/>
    <mergeCell ref="I128:J128"/>
    <mergeCell ref="K128:L128"/>
    <mergeCell ref="B125:E125"/>
    <mergeCell ref="G125:H125"/>
    <mergeCell ref="I125:J125"/>
    <mergeCell ref="K125:L125"/>
    <mergeCell ref="B126:E126"/>
    <mergeCell ref="G126:H126"/>
    <mergeCell ref="I126:J126"/>
    <mergeCell ref="K126:L126"/>
    <mergeCell ref="B123:E123"/>
    <mergeCell ref="G123:H123"/>
    <mergeCell ref="I123:J123"/>
    <mergeCell ref="K123:L123"/>
    <mergeCell ref="B124:E124"/>
    <mergeCell ref="G124:H124"/>
    <mergeCell ref="I124:J124"/>
    <mergeCell ref="K124:L124"/>
    <mergeCell ref="B121:E121"/>
    <mergeCell ref="G121:H121"/>
    <mergeCell ref="I121:J121"/>
    <mergeCell ref="K121:L121"/>
    <mergeCell ref="B122:E122"/>
    <mergeCell ref="G122:H122"/>
    <mergeCell ref="I122:J122"/>
    <mergeCell ref="K122:L122"/>
    <mergeCell ref="M117:N118"/>
    <mergeCell ref="A119:A120"/>
    <mergeCell ref="B119:E120"/>
    <mergeCell ref="F119:F120"/>
    <mergeCell ref="G119:H120"/>
    <mergeCell ref="I119:J120"/>
    <mergeCell ref="K119:L120"/>
    <mergeCell ref="M119:M120"/>
    <mergeCell ref="N119:N120"/>
    <mergeCell ref="L113:L115"/>
    <mergeCell ref="M113:M115"/>
    <mergeCell ref="N113:N115"/>
    <mergeCell ref="A117:A118"/>
    <mergeCell ref="B117:C118"/>
    <mergeCell ref="D117:D118"/>
    <mergeCell ref="E117:F118"/>
    <mergeCell ref="G117:H118"/>
    <mergeCell ref="I117:J118"/>
    <mergeCell ref="K117:L118"/>
    <mergeCell ref="M112:N112"/>
    <mergeCell ref="A113:A115"/>
    <mergeCell ref="B113:C115"/>
    <mergeCell ref="D113:D115"/>
    <mergeCell ref="E113:F115"/>
    <mergeCell ref="G113:G115"/>
    <mergeCell ref="H113:H115"/>
    <mergeCell ref="I113:I115"/>
    <mergeCell ref="J113:J115"/>
    <mergeCell ref="K113:K115"/>
    <mergeCell ref="B111:E111"/>
    <mergeCell ref="G111:H111"/>
    <mergeCell ref="I111:J111"/>
    <mergeCell ref="K111:L111"/>
    <mergeCell ref="A112:E112"/>
    <mergeCell ref="G112:H112"/>
    <mergeCell ref="I112:J112"/>
    <mergeCell ref="K112:L112"/>
    <mergeCell ref="B109:E109"/>
    <mergeCell ref="G109:H109"/>
    <mergeCell ref="I109:J109"/>
    <mergeCell ref="K109:L109"/>
    <mergeCell ref="B110:E110"/>
    <mergeCell ref="G110:H110"/>
    <mergeCell ref="I110:J110"/>
    <mergeCell ref="K110:L110"/>
    <mergeCell ref="B107:E107"/>
    <mergeCell ref="G107:H107"/>
    <mergeCell ref="I107:J107"/>
    <mergeCell ref="K107:L107"/>
    <mergeCell ref="B108:E108"/>
    <mergeCell ref="G108:H108"/>
    <mergeCell ref="I108:J108"/>
    <mergeCell ref="K108:L108"/>
    <mergeCell ref="B105:E105"/>
    <mergeCell ref="G105:H105"/>
    <mergeCell ref="I105:J105"/>
    <mergeCell ref="K105:L105"/>
    <mergeCell ref="B106:E106"/>
    <mergeCell ref="G106:H106"/>
    <mergeCell ref="I106:J106"/>
    <mergeCell ref="K106:L106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M99:N100"/>
    <mergeCell ref="A101:A102"/>
    <mergeCell ref="B101:E102"/>
    <mergeCell ref="F101:F102"/>
    <mergeCell ref="G101:H102"/>
    <mergeCell ref="I101:J102"/>
    <mergeCell ref="K101:L102"/>
    <mergeCell ref="M101:M102"/>
    <mergeCell ref="N101:N102"/>
    <mergeCell ref="L95:L97"/>
    <mergeCell ref="M95:M97"/>
    <mergeCell ref="N95:N97"/>
    <mergeCell ref="A99:A100"/>
    <mergeCell ref="B99:C100"/>
    <mergeCell ref="D99:D100"/>
    <mergeCell ref="E99:F100"/>
    <mergeCell ref="G99:H100"/>
    <mergeCell ref="I99:J100"/>
    <mergeCell ref="K99:L100"/>
    <mergeCell ref="M94:N94"/>
    <mergeCell ref="A95:A97"/>
    <mergeCell ref="B95:C97"/>
    <mergeCell ref="D95:D97"/>
    <mergeCell ref="E95:F97"/>
    <mergeCell ref="G95:G97"/>
    <mergeCell ref="H95:H97"/>
    <mergeCell ref="I95:I97"/>
    <mergeCell ref="J95:J97"/>
    <mergeCell ref="K95:K97"/>
    <mergeCell ref="B93:E93"/>
    <mergeCell ref="G93:H93"/>
    <mergeCell ref="I93:J93"/>
    <mergeCell ref="K93:L93"/>
    <mergeCell ref="A94:E94"/>
    <mergeCell ref="G94:H94"/>
    <mergeCell ref="I94:J94"/>
    <mergeCell ref="K94:L94"/>
    <mergeCell ref="B91:E91"/>
    <mergeCell ref="G91:H91"/>
    <mergeCell ref="I91:J91"/>
    <mergeCell ref="K91:L91"/>
    <mergeCell ref="B92:E92"/>
    <mergeCell ref="G92:H92"/>
    <mergeCell ref="I92:J92"/>
    <mergeCell ref="K92:L92"/>
    <mergeCell ref="B89:E89"/>
    <mergeCell ref="G89:H89"/>
    <mergeCell ref="I89:J89"/>
    <mergeCell ref="K89:L89"/>
    <mergeCell ref="B90:E90"/>
    <mergeCell ref="G90:H90"/>
    <mergeCell ref="I90:J90"/>
    <mergeCell ref="K90:L90"/>
    <mergeCell ref="B87:E87"/>
    <mergeCell ref="G87:H87"/>
    <mergeCell ref="I87:J87"/>
    <mergeCell ref="K87:L87"/>
    <mergeCell ref="B88:E88"/>
    <mergeCell ref="G88:H88"/>
    <mergeCell ref="I88:J88"/>
    <mergeCell ref="K88:L88"/>
    <mergeCell ref="B85:E85"/>
    <mergeCell ref="G85:H85"/>
    <mergeCell ref="I85:J85"/>
    <mergeCell ref="K85:L85"/>
    <mergeCell ref="B86:E86"/>
    <mergeCell ref="G86:H86"/>
    <mergeCell ref="I86:J86"/>
    <mergeCell ref="K86:L86"/>
    <mergeCell ref="M81:N82"/>
    <mergeCell ref="A83:A84"/>
    <mergeCell ref="B83:E84"/>
    <mergeCell ref="F83:F84"/>
    <mergeCell ref="G83:H84"/>
    <mergeCell ref="I83:J84"/>
    <mergeCell ref="K83:L84"/>
    <mergeCell ref="M83:M84"/>
    <mergeCell ref="N83:N84"/>
    <mergeCell ref="L77:L79"/>
    <mergeCell ref="M77:M79"/>
    <mergeCell ref="N77:N79"/>
    <mergeCell ref="A81:A82"/>
    <mergeCell ref="B81:C82"/>
    <mergeCell ref="D81:D82"/>
    <mergeCell ref="E81:F82"/>
    <mergeCell ref="G81:H82"/>
    <mergeCell ref="I81:J82"/>
    <mergeCell ref="K81:L82"/>
    <mergeCell ref="M76:N76"/>
    <mergeCell ref="A77:A79"/>
    <mergeCell ref="B77:C79"/>
    <mergeCell ref="D77:D79"/>
    <mergeCell ref="E77:F79"/>
    <mergeCell ref="G77:G79"/>
    <mergeCell ref="H77:H79"/>
    <mergeCell ref="I77:I79"/>
    <mergeCell ref="J77:J79"/>
    <mergeCell ref="K77:K79"/>
    <mergeCell ref="B75:E75"/>
    <mergeCell ref="G75:H75"/>
    <mergeCell ref="I75:J75"/>
    <mergeCell ref="K75:L75"/>
    <mergeCell ref="A76:E76"/>
    <mergeCell ref="G76:H76"/>
    <mergeCell ref="I76:J76"/>
    <mergeCell ref="K76:L76"/>
    <mergeCell ref="B73:E73"/>
    <mergeCell ref="G73:H73"/>
    <mergeCell ref="I73:J73"/>
    <mergeCell ref="K73:L73"/>
    <mergeCell ref="B74:E74"/>
    <mergeCell ref="G74:H74"/>
    <mergeCell ref="I74:J74"/>
    <mergeCell ref="K74:L74"/>
    <mergeCell ref="B71:E71"/>
    <mergeCell ref="G71:H71"/>
    <mergeCell ref="I71:J71"/>
    <mergeCell ref="K71:L71"/>
    <mergeCell ref="B72:E72"/>
    <mergeCell ref="G72:H72"/>
    <mergeCell ref="I72:J72"/>
    <mergeCell ref="K72:L72"/>
    <mergeCell ref="B69:E69"/>
    <mergeCell ref="G69:H69"/>
    <mergeCell ref="I69:J69"/>
    <mergeCell ref="K69:L69"/>
    <mergeCell ref="B70:E70"/>
    <mergeCell ref="G70:H70"/>
    <mergeCell ref="I70:J70"/>
    <mergeCell ref="K70:L70"/>
    <mergeCell ref="B67:E67"/>
    <mergeCell ref="G67:H67"/>
    <mergeCell ref="I67:J67"/>
    <mergeCell ref="K67:L67"/>
    <mergeCell ref="B68:E68"/>
    <mergeCell ref="G68:H68"/>
    <mergeCell ref="I68:J68"/>
    <mergeCell ref="K68:L68"/>
    <mergeCell ref="M63:N64"/>
    <mergeCell ref="A65:A66"/>
    <mergeCell ref="B65:E66"/>
    <mergeCell ref="F65:F66"/>
    <mergeCell ref="G65:H66"/>
    <mergeCell ref="I65:J66"/>
    <mergeCell ref="K65:L66"/>
    <mergeCell ref="M65:M66"/>
    <mergeCell ref="N65:N66"/>
    <mergeCell ref="L59:L61"/>
    <mergeCell ref="M59:M61"/>
    <mergeCell ref="N59:N61"/>
    <mergeCell ref="A63:A64"/>
    <mergeCell ref="B63:C64"/>
    <mergeCell ref="D63:D64"/>
    <mergeCell ref="E63:F64"/>
    <mergeCell ref="G63:H64"/>
    <mergeCell ref="I63:J64"/>
    <mergeCell ref="K63:L64"/>
    <mergeCell ref="M58:N58"/>
    <mergeCell ref="A59:A61"/>
    <mergeCell ref="B59:C61"/>
    <mergeCell ref="D59:D61"/>
    <mergeCell ref="E59:F61"/>
    <mergeCell ref="G59:G61"/>
    <mergeCell ref="H59:H61"/>
    <mergeCell ref="I59:I61"/>
    <mergeCell ref="J59:J61"/>
    <mergeCell ref="K59:K61"/>
    <mergeCell ref="B57:E57"/>
    <mergeCell ref="G57:H57"/>
    <mergeCell ref="I57:J57"/>
    <mergeCell ref="K57:L57"/>
    <mergeCell ref="A58:E58"/>
    <mergeCell ref="G58:H58"/>
    <mergeCell ref="I58:J58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B53:E53"/>
    <mergeCell ref="G53:H53"/>
    <mergeCell ref="I53:J53"/>
    <mergeCell ref="K53:L53"/>
    <mergeCell ref="B54:E54"/>
    <mergeCell ref="G54:H54"/>
    <mergeCell ref="I54:J54"/>
    <mergeCell ref="K54:L54"/>
    <mergeCell ref="B51:E51"/>
    <mergeCell ref="G51:H51"/>
    <mergeCell ref="I51:J51"/>
    <mergeCell ref="K51:L51"/>
    <mergeCell ref="B52:E52"/>
    <mergeCell ref="G52:H52"/>
    <mergeCell ref="I52:J52"/>
    <mergeCell ref="K52:L52"/>
    <mergeCell ref="B49:E49"/>
    <mergeCell ref="G49:H49"/>
    <mergeCell ref="I49:J49"/>
    <mergeCell ref="K49:L49"/>
    <mergeCell ref="B50:E50"/>
    <mergeCell ref="G50:H50"/>
    <mergeCell ref="I50:J50"/>
    <mergeCell ref="K50:L50"/>
    <mergeCell ref="M45:N46"/>
    <mergeCell ref="A47:A48"/>
    <mergeCell ref="B47:E48"/>
    <mergeCell ref="F47:F48"/>
    <mergeCell ref="G47:H48"/>
    <mergeCell ref="I47:J48"/>
    <mergeCell ref="K47:L48"/>
    <mergeCell ref="M47:M48"/>
    <mergeCell ref="N47:N48"/>
    <mergeCell ref="L41:L43"/>
    <mergeCell ref="M41:M43"/>
    <mergeCell ref="N41:N43"/>
    <mergeCell ref="A45:A46"/>
    <mergeCell ref="B45:C46"/>
    <mergeCell ref="D45:D46"/>
    <mergeCell ref="E45:F46"/>
    <mergeCell ref="G45:H46"/>
    <mergeCell ref="I45:J46"/>
    <mergeCell ref="K45:L46"/>
    <mergeCell ref="M40:N40"/>
    <mergeCell ref="A41:A43"/>
    <mergeCell ref="B41:C43"/>
    <mergeCell ref="D41:D43"/>
    <mergeCell ref="E41:F43"/>
    <mergeCell ref="G41:G43"/>
    <mergeCell ref="H41:H43"/>
    <mergeCell ref="I41:I43"/>
    <mergeCell ref="J41:J43"/>
    <mergeCell ref="K41:K43"/>
    <mergeCell ref="B39:E39"/>
    <mergeCell ref="G39:H39"/>
    <mergeCell ref="I39:J39"/>
    <mergeCell ref="K39:L39"/>
    <mergeCell ref="A40:E40"/>
    <mergeCell ref="G40:H40"/>
    <mergeCell ref="I40:J40"/>
    <mergeCell ref="K40:L40"/>
    <mergeCell ref="B37:E37"/>
    <mergeCell ref="G37:H37"/>
    <mergeCell ref="I37:J37"/>
    <mergeCell ref="K37:L37"/>
    <mergeCell ref="B38:E38"/>
    <mergeCell ref="G38:H38"/>
    <mergeCell ref="I38:J38"/>
    <mergeCell ref="K38:L38"/>
    <mergeCell ref="B35:E35"/>
    <mergeCell ref="G35:H35"/>
    <mergeCell ref="I35:J35"/>
    <mergeCell ref="K35:L35"/>
    <mergeCell ref="B36:E36"/>
    <mergeCell ref="G36:H36"/>
    <mergeCell ref="I36:J36"/>
    <mergeCell ref="K36:L36"/>
    <mergeCell ref="B33:E33"/>
    <mergeCell ref="G33:H33"/>
    <mergeCell ref="I33:J33"/>
    <mergeCell ref="K33:L33"/>
    <mergeCell ref="B34:E34"/>
    <mergeCell ref="G34:H34"/>
    <mergeCell ref="I34:J34"/>
    <mergeCell ref="K34:L34"/>
    <mergeCell ref="B31:E31"/>
    <mergeCell ref="G31:H31"/>
    <mergeCell ref="I31:J31"/>
    <mergeCell ref="K31:L31"/>
    <mergeCell ref="B32:E32"/>
    <mergeCell ref="G32:H32"/>
    <mergeCell ref="I32:J32"/>
    <mergeCell ref="K32:L32"/>
    <mergeCell ref="M27:N28"/>
    <mergeCell ref="A29:A30"/>
    <mergeCell ref="B29:E30"/>
    <mergeCell ref="F29:F30"/>
    <mergeCell ref="G29:H30"/>
    <mergeCell ref="I29:J30"/>
    <mergeCell ref="K29:L30"/>
    <mergeCell ref="M29:M30"/>
    <mergeCell ref="N29:N30"/>
    <mergeCell ref="L23:L25"/>
    <mergeCell ref="M23:M25"/>
    <mergeCell ref="N23:N25"/>
    <mergeCell ref="A27:A28"/>
    <mergeCell ref="B27:C28"/>
    <mergeCell ref="D27:D28"/>
    <mergeCell ref="E27:F28"/>
    <mergeCell ref="G27:H28"/>
    <mergeCell ref="I27:J28"/>
    <mergeCell ref="K27:L28"/>
    <mergeCell ref="M22:N22"/>
    <mergeCell ref="A23:A25"/>
    <mergeCell ref="B23:C25"/>
    <mergeCell ref="D23:D25"/>
    <mergeCell ref="E23:F25"/>
    <mergeCell ref="G23:G25"/>
    <mergeCell ref="H23:H25"/>
    <mergeCell ref="I23:I25"/>
    <mergeCell ref="J23:J25"/>
    <mergeCell ref="K23:K25"/>
    <mergeCell ref="B21:E21"/>
    <mergeCell ref="G21:H21"/>
    <mergeCell ref="I21:J21"/>
    <mergeCell ref="K21:L21"/>
    <mergeCell ref="A22:E22"/>
    <mergeCell ref="G22:H22"/>
    <mergeCell ref="I22:J22"/>
    <mergeCell ref="K22:L22"/>
    <mergeCell ref="B19:E19"/>
    <mergeCell ref="G19:H19"/>
    <mergeCell ref="I19:J19"/>
    <mergeCell ref="K19:L19"/>
    <mergeCell ref="B20:E20"/>
    <mergeCell ref="G20:H20"/>
    <mergeCell ref="I20:J20"/>
    <mergeCell ref="K20:L20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B14:E14"/>
    <mergeCell ref="G14:H14"/>
    <mergeCell ref="I14:J14"/>
    <mergeCell ref="K14:L14"/>
    <mergeCell ref="K9:L10"/>
    <mergeCell ref="B17:E17"/>
    <mergeCell ref="G17:H17"/>
    <mergeCell ref="I17:J17"/>
    <mergeCell ref="K17:L17"/>
    <mergeCell ref="A11:A12"/>
    <mergeCell ref="B11:E12"/>
    <mergeCell ref="F11:F12"/>
    <mergeCell ref="G11:H12"/>
    <mergeCell ref="I11:J12"/>
    <mergeCell ref="K11:L12"/>
    <mergeCell ref="M11:M12"/>
    <mergeCell ref="N11:N12"/>
    <mergeCell ref="B13:E13"/>
    <mergeCell ref="G13:H13"/>
    <mergeCell ref="I13:J13"/>
    <mergeCell ref="K13:L13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9:N10"/>
  </mergeCells>
  <pageMargins left="0.70866141732283472" right="0.70866141732283472" top="0.59055118110236227" bottom="1.2649999999999999" header="0" footer="0.78740157480314965"/>
  <pageSetup paperSize="8" scale="92" orientation="portrait" r:id="rId1"/>
  <headerFooter>
    <oddFooter xml:space="preserve">&amp;L&amp;"Times New Roman,Bold"Prepared by                        Checked by
Date: 24.04.2026&amp;C&amp;"Times New Roman,Bold"Controller(GBPIET)
&amp;R&amp;"Times New Roman,Bold"
Director (GBPIET)                        Contoller(UTU)               
</oddFooter>
  </headerFooter>
  <rowBreaks count="2" manualBreakCount="2">
    <brk id="64" max="27" man="1"/>
    <brk id="161" max="16383" man="1"/>
  </rowBreaks>
  <colBreaks count="2" manualBreakCount="2">
    <brk id="14" max="1048575" man="1"/>
    <brk id="1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9BF8-1E39-4B74-B023-7D8E6C6F122F}">
  <dimension ref="A1:N287"/>
  <sheetViews>
    <sheetView view="pageLayout" zoomScaleNormal="100" workbookViewId="0">
      <selection activeCell="J8" sqref="J8"/>
    </sheetView>
  </sheetViews>
  <sheetFormatPr baseColWidth="10" defaultColWidth="8.83203125" defaultRowHeight="13" x14ac:dyDescent="0.15"/>
  <cols>
    <col min="7" max="7" width="18.5" customWidth="1"/>
  </cols>
  <sheetData>
    <row r="1" spans="1:14" ht="26" x14ac:dyDescent="0.15">
      <c r="A1" s="213" t="s">
        <v>132</v>
      </c>
      <c r="B1" s="213"/>
      <c r="C1" s="213"/>
      <c r="D1" s="213"/>
      <c r="E1" s="213"/>
      <c r="F1" s="213"/>
      <c r="G1" s="213"/>
      <c r="H1" s="213"/>
      <c r="I1" s="213"/>
      <c r="J1" s="213"/>
      <c r="K1" s="44"/>
      <c r="M1" s="35" t="s">
        <v>34</v>
      </c>
      <c r="N1" s="36" t="s">
        <v>35</v>
      </c>
    </row>
    <row r="2" spans="1:14" x14ac:dyDescent="0.15">
      <c r="A2" s="214" t="s">
        <v>74</v>
      </c>
      <c r="B2" s="214"/>
      <c r="C2" s="214"/>
      <c r="D2" s="214"/>
      <c r="E2" s="214"/>
      <c r="F2" s="214"/>
      <c r="G2" s="214"/>
      <c r="H2" s="214"/>
      <c r="I2" s="214"/>
      <c r="J2" s="214"/>
      <c r="K2" s="44"/>
      <c r="M2" s="37" t="s">
        <v>36</v>
      </c>
      <c r="N2" s="37">
        <v>10</v>
      </c>
    </row>
    <row r="3" spans="1:14" x14ac:dyDescent="0.15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44"/>
      <c r="M3" s="37" t="s">
        <v>37</v>
      </c>
      <c r="N3" s="37">
        <v>9</v>
      </c>
    </row>
    <row r="4" spans="1:14" x14ac:dyDescent="0.15">
      <c r="A4" s="215" t="s">
        <v>75</v>
      </c>
      <c r="B4" s="215"/>
      <c r="C4" s="215"/>
      <c r="D4" s="215"/>
      <c r="E4" s="215"/>
      <c r="F4" s="215"/>
      <c r="G4" s="215"/>
      <c r="H4" s="215"/>
      <c r="I4" s="215"/>
      <c r="J4" s="215"/>
      <c r="K4" s="44"/>
      <c r="M4" s="37" t="s">
        <v>38</v>
      </c>
      <c r="N4" s="37">
        <v>8</v>
      </c>
    </row>
    <row r="5" spans="1:14" x14ac:dyDescent="0.15">
      <c r="A5" s="44"/>
      <c r="B5" s="216" t="s">
        <v>128</v>
      </c>
      <c r="C5" s="216"/>
      <c r="D5" s="216"/>
      <c r="E5" s="216"/>
      <c r="F5" s="216"/>
      <c r="G5" s="216"/>
      <c r="H5" s="216"/>
      <c r="I5" s="216"/>
      <c r="J5" s="44"/>
      <c r="K5" s="44"/>
      <c r="M5" s="37" t="s">
        <v>39</v>
      </c>
      <c r="N5" s="37">
        <v>7</v>
      </c>
    </row>
    <row r="6" spans="1:14" x14ac:dyDescent="0.15">
      <c r="A6" s="45"/>
      <c r="B6" s="216"/>
      <c r="C6" s="216"/>
      <c r="D6" s="216"/>
      <c r="E6" s="216"/>
      <c r="F6" s="216"/>
      <c r="G6" s="216"/>
      <c r="H6" s="216"/>
      <c r="I6" s="216"/>
      <c r="J6" s="45"/>
      <c r="K6" s="44"/>
      <c r="M6" s="37" t="s">
        <v>40</v>
      </c>
      <c r="N6" s="37">
        <v>6</v>
      </c>
    </row>
    <row r="7" spans="1:14" x14ac:dyDescent="0.15">
      <c r="A7" s="45"/>
      <c r="B7" s="217" t="str">
        <f>_xlfn.TEXTJOIN("",TRUE,"Master of Technology", IF($F$11="CSE_I"," (Computer Science and Engineering)",IF($F$11="PS_I"," (Power Systems)",IF($F$11="BT_I"," (Biotechnology)",IF($F$11="ECE_I"," (Electronics and Communication Engineering)",IF($F$11="GT_I"," (Geotechnology)",))))),CHAR(10),"I Semester December 2025")</f>
        <v>Master of Technology (Biotechnology)
I Semester December 2025</v>
      </c>
      <c r="C7" s="217"/>
      <c r="D7" s="217"/>
      <c r="E7" s="217"/>
      <c r="F7" s="217"/>
      <c r="G7" s="217"/>
      <c r="H7" s="217"/>
      <c r="I7" s="217"/>
      <c r="J7" s="45"/>
      <c r="K7" s="44"/>
      <c r="M7" s="37" t="s">
        <v>41</v>
      </c>
      <c r="N7" s="37">
        <v>5</v>
      </c>
    </row>
    <row r="8" spans="1:14" x14ac:dyDescent="0.15">
      <c r="A8" s="45"/>
      <c r="B8" s="217"/>
      <c r="C8" s="217"/>
      <c r="D8" s="217"/>
      <c r="E8" s="217"/>
      <c r="F8" s="217"/>
      <c r="G8" s="217"/>
      <c r="H8" s="217"/>
      <c r="I8" s="217"/>
      <c r="J8" s="45"/>
      <c r="K8" s="44"/>
      <c r="M8" s="37" t="s">
        <v>42</v>
      </c>
      <c r="N8" s="37">
        <v>0</v>
      </c>
    </row>
    <row r="9" spans="1:14" x14ac:dyDescent="0.15">
      <c r="A9" s="45"/>
      <c r="B9" s="217"/>
      <c r="C9" s="217"/>
      <c r="D9" s="217"/>
      <c r="E9" s="217"/>
      <c r="F9" s="217"/>
      <c r="G9" s="217"/>
      <c r="H9" s="217"/>
      <c r="I9" s="217"/>
      <c r="J9" s="45"/>
      <c r="K9" s="44"/>
      <c r="M9" s="37" t="s">
        <v>43</v>
      </c>
      <c r="N9" s="37">
        <v>0</v>
      </c>
    </row>
    <row r="10" spans="1:14" x14ac:dyDescent="0.15">
      <c r="A10" s="45"/>
      <c r="B10" s="217"/>
      <c r="C10" s="217"/>
      <c r="D10" s="217"/>
      <c r="E10" s="217"/>
      <c r="F10" s="217"/>
      <c r="G10" s="217"/>
      <c r="H10" s="217"/>
      <c r="I10" s="217"/>
      <c r="J10" s="45"/>
      <c r="K10" s="44"/>
      <c r="M10" s="37" t="s">
        <v>44</v>
      </c>
      <c r="N10" s="37">
        <v>0</v>
      </c>
    </row>
    <row r="11" spans="1:14" ht="14" x14ac:dyDescent="0.15">
      <c r="A11" s="46" t="s">
        <v>73</v>
      </c>
      <c r="B11" s="46">
        <v>1</v>
      </c>
      <c r="C11" s="46" t="s">
        <v>71</v>
      </c>
      <c r="D11" s="46" t="s">
        <v>72</v>
      </c>
      <c r="E11" s="46" t="s">
        <v>40</v>
      </c>
      <c r="F11" s="46" t="s">
        <v>105</v>
      </c>
      <c r="G11" s="47"/>
      <c r="H11" s="47"/>
      <c r="I11" s="47"/>
      <c r="J11" s="44"/>
      <c r="K11" s="44"/>
      <c r="M11" s="37" t="s">
        <v>45</v>
      </c>
      <c r="N11" s="37">
        <v>0</v>
      </c>
    </row>
    <row r="12" spans="1:14" x14ac:dyDescent="0.15">
      <c r="A12" s="218" t="s">
        <v>76</v>
      </c>
      <c r="B12" s="218"/>
      <c r="C12" s="219" t="str">
        <f ca="1">VLOOKUP(B11,INDIRECT($F$11),5,0)</f>
        <v>Mayank Negi</v>
      </c>
      <c r="D12" s="219"/>
      <c r="E12" s="219"/>
      <c r="F12" s="218" t="s">
        <v>102</v>
      </c>
      <c r="G12" s="218"/>
      <c r="H12" s="218"/>
      <c r="I12" s="220">
        <f ca="1">VLOOKUP(B11,INDIRECT($F$11),2,0)</f>
        <v>250090703001</v>
      </c>
      <c r="J12" s="220"/>
      <c r="K12" s="44"/>
      <c r="M12" s="37" t="str">
        <f>""</f>
        <v/>
      </c>
      <c r="N12" s="37" t="str">
        <f>""</f>
        <v/>
      </c>
    </row>
    <row r="13" spans="1:14" x14ac:dyDescent="0.15">
      <c r="A13" s="218"/>
      <c r="B13" s="218"/>
      <c r="C13" s="219"/>
      <c r="D13" s="219"/>
      <c r="E13" s="219"/>
      <c r="F13" s="218"/>
      <c r="G13" s="218"/>
      <c r="H13" s="218"/>
      <c r="I13" s="220"/>
      <c r="J13" s="220"/>
      <c r="K13" s="44"/>
    </row>
    <row r="14" spans="1:14" x14ac:dyDescent="0.15">
      <c r="A14" s="218" t="s">
        <v>77</v>
      </c>
      <c r="B14" s="218"/>
      <c r="C14" s="219" t="str">
        <f ca="1">VLOOKUP(B11,INDIRECT($F$11),6,0)</f>
        <v>Narendra Singh Negi</v>
      </c>
      <c r="D14" s="219"/>
      <c r="E14" s="219"/>
      <c r="F14" s="223" t="s">
        <v>103</v>
      </c>
      <c r="G14" s="223"/>
      <c r="H14" s="223"/>
      <c r="I14" s="220" t="str">
        <f ca="1">IF(VLOOKUP(B11,INDIRECT($F$11),3,0)=0,"",VLOOKUP(B11,INDIRECT($F$11),3,0))</f>
        <v>UTU/2507100053</v>
      </c>
      <c r="J14" s="220"/>
      <c r="K14" s="44"/>
    </row>
    <row r="15" spans="1:14" x14ac:dyDescent="0.15">
      <c r="A15" s="221"/>
      <c r="B15" s="221"/>
      <c r="C15" s="222"/>
      <c r="D15" s="222"/>
      <c r="E15" s="222"/>
      <c r="F15" s="224"/>
      <c r="G15" s="224"/>
      <c r="H15" s="224"/>
      <c r="I15" s="225"/>
      <c r="J15" s="225"/>
      <c r="K15" s="44"/>
    </row>
    <row r="16" spans="1:14" x14ac:dyDescent="0.15">
      <c r="A16" s="226" t="s">
        <v>80</v>
      </c>
      <c r="B16" s="226"/>
      <c r="C16" s="226" t="s">
        <v>81</v>
      </c>
      <c r="D16" s="226"/>
      <c r="E16" s="226"/>
      <c r="F16" s="226"/>
      <c r="G16" s="226"/>
      <c r="H16" s="226" t="s">
        <v>33</v>
      </c>
      <c r="I16" s="226" t="s">
        <v>34</v>
      </c>
      <c r="J16" s="226" t="s">
        <v>85</v>
      </c>
      <c r="K16" s="44"/>
    </row>
    <row r="17" spans="1:11" x14ac:dyDescent="0.15">
      <c r="A17" s="226"/>
      <c r="B17" s="226"/>
      <c r="C17" s="226"/>
      <c r="D17" s="226"/>
      <c r="E17" s="226"/>
      <c r="F17" s="226"/>
      <c r="G17" s="226"/>
      <c r="H17" s="226"/>
      <c r="I17" s="226"/>
      <c r="J17" s="226"/>
      <c r="K17" s="44"/>
    </row>
    <row r="18" spans="1:11" x14ac:dyDescent="0.15">
      <c r="A18" s="226"/>
      <c r="B18" s="226"/>
      <c r="C18" s="226"/>
      <c r="D18" s="226"/>
      <c r="E18" s="226"/>
      <c r="F18" s="226"/>
      <c r="G18" s="226"/>
      <c r="H18" s="226"/>
      <c r="I18" s="226"/>
      <c r="J18" s="226"/>
      <c r="K18" s="44"/>
    </row>
    <row r="19" spans="1:11" x14ac:dyDescent="0.15">
      <c r="A19" s="227" t="str">
        <f ca="1">VLOOKUP(C11,INDIRECT($F$11),7+(K19-1)*4,0)</f>
        <v>BTT 301</v>
      </c>
      <c r="B19" s="228"/>
      <c r="C19" s="231" t="str">
        <f ca="1">VLOOKUP(D11,INDIRECT($F$11),7+(K19-1)*4,0)</f>
        <v>Advanced Biostatistics</v>
      </c>
      <c r="D19" s="232"/>
      <c r="E19" s="232"/>
      <c r="F19" s="232"/>
      <c r="G19" s="233"/>
      <c r="H19" s="237">
        <f ca="1">VLOOKUP(E11,INDIRECT($F$11),7+(K19-1)*4,0)</f>
        <v>4</v>
      </c>
      <c r="I19" s="237" t="str">
        <f ca="1">VLOOKUP(B11,INDIRECT($F$11),10+(K19-1)*4,0)</f>
        <v>P</v>
      </c>
      <c r="J19" s="237">
        <f ca="1">INDEX($N$2:$N$12,MATCH(I19,$M$2:$M$12,0))</f>
        <v>5</v>
      </c>
      <c r="K19" s="48">
        <v>1</v>
      </c>
    </row>
    <row r="20" spans="1:11" x14ac:dyDescent="0.15">
      <c r="A20" s="229"/>
      <c r="B20" s="230"/>
      <c r="C20" s="234"/>
      <c r="D20" s="235"/>
      <c r="E20" s="235"/>
      <c r="F20" s="235"/>
      <c r="G20" s="236"/>
      <c r="H20" s="238"/>
      <c r="I20" s="238"/>
      <c r="J20" s="238"/>
      <c r="K20" s="48"/>
    </row>
    <row r="21" spans="1:11" x14ac:dyDescent="0.15">
      <c r="A21" s="227" t="str">
        <f ca="1">VLOOKUP(C11,INDIRECT($F$11),7+(K21-1)*4,0)</f>
        <v>BTT 302</v>
      </c>
      <c r="B21" s="228"/>
      <c r="C21" s="231" t="str">
        <f ca="1">VLOOKUP(D11,INDIRECT($F$11),7+(K21-1)*4,0)</f>
        <v>Applied Biochemistry</v>
      </c>
      <c r="D21" s="232"/>
      <c r="E21" s="232"/>
      <c r="F21" s="232"/>
      <c r="G21" s="233"/>
      <c r="H21" s="237">
        <f ca="1">VLOOKUP(E11,INDIRECT($F$11),7+(K21-1)*4,0)</f>
        <v>4</v>
      </c>
      <c r="I21" s="237" t="str">
        <f ca="1">VLOOKUP(B11,INDIRECT($F$11),10+(K21-1)*4,0)</f>
        <v>B</v>
      </c>
      <c r="J21" s="237">
        <f ca="1">INDEX($N$2:$N$12,MATCH(I21,$M$2:$M$12,0))</f>
        <v>7</v>
      </c>
      <c r="K21" s="48">
        <v>2</v>
      </c>
    </row>
    <row r="22" spans="1:11" x14ac:dyDescent="0.15">
      <c r="A22" s="229"/>
      <c r="B22" s="230"/>
      <c r="C22" s="234"/>
      <c r="D22" s="235"/>
      <c r="E22" s="235"/>
      <c r="F22" s="235"/>
      <c r="G22" s="236"/>
      <c r="H22" s="238"/>
      <c r="I22" s="238"/>
      <c r="J22" s="238"/>
      <c r="K22" s="48"/>
    </row>
    <row r="23" spans="1:11" x14ac:dyDescent="0.15">
      <c r="A23" s="227" t="str">
        <f ca="1">VLOOKUP(C11,INDIRECT($F$11),7+(K23-1)*4,0)</f>
        <v>BTT 303</v>
      </c>
      <c r="B23" s="228"/>
      <c r="C23" s="231" t="str">
        <f ca="1">VLOOKUP(D11,INDIRECT($F$11),7+(K23-1)*4,0)</f>
        <v>Microbial Biotechnology</v>
      </c>
      <c r="D23" s="232"/>
      <c r="E23" s="232"/>
      <c r="F23" s="232"/>
      <c r="G23" s="233"/>
      <c r="H23" s="237">
        <f ca="1">VLOOKUP(E11,INDIRECT($F$11),7+(K23-1)*4,0)</f>
        <v>4</v>
      </c>
      <c r="I23" s="237" t="str">
        <f ca="1">VLOOKUP(B11,INDIRECT($F$11),10+(K23-1)*4,0)</f>
        <v>C</v>
      </c>
      <c r="J23" s="237">
        <f ca="1">INDEX($N$2:$N$12,MATCH(I23,$M$2:$M$12,0))</f>
        <v>6</v>
      </c>
      <c r="K23" s="48">
        <v>3</v>
      </c>
    </row>
    <row r="24" spans="1:11" x14ac:dyDescent="0.15">
      <c r="A24" s="229"/>
      <c r="B24" s="230"/>
      <c r="C24" s="234"/>
      <c r="D24" s="235"/>
      <c r="E24" s="235"/>
      <c r="F24" s="235"/>
      <c r="G24" s="236"/>
      <c r="H24" s="238"/>
      <c r="I24" s="238"/>
      <c r="J24" s="238"/>
      <c r="K24" s="48"/>
    </row>
    <row r="25" spans="1:11" x14ac:dyDescent="0.15">
      <c r="A25" s="227" t="str">
        <f ca="1">VLOOKUP(C11,INDIRECT($F$11),7+(K25-1)*4,0)</f>
        <v>BTT 306</v>
      </c>
      <c r="B25" s="228"/>
      <c r="C25" s="231" t="str">
        <f ca="1">VLOOKUP(D11,INDIRECT($F$11),7+(K25-1)*4,0)</f>
        <v>Bioprocess Engineering</v>
      </c>
      <c r="D25" s="232"/>
      <c r="E25" s="232"/>
      <c r="F25" s="232"/>
      <c r="G25" s="233"/>
      <c r="H25" s="237">
        <f ca="1">VLOOKUP(E11,INDIRECT($F$11),7+(K25-1)*4,0)</f>
        <v>3</v>
      </c>
      <c r="I25" s="237" t="str">
        <f ca="1">VLOOKUP(B11,INDIRECT($F$11),10+(K25-1)*4,0)</f>
        <v>C</v>
      </c>
      <c r="J25" s="237">
        <f ca="1">INDEX($N$2:$N$12,MATCH(I25,$M$2:$M$12,0))</f>
        <v>6</v>
      </c>
      <c r="K25" s="48">
        <v>4</v>
      </c>
    </row>
    <row r="26" spans="1:11" x14ac:dyDescent="0.15">
      <c r="A26" s="229"/>
      <c r="B26" s="230"/>
      <c r="C26" s="234"/>
      <c r="D26" s="235"/>
      <c r="E26" s="235"/>
      <c r="F26" s="235"/>
      <c r="G26" s="236"/>
      <c r="H26" s="238"/>
      <c r="I26" s="238"/>
      <c r="J26" s="238"/>
      <c r="K26" s="48"/>
    </row>
    <row r="27" spans="1:11" x14ac:dyDescent="0.15">
      <c r="A27" s="227" t="str">
        <f ca="1">VLOOKUP(C11,INDIRECT($F$11),7+(K27-1)*4,0)</f>
        <v>BTT 311</v>
      </c>
      <c r="B27" s="228"/>
      <c r="C27" s="231" t="str">
        <f ca="1">VLOOKUP(D11,INDIRECT($F$11),7+(K27-1)*4,0)</f>
        <v>Herbal Biotechnology</v>
      </c>
      <c r="D27" s="232"/>
      <c r="E27" s="232"/>
      <c r="F27" s="232"/>
      <c r="G27" s="233"/>
      <c r="H27" s="237">
        <f ca="1">VLOOKUP(E11,INDIRECT($F$11),7+(K27-1)*4,0)</f>
        <v>3</v>
      </c>
      <c r="I27" s="237" t="str">
        <f ca="1">VLOOKUP(B11,INDIRECT($F$11),10+(K27-1)*4,0)</f>
        <v>B</v>
      </c>
      <c r="J27" s="237">
        <f ca="1">INDEX($N$2:$N$12,MATCH(I27,$M$2:$M$12,0))</f>
        <v>7</v>
      </c>
      <c r="K27" s="48">
        <v>5</v>
      </c>
    </row>
    <row r="28" spans="1:11" x14ac:dyDescent="0.15">
      <c r="A28" s="229"/>
      <c r="B28" s="230"/>
      <c r="C28" s="234"/>
      <c r="D28" s="235"/>
      <c r="E28" s="235"/>
      <c r="F28" s="235"/>
      <c r="G28" s="236"/>
      <c r="H28" s="238"/>
      <c r="I28" s="238"/>
      <c r="J28" s="238"/>
      <c r="K28" s="48"/>
    </row>
    <row r="29" spans="1:11" x14ac:dyDescent="0.15">
      <c r="A29" s="227" t="str">
        <f ca="1">VLOOKUP(C11,INDIRECT($F$11),7+(K29-1)*4,0)</f>
        <v>AHT 302</v>
      </c>
      <c r="B29" s="228"/>
      <c r="C29" s="231" t="str">
        <f ca="1">VLOOKUP(D11,INDIRECT($F$11),7+(K29-1)*4,0)</f>
        <v>Research Methodology and IPR</v>
      </c>
      <c r="D29" s="232"/>
      <c r="E29" s="232"/>
      <c r="F29" s="232"/>
      <c r="G29" s="233"/>
      <c r="H29" s="237">
        <f ca="1">VLOOKUP(E11,INDIRECT($F$11),7+(K29-1)*4,0)</f>
        <v>2</v>
      </c>
      <c r="I29" s="237" t="str">
        <f ca="1">VLOOKUP(B11,INDIRECT($F$11),10+(K29-1)*4,0)</f>
        <v>A+</v>
      </c>
      <c r="J29" s="237">
        <f ca="1">INDEX($N$2:$N$12,MATCH(I29,$M$2:$M$12,0))</f>
        <v>9</v>
      </c>
      <c r="K29" s="48">
        <v>6</v>
      </c>
    </row>
    <row r="30" spans="1:11" x14ac:dyDescent="0.15">
      <c r="A30" s="229"/>
      <c r="B30" s="230"/>
      <c r="C30" s="234"/>
      <c r="D30" s="235"/>
      <c r="E30" s="235"/>
      <c r="F30" s="235"/>
      <c r="G30" s="236"/>
      <c r="H30" s="238"/>
      <c r="I30" s="238"/>
      <c r="J30" s="238"/>
      <c r="K30" s="48"/>
    </row>
    <row r="31" spans="1:11" x14ac:dyDescent="0.15">
      <c r="A31" s="227" t="str">
        <f ca="1">VLOOKUP(C11,INDIRECT($F$11),7+(K31-1)*4,0)</f>
        <v>AHT 304</v>
      </c>
      <c r="B31" s="228"/>
      <c r="C31" s="231" t="str">
        <f ca="1">VLOOKUP(D11,INDIRECT($F$11),7+(K31-1)*4,0)</f>
        <v xml:space="preserve">English for Research Writing ($) </v>
      </c>
      <c r="D31" s="232"/>
      <c r="E31" s="232"/>
      <c r="F31" s="232"/>
      <c r="G31" s="233"/>
      <c r="H31" s="237">
        <f ca="1">VLOOKUP(E11,INDIRECT($F$11),7+(K31-1)*4,0)</f>
        <v>0</v>
      </c>
      <c r="I31" s="237" t="str">
        <f ca="1">VLOOKUP(B11,INDIRECT($F$11),10+(K31-1)*4,0)</f>
        <v>B</v>
      </c>
      <c r="J31" s="237">
        <f ca="1">INDEX($N$2:$N$12,MATCH(I31,$M$2:$M$12,0))</f>
        <v>7</v>
      </c>
      <c r="K31" s="48">
        <v>7</v>
      </c>
    </row>
    <row r="32" spans="1:11" x14ac:dyDescent="0.15">
      <c r="A32" s="229"/>
      <c r="B32" s="230"/>
      <c r="C32" s="234"/>
      <c r="D32" s="235"/>
      <c r="E32" s="235"/>
      <c r="F32" s="235"/>
      <c r="G32" s="236"/>
      <c r="H32" s="238"/>
      <c r="I32" s="238"/>
      <c r="J32" s="238"/>
      <c r="K32" s="48"/>
    </row>
    <row r="33" spans="1:11" x14ac:dyDescent="0.15">
      <c r="A33" s="227" t="str">
        <f ca="1">VLOOKUP(C11,INDIRECT($F$11),7+(K33-1)*4,0)</f>
        <v>BTP 301</v>
      </c>
      <c r="B33" s="228"/>
      <c r="C33" s="231" t="str">
        <f ca="1">VLOOKUP(D11,INDIRECT($F$11),7+(K33-1)*4,0)</f>
        <v>Biochemistry and Bioanalytical Techniques Lab  ( Lab-I)</v>
      </c>
      <c r="D33" s="232"/>
      <c r="E33" s="232"/>
      <c r="F33" s="232"/>
      <c r="G33" s="233"/>
      <c r="H33" s="237">
        <f ca="1">VLOOKUP(E11,INDIRECT($F$11),7+(K33-1)*4,0)</f>
        <v>1</v>
      </c>
      <c r="I33" s="237" t="str">
        <f ca="1">VLOOKUP(B11,INDIRECT($F$11),10+(K33-1)*4,0)</f>
        <v>A+</v>
      </c>
      <c r="J33" s="237">
        <f ca="1">INDEX($N$2:$N$12,MATCH(I33,$M$2:$M$12,0))</f>
        <v>9</v>
      </c>
      <c r="K33" s="48">
        <v>8</v>
      </c>
    </row>
    <row r="34" spans="1:11" x14ac:dyDescent="0.15">
      <c r="A34" s="229"/>
      <c r="B34" s="230"/>
      <c r="C34" s="234"/>
      <c r="D34" s="235"/>
      <c r="E34" s="235"/>
      <c r="F34" s="235"/>
      <c r="G34" s="236"/>
      <c r="H34" s="238"/>
      <c r="I34" s="238"/>
      <c r="J34" s="238"/>
      <c r="K34" s="48"/>
    </row>
    <row r="35" spans="1:11" x14ac:dyDescent="0.15">
      <c r="A35" s="227" t="str">
        <f ca="1">VLOOKUP(C11,INDIRECT($F$11),7+(K35-1)*4,0)</f>
        <v>BTP 302</v>
      </c>
      <c r="B35" s="228"/>
      <c r="C35" s="231" t="str">
        <f ca="1">VLOOKUP(D11,INDIRECT($F$11),7+(K35-1)*4,0)</f>
        <v>Microbial Biotechnology/    Bioprocess Engg. Lab   (Lab-II )</v>
      </c>
      <c r="D35" s="232"/>
      <c r="E35" s="232"/>
      <c r="F35" s="232"/>
      <c r="G35" s="233"/>
      <c r="H35" s="237">
        <f ca="1">VLOOKUP(E11,INDIRECT($F$11),7+(K35-1)*4,0)</f>
        <v>1</v>
      </c>
      <c r="I35" s="237" t="str">
        <f ca="1">VLOOKUP(B11,INDIRECT($F$11),10+(K35-1)*4,0)</f>
        <v>A</v>
      </c>
      <c r="J35" s="237">
        <f ca="1">INDEX($N$2:$N$12,MATCH(I35,$M$2:$M$12,0))</f>
        <v>8</v>
      </c>
      <c r="K35" s="48">
        <v>9</v>
      </c>
    </row>
    <row r="36" spans="1:11" x14ac:dyDescent="0.15">
      <c r="A36" s="229"/>
      <c r="B36" s="230"/>
      <c r="C36" s="234"/>
      <c r="D36" s="235"/>
      <c r="E36" s="235"/>
      <c r="F36" s="235"/>
      <c r="G36" s="236"/>
      <c r="H36" s="238"/>
      <c r="I36" s="238"/>
      <c r="J36" s="238"/>
      <c r="K36" s="48"/>
    </row>
    <row r="37" spans="1:11" x14ac:dyDescent="0.15">
      <c r="A37" s="239" t="s">
        <v>104</v>
      </c>
      <c r="B37" s="239"/>
      <c r="C37" s="239"/>
      <c r="D37" s="239"/>
      <c r="E37" s="239"/>
      <c r="F37" s="239"/>
      <c r="G37" s="239"/>
      <c r="H37" s="239">
        <f ca="1">SUM(H19:H36)</f>
        <v>22</v>
      </c>
      <c r="I37" s="239" t="s">
        <v>86</v>
      </c>
      <c r="J37" s="240">
        <f ca="1">SUMPRODUCT(J19:J36,H19:H36)</f>
        <v>146</v>
      </c>
      <c r="K37" s="44"/>
    </row>
    <row r="38" spans="1:11" x14ac:dyDescent="0.15">
      <c r="A38" s="239"/>
      <c r="B38" s="239"/>
      <c r="C38" s="239"/>
      <c r="D38" s="239"/>
      <c r="E38" s="239"/>
      <c r="F38" s="239"/>
      <c r="G38" s="239"/>
      <c r="H38" s="239"/>
      <c r="I38" s="239"/>
      <c r="J38" s="241"/>
      <c r="K38" s="44"/>
    </row>
    <row r="39" spans="1:11" ht="16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4"/>
    </row>
    <row r="40" spans="1:11" x14ac:dyDescent="0.15">
      <c r="A40" s="244" t="s">
        <v>92</v>
      </c>
      <c r="B40" s="244"/>
      <c r="C40" s="245">
        <f ca="1">Marksheets_BT!L23</f>
        <v>22</v>
      </c>
      <c r="D40" s="244" t="s">
        <v>90</v>
      </c>
      <c r="E40" s="244"/>
      <c r="F40" s="246">
        <f ca="1">Marksheets_BT!H23</f>
        <v>6.6363636363636367</v>
      </c>
      <c r="G40" s="244" t="s">
        <v>91</v>
      </c>
      <c r="H40" s="244"/>
      <c r="I40" s="246">
        <f ca="1">Marksheets_BT!J23</f>
        <v>6.6363636363636367</v>
      </c>
      <c r="J40" s="246"/>
      <c r="K40" s="44"/>
    </row>
    <row r="41" spans="1:11" x14ac:dyDescent="0.15">
      <c r="A41" s="244"/>
      <c r="B41" s="244"/>
      <c r="C41" s="245"/>
      <c r="D41" s="244"/>
      <c r="E41" s="244"/>
      <c r="F41" s="246"/>
      <c r="G41" s="244"/>
      <c r="H41" s="244"/>
      <c r="I41" s="246"/>
      <c r="J41" s="246"/>
      <c r="K41" s="44"/>
    </row>
    <row r="42" spans="1:11" x14ac:dyDescent="0.15">
      <c r="A42" s="242" t="s">
        <v>88</v>
      </c>
      <c r="B42" s="226" t="str">
        <f>Marksheets_BT!B23</f>
        <v>PASS</v>
      </c>
      <c r="C42" s="226"/>
      <c r="D42" s="242" t="s">
        <v>89</v>
      </c>
      <c r="E42" s="242"/>
      <c r="F42" s="243" t="str">
        <f>Marksheets_BT!E23</f>
        <v xml:space="preserve"> </v>
      </c>
      <c r="G42" s="243"/>
      <c r="H42" s="243"/>
      <c r="I42" s="243"/>
      <c r="J42" s="243"/>
      <c r="K42" s="44"/>
    </row>
    <row r="43" spans="1:11" x14ac:dyDescent="0.15">
      <c r="A43" s="242"/>
      <c r="B43" s="226"/>
      <c r="C43" s="226"/>
      <c r="D43" s="242"/>
      <c r="E43" s="242"/>
      <c r="F43" s="243"/>
      <c r="G43" s="243"/>
      <c r="H43" s="243"/>
      <c r="I43" s="243"/>
      <c r="J43" s="243"/>
      <c r="K43" s="44"/>
    </row>
    <row r="44" spans="1:11" x14ac:dyDescent="0.15">
      <c r="A44" s="242"/>
      <c r="B44" s="226"/>
      <c r="C44" s="226"/>
      <c r="D44" s="242"/>
      <c r="E44" s="242"/>
      <c r="F44" s="243"/>
      <c r="G44" s="243"/>
      <c r="H44" s="243"/>
      <c r="I44" s="243"/>
      <c r="J44" s="243"/>
      <c r="K44" s="44"/>
    </row>
    <row r="46" spans="1:11" ht="14" x14ac:dyDescent="0.15">
      <c r="A46" s="46" t="s">
        <v>73</v>
      </c>
      <c r="B46" s="46">
        <f>B11+1</f>
        <v>2</v>
      </c>
      <c r="C46" s="46" t="s">
        <v>71</v>
      </c>
      <c r="D46" s="46" t="s">
        <v>72</v>
      </c>
      <c r="E46" s="46" t="s">
        <v>40</v>
      </c>
      <c r="F46" s="46" t="s">
        <v>94</v>
      </c>
      <c r="G46" s="47"/>
      <c r="H46" s="47"/>
      <c r="I46" s="47"/>
      <c r="J46" s="44"/>
      <c r="K46" s="44"/>
    </row>
    <row r="47" spans="1:11" x14ac:dyDescent="0.15">
      <c r="A47" s="218" t="s">
        <v>76</v>
      </c>
      <c r="B47" s="218"/>
      <c r="C47" s="219" t="str">
        <f ca="1">VLOOKUP(B46,INDIRECT($F$11),5,0)</f>
        <v>Prabhav Singh</v>
      </c>
      <c r="D47" s="219"/>
      <c r="E47" s="219"/>
      <c r="F47" s="218" t="s">
        <v>102</v>
      </c>
      <c r="G47" s="218"/>
      <c r="H47" s="218"/>
      <c r="I47" s="220">
        <f ca="1">VLOOKUP(B46,INDIRECT($F$11),2,0)</f>
        <v>250090703002</v>
      </c>
      <c r="J47" s="220"/>
      <c r="K47" s="44"/>
    </row>
    <row r="48" spans="1:11" x14ac:dyDescent="0.15">
      <c r="A48" s="218"/>
      <c r="B48" s="218"/>
      <c r="C48" s="219"/>
      <c r="D48" s="219"/>
      <c r="E48" s="219"/>
      <c r="F48" s="218"/>
      <c r="G48" s="218"/>
      <c r="H48" s="218"/>
      <c r="I48" s="220"/>
      <c r="J48" s="220"/>
      <c r="K48" s="44"/>
    </row>
    <row r="49" spans="1:11" x14ac:dyDescent="0.15">
      <c r="A49" s="218" t="s">
        <v>77</v>
      </c>
      <c r="B49" s="218"/>
      <c r="C49" s="219" t="str">
        <f ca="1">VLOOKUP(B46,INDIRECT($F$11),6,0)</f>
        <v>Jaspal Singh</v>
      </c>
      <c r="D49" s="219"/>
      <c r="E49" s="219"/>
      <c r="F49" s="223" t="s">
        <v>103</v>
      </c>
      <c r="G49" s="223"/>
      <c r="H49" s="223"/>
      <c r="I49" s="220" t="str">
        <f ca="1">IF(VLOOKUP(B46,INDIRECT($F$11),3,0)=0,"",VLOOKUP(B46,INDIRECT($F$11),3,0))</f>
        <v>UTU/2507100025</v>
      </c>
      <c r="J49" s="220"/>
      <c r="K49" s="44"/>
    </row>
    <row r="50" spans="1:11" x14ac:dyDescent="0.15">
      <c r="A50" s="221"/>
      <c r="B50" s="221"/>
      <c r="C50" s="222"/>
      <c r="D50" s="222"/>
      <c r="E50" s="222"/>
      <c r="F50" s="224"/>
      <c r="G50" s="224"/>
      <c r="H50" s="224"/>
      <c r="I50" s="225"/>
      <c r="J50" s="225"/>
      <c r="K50" s="44"/>
    </row>
    <row r="51" spans="1:11" x14ac:dyDescent="0.15">
      <c r="A51" s="226" t="s">
        <v>80</v>
      </c>
      <c r="B51" s="226"/>
      <c r="C51" s="226" t="s">
        <v>81</v>
      </c>
      <c r="D51" s="226"/>
      <c r="E51" s="226"/>
      <c r="F51" s="226"/>
      <c r="G51" s="226"/>
      <c r="H51" s="226" t="s">
        <v>33</v>
      </c>
      <c r="I51" s="226" t="s">
        <v>34</v>
      </c>
      <c r="J51" s="226" t="s">
        <v>85</v>
      </c>
      <c r="K51" s="44"/>
    </row>
    <row r="52" spans="1:11" x14ac:dyDescent="0.15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44"/>
    </row>
    <row r="53" spans="1:11" x14ac:dyDescent="0.15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44"/>
    </row>
    <row r="54" spans="1:11" x14ac:dyDescent="0.15">
      <c r="A54" s="227" t="str">
        <f ca="1">VLOOKUP(C46,INDIRECT($F$11),7+(K54-1)*4,0)</f>
        <v>BTT 301</v>
      </c>
      <c r="B54" s="228"/>
      <c r="C54" s="231" t="str">
        <f ca="1">VLOOKUP(D46,INDIRECT($F$11),7+(K54-1)*4,0)</f>
        <v>Advanced Biostatistics</v>
      </c>
      <c r="D54" s="232"/>
      <c r="E54" s="232"/>
      <c r="F54" s="232"/>
      <c r="G54" s="233"/>
      <c r="H54" s="237">
        <f ca="1">VLOOKUP(E46,INDIRECT($F$11),7+(K54-1)*4,0)</f>
        <v>4</v>
      </c>
      <c r="I54" s="237" t="str">
        <f ca="1">VLOOKUP(B46,INDIRECT($F$11),10+(K54-1)*4,0)</f>
        <v>P</v>
      </c>
      <c r="J54" s="237">
        <f ca="1">INDEX($N$2:$N$12,MATCH(I54,$M$2:$M$12,0))</f>
        <v>5</v>
      </c>
      <c r="K54" s="48">
        <v>1</v>
      </c>
    </row>
    <row r="55" spans="1:11" x14ac:dyDescent="0.15">
      <c r="A55" s="229"/>
      <c r="B55" s="230"/>
      <c r="C55" s="234"/>
      <c r="D55" s="235"/>
      <c r="E55" s="235"/>
      <c r="F55" s="235"/>
      <c r="G55" s="236"/>
      <c r="H55" s="238"/>
      <c r="I55" s="238"/>
      <c r="J55" s="238"/>
      <c r="K55" s="48"/>
    </row>
    <row r="56" spans="1:11" x14ac:dyDescent="0.15">
      <c r="A56" s="227" t="str">
        <f ca="1">VLOOKUP(C46,INDIRECT($F$11),7+(K56-1)*4,0)</f>
        <v>BTT 302</v>
      </c>
      <c r="B56" s="228"/>
      <c r="C56" s="231" t="str">
        <f ca="1">VLOOKUP(D46,INDIRECT($F$11),7+(K56-1)*4,0)</f>
        <v>Applied Biochemistry</v>
      </c>
      <c r="D56" s="232"/>
      <c r="E56" s="232"/>
      <c r="F56" s="232"/>
      <c r="G56" s="233"/>
      <c r="H56" s="237">
        <f ca="1">VLOOKUP(E46,INDIRECT($F$11),7+(K56-1)*4,0)</f>
        <v>4</v>
      </c>
      <c r="I56" s="237" t="str">
        <f ca="1">VLOOKUP(B46,INDIRECT($F$11),10+(K56-1)*4,0)</f>
        <v>B</v>
      </c>
      <c r="J56" s="237">
        <f ca="1">INDEX($N$2:$N$12,MATCH(I56,$M$2:$M$12,0))</f>
        <v>7</v>
      </c>
      <c r="K56" s="48">
        <v>2</v>
      </c>
    </row>
    <row r="57" spans="1:11" x14ac:dyDescent="0.15">
      <c r="A57" s="229"/>
      <c r="B57" s="230"/>
      <c r="C57" s="234"/>
      <c r="D57" s="235"/>
      <c r="E57" s="235"/>
      <c r="F57" s="235"/>
      <c r="G57" s="236"/>
      <c r="H57" s="238"/>
      <c r="I57" s="238"/>
      <c r="J57" s="238"/>
      <c r="K57" s="48"/>
    </row>
    <row r="58" spans="1:11" x14ac:dyDescent="0.15">
      <c r="A58" s="227" t="str">
        <f ca="1">VLOOKUP(C46,INDIRECT($F$11),7+(K58-1)*4,0)</f>
        <v>BTT 303</v>
      </c>
      <c r="B58" s="228"/>
      <c r="C58" s="231" t="str">
        <f ca="1">VLOOKUP(D46,INDIRECT($F$11),7+(K58-1)*4,0)</f>
        <v>Microbial Biotechnology</v>
      </c>
      <c r="D58" s="232"/>
      <c r="E58" s="232"/>
      <c r="F58" s="232"/>
      <c r="G58" s="233"/>
      <c r="H58" s="237">
        <f ca="1">VLOOKUP(E46,INDIRECT($F$11),7+(K58-1)*4,0)</f>
        <v>4</v>
      </c>
      <c r="I58" s="237" t="str">
        <f ca="1">VLOOKUP(B46,INDIRECT($F$11),10+(K58-1)*4,0)</f>
        <v>P</v>
      </c>
      <c r="J58" s="237">
        <f ca="1">INDEX($N$2:$N$12,MATCH(I58,$M$2:$M$12,0))</f>
        <v>5</v>
      </c>
      <c r="K58" s="48">
        <v>3</v>
      </c>
    </row>
    <row r="59" spans="1:11" x14ac:dyDescent="0.15">
      <c r="A59" s="229"/>
      <c r="B59" s="230"/>
      <c r="C59" s="234"/>
      <c r="D59" s="235"/>
      <c r="E59" s="235"/>
      <c r="F59" s="235"/>
      <c r="G59" s="236"/>
      <c r="H59" s="238"/>
      <c r="I59" s="238"/>
      <c r="J59" s="238"/>
      <c r="K59" s="48"/>
    </row>
    <row r="60" spans="1:11" x14ac:dyDescent="0.15">
      <c r="A60" s="227" t="str">
        <f ca="1">VLOOKUP(C46,INDIRECT($F$11),7+(K60-1)*4,0)</f>
        <v>BTT 306</v>
      </c>
      <c r="B60" s="228"/>
      <c r="C60" s="231" t="str">
        <f ca="1">VLOOKUP(D46,INDIRECT($F$11),7+(K60-1)*4,0)</f>
        <v>Bioprocess Engineering</v>
      </c>
      <c r="D60" s="232"/>
      <c r="E60" s="232"/>
      <c r="F60" s="232"/>
      <c r="G60" s="233"/>
      <c r="H60" s="237">
        <f ca="1">VLOOKUP(E46,INDIRECT($F$11),7+(K60-1)*4,0)</f>
        <v>3</v>
      </c>
      <c r="I60" s="237" t="str">
        <f ca="1">VLOOKUP(B46,INDIRECT($F$11),10+(K60-1)*4,0)</f>
        <v>P</v>
      </c>
      <c r="J60" s="237">
        <f ca="1">INDEX($N$2:$N$12,MATCH(I60,$M$2:$M$12,0))</f>
        <v>5</v>
      </c>
      <c r="K60" s="48">
        <v>4</v>
      </c>
    </row>
    <row r="61" spans="1:11" x14ac:dyDescent="0.15">
      <c r="A61" s="229"/>
      <c r="B61" s="230"/>
      <c r="C61" s="234"/>
      <c r="D61" s="235"/>
      <c r="E61" s="235"/>
      <c r="F61" s="235"/>
      <c r="G61" s="236"/>
      <c r="H61" s="238"/>
      <c r="I61" s="238"/>
      <c r="J61" s="238"/>
      <c r="K61" s="48"/>
    </row>
    <row r="62" spans="1:11" x14ac:dyDescent="0.15">
      <c r="A62" s="227" t="str">
        <f ca="1">VLOOKUP(C46,INDIRECT($F$11),7+(K62-1)*4,0)</f>
        <v>BTT 311</v>
      </c>
      <c r="B62" s="228"/>
      <c r="C62" s="231" t="str">
        <f ca="1">VLOOKUP(D46,INDIRECT($F$11),7+(K62-1)*4,0)</f>
        <v>Herbal Biotechnology</v>
      </c>
      <c r="D62" s="232"/>
      <c r="E62" s="232"/>
      <c r="F62" s="232"/>
      <c r="G62" s="233"/>
      <c r="H62" s="237">
        <f ca="1">VLOOKUP(E46,INDIRECT($F$11),7+(K62-1)*4,0)</f>
        <v>3</v>
      </c>
      <c r="I62" s="237" t="str">
        <f ca="1">VLOOKUP(B46,INDIRECT($F$11),10+(K62-1)*4,0)</f>
        <v>B</v>
      </c>
      <c r="J62" s="237">
        <f ca="1">INDEX($N$2:$N$12,MATCH(I62,$M$2:$M$12,0))</f>
        <v>7</v>
      </c>
      <c r="K62" s="48">
        <v>5</v>
      </c>
    </row>
    <row r="63" spans="1:11" x14ac:dyDescent="0.15">
      <c r="A63" s="229"/>
      <c r="B63" s="230"/>
      <c r="C63" s="234"/>
      <c r="D63" s="235"/>
      <c r="E63" s="235"/>
      <c r="F63" s="235"/>
      <c r="G63" s="236"/>
      <c r="H63" s="238"/>
      <c r="I63" s="238"/>
      <c r="J63" s="238"/>
      <c r="K63" s="48"/>
    </row>
    <row r="64" spans="1:11" x14ac:dyDescent="0.15">
      <c r="A64" s="227" t="str">
        <f ca="1">VLOOKUP(C46,INDIRECT($F$11),7+(K64-1)*4,0)</f>
        <v>AHT 302</v>
      </c>
      <c r="B64" s="228"/>
      <c r="C64" s="231" t="str">
        <f ca="1">VLOOKUP(D46,INDIRECT($F$11),7+(K64-1)*4,0)</f>
        <v>Research Methodology and IPR</v>
      </c>
      <c r="D64" s="232"/>
      <c r="E64" s="232"/>
      <c r="F64" s="232"/>
      <c r="G64" s="233"/>
      <c r="H64" s="237">
        <f ca="1">VLOOKUP(E46,INDIRECT($F$11),7+(K64-1)*4,0)</f>
        <v>2</v>
      </c>
      <c r="I64" s="237" t="str">
        <f ca="1">VLOOKUP(B46,INDIRECT($F$11),10+(K64-1)*4,0)</f>
        <v>A</v>
      </c>
      <c r="J64" s="237">
        <f ca="1">INDEX($N$2:$N$12,MATCH(I64,$M$2:$M$12,0))</f>
        <v>8</v>
      </c>
      <c r="K64" s="48">
        <v>6</v>
      </c>
    </row>
    <row r="65" spans="1:11" x14ac:dyDescent="0.15">
      <c r="A65" s="229"/>
      <c r="B65" s="230"/>
      <c r="C65" s="234"/>
      <c r="D65" s="235"/>
      <c r="E65" s="235"/>
      <c r="F65" s="235"/>
      <c r="G65" s="236"/>
      <c r="H65" s="238"/>
      <c r="I65" s="238"/>
      <c r="J65" s="238"/>
      <c r="K65" s="48"/>
    </row>
    <row r="66" spans="1:11" ht="13" customHeight="1" x14ac:dyDescent="0.15">
      <c r="A66" s="227" t="str">
        <f ca="1">VLOOKUP(C46,INDIRECT($F$11),7+(K66-1)*4,0)</f>
        <v>AHT 304</v>
      </c>
      <c r="B66" s="228"/>
      <c r="C66" s="231" t="str">
        <f ca="1">VLOOKUP(D46,INDIRECT($F$11),7+(K66-1)*4,0)</f>
        <v xml:space="preserve">English for Research Writing ($) </v>
      </c>
      <c r="D66" s="232"/>
      <c r="E66" s="232"/>
      <c r="F66" s="232"/>
      <c r="G66" s="233"/>
      <c r="H66" s="237">
        <f ca="1">VLOOKUP(E46,INDIRECT($F$11),7+(K66-1)*4,0)</f>
        <v>0</v>
      </c>
      <c r="I66" s="237" t="str">
        <f ca="1">VLOOKUP(B46,INDIRECT($F$11),10+(K66-1)*4,0)</f>
        <v>C</v>
      </c>
      <c r="J66" s="237">
        <f ca="1">INDEX($N$2:$N$12,MATCH(I66,$M$2:$M$12,0))</f>
        <v>6</v>
      </c>
      <c r="K66" s="48">
        <v>7</v>
      </c>
    </row>
    <row r="67" spans="1:11" ht="13" customHeight="1" x14ac:dyDescent="0.15">
      <c r="A67" s="229"/>
      <c r="B67" s="230"/>
      <c r="C67" s="234"/>
      <c r="D67" s="235"/>
      <c r="E67" s="235"/>
      <c r="F67" s="235"/>
      <c r="G67" s="236"/>
      <c r="H67" s="238"/>
      <c r="I67" s="238"/>
      <c r="J67" s="238"/>
      <c r="K67" s="48"/>
    </row>
    <row r="68" spans="1:11" ht="13" customHeight="1" x14ac:dyDescent="0.15">
      <c r="A68" s="227" t="str">
        <f ca="1">VLOOKUP(C46,INDIRECT($F$11),7+(K68-1)*4,0)</f>
        <v>BTP 301</v>
      </c>
      <c r="B68" s="228"/>
      <c r="C68" s="231" t="str">
        <f ca="1">VLOOKUP(D46,INDIRECT($F$11),7+(K68-1)*4,0)</f>
        <v>Biochemistry and Bioanalytical Techniques Lab  ( Lab-I)</v>
      </c>
      <c r="D68" s="232"/>
      <c r="E68" s="232"/>
      <c r="F68" s="232"/>
      <c r="G68" s="233"/>
      <c r="H68" s="237">
        <f ca="1">VLOOKUP(E46,INDIRECT($F$11),7+(K68-1)*4,0)</f>
        <v>1</v>
      </c>
      <c r="I68" s="237" t="str">
        <f ca="1">VLOOKUP(B46,INDIRECT($F$11),10+(K68-1)*4,0)</f>
        <v>A+</v>
      </c>
      <c r="J68" s="237">
        <f ca="1">INDEX($N$2:$N$12,MATCH(I68,$M$2:$M$12,0))</f>
        <v>9</v>
      </c>
      <c r="K68" s="48">
        <v>8</v>
      </c>
    </row>
    <row r="69" spans="1:11" ht="13" customHeight="1" x14ac:dyDescent="0.15">
      <c r="A69" s="229"/>
      <c r="B69" s="230"/>
      <c r="C69" s="234"/>
      <c r="D69" s="235"/>
      <c r="E69" s="235"/>
      <c r="F69" s="235"/>
      <c r="G69" s="236"/>
      <c r="H69" s="238"/>
      <c r="I69" s="238"/>
      <c r="J69" s="238"/>
      <c r="K69" s="48"/>
    </row>
    <row r="70" spans="1:11" ht="13" customHeight="1" x14ac:dyDescent="0.15">
      <c r="A70" s="227" t="str">
        <f ca="1">VLOOKUP(C46,INDIRECT($F$11),7+(K70-1)*4,0)</f>
        <v>BTP 302</v>
      </c>
      <c r="B70" s="228"/>
      <c r="C70" s="231" t="str">
        <f ca="1">VLOOKUP(D46,INDIRECT($F$11),7+(K70-1)*4,0)</f>
        <v>Microbial Biotechnology/    Bioprocess Engg. Lab   (Lab-II )</v>
      </c>
      <c r="D70" s="232"/>
      <c r="E70" s="232"/>
      <c r="F70" s="232"/>
      <c r="G70" s="233"/>
      <c r="H70" s="237">
        <f ca="1">VLOOKUP(E46,INDIRECT($F$11),7+(K70-1)*4,0)</f>
        <v>1</v>
      </c>
      <c r="I70" s="237" t="str">
        <f ca="1">VLOOKUP(B46,INDIRECT($F$11),10+(K70-1)*4,0)</f>
        <v>B</v>
      </c>
      <c r="J70" s="237">
        <f ca="1">INDEX($N$2:$N$12,MATCH(I70,$M$2:$M$12,0))</f>
        <v>7</v>
      </c>
      <c r="K70" s="48">
        <v>9</v>
      </c>
    </row>
    <row r="71" spans="1:11" ht="13" customHeight="1" x14ac:dyDescent="0.15">
      <c r="A71" s="229"/>
      <c r="B71" s="230"/>
      <c r="C71" s="234"/>
      <c r="D71" s="235"/>
      <c r="E71" s="235"/>
      <c r="F71" s="235"/>
      <c r="G71" s="236"/>
      <c r="H71" s="238"/>
      <c r="I71" s="238"/>
      <c r="J71" s="238"/>
      <c r="K71" s="48"/>
    </row>
    <row r="72" spans="1:11" x14ac:dyDescent="0.15">
      <c r="A72" s="239" t="s">
        <v>104</v>
      </c>
      <c r="B72" s="239"/>
      <c r="C72" s="239"/>
      <c r="D72" s="239"/>
      <c r="E72" s="239"/>
      <c r="F72" s="239"/>
      <c r="G72" s="239"/>
      <c r="H72" s="239">
        <f ca="1">SUM(H54:H71)</f>
        <v>22</v>
      </c>
      <c r="I72" s="239" t="s">
        <v>86</v>
      </c>
      <c r="J72" s="240">
        <f ca="1">SUMPRODUCT(J54:J71,H54:H71)</f>
        <v>136</v>
      </c>
      <c r="K72" s="44"/>
    </row>
    <row r="73" spans="1:11" x14ac:dyDescent="0.15">
      <c r="A73" s="239"/>
      <c r="B73" s="239"/>
      <c r="C73" s="239"/>
      <c r="D73" s="239"/>
      <c r="E73" s="239"/>
      <c r="F73" s="239"/>
      <c r="G73" s="239"/>
      <c r="H73" s="239"/>
      <c r="I73" s="239"/>
      <c r="J73" s="241"/>
      <c r="K73" s="44"/>
    </row>
    <row r="74" spans="1:11" ht="16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4"/>
    </row>
    <row r="75" spans="1:11" x14ac:dyDescent="0.15">
      <c r="A75" s="244" t="s">
        <v>92</v>
      </c>
      <c r="B75" s="244"/>
      <c r="C75" s="245">
        <f ca="1">Marksheets_BT!L41</f>
        <v>22</v>
      </c>
      <c r="D75" s="244" t="s">
        <v>90</v>
      </c>
      <c r="E75" s="244"/>
      <c r="F75" s="246">
        <f ca="1">Marksheets_BT!H41</f>
        <v>6.1818181818181817</v>
      </c>
      <c r="G75" s="244" t="s">
        <v>91</v>
      </c>
      <c r="H75" s="244"/>
      <c r="I75" s="246">
        <f ca="1">Marksheets_BT!J41</f>
        <v>6.1818181818181817</v>
      </c>
      <c r="J75" s="246"/>
      <c r="K75" s="44"/>
    </row>
    <row r="76" spans="1:11" x14ac:dyDescent="0.15">
      <c r="A76" s="244"/>
      <c r="B76" s="244"/>
      <c r="C76" s="245"/>
      <c r="D76" s="244"/>
      <c r="E76" s="244"/>
      <c r="F76" s="246"/>
      <c r="G76" s="244"/>
      <c r="H76" s="244"/>
      <c r="I76" s="246"/>
      <c r="J76" s="246"/>
      <c r="K76" s="44"/>
    </row>
    <row r="77" spans="1:11" x14ac:dyDescent="0.15">
      <c r="A77" s="242" t="s">
        <v>88</v>
      </c>
      <c r="B77" s="226" t="str">
        <f>Marksheets_BT!B41</f>
        <v>PASS</v>
      </c>
      <c r="C77" s="226"/>
      <c r="D77" s="242" t="s">
        <v>89</v>
      </c>
      <c r="E77" s="242"/>
      <c r="F77" s="243" t="str">
        <f>Marksheets_BT!E41</f>
        <v xml:space="preserve"> </v>
      </c>
      <c r="G77" s="243"/>
      <c r="H77" s="243"/>
      <c r="I77" s="243"/>
      <c r="J77" s="243"/>
      <c r="K77" s="44"/>
    </row>
    <row r="78" spans="1:11" x14ac:dyDescent="0.15">
      <c r="A78" s="242"/>
      <c r="B78" s="226"/>
      <c r="C78" s="226"/>
      <c r="D78" s="242"/>
      <c r="E78" s="242"/>
      <c r="F78" s="243"/>
      <c r="G78" s="243"/>
      <c r="H78" s="243"/>
      <c r="I78" s="243"/>
      <c r="J78" s="243"/>
      <c r="K78" s="44"/>
    </row>
    <row r="79" spans="1:11" x14ac:dyDescent="0.15">
      <c r="A79" s="242"/>
      <c r="B79" s="226"/>
      <c r="C79" s="226"/>
      <c r="D79" s="242"/>
      <c r="E79" s="242"/>
      <c r="F79" s="243"/>
      <c r="G79" s="243"/>
      <c r="H79" s="243"/>
      <c r="I79" s="243"/>
      <c r="J79" s="243"/>
      <c r="K79" s="44"/>
    </row>
    <row r="81" spans="1:11" ht="14" x14ac:dyDescent="0.15">
      <c r="A81" s="46" t="s">
        <v>73</v>
      </c>
      <c r="B81" s="46">
        <f>B46+1</f>
        <v>3</v>
      </c>
      <c r="C81" s="46" t="s">
        <v>71</v>
      </c>
      <c r="D81" s="46" t="s">
        <v>72</v>
      </c>
      <c r="E81" s="46" t="s">
        <v>40</v>
      </c>
      <c r="F81" s="46" t="s">
        <v>94</v>
      </c>
      <c r="G81" s="47"/>
      <c r="H81" s="47"/>
      <c r="I81" s="47"/>
      <c r="J81" s="44"/>
      <c r="K81" s="44"/>
    </row>
    <row r="82" spans="1:11" x14ac:dyDescent="0.15">
      <c r="A82" s="218" t="s">
        <v>76</v>
      </c>
      <c r="B82" s="218"/>
      <c r="C82" s="219" t="str">
        <f ca="1">VLOOKUP(B81,INDIRECT($F$11),5,0)</f>
        <v>Priyanshu Dobhal</v>
      </c>
      <c r="D82" s="219"/>
      <c r="E82" s="219"/>
      <c r="F82" s="218" t="s">
        <v>102</v>
      </c>
      <c r="G82" s="218"/>
      <c r="H82" s="218"/>
      <c r="I82" s="220">
        <f ca="1">VLOOKUP(B81,INDIRECT($F$11),2,0)</f>
        <v>250090703003</v>
      </c>
      <c r="J82" s="220"/>
      <c r="K82" s="44"/>
    </row>
    <row r="83" spans="1:11" x14ac:dyDescent="0.15">
      <c r="A83" s="218"/>
      <c r="B83" s="218"/>
      <c r="C83" s="219"/>
      <c r="D83" s="219"/>
      <c r="E83" s="219"/>
      <c r="F83" s="218"/>
      <c r="G83" s="218"/>
      <c r="H83" s="218"/>
      <c r="I83" s="220"/>
      <c r="J83" s="220"/>
      <c r="K83" s="44"/>
    </row>
    <row r="84" spans="1:11" x14ac:dyDescent="0.15">
      <c r="A84" s="218" t="s">
        <v>77</v>
      </c>
      <c r="B84" s="218"/>
      <c r="C84" s="219" t="str">
        <f ca="1">VLOOKUP(B81,INDIRECT($F$11),6,0)</f>
        <v>Jaiprakash Dobhal</v>
      </c>
      <c r="D84" s="219"/>
      <c r="E84" s="219"/>
      <c r="F84" s="223" t="s">
        <v>103</v>
      </c>
      <c r="G84" s="223"/>
      <c r="H84" s="223"/>
      <c r="I84" s="220" t="str">
        <f ca="1">IF(VLOOKUP(B81,INDIRECT($F$11),3,0)=0,"",VLOOKUP(B81,INDIRECT($F$11),3,0))</f>
        <v>UTU/2507100026</v>
      </c>
      <c r="J84" s="220"/>
      <c r="K84" s="44"/>
    </row>
    <row r="85" spans="1:11" x14ac:dyDescent="0.15">
      <c r="A85" s="221"/>
      <c r="B85" s="221"/>
      <c r="C85" s="222"/>
      <c r="D85" s="222"/>
      <c r="E85" s="222"/>
      <c r="F85" s="224"/>
      <c r="G85" s="224"/>
      <c r="H85" s="224"/>
      <c r="I85" s="225"/>
      <c r="J85" s="225"/>
      <c r="K85" s="44"/>
    </row>
    <row r="86" spans="1:11" x14ac:dyDescent="0.15">
      <c r="A86" s="226" t="s">
        <v>80</v>
      </c>
      <c r="B86" s="226"/>
      <c r="C86" s="226" t="s">
        <v>81</v>
      </c>
      <c r="D86" s="226"/>
      <c r="E86" s="226"/>
      <c r="F86" s="226"/>
      <c r="G86" s="226"/>
      <c r="H86" s="226" t="s">
        <v>33</v>
      </c>
      <c r="I86" s="226" t="s">
        <v>34</v>
      </c>
      <c r="J86" s="226" t="s">
        <v>85</v>
      </c>
      <c r="K86" s="44"/>
    </row>
    <row r="87" spans="1:11" x14ac:dyDescent="0.15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44"/>
    </row>
    <row r="88" spans="1:11" x14ac:dyDescent="0.15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44"/>
    </row>
    <row r="89" spans="1:11" x14ac:dyDescent="0.15">
      <c r="A89" s="227" t="str">
        <f ca="1">VLOOKUP(C81,INDIRECT($F$11),7+(K89-1)*4,0)</f>
        <v>BTT 301</v>
      </c>
      <c r="B89" s="228"/>
      <c r="C89" s="231" t="str">
        <f ca="1">VLOOKUP(D81,INDIRECT($F$11),7+(K89-1)*4,0)</f>
        <v>Advanced Biostatistics</v>
      </c>
      <c r="D89" s="232"/>
      <c r="E89" s="232"/>
      <c r="F89" s="232"/>
      <c r="G89" s="233"/>
      <c r="H89" s="237">
        <f ca="1">VLOOKUP(E81,INDIRECT($F$11),7+(K89-1)*4,0)</f>
        <v>4</v>
      </c>
      <c r="I89" s="237" t="str">
        <f ca="1">VLOOKUP(B81,INDIRECT($F$11),10+(K89-1)*4,0)</f>
        <v>P</v>
      </c>
      <c r="J89" s="237">
        <f ca="1">INDEX($N$2:$N$12,MATCH(I89,$M$2:$M$12,0))</f>
        <v>5</v>
      </c>
      <c r="K89" s="48">
        <v>1</v>
      </c>
    </row>
    <row r="90" spans="1:11" x14ac:dyDescent="0.15">
      <c r="A90" s="229"/>
      <c r="B90" s="230"/>
      <c r="C90" s="234"/>
      <c r="D90" s="235"/>
      <c r="E90" s="235"/>
      <c r="F90" s="235"/>
      <c r="G90" s="236"/>
      <c r="H90" s="238"/>
      <c r="I90" s="238"/>
      <c r="J90" s="238"/>
      <c r="K90" s="48"/>
    </row>
    <row r="91" spans="1:11" x14ac:dyDescent="0.15">
      <c r="A91" s="227" t="str">
        <f ca="1">VLOOKUP(C81,INDIRECT($F$11),7+(K91-1)*4,0)</f>
        <v>BTT 302</v>
      </c>
      <c r="B91" s="228"/>
      <c r="C91" s="231" t="str">
        <f ca="1">VLOOKUP(D81,INDIRECT($F$11),7+(K91-1)*4,0)</f>
        <v>Applied Biochemistry</v>
      </c>
      <c r="D91" s="232"/>
      <c r="E91" s="232"/>
      <c r="F91" s="232"/>
      <c r="G91" s="233"/>
      <c r="H91" s="237">
        <f ca="1">VLOOKUP(E81,INDIRECT($F$11),7+(K91-1)*4,0)</f>
        <v>4</v>
      </c>
      <c r="I91" s="237" t="str">
        <f ca="1">VLOOKUP(B81,INDIRECT($F$11),10+(K91-1)*4,0)</f>
        <v>B</v>
      </c>
      <c r="J91" s="237">
        <f ca="1">INDEX($N$2:$N$12,MATCH(I91,$M$2:$M$12,0))</f>
        <v>7</v>
      </c>
      <c r="K91" s="48">
        <v>2</v>
      </c>
    </row>
    <row r="92" spans="1:11" x14ac:dyDescent="0.15">
      <c r="A92" s="229"/>
      <c r="B92" s="230"/>
      <c r="C92" s="234"/>
      <c r="D92" s="235"/>
      <c r="E92" s="235"/>
      <c r="F92" s="235"/>
      <c r="G92" s="236"/>
      <c r="H92" s="238"/>
      <c r="I92" s="238"/>
      <c r="J92" s="238"/>
      <c r="K92" s="48"/>
    </row>
    <row r="93" spans="1:11" x14ac:dyDescent="0.15">
      <c r="A93" s="227" t="str">
        <f ca="1">VLOOKUP(C81,INDIRECT($F$11),7+(K93-1)*4,0)</f>
        <v>BTT 303</v>
      </c>
      <c r="B93" s="228"/>
      <c r="C93" s="231" t="str">
        <f ca="1">VLOOKUP(D81,INDIRECT($F$11),7+(K93-1)*4,0)</f>
        <v>Microbial Biotechnology</v>
      </c>
      <c r="D93" s="232"/>
      <c r="E93" s="232"/>
      <c r="F93" s="232"/>
      <c r="G93" s="233"/>
      <c r="H93" s="237">
        <f ca="1">VLOOKUP(E81,INDIRECT($F$11),7+(K93-1)*4,0)</f>
        <v>4</v>
      </c>
      <c r="I93" s="237" t="str">
        <f ca="1">VLOOKUP(B81,INDIRECT($F$11),10+(K93-1)*4,0)</f>
        <v>B</v>
      </c>
      <c r="J93" s="237">
        <f ca="1">INDEX($N$2:$N$12,MATCH(I93,$M$2:$M$12,0))</f>
        <v>7</v>
      </c>
      <c r="K93" s="48">
        <v>3</v>
      </c>
    </row>
    <row r="94" spans="1:11" x14ac:dyDescent="0.15">
      <c r="A94" s="229"/>
      <c r="B94" s="230"/>
      <c r="C94" s="234"/>
      <c r="D94" s="235"/>
      <c r="E94" s="235"/>
      <c r="F94" s="235"/>
      <c r="G94" s="236"/>
      <c r="H94" s="238"/>
      <c r="I94" s="238"/>
      <c r="J94" s="238"/>
      <c r="K94" s="48"/>
    </row>
    <row r="95" spans="1:11" x14ac:dyDescent="0.15">
      <c r="A95" s="227" t="str">
        <f ca="1">VLOOKUP(C81,INDIRECT($F$11),7+(K95-1)*4,0)</f>
        <v>BTT 306</v>
      </c>
      <c r="B95" s="228"/>
      <c r="C95" s="231" t="str">
        <f ca="1">VLOOKUP(D81,INDIRECT($F$11),7+(K95-1)*4,0)</f>
        <v>Bioprocess Engineering</v>
      </c>
      <c r="D95" s="232"/>
      <c r="E95" s="232"/>
      <c r="F95" s="232"/>
      <c r="G95" s="233"/>
      <c r="H95" s="237">
        <f ca="1">VLOOKUP(E81,INDIRECT($F$11),7+(K95-1)*4,0)</f>
        <v>3</v>
      </c>
      <c r="I95" s="237" t="str">
        <f ca="1">VLOOKUP(B81,INDIRECT($F$11),10+(K95-1)*4,0)</f>
        <v>B</v>
      </c>
      <c r="J95" s="237">
        <f ca="1">INDEX($N$2:$N$12,MATCH(I95,$M$2:$M$12,0))</f>
        <v>7</v>
      </c>
      <c r="K95" s="48">
        <v>4</v>
      </c>
    </row>
    <row r="96" spans="1:11" x14ac:dyDescent="0.15">
      <c r="A96" s="229"/>
      <c r="B96" s="230"/>
      <c r="C96" s="234"/>
      <c r="D96" s="235"/>
      <c r="E96" s="235"/>
      <c r="F96" s="235"/>
      <c r="G96" s="236"/>
      <c r="H96" s="238"/>
      <c r="I96" s="238"/>
      <c r="J96" s="238"/>
      <c r="K96" s="48"/>
    </row>
    <row r="97" spans="1:11" x14ac:dyDescent="0.15">
      <c r="A97" s="227" t="str">
        <f ca="1">VLOOKUP(C81,INDIRECT($F$11),7+(K97-1)*4,0)</f>
        <v>BTT 311</v>
      </c>
      <c r="B97" s="228"/>
      <c r="C97" s="231" t="str">
        <f ca="1">VLOOKUP(D81,INDIRECT($F$11),7+(K97-1)*4,0)</f>
        <v>Herbal Biotechnology</v>
      </c>
      <c r="D97" s="232"/>
      <c r="E97" s="232"/>
      <c r="F97" s="232"/>
      <c r="G97" s="233"/>
      <c r="H97" s="237">
        <f ca="1">VLOOKUP(E81,INDIRECT($F$11),7+(K97-1)*4,0)</f>
        <v>3</v>
      </c>
      <c r="I97" s="237" t="str">
        <f ca="1">VLOOKUP(B81,INDIRECT($F$11),10+(K97-1)*4,0)</f>
        <v>A</v>
      </c>
      <c r="J97" s="237">
        <f ca="1">INDEX($N$2:$N$12,MATCH(I97,$M$2:$M$12,0))</f>
        <v>8</v>
      </c>
      <c r="K97" s="48">
        <v>5</v>
      </c>
    </row>
    <row r="98" spans="1:11" x14ac:dyDescent="0.15">
      <c r="A98" s="229"/>
      <c r="B98" s="230"/>
      <c r="C98" s="234"/>
      <c r="D98" s="235"/>
      <c r="E98" s="235"/>
      <c r="F98" s="235"/>
      <c r="G98" s="236"/>
      <c r="H98" s="238"/>
      <c r="I98" s="238"/>
      <c r="J98" s="238"/>
      <c r="K98" s="48"/>
    </row>
    <row r="99" spans="1:11" x14ac:dyDescent="0.15">
      <c r="A99" s="227" t="str">
        <f ca="1">VLOOKUP(C81,INDIRECT($F$11),7+(K99-1)*4,0)</f>
        <v>AHT 302</v>
      </c>
      <c r="B99" s="228"/>
      <c r="C99" s="231" t="str">
        <f ca="1">VLOOKUP(D81,INDIRECT($F$11),7+(K99-1)*4,0)</f>
        <v>Research Methodology and IPR</v>
      </c>
      <c r="D99" s="232"/>
      <c r="E99" s="232"/>
      <c r="F99" s="232"/>
      <c r="G99" s="233"/>
      <c r="H99" s="237">
        <f ca="1">VLOOKUP(E81,INDIRECT($F$11),7+(K99-1)*4,0)</f>
        <v>2</v>
      </c>
      <c r="I99" s="237" t="str">
        <f ca="1">VLOOKUP(B81,INDIRECT($F$11),10+(K99-1)*4,0)</f>
        <v>O</v>
      </c>
      <c r="J99" s="237">
        <f ca="1">INDEX($N$2:$N$12,MATCH(I99,$M$2:$M$12,0))</f>
        <v>10</v>
      </c>
      <c r="K99" s="48">
        <v>6</v>
      </c>
    </row>
    <row r="100" spans="1:11" x14ac:dyDescent="0.15">
      <c r="A100" s="229"/>
      <c r="B100" s="230"/>
      <c r="C100" s="234"/>
      <c r="D100" s="235"/>
      <c r="E100" s="235"/>
      <c r="F100" s="235"/>
      <c r="G100" s="236"/>
      <c r="H100" s="238"/>
      <c r="I100" s="238"/>
      <c r="J100" s="238"/>
      <c r="K100" s="48"/>
    </row>
    <row r="101" spans="1:11" ht="13" customHeight="1" x14ac:dyDescent="0.15">
      <c r="A101" s="227" t="str">
        <f ca="1">VLOOKUP(C81,INDIRECT($F$11),7+(K101-1)*4,0)</f>
        <v>AHT 304</v>
      </c>
      <c r="B101" s="228"/>
      <c r="C101" s="231" t="str">
        <f ca="1">VLOOKUP(D81,INDIRECT($F$11),7+(K101-1)*4,0)</f>
        <v xml:space="preserve">English for Research Writing ($) </v>
      </c>
      <c r="D101" s="232"/>
      <c r="E101" s="232"/>
      <c r="F101" s="232"/>
      <c r="G101" s="233"/>
      <c r="H101" s="237">
        <f ca="1">VLOOKUP(E81,INDIRECT($F$11),7+(K101-1)*4,0)</f>
        <v>0</v>
      </c>
      <c r="I101" s="237" t="str">
        <f ca="1">VLOOKUP(B81,INDIRECT($F$11),10+(K101-1)*4,0)</f>
        <v>B</v>
      </c>
      <c r="J101" s="237">
        <f ca="1">INDEX($N$2:$N$12,MATCH(I101,$M$2:$M$12,0))</f>
        <v>7</v>
      </c>
      <c r="K101" s="48">
        <v>7</v>
      </c>
    </row>
    <row r="102" spans="1:11" ht="13" customHeight="1" x14ac:dyDescent="0.15">
      <c r="A102" s="229"/>
      <c r="B102" s="230"/>
      <c r="C102" s="234"/>
      <c r="D102" s="235"/>
      <c r="E102" s="235"/>
      <c r="F102" s="235"/>
      <c r="G102" s="236"/>
      <c r="H102" s="238"/>
      <c r="I102" s="238"/>
      <c r="J102" s="238"/>
      <c r="K102" s="48"/>
    </row>
    <row r="103" spans="1:11" ht="13" customHeight="1" x14ac:dyDescent="0.15">
      <c r="A103" s="227" t="str">
        <f ca="1">VLOOKUP(C81,INDIRECT($F$11),7+(K103-1)*4,0)</f>
        <v>BTP 301</v>
      </c>
      <c r="B103" s="228"/>
      <c r="C103" s="231" t="str">
        <f ca="1">VLOOKUP(D81,INDIRECT($F$11),7+(K103-1)*4,0)</f>
        <v>Biochemistry and Bioanalytical Techniques Lab  ( Lab-I)</v>
      </c>
      <c r="D103" s="232"/>
      <c r="E103" s="232"/>
      <c r="F103" s="232"/>
      <c r="G103" s="233"/>
      <c r="H103" s="237">
        <f ca="1">VLOOKUP(E81,INDIRECT($F$11),7+(K103-1)*4,0)</f>
        <v>1</v>
      </c>
      <c r="I103" s="237" t="str">
        <f ca="1">VLOOKUP(B81,INDIRECT($F$11),10+(K103-1)*4,0)</f>
        <v>A</v>
      </c>
      <c r="J103" s="237">
        <f ca="1">INDEX($N$2:$N$12,MATCH(I103,$M$2:$M$12,0))</f>
        <v>8</v>
      </c>
      <c r="K103" s="48">
        <v>8</v>
      </c>
    </row>
    <row r="104" spans="1:11" ht="13" customHeight="1" x14ac:dyDescent="0.15">
      <c r="A104" s="229"/>
      <c r="B104" s="230"/>
      <c r="C104" s="234"/>
      <c r="D104" s="235"/>
      <c r="E104" s="235"/>
      <c r="F104" s="235"/>
      <c r="G104" s="236"/>
      <c r="H104" s="238"/>
      <c r="I104" s="238"/>
      <c r="J104" s="238"/>
      <c r="K104" s="48"/>
    </row>
    <row r="105" spans="1:11" ht="13" customHeight="1" x14ac:dyDescent="0.15">
      <c r="A105" s="227" t="str">
        <f ca="1">VLOOKUP(C81,INDIRECT($F$11),7+(K105-1)*4,0)</f>
        <v>BTP 302</v>
      </c>
      <c r="B105" s="228"/>
      <c r="C105" s="231" t="str">
        <f ca="1">VLOOKUP(D81,INDIRECT($F$11),7+(K105-1)*4,0)</f>
        <v>Microbial Biotechnology/    Bioprocess Engg. Lab   (Lab-II )</v>
      </c>
      <c r="D105" s="232"/>
      <c r="E105" s="232"/>
      <c r="F105" s="232"/>
      <c r="G105" s="233"/>
      <c r="H105" s="237">
        <f ca="1">VLOOKUP(E81,INDIRECT($F$11),7+(K105-1)*4,0)</f>
        <v>1</v>
      </c>
      <c r="I105" s="237" t="str">
        <f ca="1">VLOOKUP(B81,INDIRECT($F$11),10+(K105-1)*4,0)</f>
        <v>A</v>
      </c>
      <c r="J105" s="237">
        <f ca="1">INDEX($N$2:$N$12,MATCH(I105,$M$2:$M$12,0))</f>
        <v>8</v>
      </c>
      <c r="K105" s="48">
        <v>9</v>
      </c>
    </row>
    <row r="106" spans="1:11" ht="13" customHeight="1" x14ac:dyDescent="0.15">
      <c r="A106" s="229"/>
      <c r="B106" s="230"/>
      <c r="C106" s="234"/>
      <c r="D106" s="235"/>
      <c r="E106" s="235"/>
      <c r="F106" s="235"/>
      <c r="G106" s="236"/>
      <c r="H106" s="238"/>
      <c r="I106" s="238"/>
      <c r="J106" s="238"/>
      <c r="K106" s="48"/>
    </row>
    <row r="107" spans="1:11" x14ac:dyDescent="0.15">
      <c r="A107" s="239" t="s">
        <v>104</v>
      </c>
      <c r="B107" s="239"/>
      <c r="C107" s="239"/>
      <c r="D107" s="239"/>
      <c r="E107" s="239"/>
      <c r="F107" s="239"/>
      <c r="G107" s="239"/>
      <c r="H107" s="239">
        <f ca="1">SUM(H89:H106)</f>
        <v>22</v>
      </c>
      <c r="I107" s="239" t="s">
        <v>86</v>
      </c>
      <c r="J107" s="240">
        <f ca="1">SUMPRODUCT(J89:J106,H89:H106)</f>
        <v>157</v>
      </c>
      <c r="K107" s="44"/>
    </row>
    <row r="108" spans="1:11" x14ac:dyDescent="0.15">
      <c r="A108" s="239"/>
      <c r="B108" s="239"/>
      <c r="C108" s="239"/>
      <c r="D108" s="239"/>
      <c r="E108" s="239"/>
      <c r="F108" s="239"/>
      <c r="G108" s="239"/>
      <c r="H108" s="239"/>
      <c r="I108" s="239"/>
      <c r="J108" s="241"/>
      <c r="K108" s="44"/>
    </row>
    <row r="109" spans="1:11" ht="16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4"/>
    </row>
    <row r="110" spans="1:11" x14ac:dyDescent="0.15">
      <c r="A110" s="244" t="s">
        <v>92</v>
      </c>
      <c r="B110" s="244"/>
      <c r="C110" s="245">
        <f ca="1">Marksheets_BT!L59</f>
        <v>22</v>
      </c>
      <c r="D110" s="244" t="s">
        <v>90</v>
      </c>
      <c r="E110" s="244"/>
      <c r="F110" s="246">
        <f ca="1">Marksheets_BT!H59</f>
        <v>7.1363636363636367</v>
      </c>
      <c r="G110" s="244" t="s">
        <v>91</v>
      </c>
      <c r="H110" s="244"/>
      <c r="I110" s="246">
        <f ca="1">Marksheets_BT!J59</f>
        <v>7.1363636363636367</v>
      </c>
      <c r="J110" s="246"/>
      <c r="K110" s="44"/>
    </row>
    <row r="111" spans="1:11" x14ac:dyDescent="0.15">
      <c r="A111" s="244"/>
      <c r="B111" s="244"/>
      <c r="C111" s="245"/>
      <c r="D111" s="244"/>
      <c r="E111" s="244"/>
      <c r="F111" s="246"/>
      <c r="G111" s="244"/>
      <c r="H111" s="244"/>
      <c r="I111" s="246"/>
      <c r="J111" s="246"/>
      <c r="K111" s="44"/>
    </row>
    <row r="112" spans="1:11" x14ac:dyDescent="0.15">
      <c r="A112" s="242" t="s">
        <v>88</v>
      </c>
      <c r="B112" s="226" t="str">
        <f>Marksheets_BT!B59</f>
        <v>PASS</v>
      </c>
      <c r="C112" s="226"/>
      <c r="D112" s="242" t="s">
        <v>89</v>
      </c>
      <c r="E112" s="242"/>
      <c r="F112" s="243" t="str">
        <f>Marksheets_BT!E59</f>
        <v xml:space="preserve"> </v>
      </c>
      <c r="G112" s="243"/>
      <c r="H112" s="243"/>
      <c r="I112" s="243"/>
      <c r="J112" s="243"/>
      <c r="K112" s="44"/>
    </row>
    <row r="113" spans="1:11" x14ac:dyDescent="0.15">
      <c r="A113" s="242"/>
      <c r="B113" s="226"/>
      <c r="C113" s="226"/>
      <c r="D113" s="242"/>
      <c r="E113" s="242"/>
      <c r="F113" s="243"/>
      <c r="G113" s="243"/>
      <c r="H113" s="243"/>
      <c r="I113" s="243"/>
      <c r="J113" s="243"/>
      <c r="K113" s="44"/>
    </row>
    <row r="114" spans="1:11" x14ac:dyDescent="0.15">
      <c r="A114" s="242"/>
      <c r="B114" s="226"/>
      <c r="C114" s="226"/>
      <c r="D114" s="242"/>
      <c r="E114" s="242"/>
      <c r="F114" s="243"/>
      <c r="G114" s="243"/>
      <c r="H114" s="243"/>
      <c r="I114" s="243"/>
      <c r="J114" s="243"/>
      <c r="K114" s="44"/>
    </row>
    <row r="116" spans="1:11" ht="14" x14ac:dyDescent="0.15">
      <c r="A116" s="46" t="s">
        <v>73</v>
      </c>
      <c r="B116" s="46">
        <f>B81+1</f>
        <v>4</v>
      </c>
      <c r="C116" s="46" t="s">
        <v>71</v>
      </c>
      <c r="D116" s="46" t="s">
        <v>72</v>
      </c>
      <c r="E116" s="46" t="s">
        <v>40</v>
      </c>
      <c r="F116" s="46" t="s">
        <v>94</v>
      </c>
      <c r="G116" s="47"/>
      <c r="H116" s="47"/>
      <c r="I116" s="47"/>
      <c r="J116" s="44"/>
      <c r="K116" s="44"/>
    </row>
    <row r="117" spans="1:11" x14ac:dyDescent="0.15">
      <c r="A117" s="218" t="s">
        <v>76</v>
      </c>
      <c r="B117" s="218"/>
      <c r="C117" s="219" t="e">
        <f ca="1">VLOOKUP(B116,INDIRECT($F$11),5,0)</f>
        <v>#N/A</v>
      </c>
      <c r="D117" s="219"/>
      <c r="E117" s="219"/>
      <c r="F117" s="218" t="s">
        <v>102</v>
      </c>
      <c r="G117" s="218"/>
      <c r="H117" s="218"/>
      <c r="I117" s="220" t="e">
        <f ca="1">VLOOKUP(B116,INDIRECT($F$11),2,0)</f>
        <v>#N/A</v>
      </c>
      <c r="J117" s="220"/>
      <c r="K117" s="44"/>
    </row>
    <row r="118" spans="1:11" x14ac:dyDescent="0.15">
      <c r="A118" s="218"/>
      <c r="B118" s="218"/>
      <c r="C118" s="219"/>
      <c r="D118" s="219"/>
      <c r="E118" s="219"/>
      <c r="F118" s="218"/>
      <c r="G118" s="218"/>
      <c r="H118" s="218"/>
      <c r="I118" s="220"/>
      <c r="J118" s="220"/>
      <c r="K118" s="44"/>
    </row>
    <row r="119" spans="1:11" x14ac:dyDescent="0.15">
      <c r="A119" s="218" t="s">
        <v>77</v>
      </c>
      <c r="B119" s="218"/>
      <c r="C119" s="219" t="e">
        <f ca="1">VLOOKUP(B116,INDIRECT($F$11),6,0)</f>
        <v>#N/A</v>
      </c>
      <c r="D119" s="219"/>
      <c r="E119" s="219"/>
      <c r="F119" s="223" t="s">
        <v>103</v>
      </c>
      <c r="G119" s="223"/>
      <c r="H119" s="223"/>
      <c r="I119" s="220" t="e">
        <f ca="1">IF(VLOOKUP(B116,INDIRECT($F$11),3,0)=0,"",VLOOKUP(B116,INDIRECT($F$11),3,0))</f>
        <v>#N/A</v>
      </c>
      <c r="J119" s="220"/>
      <c r="K119" s="44"/>
    </row>
    <row r="120" spans="1:11" x14ac:dyDescent="0.15">
      <c r="A120" s="221"/>
      <c r="B120" s="221"/>
      <c r="C120" s="222"/>
      <c r="D120" s="222"/>
      <c r="E120" s="222"/>
      <c r="F120" s="224"/>
      <c r="G120" s="224"/>
      <c r="H120" s="224"/>
      <c r="I120" s="225"/>
      <c r="J120" s="225"/>
      <c r="K120" s="44"/>
    </row>
    <row r="121" spans="1:11" x14ac:dyDescent="0.15">
      <c r="A121" s="226" t="s">
        <v>80</v>
      </c>
      <c r="B121" s="226"/>
      <c r="C121" s="226" t="s">
        <v>81</v>
      </c>
      <c r="D121" s="226"/>
      <c r="E121" s="226"/>
      <c r="F121" s="226"/>
      <c r="G121" s="226"/>
      <c r="H121" s="226" t="s">
        <v>33</v>
      </c>
      <c r="I121" s="226" t="s">
        <v>34</v>
      </c>
      <c r="J121" s="226" t="s">
        <v>85</v>
      </c>
      <c r="K121" s="44"/>
    </row>
    <row r="122" spans="1:11" x14ac:dyDescent="0.15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44"/>
    </row>
    <row r="123" spans="1:11" x14ac:dyDescent="0.15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44"/>
    </row>
    <row r="124" spans="1:11" x14ac:dyDescent="0.15">
      <c r="A124" s="227" t="str">
        <f ca="1">VLOOKUP(C116,INDIRECT($F$11),7+(K124-1)*4,0)</f>
        <v>BTT 301</v>
      </c>
      <c r="B124" s="228"/>
      <c r="C124" s="231" t="str">
        <f ca="1">VLOOKUP(D116,INDIRECT($F$11),7+(K124-1)*4,0)</f>
        <v>Advanced Biostatistics</v>
      </c>
      <c r="D124" s="232"/>
      <c r="E124" s="232"/>
      <c r="F124" s="232"/>
      <c r="G124" s="233"/>
      <c r="H124" s="237">
        <f ca="1">VLOOKUP(E116,INDIRECT($F$11),7+(K124-1)*4,0)</f>
        <v>4</v>
      </c>
      <c r="I124" s="237" t="e">
        <f ca="1">VLOOKUP(B116,INDIRECT($F$11),10+(K124-1)*4,0)</f>
        <v>#N/A</v>
      </c>
      <c r="J124" s="237" t="e">
        <f ca="1">INDEX($N$2:$N$12,MATCH(I124,$M$2:$M$12,0))</f>
        <v>#N/A</v>
      </c>
      <c r="K124" s="48">
        <v>1</v>
      </c>
    </row>
    <row r="125" spans="1:11" x14ac:dyDescent="0.15">
      <c r="A125" s="229"/>
      <c r="B125" s="230"/>
      <c r="C125" s="234"/>
      <c r="D125" s="235"/>
      <c r="E125" s="235"/>
      <c r="F125" s="235"/>
      <c r="G125" s="236"/>
      <c r="H125" s="238"/>
      <c r="I125" s="238"/>
      <c r="J125" s="238"/>
      <c r="K125" s="48"/>
    </row>
    <row r="126" spans="1:11" x14ac:dyDescent="0.15">
      <c r="A126" s="227" t="str">
        <f ca="1">VLOOKUP(C116,INDIRECT($F$11),7+(K126-1)*4,0)</f>
        <v>BTT 302</v>
      </c>
      <c r="B126" s="228"/>
      <c r="C126" s="231" t="str">
        <f ca="1">VLOOKUP(D116,INDIRECT($F$11),7+(K126-1)*4,0)</f>
        <v>Applied Biochemistry</v>
      </c>
      <c r="D126" s="232"/>
      <c r="E126" s="232"/>
      <c r="F126" s="232"/>
      <c r="G126" s="233"/>
      <c r="H126" s="237">
        <f ca="1">VLOOKUP(E116,INDIRECT($F$11),7+(K126-1)*4,0)</f>
        <v>4</v>
      </c>
      <c r="I126" s="237" t="e">
        <f ca="1">VLOOKUP(B116,INDIRECT($F$11),10+(K126-1)*4,0)</f>
        <v>#N/A</v>
      </c>
      <c r="J126" s="237" t="e">
        <f ca="1">INDEX($N$2:$N$12,MATCH(I126,$M$2:$M$12,0))</f>
        <v>#N/A</v>
      </c>
      <c r="K126" s="48">
        <v>2</v>
      </c>
    </row>
    <row r="127" spans="1:11" x14ac:dyDescent="0.15">
      <c r="A127" s="229"/>
      <c r="B127" s="230"/>
      <c r="C127" s="234"/>
      <c r="D127" s="235"/>
      <c r="E127" s="235"/>
      <c r="F127" s="235"/>
      <c r="G127" s="236"/>
      <c r="H127" s="238"/>
      <c r="I127" s="238"/>
      <c r="J127" s="238"/>
      <c r="K127" s="48"/>
    </row>
    <row r="128" spans="1:11" x14ac:dyDescent="0.15">
      <c r="A128" s="227" t="str">
        <f ca="1">VLOOKUP(C116,INDIRECT($F$11),7+(K128-1)*4,0)</f>
        <v>BTT 303</v>
      </c>
      <c r="B128" s="228"/>
      <c r="C128" s="231" t="str">
        <f ca="1">VLOOKUP(D116,INDIRECT($F$11),7+(K128-1)*4,0)</f>
        <v>Microbial Biotechnology</v>
      </c>
      <c r="D128" s="232"/>
      <c r="E128" s="232"/>
      <c r="F128" s="232"/>
      <c r="G128" s="233"/>
      <c r="H128" s="237">
        <f ca="1">VLOOKUP(E116,INDIRECT($F$11),7+(K128-1)*4,0)</f>
        <v>4</v>
      </c>
      <c r="I128" s="237" t="e">
        <f ca="1">VLOOKUP(B116,INDIRECT($F$11),10+(K128-1)*4,0)</f>
        <v>#N/A</v>
      </c>
      <c r="J128" s="237" t="e">
        <f ca="1">INDEX($N$2:$N$12,MATCH(I128,$M$2:$M$12,0))</f>
        <v>#N/A</v>
      </c>
      <c r="K128" s="48">
        <v>3</v>
      </c>
    </row>
    <row r="129" spans="1:11" x14ac:dyDescent="0.15">
      <c r="A129" s="229"/>
      <c r="B129" s="230"/>
      <c r="C129" s="234"/>
      <c r="D129" s="235"/>
      <c r="E129" s="235"/>
      <c r="F129" s="235"/>
      <c r="G129" s="236"/>
      <c r="H129" s="238"/>
      <c r="I129" s="238"/>
      <c r="J129" s="238"/>
      <c r="K129" s="48"/>
    </row>
    <row r="130" spans="1:11" x14ac:dyDescent="0.15">
      <c r="A130" s="227" t="str">
        <f ca="1">VLOOKUP(C116,INDIRECT($F$11),7+(K130-1)*4,0)</f>
        <v>BTT 306</v>
      </c>
      <c r="B130" s="228"/>
      <c r="C130" s="231" t="str">
        <f ca="1">VLOOKUP(D116,INDIRECT($F$11),7+(K130-1)*4,0)</f>
        <v>Bioprocess Engineering</v>
      </c>
      <c r="D130" s="232"/>
      <c r="E130" s="232"/>
      <c r="F130" s="232"/>
      <c r="G130" s="233"/>
      <c r="H130" s="237">
        <f ca="1">VLOOKUP(E116,INDIRECT($F$11),7+(K130-1)*4,0)</f>
        <v>3</v>
      </c>
      <c r="I130" s="237" t="e">
        <f ca="1">VLOOKUP(B116,INDIRECT($F$11),10+(K130-1)*4,0)</f>
        <v>#N/A</v>
      </c>
      <c r="J130" s="237" t="e">
        <f ca="1">INDEX($N$2:$N$12,MATCH(I130,$M$2:$M$12,0))</f>
        <v>#N/A</v>
      </c>
      <c r="K130" s="48">
        <v>4</v>
      </c>
    </row>
    <row r="131" spans="1:11" x14ac:dyDescent="0.15">
      <c r="A131" s="229"/>
      <c r="B131" s="230"/>
      <c r="C131" s="234"/>
      <c r="D131" s="235"/>
      <c r="E131" s="235"/>
      <c r="F131" s="235"/>
      <c r="G131" s="236"/>
      <c r="H131" s="238"/>
      <c r="I131" s="238"/>
      <c r="J131" s="238"/>
      <c r="K131" s="48"/>
    </row>
    <row r="132" spans="1:11" x14ac:dyDescent="0.15">
      <c r="A132" s="227" t="str">
        <f ca="1">VLOOKUP(C116,INDIRECT($F$11),7+(K132-1)*4,0)</f>
        <v>BTT 311</v>
      </c>
      <c r="B132" s="228"/>
      <c r="C132" s="231" t="str">
        <f ca="1">VLOOKUP(D116,INDIRECT($F$11),7+(K132-1)*4,0)</f>
        <v>Herbal Biotechnology</v>
      </c>
      <c r="D132" s="232"/>
      <c r="E132" s="232"/>
      <c r="F132" s="232"/>
      <c r="G132" s="233"/>
      <c r="H132" s="237">
        <f ca="1">VLOOKUP(E116,INDIRECT($F$11),7+(K132-1)*4,0)</f>
        <v>3</v>
      </c>
      <c r="I132" s="237" t="e">
        <f ca="1">VLOOKUP(B116,INDIRECT($F$11),10+(K132-1)*4,0)</f>
        <v>#N/A</v>
      </c>
      <c r="J132" s="237" t="e">
        <f ca="1">INDEX($N$2:$N$12,MATCH(I132,$M$2:$M$12,0))</f>
        <v>#N/A</v>
      </c>
      <c r="K132" s="48">
        <v>5</v>
      </c>
    </row>
    <row r="133" spans="1:11" x14ac:dyDescent="0.15">
      <c r="A133" s="229"/>
      <c r="B133" s="230"/>
      <c r="C133" s="234"/>
      <c r="D133" s="235"/>
      <c r="E133" s="235"/>
      <c r="F133" s="235"/>
      <c r="G133" s="236"/>
      <c r="H133" s="238"/>
      <c r="I133" s="238"/>
      <c r="J133" s="238"/>
      <c r="K133" s="48"/>
    </row>
    <row r="134" spans="1:11" x14ac:dyDescent="0.15">
      <c r="A134" s="227" t="str">
        <f ca="1">VLOOKUP(C116,INDIRECT($F$11),7+(K134-1)*4,0)</f>
        <v>AHT 302</v>
      </c>
      <c r="B134" s="228"/>
      <c r="C134" s="231" t="str">
        <f ca="1">VLOOKUP(D116,INDIRECT($F$11),7+(K134-1)*4,0)</f>
        <v>Research Methodology and IPR</v>
      </c>
      <c r="D134" s="232"/>
      <c r="E134" s="232"/>
      <c r="F134" s="232"/>
      <c r="G134" s="233"/>
      <c r="H134" s="237">
        <f ca="1">VLOOKUP(E116,INDIRECT($F$11),7+(K134-1)*4,0)</f>
        <v>2</v>
      </c>
      <c r="I134" s="237" t="e">
        <f ca="1">VLOOKUP(B116,INDIRECT($F$11),10+(K134-1)*4,0)</f>
        <v>#N/A</v>
      </c>
      <c r="J134" s="237" t="e">
        <f ca="1">INDEX($N$2:$N$12,MATCH(I134,$M$2:$M$12,0))</f>
        <v>#N/A</v>
      </c>
      <c r="K134" s="48">
        <v>6</v>
      </c>
    </row>
    <row r="135" spans="1:11" x14ac:dyDescent="0.15">
      <c r="A135" s="229"/>
      <c r="B135" s="230"/>
      <c r="C135" s="234"/>
      <c r="D135" s="235"/>
      <c r="E135" s="235"/>
      <c r="F135" s="235"/>
      <c r="G135" s="236"/>
      <c r="H135" s="238"/>
      <c r="I135" s="238"/>
      <c r="J135" s="238"/>
      <c r="K135" s="48"/>
    </row>
    <row r="136" spans="1:11" ht="13" customHeight="1" x14ac:dyDescent="0.15">
      <c r="A136" s="227" t="str">
        <f ca="1">VLOOKUP(C116,INDIRECT($F$11),7+(K136-1)*4,0)</f>
        <v>AHT 304</v>
      </c>
      <c r="B136" s="228"/>
      <c r="C136" s="231" t="str">
        <f ca="1">VLOOKUP(D116,INDIRECT($F$11),7+(K136-1)*4,0)</f>
        <v xml:space="preserve">English for Research Writing ($) </v>
      </c>
      <c r="D136" s="232"/>
      <c r="E136" s="232"/>
      <c r="F136" s="232"/>
      <c r="G136" s="233"/>
      <c r="H136" s="237">
        <f ca="1">VLOOKUP(E116,INDIRECT($F$11),7+(K136-1)*4,0)</f>
        <v>0</v>
      </c>
      <c r="I136" s="237" t="e">
        <f ca="1">VLOOKUP(B116,INDIRECT($F$11),10+(K136-1)*4,0)</f>
        <v>#N/A</v>
      </c>
      <c r="J136" s="237" t="e">
        <f ca="1">INDEX($N$2:$N$12,MATCH(I136,$M$2:$M$12,0))</f>
        <v>#N/A</v>
      </c>
      <c r="K136" s="48">
        <v>7</v>
      </c>
    </row>
    <row r="137" spans="1:11" ht="13" customHeight="1" x14ac:dyDescent="0.15">
      <c r="A137" s="229"/>
      <c r="B137" s="230"/>
      <c r="C137" s="234"/>
      <c r="D137" s="235"/>
      <c r="E137" s="235"/>
      <c r="F137" s="235"/>
      <c r="G137" s="236"/>
      <c r="H137" s="238"/>
      <c r="I137" s="238"/>
      <c r="J137" s="238"/>
      <c r="K137" s="48"/>
    </row>
    <row r="138" spans="1:11" ht="13" customHeight="1" x14ac:dyDescent="0.15">
      <c r="A138" s="227" t="str">
        <f ca="1">VLOOKUP(C116,INDIRECT($F$11),7+(K138-1)*4,0)</f>
        <v>BTP 301</v>
      </c>
      <c r="B138" s="228"/>
      <c r="C138" s="231" t="str">
        <f ca="1">VLOOKUP(D116,INDIRECT($F$11),7+(K138-1)*4,0)</f>
        <v>Biochemistry and Bioanalytical Techniques Lab  ( Lab-I)</v>
      </c>
      <c r="D138" s="232"/>
      <c r="E138" s="232"/>
      <c r="F138" s="232"/>
      <c r="G138" s="233"/>
      <c r="H138" s="237">
        <f ca="1">VLOOKUP(E116,INDIRECT($F$11),7+(K138-1)*4,0)</f>
        <v>1</v>
      </c>
      <c r="I138" s="237" t="e">
        <f ca="1">VLOOKUP(B116,INDIRECT($F$11),10+(K138-1)*4,0)</f>
        <v>#N/A</v>
      </c>
      <c r="J138" s="237" t="e">
        <f ca="1">INDEX($N$2:$N$12,MATCH(I138,$M$2:$M$12,0))</f>
        <v>#N/A</v>
      </c>
      <c r="K138" s="48">
        <v>8</v>
      </c>
    </row>
    <row r="139" spans="1:11" ht="13" customHeight="1" x14ac:dyDescent="0.15">
      <c r="A139" s="229"/>
      <c r="B139" s="230"/>
      <c r="C139" s="234"/>
      <c r="D139" s="235"/>
      <c r="E139" s="235"/>
      <c r="F139" s="235"/>
      <c r="G139" s="236"/>
      <c r="H139" s="238"/>
      <c r="I139" s="238"/>
      <c r="J139" s="238"/>
      <c r="K139" s="48"/>
    </row>
    <row r="140" spans="1:11" ht="13" customHeight="1" x14ac:dyDescent="0.15">
      <c r="A140" s="227" t="str">
        <f ca="1">VLOOKUP(C116,INDIRECT($F$11),7+(K140-1)*4,0)</f>
        <v>BTP 302</v>
      </c>
      <c r="B140" s="228"/>
      <c r="C140" s="231" t="str">
        <f ca="1">VLOOKUP(D116,INDIRECT($F$11),7+(K140-1)*4,0)</f>
        <v>Microbial Biotechnology/    Bioprocess Engg. Lab   (Lab-II )</v>
      </c>
      <c r="D140" s="232"/>
      <c r="E140" s="232"/>
      <c r="F140" s="232"/>
      <c r="G140" s="233"/>
      <c r="H140" s="237">
        <f ca="1">VLOOKUP(E116,INDIRECT($F$11),7+(K140-1)*4,0)</f>
        <v>1</v>
      </c>
      <c r="I140" s="237" t="e">
        <f ca="1">VLOOKUP(B116,INDIRECT($F$11),10+(K140-1)*4,0)</f>
        <v>#N/A</v>
      </c>
      <c r="J140" s="237" t="e">
        <f ca="1">INDEX($N$2:$N$12,MATCH(I140,$M$2:$M$12,0))</f>
        <v>#N/A</v>
      </c>
      <c r="K140" s="48">
        <v>9</v>
      </c>
    </row>
    <row r="141" spans="1:11" ht="13" customHeight="1" x14ac:dyDescent="0.15">
      <c r="A141" s="229"/>
      <c r="B141" s="230"/>
      <c r="C141" s="234"/>
      <c r="D141" s="235"/>
      <c r="E141" s="235"/>
      <c r="F141" s="235"/>
      <c r="G141" s="236"/>
      <c r="H141" s="238"/>
      <c r="I141" s="238"/>
      <c r="J141" s="238"/>
      <c r="K141" s="48"/>
    </row>
    <row r="142" spans="1:11" x14ac:dyDescent="0.15">
      <c r="A142" s="239" t="s">
        <v>104</v>
      </c>
      <c r="B142" s="239"/>
      <c r="C142" s="239"/>
      <c r="D142" s="239"/>
      <c r="E142" s="239"/>
      <c r="F142" s="239"/>
      <c r="G142" s="239"/>
      <c r="H142" s="239">
        <f ca="1">SUM(H124:H141)</f>
        <v>22</v>
      </c>
      <c r="I142" s="239" t="s">
        <v>86</v>
      </c>
      <c r="J142" s="240" t="e">
        <f ca="1">SUMPRODUCT(J124:J141,H124:H141)</f>
        <v>#N/A</v>
      </c>
      <c r="K142" s="44"/>
    </row>
    <row r="143" spans="1:11" x14ac:dyDescent="0.15">
      <c r="A143" s="239"/>
      <c r="B143" s="239"/>
      <c r="C143" s="239"/>
      <c r="D143" s="239"/>
      <c r="E143" s="239"/>
      <c r="F143" s="239"/>
      <c r="G143" s="239"/>
      <c r="H143" s="239"/>
      <c r="I143" s="239"/>
      <c r="J143" s="241"/>
      <c r="K143" s="44"/>
    </row>
    <row r="144" spans="1:11" ht="16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4"/>
    </row>
    <row r="145" spans="1:11" x14ac:dyDescent="0.15">
      <c r="A145" s="244" t="s">
        <v>92</v>
      </c>
      <c r="B145" s="244"/>
      <c r="C145" s="245">
        <f>Marksheets_BT!L77</f>
        <v>0</v>
      </c>
      <c r="D145" s="244" t="s">
        <v>90</v>
      </c>
      <c r="E145" s="244"/>
      <c r="F145" s="246">
        <f>Marksheets_BT!H77</f>
        <v>0</v>
      </c>
      <c r="G145" s="244" t="s">
        <v>91</v>
      </c>
      <c r="H145" s="244"/>
      <c r="I145" s="246">
        <f>Marksheets_BT!J77</f>
        <v>0</v>
      </c>
      <c r="J145" s="246"/>
      <c r="K145" s="44"/>
    </row>
    <row r="146" spans="1:11" x14ac:dyDescent="0.15">
      <c r="A146" s="244"/>
      <c r="B146" s="244"/>
      <c r="C146" s="245"/>
      <c r="D146" s="244"/>
      <c r="E146" s="244"/>
      <c r="F146" s="246"/>
      <c r="G146" s="244"/>
      <c r="H146" s="244"/>
      <c r="I146" s="246"/>
      <c r="J146" s="246"/>
      <c r="K146" s="44"/>
    </row>
    <row r="147" spans="1:11" x14ac:dyDescent="0.15">
      <c r="A147" s="242" t="s">
        <v>88</v>
      </c>
      <c r="B147" s="226">
        <f>Marksheets_BT!B77</f>
        <v>0</v>
      </c>
      <c r="C147" s="226"/>
      <c r="D147" s="242" t="s">
        <v>89</v>
      </c>
      <c r="E147" s="242"/>
      <c r="F147" s="243">
        <f>Marksheets_BT!E77</f>
        <v>0</v>
      </c>
      <c r="G147" s="243"/>
      <c r="H147" s="243"/>
      <c r="I147" s="243"/>
      <c r="J147" s="243"/>
      <c r="K147" s="44"/>
    </row>
    <row r="148" spans="1:11" x14ac:dyDescent="0.15">
      <c r="A148" s="242"/>
      <c r="B148" s="226"/>
      <c r="C148" s="226"/>
      <c r="D148" s="242"/>
      <c r="E148" s="242"/>
      <c r="F148" s="243"/>
      <c r="G148" s="243"/>
      <c r="H148" s="243"/>
      <c r="I148" s="243"/>
      <c r="J148" s="243"/>
      <c r="K148" s="44"/>
    </row>
    <row r="149" spans="1:11" x14ac:dyDescent="0.15">
      <c r="A149" s="242"/>
      <c r="B149" s="226"/>
      <c r="C149" s="226"/>
      <c r="D149" s="242"/>
      <c r="E149" s="242"/>
      <c r="F149" s="243"/>
      <c r="G149" s="243"/>
      <c r="H149" s="243"/>
      <c r="I149" s="243"/>
      <c r="J149" s="243"/>
      <c r="K149" s="44"/>
    </row>
    <row r="151" spans="1:11" ht="14" x14ac:dyDescent="0.15">
      <c r="A151" s="46" t="s">
        <v>73</v>
      </c>
      <c r="B151" s="46">
        <f>B116+1</f>
        <v>5</v>
      </c>
      <c r="C151" s="46" t="s">
        <v>71</v>
      </c>
      <c r="D151" s="46" t="s">
        <v>72</v>
      </c>
      <c r="E151" s="46" t="s">
        <v>40</v>
      </c>
      <c r="F151" s="46" t="s">
        <v>94</v>
      </c>
      <c r="G151" s="47"/>
      <c r="H151" s="47"/>
      <c r="I151" s="47"/>
      <c r="J151" s="44"/>
      <c r="K151" s="44"/>
    </row>
    <row r="152" spans="1:11" x14ac:dyDescent="0.15">
      <c r="A152" s="218" t="s">
        <v>76</v>
      </c>
      <c r="B152" s="218"/>
      <c r="C152" s="219" t="e">
        <f ca="1">VLOOKUP(B151,INDIRECT($F$11),5,0)</f>
        <v>#N/A</v>
      </c>
      <c r="D152" s="219"/>
      <c r="E152" s="219"/>
      <c r="F152" s="218" t="s">
        <v>102</v>
      </c>
      <c r="G152" s="218"/>
      <c r="H152" s="218"/>
      <c r="I152" s="220" t="e">
        <f ca="1">VLOOKUP(B151,INDIRECT($F$11),2,0)</f>
        <v>#N/A</v>
      </c>
      <c r="J152" s="220"/>
      <c r="K152" s="44"/>
    </row>
    <row r="153" spans="1:11" x14ac:dyDescent="0.15">
      <c r="A153" s="218"/>
      <c r="B153" s="218"/>
      <c r="C153" s="219"/>
      <c r="D153" s="219"/>
      <c r="E153" s="219"/>
      <c r="F153" s="218"/>
      <c r="G153" s="218"/>
      <c r="H153" s="218"/>
      <c r="I153" s="220"/>
      <c r="J153" s="220"/>
      <c r="K153" s="44"/>
    </row>
    <row r="154" spans="1:11" x14ac:dyDescent="0.15">
      <c r="A154" s="218" t="s">
        <v>77</v>
      </c>
      <c r="B154" s="218"/>
      <c r="C154" s="219" t="e">
        <f ca="1">VLOOKUP(B151,INDIRECT($F$11),6,0)</f>
        <v>#N/A</v>
      </c>
      <c r="D154" s="219"/>
      <c r="E154" s="219"/>
      <c r="F154" s="223" t="s">
        <v>103</v>
      </c>
      <c r="G154" s="223"/>
      <c r="H154" s="223"/>
      <c r="I154" s="220" t="e">
        <f ca="1">IF(VLOOKUP(B151,INDIRECT($F$11),3,0)=0,"",VLOOKUP(B151,INDIRECT($F$11),3,0))</f>
        <v>#N/A</v>
      </c>
      <c r="J154" s="220"/>
      <c r="K154" s="44"/>
    </row>
    <row r="155" spans="1:11" x14ac:dyDescent="0.15">
      <c r="A155" s="221"/>
      <c r="B155" s="221"/>
      <c r="C155" s="222"/>
      <c r="D155" s="222"/>
      <c r="E155" s="222"/>
      <c r="F155" s="224"/>
      <c r="G155" s="224"/>
      <c r="H155" s="224"/>
      <c r="I155" s="225"/>
      <c r="J155" s="225"/>
      <c r="K155" s="44"/>
    </row>
    <row r="156" spans="1:11" x14ac:dyDescent="0.15">
      <c r="A156" s="226" t="s">
        <v>80</v>
      </c>
      <c r="B156" s="226"/>
      <c r="C156" s="226" t="s">
        <v>81</v>
      </c>
      <c r="D156" s="226"/>
      <c r="E156" s="226"/>
      <c r="F156" s="226"/>
      <c r="G156" s="226"/>
      <c r="H156" s="226" t="s">
        <v>33</v>
      </c>
      <c r="I156" s="226" t="s">
        <v>34</v>
      </c>
      <c r="J156" s="226" t="s">
        <v>85</v>
      </c>
      <c r="K156" s="44"/>
    </row>
    <row r="157" spans="1:11" x14ac:dyDescent="0.15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44"/>
    </row>
    <row r="158" spans="1:11" x14ac:dyDescent="0.15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44"/>
    </row>
    <row r="159" spans="1:11" x14ac:dyDescent="0.15">
      <c r="A159" s="227" t="str">
        <f ca="1">VLOOKUP(C151,INDIRECT($F$11),7+(K159-1)*4,0)</f>
        <v>BTT 301</v>
      </c>
      <c r="B159" s="228"/>
      <c r="C159" s="231" t="str">
        <f ca="1">VLOOKUP(D151,INDIRECT($F$11),7+(K159-1)*4,0)</f>
        <v>Advanced Biostatistics</v>
      </c>
      <c r="D159" s="232"/>
      <c r="E159" s="232"/>
      <c r="F159" s="232"/>
      <c r="G159" s="233"/>
      <c r="H159" s="237">
        <f ca="1">VLOOKUP(E151,INDIRECT($F$11),7+(K159-1)*4,0)</f>
        <v>4</v>
      </c>
      <c r="I159" s="237" t="e">
        <f ca="1">VLOOKUP(B151,INDIRECT($F$11),10+(K159-1)*4,0)</f>
        <v>#N/A</v>
      </c>
      <c r="J159" s="237" t="e">
        <f ca="1">INDEX($N$2:$N$12,MATCH(I159,$M$2:$M$12,0))</f>
        <v>#N/A</v>
      </c>
      <c r="K159" s="48">
        <v>1</v>
      </c>
    </row>
    <row r="160" spans="1:11" x14ac:dyDescent="0.15">
      <c r="A160" s="229"/>
      <c r="B160" s="230"/>
      <c r="C160" s="234"/>
      <c r="D160" s="235"/>
      <c r="E160" s="235"/>
      <c r="F160" s="235"/>
      <c r="G160" s="236"/>
      <c r="H160" s="238"/>
      <c r="I160" s="238"/>
      <c r="J160" s="238"/>
      <c r="K160" s="48"/>
    </row>
    <row r="161" spans="1:11" x14ac:dyDescent="0.15">
      <c r="A161" s="227" t="str">
        <f ca="1">VLOOKUP(C151,INDIRECT($F$11),7+(K161-1)*4,0)</f>
        <v>BTT 302</v>
      </c>
      <c r="B161" s="228"/>
      <c r="C161" s="231" t="str">
        <f ca="1">VLOOKUP(D151,INDIRECT($F$11),7+(K161-1)*4,0)</f>
        <v>Applied Biochemistry</v>
      </c>
      <c r="D161" s="232"/>
      <c r="E161" s="232"/>
      <c r="F161" s="232"/>
      <c r="G161" s="233"/>
      <c r="H161" s="237">
        <f ca="1">VLOOKUP(E151,INDIRECT($F$11),7+(K161-1)*4,0)</f>
        <v>4</v>
      </c>
      <c r="I161" s="237" t="e">
        <f ca="1">VLOOKUP(B151,INDIRECT($F$11),10+(K161-1)*4,0)</f>
        <v>#N/A</v>
      </c>
      <c r="J161" s="237" t="e">
        <f ca="1">INDEX($N$2:$N$12,MATCH(I161,$M$2:$M$12,0))</f>
        <v>#N/A</v>
      </c>
      <c r="K161" s="48">
        <v>2</v>
      </c>
    </row>
    <row r="162" spans="1:11" x14ac:dyDescent="0.15">
      <c r="A162" s="229"/>
      <c r="B162" s="230"/>
      <c r="C162" s="234"/>
      <c r="D162" s="235"/>
      <c r="E162" s="235"/>
      <c r="F162" s="235"/>
      <c r="G162" s="236"/>
      <c r="H162" s="238"/>
      <c r="I162" s="238"/>
      <c r="J162" s="238"/>
      <c r="K162" s="48"/>
    </row>
    <row r="163" spans="1:11" x14ac:dyDescent="0.15">
      <c r="A163" s="227" t="str">
        <f ca="1">VLOOKUP(C151,INDIRECT($F$11),7+(K163-1)*4,0)</f>
        <v>BTT 303</v>
      </c>
      <c r="B163" s="228"/>
      <c r="C163" s="231" t="str">
        <f ca="1">VLOOKUP(D151,INDIRECT($F$11),7+(K163-1)*4,0)</f>
        <v>Microbial Biotechnology</v>
      </c>
      <c r="D163" s="232"/>
      <c r="E163" s="232"/>
      <c r="F163" s="232"/>
      <c r="G163" s="233"/>
      <c r="H163" s="237">
        <f ca="1">VLOOKUP(E151,INDIRECT($F$11),7+(K163-1)*4,0)</f>
        <v>4</v>
      </c>
      <c r="I163" s="237" t="e">
        <f ca="1">VLOOKUP(B151,INDIRECT($F$11),10+(K163-1)*4,0)</f>
        <v>#N/A</v>
      </c>
      <c r="J163" s="237" t="e">
        <f ca="1">INDEX($N$2:$N$12,MATCH(I163,$M$2:$M$12,0))</f>
        <v>#N/A</v>
      </c>
      <c r="K163" s="48">
        <v>3</v>
      </c>
    </row>
    <row r="164" spans="1:11" x14ac:dyDescent="0.15">
      <c r="A164" s="229"/>
      <c r="B164" s="230"/>
      <c r="C164" s="234"/>
      <c r="D164" s="235"/>
      <c r="E164" s="235"/>
      <c r="F164" s="235"/>
      <c r="G164" s="236"/>
      <c r="H164" s="238"/>
      <c r="I164" s="238"/>
      <c r="J164" s="238"/>
      <c r="K164" s="48"/>
    </row>
    <row r="165" spans="1:11" x14ac:dyDescent="0.15">
      <c r="A165" s="227" t="str">
        <f ca="1">VLOOKUP(C151,INDIRECT($F$11),7+(K165-1)*4,0)</f>
        <v>BTT 306</v>
      </c>
      <c r="B165" s="228"/>
      <c r="C165" s="231" t="str">
        <f ca="1">VLOOKUP(D151,INDIRECT($F$11),7+(K165-1)*4,0)</f>
        <v>Bioprocess Engineering</v>
      </c>
      <c r="D165" s="232"/>
      <c r="E165" s="232"/>
      <c r="F165" s="232"/>
      <c r="G165" s="233"/>
      <c r="H165" s="237">
        <f ca="1">VLOOKUP(E151,INDIRECT($F$11),7+(K165-1)*4,0)</f>
        <v>3</v>
      </c>
      <c r="I165" s="237" t="e">
        <f ca="1">VLOOKUP(B151,INDIRECT($F$11),10+(K165-1)*4,0)</f>
        <v>#N/A</v>
      </c>
      <c r="J165" s="237" t="e">
        <f ca="1">INDEX($N$2:$N$12,MATCH(I165,$M$2:$M$12,0))</f>
        <v>#N/A</v>
      </c>
      <c r="K165" s="48">
        <v>4</v>
      </c>
    </row>
    <row r="166" spans="1:11" x14ac:dyDescent="0.15">
      <c r="A166" s="229"/>
      <c r="B166" s="230"/>
      <c r="C166" s="234"/>
      <c r="D166" s="235"/>
      <c r="E166" s="235"/>
      <c r="F166" s="235"/>
      <c r="G166" s="236"/>
      <c r="H166" s="238"/>
      <c r="I166" s="238"/>
      <c r="J166" s="238"/>
      <c r="K166" s="48"/>
    </row>
    <row r="167" spans="1:11" x14ac:dyDescent="0.15">
      <c r="A167" s="227" t="str">
        <f ca="1">VLOOKUP(C151,INDIRECT($F$11),7+(K167-1)*4,0)</f>
        <v>BTT 311</v>
      </c>
      <c r="B167" s="228"/>
      <c r="C167" s="231" t="str">
        <f ca="1">VLOOKUP(D151,INDIRECT($F$11),7+(K167-1)*4,0)</f>
        <v>Herbal Biotechnology</v>
      </c>
      <c r="D167" s="232"/>
      <c r="E167" s="232"/>
      <c r="F167" s="232"/>
      <c r="G167" s="233"/>
      <c r="H167" s="237">
        <f ca="1">VLOOKUP(E151,INDIRECT($F$11),7+(K167-1)*4,0)</f>
        <v>3</v>
      </c>
      <c r="I167" s="237" t="e">
        <f ca="1">VLOOKUP(B151,INDIRECT($F$11),10+(K167-1)*4,0)</f>
        <v>#N/A</v>
      </c>
      <c r="J167" s="237" t="e">
        <f ca="1">INDEX($N$2:$N$12,MATCH(I167,$M$2:$M$12,0))</f>
        <v>#N/A</v>
      </c>
      <c r="K167" s="48">
        <v>5</v>
      </c>
    </row>
    <row r="168" spans="1:11" x14ac:dyDescent="0.15">
      <c r="A168" s="229"/>
      <c r="B168" s="230"/>
      <c r="C168" s="234"/>
      <c r="D168" s="235"/>
      <c r="E168" s="235"/>
      <c r="F168" s="235"/>
      <c r="G168" s="236"/>
      <c r="H168" s="238"/>
      <c r="I168" s="238"/>
      <c r="J168" s="238"/>
      <c r="K168" s="48"/>
    </row>
    <row r="169" spans="1:11" x14ac:dyDescent="0.15">
      <c r="A169" s="227" t="str">
        <f ca="1">VLOOKUP(C151,INDIRECT($F$11),7+(K169-1)*4,0)</f>
        <v>AHT 302</v>
      </c>
      <c r="B169" s="228"/>
      <c r="C169" s="231" t="str">
        <f ca="1">VLOOKUP(D151,INDIRECT($F$11),7+(K169-1)*4,0)</f>
        <v>Research Methodology and IPR</v>
      </c>
      <c r="D169" s="232"/>
      <c r="E169" s="232"/>
      <c r="F169" s="232"/>
      <c r="G169" s="233"/>
      <c r="H169" s="237">
        <f ca="1">VLOOKUP(E151,INDIRECT($F$11),7+(K169-1)*4,0)</f>
        <v>2</v>
      </c>
      <c r="I169" s="237" t="e">
        <f ca="1">VLOOKUP(B151,INDIRECT($F$11),10+(K169-1)*4,0)</f>
        <v>#N/A</v>
      </c>
      <c r="J169" s="237" t="e">
        <f ca="1">INDEX($N$2:$N$12,MATCH(I169,$M$2:$M$12,0))</f>
        <v>#N/A</v>
      </c>
      <c r="K169" s="48">
        <v>6</v>
      </c>
    </row>
    <row r="170" spans="1:11" x14ac:dyDescent="0.15">
      <c r="A170" s="229"/>
      <c r="B170" s="230"/>
      <c r="C170" s="234"/>
      <c r="D170" s="235"/>
      <c r="E170" s="235"/>
      <c r="F170" s="235"/>
      <c r="G170" s="236"/>
      <c r="H170" s="238"/>
      <c r="I170" s="238"/>
      <c r="J170" s="238"/>
      <c r="K170" s="48"/>
    </row>
    <row r="171" spans="1:11" ht="13" customHeight="1" x14ac:dyDescent="0.15">
      <c r="A171" s="227" t="str">
        <f ca="1">VLOOKUP(C151,INDIRECT($F$11),7+(K171-1)*4,0)</f>
        <v>AHT 304</v>
      </c>
      <c r="B171" s="228"/>
      <c r="C171" s="231" t="str">
        <f ca="1">VLOOKUP(D151,INDIRECT($F$11),7+(K171-1)*4,0)</f>
        <v xml:space="preserve">English for Research Writing ($) </v>
      </c>
      <c r="D171" s="232"/>
      <c r="E171" s="232"/>
      <c r="F171" s="232"/>
      <c r="G171" s="233"/>
      <c r="H171" s="237">
        <f ca="1">VLOOKUP(E151,INDIRECT($F$11),7+(K171-1)*4,0)</f>
        <v>0</v>
      </c>
      <c r="I171" s="237" t="e">
        <f ca="1">VLOOKUP(B151,INDIRECT($F$11),10+(K171-1)*4,0)</f>
        <v>#N/A</v>
      </c>
      <c r="J171" s="237" t="e">
        <f ca="1">INDEX($N$2:$N$12,MATCH(I171,$M$2:$M$12,0))</f>
        <v>#N/A</v>
      </c>
      <c r="K171" s="48">
        <v>7</v>
      </c>
    </row>
    <row r="172" spans="1:11" ht="13" customHeight="1" x14ac:dyDescent="0.15">
      <c r="A172" s="229"/>
      <c r="B172" s="230"/>
      <c r="C172" s="234"/>
      <c r="D172" s="235"/>
      <c r="E172" s="235"/>
      <c r="F172" s="235"/>
      <c r="G172" s="236"/>
      <c r="H172" s="238"/>
      <c r="I172" s="238"/>
      <c r="J172" s="238"/>
      <c r="K172" s="48"/>
    </row>
    <row r="173" spans="1:11" ht="13" customHeight="1" x14ac:dyDescent="0.15">
      <c r="A173" s="227" t="str">
        <f ca="1">VLOOKUP(C151,INDIRECT($F$11),7+(K173-1)*4,0)</f>
        <v>BTP 301</v>
      </c>
      <c r="B173" s="228"/>
      <c r="C173" s="231" t="str">
        <f ca="1">VLOOKUP(D151,INDIRECT($F$11),7+(K173-1)*4,0)</f>
        <v>Biochemistry and Bioanalytical Techniques Lab  ( Lab-I)</v>
      </c>
      <c r="D173" s="232"/>
      <c r="E173" s="232"/>
      <c r="F173" s="232"/>
      <c r="G173" s="233"/>
      <c r="H173" s="237">
        <f ca="1">VLOOKUP(E151,INDIRECT($F$11),7+(K173-1)*4,0)</f>
        <v>1</v>
      </c>
      <c r="I173" s="237" t="e">
        <f ca="1">VLOOKUP(B151,INDIRECT($F$11),10+(K173-1)*4,0)</f>
        <v>#N/A</v>
      </c>
      <c r="J173" s="237" t="e">
        <f ca="1">INDEX($N$2:$N$12,MATCH(I173,$M$2:$M$12,0))</f>
        <v>#N/A</v>
      </c>
      <c r="K173" s="48">
        <v>8</v>
      </c>
    </row>
    <row r="174" spans="1:11" ht="13" customHeight="1" x14ac:dyDescent="0.15">
      <c r="A174" s="229"/>
      <c r="B174" s="230"/>
      <c r="C174" s="234"/>
      <c r="D174" s="235"/>
      <c r="E174" s="235"/>
      <c r="F174" s="235"/>
      <c r="G174" s="236"/>
      <c r="H174" s="238"/>
      <c r="I174" s="238"/>
      <c r="J174" s="238"/>
      <c r="K174" s="48"/>
    </row>
    <row r="175" spans="1:11" ht="13" customHeight="1" x14ac:dyDescent="0.15">
      <c r="A175" s="227" t="str">
        <f ca="1">VLOOKUP(C151,INDIRECT($F$11),7+(K175-1)*4,0)</f>
        <v>BTP 302</v>
      </c>
      <c r="B175" s="228"/>
      <c r="C175" s="231" t="str">
        <f ca="1">VLOOKUP(D151,INDIRECT($F$11),7+(K175-1)*4,0)</f>
        <v>Microbial Biotechnology/    Bioprocess Engg. Lab   (Lab-II )</v>
      </c>
      <c r="D175" s="232"/>
      <c r="E175" s="232"/>
      <c r="F175" s="232"/>
      <c r="G175" s="233"/>
      <c r="H175" s="237">
        <f ca="1">VLOOKUP(E151,INDIRECT($F$11),7+(K175-1)*4,0)</f>
        <v>1</v>
      </c>
      <c r="I175" s="237" t="e">
        <f ca="1">VLOOKUP(B151,INDIRECT($F$11),10+(K175-1)*4,0)</f>
        <v>#N/A</v>
      </c>
      <c r="J175" s="237" t="e">
        <f ca="1">INDEX($N$2:$N$12,MATCH(I175,$M$2:$M$12,0))</f>
        <v>#N/A</v>
      </c>
      <c r="K175" s="48">
        <v>9</v>
      </c>
    </row>
    <row r="176" spans="1:11" ht="13" customHeight="1" x14ac:dyDescent="0.15">
      <c r="A176" s="229"/>
      <c r="B176" s="230"/>
      <c r="C176" s="234"/>
      <c r="D176" s="235"/>
      <c r="E176" s="235"/>
      <c r="F176" s="235"/>
      <c r="G176" s="236"/>
      <c r="H176" s="238"/>
      <c r="I176" s="238"/>
      <c r="J176" s="238"/>
      <c r="K176" s="48"/>
    </row>
    <row r="177" spans="1:11" x14ac:dyDescent="0.15">
      <c r="A177" s="239" t="s">
        <v>104</v>
      </c>
      <c r="B177" s="239"/>
      <c r="C177" s="239"/>
      <c r="D177" s="239"/>
      <c r="E177" s="239"/>
      <c r="F177" s="239"/>
      <c r="G177" s="239"/>
      <c r="H177" s="239">
        <f ca="1">SUM(H159:H176)</f>
        <v>22</v>
      </c>
      <c r="I177" s="239" t="s">
        <v>86</v>
      </c>
      <c r="J177" s="240" t="e">
        <f ca="1">SUMPRODUCT(J159:J176,H159:H176)</f>
        <v>#N/A</v>
      </c>
      <c r="K177" s="44"/>
    </row>
    <row r="178" spans="1:11" x14ac:dyDescent="0.15">
      <c r="A178" s="239"/>
      <c r="B178" s="239"/>
      <c r="C178" s="239"/>
      <c r="D178" s="239"/>
      <c r="E178" s="239"/>
      <c r="F178" s="239"/>
      <c r="G178" s="239"/>
      <c r="H178" s="239"/>
      <c r="I178" s="239"/>
      <c r="J178" s="241"/>
      <c r="K178" s="44"/>
    </row>
    <row r="179" spans="1:11" ht="16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4"/>
    </row>
    <row r="180" spans="1:11" x14ac:dyDescent="0.15">
      <c r="A180" s="244" t="s">
        <v>92</v>
      </c>
      <c r="B180" s="244"/>
      <c r="C180" s="245">
        <f>Marksheets_BT!L95</f>
        <v>0</v>
      </c>
      <c r="D180" s="244" t="s">
        <v>90</v>
      </c>
      <c r="E180" s="244"/>
      <c r="F180" s="246">
        <f>Marksheets_BT!H95</f>
        <v>0</v>
      </c>
      <c r="G180" s="244" t="s">
        <v>91</v>
      </c>
      <c r="H180" s="244"/>
      <c r="I180" s="246">
        <f>Marksheets_BT!J95</f>
        <v>0</v>
      </c>
      <c r="J180" s="246"/>
      <c r="K180" s="44"/>
    </row>
    <row r="181" spans="1:11" x14ac:dyDescent="0.15">
      <c r="A181" s="244"/>
      <c r="B181" s="244"/>
      <c r="C181" s="245"/>
      <c r="D181" s="244"/>
      <c r="E181" s="244"/>
      <c r="F181" s="246"/>
      <c r="G181" s="244"/>
      <c r="H181" s="244"/>
      <c r="I181" s="246"/>
      <c r="J181" s="246"/>
      <c r="K181" s="44"/>
    </row>
    <row r="182" spans="1:11" x14ac:dyDescent="0.15">
      <c r="A182" s="242" t="s">
        <v>88</v>
      </c>
      <c r="B182" s="226">
        <f>Marksheets_BT!B95</f>
        <v>0</v>
      </c>
      <c r="C182" s="226"/>
      <c r="D182" s="242" t="s">
        <v>89</v>
      </c>
      <c r="E182" s="242"/>
      <c r="F182" s="243">
        <f>Marksheets_BT!E95</f>
        <v>0</v>
      </c>
      <c r="G182" s="243"/>
      <c r="H182" s="243"/>
      <c r="I182" s="243"/>
      <c r="J182" s="243"/>
      <c r="K182" s="44"/>
    </row>
    <row r="183" spans="1:11" x14ac:dyDescent="0.15">
      <c r="A183" s="242"/>
      <c r="B183" s="226"/>
      <c r="C183" s="226"/>
      <c r="D183" s="242"/>
      <c r="E183" s="242"/>
      <c r="F183" s="243"/>
      <c r="G183" s="243"/>
      <c r="H183" s="243"/>
      <c r="I183" s="243"/>
      <c r="J183" s="243"/>
      <c r="K183" s="44"/>
    </row>
    <row r="184" spans="1:11" x14ac:dyDescent="0.15">
      <c r="A184" s="242"/>
      <c r="B184" s="226"/>
      <c r="C184" s="226"/>
      <c r="D184" s="242"/>
      <c r="E184" s="242"/>
      <c r="F184" s="243"/>
      <c r="G184" s="243"/>
      <c r="H184" s="243"/>
      <c r="I184" s="243"/>
      <c r="J184" s="243"/>
      <c r="K184" s="44"/>
    </row>
    <row r="186" spans="1:11" ht="14" x14ac:dyDescent="0.15">
      <c r="A186" s="46" t="s">
        <v>73</v>
      </c>
      <c r="B186" s="46">
        <f>B151+1</f>
        <v>6</v>
      </c>
      <c r="C186" s="46" t="s">
        <v>71</v>
      </c>
      <c r="D186" s="46" t="s">
        <v>72</v>
      </c>
      <c r="E186" s="46" t="s">
        <v>40</v>
      </c>
      <c r="F186" s="46" t="s">
        <v>94</v>
      </c>
      <c r="G186" s="47"/>
      <c r="H186" s="47"/>
      <c r="I186" s="47"/>
      <c r="J186" s="44"/>
      <c r="K186" s="44"/>
    </row>
    <row r="187" spans="1:11" x14ac:dyDescent="0.15">
      <c r="A187" s="218" t="s">
        <v>76</v>
      </c>
      <c r="B187" s="218"/>
      <c r="C187" s="219" t="e">
        <f ca="1">VLOOKUP(B186,INDIRECT($F$11),5,0)</f>
        <v>#N/A</v>
      </c>
      <c r="D187" s="219"/>
      <c r="E187" s="219"/>
      <c r="F187" s="218" t="s">
        <v>102</v>
      </c>
      <c r="G187" s="218"/>
      <c r="H187" s="218"/>
      <c r="I187" s="220" t="e">
        <f ca="1">VLOOKUP(B186,INDIRECT($F$11),2,0)</f>
        <v>#N/A</v>
      </c>
      <c r="J187" s="220"/>
      <c r="K187" s="44"/>
    </row>
    <row r="188" spans="1:11" x14ac:dyDescent="0.15">
      <c r="A188" s="218"/>
      <c r="B188" s="218"/>
      <c r="C188" s="219"/>
      <c r="D188" s="219"/>
      <c r="E188" s="219"/>
      <c r="F188" s="218"/>
      <c r="G188" s="218"/>
      <c r="H188" s="218"/>
      <c r="I188" s="220"/>
      <c r="J188" s="220"/>
      <c r="K188" s="44"/>
    </row>
    <row r="189" spans="1:11" x14ac:dyDescent="0.15">
      <c r="A189" s="218" t="s">
        <v>77</v>
      </c>
      <c r="B189" s="218"/>
      <c r="C189" s="219" t="e">
        <f ca="1">VLOOKUP(B186,INDIRECT($F$11),6,0)</f>
        <v>#N/A</v>
      </c>
      <c r="D189" s="219"/>
      <c r="E189" s="219"/>
      <c r="F189" s="223" t="s">
        <v>103</v>
      </c>
      <c r="G189" s="223"/>
      <c r="H189" s="223"/>
      <c r="I189" s="220" t="e">
        <f ca="1">IF(VLOOKUP(B186,INDIRECT($F$11),3,0)=0,"",VLOOKUP(B186,INDIRECT($F$11),3,0))</f>
        <v>#N/A</v>
      </c>
      <c r="J189" s="220"/>
      <c r="K189" s="44"/>
    </row>
    <row r="190" spans="1:11" x14ac:dyDescent="0.15">
      <c r="A190" s="221"/>
      <c r="B190" s="221"/>
      <c r="C190" s="222"/>
      <c r="D190" s="222"/>
      <c r="E190" s="222"/>
      <c r="F190" s="224"/>
      <c r="G190" s="224"/>
      <c r="H190" s="224"/>
      <c r="I190" s="225"/>
      <c r="J190" s="225"/>
      <c r="K190" s="44"/>
    </row>
    <row r="191" spans="1:11" x14ac:dyDescent="0.15">
      <c r="A191" s="226" t="s">
        <v>80</v>
      </c>
      <c r="B191" s="226"/>
      <c r="C191" s="226" t="s">
        <v>81</v>
      </c>
      <c r="D191" s="226"/>
      <c r="E191" s="226"/>
      <c r="F191" s="226"/>
      <c r="G191" s="226"/>
      <c r="H191" s="226" t="s">
        <v>33</v>
      </c>
      <c r="I191" s="226" t="s">
        <v>34</v>
      </c>
      <c r="J191" s="226" t="s">
        <v>85</v>
      </c>
      <c r="K191" s="44"/>
    </row>
    <row r="192" spans="1:11" x14ac:dyDescent="0.15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44"/>
    </row>
    <row r="193" spans="1:11" x14ac:dyDescent="0.15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44"/>
    </row>
    <row r="194" spans="1:11" x14ac:dyDescent="0.15">
      <c r="A194" s="227" t="str">
        <f ca="1">VLOOKUP(C186,INDIRECT($F$11),7+(K194-1)*4,0)</f>
        <v>BTT 301</v>
      </c>
      <c r="B194" s="228"/>
      <c r="C194" s="231" t="str">
        <f ca="1">VLOOKUP(D186,INDIRECT($F$11),7+(K194-1)*4,0)</f>
        <v>Advanced Biostatistics</v>
      </c>
      <c r="D194" s="232"/>
      <c r="E194" s="232"/>
      <c r="F194" s="232"/>
      <c r="G194" s="233"/>
      <c r="H194" s="237">
        <f ca="1">VLOOKUP(E186,INDIRECT($F$11),7+(K194-1)*4,0)</f>
        <v>4</v>
      </c>
      <c r="I194" s="237" t="e">
        <f ca="1">VLOOKUP(B186,INDIRECT($F$11),10+(K194-1)*4,0)</f>
        <v>#N/A</v>
      </c>
      <c r="J194" s="237" t="e">
        <f ca="1">INDEX($N$2:$N$12,MATCH(I194,$M$2:$M$12,0))</f>
        <v>#N/A</v>
      </c>
      <c r="K194" s="48">
        <v>1</v>
      </c>
    </row>
    <row r="195" spans="1:11" x14ac:dyDescent="0.15">
      <c r="A195" s="229"/>
      <c r="B195" s="230"/>
      <c r="C195" s="234"/>
      <c r="D195" s="235"/>
      <c r="E195" s="235"/>
      <c r="F195" s="235"/>
      <c r="G195" s="236"/>
      <c r="H195" s="238"/>
      <c r="I195" s="238"/>
      <c r="J195" s="238"/>
      <c r="K195" s="48"/>
    </row>
    <row r="196" spans="1:11" x14ac:dyDescent="0.15">
      <c r="A196" s="227" t="str">
        <f ca="1">VLOOKUP(C186,INDIRECT($F$11),7+(K196-1)*4,0)</f>
        <v>BTT 302</v>
      </c>
      <c r="B196" s="228"/>
      <c r="C196" s="231" t="str">
        <f ca="1">VLOOKUP(D186,INDIRECT($F$11),7+(K196-1)*4,0)</f>
        <v>Applied Biochemistry</v>
      </c>
      <c r="D196" s="232"/>
      <c r="E196" s="232"/>
      <c r="F196" s="232"/>
      <c r="G196" s="233"/>
      <c r="H196" s="237">
        <f ca="1">VLOOKUP(E186,INDIRECT($F$11),7+(K196-1)*4,0)</f>
        <v>4</v>
      </c>
      <c r="I196" s="237" t="e">
        <f ca="1">VLOOKUP(B186,INDIRECT($F$11),10+(K196-1)*4,0)</f>
        <v>#N/A</v>
      </c>
      <c r="J196" s="237" t="e">
        <f ca="1">INDEX($N$2:$N$12,MATCH(I196,$M$2:$M$12,0))</f>
        <v>#N/A</v>
      </c>
      <c r="K196" s="48">
        <v>2</v>
      </c>
    </row>
    <row r="197" spans="1:11" x14ac:dyDescent="0.15">
      <c r="A197" s="229"/>
      <c r="B197" s="230"/>
      <c r="C197" s="234"/>
      <c r="D197" s="235"/>
      <c r="E197" s="235"/>
      <c r="F197" s="235"/>
      <c r="G197" s="236"/>
      <c r="H197" s="238"/>
      <c r="I197" s="238"/>
      <c r="J197" s="238"/>
      <c r="K197" s="48"/>
    </row>
    <row r="198" spans="1:11" x14ac:dyDescent="0.15">
      <c r="A198" s="227" t="str">
        <f ca="1">VLOOKUP(C186,INDIRECT($F$11),7+(K198-1)*4,0)</f>
        <v>BTT 303</v>
      </c>
      <c r="B198" s="228"/>
      <c r="C198" s="231" t="str">
        <f ca="1">VLOOKUP(D186,INDIRECT($F$11),7+(K198-1)*4,0)</f>
        <v>Microbial Biotechnology</v>
      </c>
      <c r="D198" s="232"/>
      <c r="E198" s="232"/>
      <c r="F198" s="232"/>
      <c r="G198" s="233"/>
      <c r="H198" s="237">
        <f ca="1">VLOOKUP(E186,INDIRECT($F$11),7+(K198-1)*4,0)</f>
        <v>4</v>
      </c>
      <c r="I198" s="237" t="e">
        <f ca="1">VLOOKUP(B186,INDIRECT($F$11),10+(K198-1)*4,0)</f>
        <v>#N/A</v>
      </c>
      <c r="J198" s="237" t="e">
        <f ca="1">INDEX($N$2:$N$12,MATCH(I198,$M$2:$M$12,0))</f>
        <v>#N/A</v>
      </c>
      <c r="K198" s="48">
        <v>3</v>
      </c>
    </row>
    <row r="199" spans="1:11" x14ac:dyDescent="0.15">
      <c r="A199" s="229"/>
      <c r="B199" s="230"/>
      <c r="C199" s="234"/>
      <c r="D199" s="235"/>
      <c r="E199" s="235"/>
      <c r="F199" s="235"/>
      <c r="G199" s="236"/>
      <c r="H199" s="238"/>
      <c r="I199" s="238"/>
      <c r="J199" s="238"/>
      <c r="K199" s="48"/>
    </row>
    <row r="200" spans="1:11" x14ac:dyDescent="0.15">
      <c r="A200" s="227" t="str">
        <f ca="1">VLOOKUP(C186,INDIRECT($F$11),7+(K200-1)*4,0)</f>
        <v>BTT 306</v>
      </c>
      <c r="B200" s="228"/>
      <c r="C200" s="231" t="str">
        <f ca="1">VLOOKUP(D186,INDIRECT($F$11),7+(K200-1)*4,0)</f>
        <v>Bioprocess Engineering</v>
      </c>
      <c r="D200" s="232"/>
      <c r="E200" s="232"/>
      <c r="F200" s="232"/>
      <c r="G200" s="233"/>
      <c r="H200" s="237">
        <f ca="1">VLOOKUP(E186,INDIRECT($F$11),7+(K200-1)*4,0)</f>
        <v>3</v>
      </c>
      <c r="I200" s="237" t="e">
        <f ca="1">VLOOKUP(B186,INDIRECT($F$11),10+(K200-1)*4,0)</f>
        <v>#N/A</v>
      </c>
      <c r="J200" s="237" t="e">
        <f ca="1">INDEX($N$2:$N$12,MATCH(I200,$M$2:$M$12,0))</f>
        <v>#N/A</v>
      </c>
      <c r="K200" s="48">
        <v>4</v>
      </c>
    </row>
    <row r="201" spans="1:11" x14ac:dyDescent="0.15">
      <c r="A201" s="229"/>
      <c r="B201" s="230"/>
      <c r="C201" s="234"/>
      <c r="D201" s="235"/>
      <c r="E201" s="235"/>
      <c r="F201" s="235"/>
      <c r="G201" s="236"/>
      <c r="H201" s="238"/>
      <c r="I201" s="238"/>
      <c r="J201" s="238"/>
      <c r="K201" s="48"/>
    </row>
    <row r="202" spans="1:11" x14ac:dyDescent="0.15">
      <c r="A202" s="227" t="str">
        <f ca="1">VLOOKUP(C186,INDIRECT($F$11),7+(K202-1)*4,0)</f>
        <v>BTT 311</v>
      </c>
      <c r="B202" s="228"/>
      <c r="C202" s="231" t="str">
        <f ca="1">VLOOKUP(D186,INDIRECT($F$11),7+(K202-1)*4,0)</f>
        <v>Herbal Biotechnology</v>
      </c>
      <c r="D202" s="232"/>
      <c r="E202" s="232"/>
      <c r="F202" s="232"/>
      <c r="G202" s="233"/>
      <c r="H202" s="237">
        <f ca="1">VLOOKUP(E186,INDIRECT($F$11),7+(K202-1)*4,0)</f>
        <v>3</v>
      </c>
      <c r="I202" s="237" t="e">
        <f ca="1">VLOOKUP(B186,INDIRECT($F$11),10+(K202-1)*4,0)</f>
        <v>#N/A</v>
      </c>
      <c r="J202" s="237" t="e">
        <f ca="1">INDEX($N$2:$N$12,MATCH(I202,$M$2:$M$12,0))</f>
        <v>#N/A</v>
      </c>
      <c r="K202" s="48">
        <v>5</v>
      </c>
    </row>
    <row r="203" spans="1:11" x14ac:dyDescent="0.15">
      <c r="A203" s="229"/>
      <c r="B203" s="230"/>
      <c r="C203" s="234"/>
      <c r="D203" s="235"/>
      <c r="E203" s="235"/>
      <c r="F203" s="235"/>
      <c r="G203" s="236"/>
      <c r="H203" s="238"/>
      <c r="I203" s="238"/>
      <c r="J203" s="238"/>
      <c r="K203" s="48"/>
    </row>
    <row r="204" spans="1:11" x14ac:dyDescent="0.15">
      <c r="A204" s="227" t="str">
        <f ca="1">VLOOKUP(C186,INDIRECT($F$11),7+(K204-1)*4,0)</f>
        <v>AHT 302</v>
      </c>
      <c r="B204" s="228"/>
      <c r="C204" s="231" t="str">
        <f ca="1">VLOOKUP(D186,INDIRECT($F$11),7+(K204-1)*4,0)</f>
        <v>Research Methodology and IPR</v>
      </c>
      <c r="D204" s="232"/>
      <c r="E204" s="232"/>
      <c r="F204" s="232"/>
      <c r="G204" s="233"/>
      <c r="H204" s="237">
        <f ca="1">VLOOKUP(E186,INDIRECT($F$11),7+(K204-1)*4,0)</f>
        <v>2</v>
      </c>
      <c r="I204" s="237" t="e">
        <f ca="1">VLOOKUP(B186,INDIRECT($F$11),10+(K204-1)*4,0)</f>
        <v>#N/A</v>
      </c>
      <c r="J204" s="237" t="e">
        <f ca="1">INDEX($N$2:$N$12,MATCH(I204,$M$2:$M$12,0))</f>
        <v>#N/A</v>
      </c>
      <c r="K204" s="48">
        <v>6</v>
      </c>
    </row>
    <row r="205" spans="1:11" x14ac:dyDescent="0.15">
      <c r="A205" s="229"/>
      <c r="B205" s="230"/>
      <c r="C205" s="234"/>
      <c r="D205" s="235"/>
      <c r="E205" s="235"/>
      <c r="F205" s="235"/>
      <c r="G205" s="236"/>
      <c r="H205" s="238"/>
      <c r="I205" s="238"/>
      <c r="J205" s="238"/>
      <c r="K205" s="48"/>
    </row>
    <row r="206" spans="1:11" ht="13" customHeight="1" x14ac:dyDescent="0.15">
      <c r="A206" s="227" t="str">
        <f ca="1">VLOOKUP(C186,INDIRECT($F$11),7+(K206-1)*4,0)</f>
        <v>AHT 304</v>
      </c>
      <c r="B206" s="228"/>
      <c r="C206" s="231" t="str">
        <f ca="1">VLOOKUP(D186,INDIRECT($F$11),7+(K206-1)*4,0)</f>
        <v xml:space="preserve">English for Research Writing ($) </v>
      </c>
      <c r="D206" s="232"/>
      <c r="E206" s="232"/>
      <c r="F206" s="232"/>
      <c r="G206" s="233"/>
      <c r="H206" s="237">
        <f ca="1">VLOOKUP(E186,INDIRECT($F$11),7+(K206-1)*4,0)</f>
        <v>0</v>
      </c>
      <c r="I206" s="237" t="e">
        <f ca="1">VLOOKUP(B186,INDIRECT($F$11),10+(K206-1)*4,0)</f>
        <v>#N/A</v>
      </c>
      <c r="J206" s="237" t="e">
        <f ca="1">INDEX($N$2:$N$12,MATCH(I206,$M$2:$M$12,0))</f>
        <v>#N/A</v>
      </c>
      <c r="K206" s="48">
        <v>7</v>
      </c>
    </row>
    <row r="207" spans="1:11" ht="13" customHeight="1" x14ac:dyDescent="0.15">
      <c r="A207" s="229"/>
      <c r="B207" s="230"/>
      <c r="C207" s="234"/>
      <c r="D207" s="235"/>
      <c r="E207" s="235"/>
      <c r="F207" s="235"/>
      <c r="G207" s="236"/>
      <c r="H207" s="238"/>
      <c r="I207" s="238"/>
      <c r="J207" s="238"/>
      <c r="K207" s="48"/>
    </row>
    <row r="208" spans="1:11" ht="13" customHeight="1" x14ac:dyDescent="0.15">
      <c r="A208" s="227" t="str">
        <f ca="1">VLOOKUP(C186,INDIRECT($F$11),7+(K208-1)*4,0)</f>
        <v>BTP 301</v>
      </c>
      <c r="B208" s="228"/>
      <c r="C208" s="231" t="str">
        <f ca="1">VLOOKUP(D186,INDIRECT($F$11),7+(K208-1)*4,0)</f>
        <v>Biochemistry and Bioanalytical Techniques Lab  ( Lab-I)</v>
      </c>
      <c r="D208" s="232"/>
      <c r="E208" s="232"/>
      <c r="F208" s="232"/>
      <c r="G208" s="233"/>
      <c r="H208" s="237">
        <f ca="1">VLOOKUP(E186,INDIRECT($F$11),7+(K208-1)*4,0)</f>
        <v>1</v>
      </c>
      <c r="I208" s="237" t="e">
        <f ca="1">VLOOKUP(B186,INDIRECT($F$11),10+(K208-1)*4,0)</f>
        <v>#N/A</v>
      </c>
      <c r="J208" s="237" t="e">
        <f ca="1">INDEX($N$2:$N$12,MATCH(I208,$M$2:$M$12,0))</f>
        <v>#N/A</v>
      </c>
      <c r="K208" s="48">
        <v>8</v>
      </c>
    </row>
    <row r="209" spans="1:11" ht="13" customHeight="1" x14ac:dyDescent="0.15">
      <c r="A209" s="229"/>
      <c r="B209" s="230"/>
      <c r="C209" s="234"/>
      <c r="D209" s="235"/>
      <c r="E209" s="235"/>
      <c r="F209" s="235"/>
      <c r="G209" s="236"/>
      <c r="H209" s="238"/>
      <c r="I209" s="238"/>
      <c r="J209" s="238"/>
      <c r="K209" s="48"/>
    </row>
    <row r="210" spans="1:11" ht="13" customHeight="1" x14ac:dyDescent="0.15">
      <c r="A210" s="227" t="str">
        <f ca="1">VLOOKUP(C186,INDIRECT($F$11),7+(K210-1)*4,0)</f>
        <v>BTP 302</v>
      </c>
      <c r="B210" s="228"/>
      <c r="C210" s="231" t="str">
        <f ca="1">VLOOKUP(D186,INDIRECT($F$11),7+(K210-1)*4,0)</f>
        <v>Microbial Biotechnology/    Bioprocess Engg. Lab   (Lab-II )</v>
      </c>
      <c r="D210" s="232"/>
      <c r="E210" s="232"/>
      <c r="F210" s="232"/>
      <c r="G210" s="233"/>
      <c r="H210" s="237">
        <f ca="1">VLOOKUP(E186,INDIRECT($F$11),7+(K210-1)*4,0)</f>
        <v>1</v>
      </c>
      <c r="I210" s="237" t="e">
        <f ca="1">VLOOKUP(B186,INDIRECT($F$11),10+(K210-1)*4,0)</f>
        <v>#N/A</v>
      </c>
      <c r="J210" s="237" t="e">
        <f ca="1">INDEX($N$2:$N$12,MATCH(I210,$M$2:$M$12,0))</f>
        <v>#N/A</v>
      </c>
      <c r="K210" s="48">
        <v>9</v>
      </c>
    </row>
    <row r="211" spans="1:11" ht="13" customHeight="1" x14ac:dyDescent="0.15">
      <c r="A211" s="229"/>
      <c r="B211" s="230"/>
      <c r="C211" s="234"/>
      <c r="D211" s="235"/>
      <c r="E211" s="235"/>
      <c r="F211" s="235"/>
      <c r="G211" s="236"/>
      <c r="H211" s="238"/>
      <c r="I211" s="238"/>
      <c r="J211" s="238"/>
      <c r="K211" s="48"/>
    </row>
    <row r="212" spans="1:11" x14ac:dyDescent="0.15">
      <c r="A212" s="239" t="s">
        <v>104</v>
      </c>
      <c r="B212" s="239"/>
      <c r="C212" s="239"/>
      <c r="D212" s="239"/>
      <c r="E212" s="239"/>
      <c r="F212" s="239"/>
      <c r="G212" s="239"/>
      <c r="H212" s="239">
        <f ca="1">SUM(H194:H211)</f>
        <v>22</v>
      </c>
      <c r="I212" s="239" t="s">
        <v>86</v>
      </c>
      <c r="J212" s="240" t="e">
        <f ca="1">SUMPRODUCT(J194:J211,H194:H211)</f>
        <v>#N/A</v>
      </c>
      <c r="K212" s="44"/>
    </row>
    <row r="213" spans="1:11" x14ac:dyDescent="0.15">
      <c r="A213" s="239"/>
      <c r="B213" s="239"/>
      <c r="C213" s="239"/>
      <c r="D213" s="239"/>
      <c r="E213" s="239"/>
      <c r="F213" s="239"/>
      <c r="G213" s="239"/>
      <c r="H213" s="239"/>
      <c r="I213" s="239"/>
      <c r="J213" s="241"/>
      <c r="K213" s="44"/>
    </row>
    <row r="214" spans="1:11" ht="16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4"/>
    </row>
    <row r="215" spans="1:11" x14ac:dyDescent="0.15">
      <c r="A215" s="244" t="s">
        <v>92</v>
      </c>
      <c r="B215" s="244"/>
      <c r="C215" s="245">
        <f>Marksheets_BT!L113</f>
        <v>0</v>
      </c>
      <c r="D215" s="244" t="s">
        <v>90</v>
      </c>
      <c r="E215" s="244"/>
      <c r="F215" s="246">
        <f>Marksheets_BT!H113</f>
        <v>0</v>
      </c>
      <c r="G215" s="244" t="s">
        <v>91</v>
      </c>
      <c r="H215" s="244"/>
      <c r="I215" s="246">
        <f>Marksheets_BT!J113</f>
        <v>0</v>
      </c>
      <c r="J215" s="246"/>
      <c r="K215" s="44"/>
    </row>
    <row r="216" spans="1:11" x14ac:dyDescent="0.15">
      <c r="A216" s="244"/>
      <c r="B216" s="244"/>
      <c r="C216" s="245"/>
      <c r="D216" s="244"/>
      <c r="E216" s="244"/>
      <c r="F216" s="246"/>
      <c r="G216" s="244"/>
      <c r="H216" s="244"/>
      <c r="I216" s="246"/>
      <c r="J216" s="246"/>
      <c r="K216" s="44"/>
    </row>
    <row r="217" spans="1:11" x14ac:dyDescent="0.15">
      <c r="A217" s="242" t="s">
        <v>88</v>
      </c>
      <c r="B217" s="226">
        <f>Marksheets_BT!B113</f>
        <v>0</v>
      </c>
      <c r="C217" s="226"/>
      <c r="D217" s="242" t="s">
        <v>89</v>
      </c>
      <c r="E217" s="242"/>
      <c r="F217" s="243">
        <f>Marksheets_BT!E113</f>
        <v>0</v>
      </c>
      <c r="G217" s="243"/>
      <c r="H217" s="243"/>
      <c r="I217" s="243"/>
      <c r="J217" s="243"/>
      <c r="K217" s="44"/>
    </row>
    <row r="218" spans="1:11" x14ac:dyDescent="0.15">
      <c r="A218" s="242"/>
      <c r="B218" s="226"/>
      <c r="C218" s="226"/>
      <c r="D218" s="242"/>
      <c r="E218" s="242"/>
      <c r="F218" s="243"/>
      <c r="G218" s="243"/>
      <c r="H218" s="243"/>
      <c r="I218" s="243"/>
      <c r="J218" s="243"/>
      <c r="K218" s="44"/>
    </row>
    <row r="219" spans="1:11" x14ac:dyDescent="0.15">
      <c r="A219" s="242"/>
      <c r="B219" s="226"/>
      <c r="C219" s="226"/>
      <c r="D219" s="242"/>
      <c r="E219" s="242"/>
      <c r="F219" s="243"/>
      <c r="G219" s="243"/>
      <c r="H219" s="243"/>
      <c r="I219" s="243"/>
      <c r="J219" s="243"/>
      <c r="K219" s="44"/>
    </row>
    <row r="220" spans="1:11" ht="14" x14ac:dyDescent="0.15">
      <c r="A220" s="46" t="s">
        <v>73</v>
      </c>
      <c r="B220" s="46">
        <f>B186+1</f>
        <v>7</v>
      </c>
      <c r="C220" s="46" t="s">
        <v>71</v>
      </c>
      <c r="D220" s="46" t="s">
        <v>72</v>
      </c>
      <c r="E220" s="46" t="s">
        <v>40</v>
      </c>
      <c r="F220" s="46" t="s">
        <v>94</v>
      </c>
      <c r="G220" s="47"/>
      <c r="H220" s="47"/>
      <c r="I220" s="47"/>
      <c r="J220" s="44"/>
      <c r="K220" s="44"/>
    </row>
    <row r="221" spans="1:11" x14ac:dyDescent="0.15">
      <c r="A221" s="218" t="s">
        <v>76</v>
      </c>
      <c r="B221" s="218"/>
      <c r="C221" s="219" t="e">
        <f ca="1">VLOOKUP(B220,INDIRECT($F$11),5,0)</f>
        <v>#N/A</v>
      </c>
      <c r="D221" s="219"/>
      <c r="E221" s="219"/>
      <c r="F221" s="218" t="s">
        <v>102</v>
      </c>
      <c r="G221" s="218"/>
      <c r="H221" s="218"/>
      <c r="I221" s="220" t="e">
        <f ca="1">VLOOKUP(B220,INDIRECT($F$11),2,0)</f>
        <v>#N/A</v>
      </c>
      <c r="J221" s="220"/>
      <c r="K221" s="44"/>
    </row>
    <row r="222" spans="1:11" x14ac:dyDescent="0.15">
      <c r="A222" s="218"/>
      <c r="B222" s="218"/>
      <c r="C222" s="219"/>
      <c r="D222" s="219"/>
      <c r="E222" s="219"/>
      <c r="F222" s="218"/>
      <c r="G222" s="218"/>
      <c r="H222" s="218"/>
      <c r="I222" s="220"/>
      <c r="J222" s="220"/>
      <c r="K222" s="44"/>
    </row>
    <row r="223" spans="1:11" x14ac:dyDescent="0.15">
      <c r="A223" s="218" t="s">
        <v>77</v>
      </c>
      <c r="B223" s="218"/>
      <c r="C223" s="219" t="e">
        <f ca="1">VLOOKUP(B220,INDIRECT($F$11),6,0)</f>
        <v>#N/A</v>
      </c>
      <c r="D223" s="219"/>
      <c r="E223" s="219"/>
      <c r="F223" s="223" t="s">
        <v>103</v>
      </c>
      <c r="G223" s="223"/>
      <c r="H223" s="223"/>
      <c r="I223" s="220" t="e">
        <f ca="1">IF(VLOOKUP(B220,INDIRECT($F$11),3,0)=0,"",VLOOKUP(B220,INDIRECT($F$11),3,0))</f>
        <v>#N/A</v>
      </c>
      <c r="J223" s="220"/>
      <c r="K223" s="44"/>
    </row>
    <row r="224" spans="1:11" x14ac:dyDescent="0.15">
      <c r="A224" s="221"/>
      <c r="B224" s="221"/>
      <c r="C224" s="222"/>
      <c r="D224" s="222"/>
      <c r="E224" s="222"/>
      <c r="F224" s="224"/>
      <c r="G224" s="224"/>
      <c r="H224" s="224"/>
      <c r="I224" s="225"/>
      <c r="J224" s="225"/>
      <c r="K224" s="44"/>
    </row>
    <row r="225" spans="1:11" x14ac:dyDescent="0.15">
      <c r="A225" s="226" t="s">
        <v>80</v>
      </c>
      <c r="B225" s="226"/>
      <c r="C225" s="226" t="s">
        <v>81</v>
      </c>
      <c r="D225" s="226"/>
      <c r="E225" s="226"/>
      <c r="F225" s="226"/>
      <c r="G225" s="226"/>
      <c r="H225" s="226" t="s">
        <v>33</v>
      </c>
      <c r="I225" s="226" t="s">
        <v>34</v>
      </c>
      <c r="J225" s="226" t="s">
        <v>85</v>
      </c>
      <c r="K225" s="44"/>
    </row>
    <row r="226" spans="1:11" x14ac:dyDescent="0.15">
      <c r="A226" s="226"/>
      <c r="B226" s="226"/>
      <c r="C226" s="226"/>
      <c r="D226" s="226"/>
      <c r="E226" s="226"/>
      <c r="F226" s="226"/>
      <c r="G226" s="226"/>
      <c r="H226" s="226"/>
      <c r="I226" s="226"/>
      <c r="J226" s="226"/>
      <c r="K226" s="44"/>
    </row>
    <row r="227" spans="1:11" x14ac:dyDescent="0.15">
      <c r="A227" s="226"/>
      <c r="B227" s="226"/>
      <c r="C227" s="226"/>
      <c r="D227" s="226"/>
      <c r="E227" s="226"/>
      <c r="F227" s="226"/>
      <c r="G227" s="226"/>
      <c r="H227" s="226"/>
      <c r="I227" s="226"/>
      <c r="J227" s="226"/>
      <c r="K227" s="44"/>
    </row>
    <row r="228" spans="1:11" x14ac:dyDescent="0.15">
      <c r="A228" s="227" t="str">
        <f ca="1">VLOOKUP(C220,INDIRECT($F$11),7+(K228-1)*4,0)</f>
        <v>BTT 301</v>
      </c>
      <c r="B228" s="228"/>
      <c r="C228" s="231" t="str">
        <f ca="1">VLOOKUP(D220,INDIRECT($F$11),7+(K228-1)*4,0)</f>
        <v>Advanced Biostatistics</v>
      </c>
      <c r="D228" s="232"/>
      <c r="E228" s="232"/>
      <c r="F228" s="232"/>
      <c r="G228" s="233"/>
      <c r="H228" s="237">
        <f ca="1">VLOOKUP(E220,INDIRECT($F$11),7+(K228-1)*4,0)</f>
        <v>4</v>
      </c>
      <c r="I228" s="237" t="e">
        <f ca="1">VLOOKUP(B220,INDIRECT($F$11),10+(K228-1)*4,0)</f>
        <v>#N/A</v>
      </c>
      <c r="J228" s="237" t="e">
        <f ca="1">INDEX($N$2:$N$12,MATCH(I228,$M$2:$M$12,0))</f>
        <v>#N/A</v>
      </c>
      <c r="K228" s="48">
        <v>1</v>
      </c>
    </row>
    <row r="229" spans="1:11" x14ac:dyDescent="0.15">
      <c r="A229" s="229"/>
      <c r="B229" s="230"/>
      <c r="C229" s="234"/>
      <c r="D229" s="235"/>
      <c r="E229" s="235"/>
      <c r="F229" s="235"/>
      <c r="G229" s="236"/>
      <c r="H229" s="238"/>
      <c r="I229" s="238"/>
      <c r="J229" s="238"/>
      <c r="K229" s="48"/>
    </row>
    <row r="230" spans="1:11" x14ac:dyDescent="0.15">
      <c r="A230" s="227" t="str">
        <f ca="1">VLOOKUP(C220,INDIRECT($F$11),7+(K230-1)*4,0)</f>
        <v>BTT 302</v>
      </c>
      <c r="B230" s="228"/>
      <c r="C230" s="231" t="str">
        <f ca="1">VLOOKUP(D220,INDIRECT($F$11),7+(K230-1)*4,0)</f>
        <v>Applied Biochemistry</v>
      </c>
      <c r="D230" s="232"/>
      <c r="E230" s="232"/>
      <c r="F230" s="232"/>
      <c r="G230" s="233"/>
      <c r="H230" s="237">
        <f ca="1">VLOOKUP(E220,INDIRECT($F$11),7+(K230-1)*4,0)</f>
        <v>4</v>
      </c>
      <c r="I230" s="237" t="e">
        <f ca="1">VLOOKUP(B220,INDIRECT($F$11),10+(K230-1)*4,0)</f>
        <v>#N/A</v>
      </c>
      <c r="J230" s="237" t="e">
        <f ca="1">INDEX($N$2:$N$12,MATCH(I230,$M$2:$M$12,0))</f>
        <v>#N/A</v>
      </c>
      <c r="K230" s="48">
        <v>2</v>
      </c>
    </row>
    <row r="231" spans="1:11" x14ac:dyDescent="0.15">
      <c r="A231" s="229"/>
      <c r="B231" s="230"/>
      <c r="C231" s="234"/>
      <c r="D231" s="235"/>
      <c r="E231" s="235"/>
      <c r="F231" s="235"/>
      <c r="G231" s="236"/>
      <c r="H231" s="238"/>
      <c r="I231" s="238"/>
      <c r="J231" s="238"/>
      <c r="K231" s="48"/>
    </row>
    <row r="232" spans="1:11" x14ac:dyDescent="0.15">
      <c r="A232" s="227" t="str">
        <f ca="1">VLOOKUP(C220,INDIRECT($F$11),7+(K232-1)*4,0)</f>
        <v>BTT 303</v>
      </c>
      <c r="B232" s="228"/>
      <c r="C232" s="231" t="str">
        <f ca="1">VLOOKUP(D220,INDIRECT($F$11),7+(K232-1)*4,0)</f>
        <v>Microbial Biotechnology</v>
      </c>
      <c r="D232" s="232"/>
      <c r="E232" s="232"/>
      <c r="F232" s="232"/>
      <c r="G232" s="233"/>
      <c r="H232" s="237">
        <f ca="1">VLOOKUP(E220,INDIRECT($F$11),7+(K232-1)*4,0)</f>
        <v>4</v>
      </c>
      <c r="I232" s="237" t="e">
        <f ca="1">VLOOKUP(B220,INDIRECT($F$11),10+(K232-1)*4,0)</f>
        <v>#N/A</v>
      </c>
      <c r="J232" s="237" t="e">
        <f ca="1">INDEX($N$2:$N$12,MATCH(I232,$M$2:$M$12,0))</f>
        <v>#N/A</v>
      </c>
      <c r="K232" s="48">
        <v>3</v>
      </c>
    </row>
    <row r="233" spans="1:11" x14ac:dyDescent="0.15">
      <c r="A233" s="229"/>
      <c r="B233" s="230"/>
      <c r="C233" s="234"/>
      <c r="D233" s="235"/>
      <c r="E233" s="235"/>
      <c r="F233" s="235"/>
      <c r="G233" s="236"/>
      <c r="H233" s="238"/>
      <c r="I233" s="238"/>
      <c r="J233" s="238"/>
      <c r="K233" s="48"/>
    </row>
    <row r="234" spans="1:11" x14ac:dyDescent="0.15">
      <c r="A234" s="227" t="str">
        <f ca="1">VLOOKUP(C220,INDIRECT($F$11),7+(K234-1)*4,0)</f>
        <v>BTT 306</v>
      </c>
      <c r="B234" s="228"/>
      <c r="C234" s="231" t="str">
        <f ca="1">VLOOKUP(D220,INDIRECT($F$11),7+(K234-1)*4,0)</f>
        <v>Bioprocess Engineering</v>
      </c>
      <c r="D234" s="232"/>
      <c r="E234" s="232"/>
      <c r="F234" s="232"/>
      <c r="G234" s="233"/>
      <c r="H234" s="237">
        <f ca="1">VLOOKUP(E220,INDIRECT($F$11),7+(K234-1)*4,0)</f>
        <v>3</v>
      </c>
      <c r="I234" s="237" t="e">
        <f ca="1">VLOOKUP(B220,INDIRECT($F$11),10+(K234-1)*4,0)</f>
        <v>#N/A</v>
      </c>
      <c r="J234" s="237" t="e">
        <f ca="1">INDEX($N$2:$N$12,MATCH(I234,$M$2:$M$12,0))</f>
        <v>#N/A</v>
      </c>
      <c r="K234" s="48">
        <v>4</v>
      </c>
    </row>
    <row r="235" spans="1:11" x14ac:dyDescent="0.15">
      <c r="A235" s="229"/>
      <c r="B235" s="230"/>
      <c r="C235" s="234"/>
      <c r="D235" s="235"/>
      <c r="E235" s="235"/>
      <c r="F235" s="235"/>
      <c r="G235" s="236"/>
      <c r="H235" s="238"/>
      <c r="I235" s="238"/>
      <c r="J235" s="238"/>
      <c r="K235" s="48"/>
    </row>
    <row r="236" spans="1:11" x14ac:dyDescent="0.15">
      <c r="A236" s="227" t="str">
        <f ca="1">VLOOKUP(C220,INDIRECT($F$11),7+(K236-1)*4,0)</f>
        <v>BTT 311</v>
      </c>
      <c r="B236" s="228"/>
      <c r="C236" s="231" t="str">
        <f ca="1">VLOOKUP(D220,INDIRECT($F$11),7+(K236-1)*4,0)</f>
        <v>Herbal Biotechnology</v>
      </c>
      <c r="D236" s="232"/>
      <c r="E236" s="232"/>
      <c r="F236" s="232"/>
      <c r="G236" s="233"/>
      <c r="H236" s="237">
        <f ca="1">VLOOKUP(E220,INDIRECT($F$11),7+(K236-1)*4,0)</f>
        <v>3</v>
      </c>
      <c r="I236" s="237" t="e">
        <f ca="1">VLOOKUP(B220,INDIRECT($F$11),10+(K236-1)*4,0)</f>
        <v>#N/A</v>
      </c>
      <c r="J236" s="237" t="e">
        <f ca="1">INDEX($N$2:$N$12,MATCH(I236,$M$2:$M$12,0))</f>
        <v>#N/A</v>
      </c>
      <c r="K236" s="48">
        <v>5</v>
      </c>
    </row>
    <row r="237" spans="1:11" x14ac:dyDescent="0.15">
      <c r="A237" s="229"/>
      <c r="B237" s="230"/>
      <c r="C237" s="234"/>
      <c r="D237" s="235"/>
      <c r="E237" s="235"/>
      <c r="F237" s="235"/>
      <c r="G237" s="236"/>
      <c r="H237" s="238"/>
      <c r="I237" s="238"/>
      <c r="J237" s="238"/>
      <c r="K237" s="48"/>
    </row>
    <row r="238" spans="1:11" x14ac:dyDescent="0.15">
      <c r="A238" s="227" t="str">
        <f ca="1">VLOOKUP(C220,INDIRECT($F$11),7+(K238-1)*4,0)</f>
        <v>AHT 302</v>
      </c>
      <c r="B238" s="228"/>
      <c r="C238" s="231" t="str">
        <f ca="1">VLOOKUP(D220,INDIRECT($F$11),7+(K238-1)*4,0)</f>
        <v>Research Methodology and IPR</v>
      </c>
      <c r="D238" s="232"/>
      <c r="E238" s="232"/>
      <c r="F238" s="232"/>
      <c r="G238" s="233"/>
      <c r="H238" s="237">
        <f ca="1">VLOOKUP(E220,INDIRECT($F$11),7+(K238-1)*4,0)</f>
        <v>2</v>
      </c>
      <c r="I238" s="237" t="e">
        <f ca="1">VLOOKUP(B220,INDIRECT($F$11),10+(K238-1)*4,0)</f>
        <v>#N/A</v>
      </c>
      <c r="J238" s="237" t="e">
        <f ca="1">INDEX($N$2:$N$12,MATCH(I238,$M$2:$M$12,0))</f>
        <v>#N/A</v>
      </c>
      <c r="K238" s="48">
        <v>6</v>
      </c>
    </row>
    <row r="239" spans="1:11" x14ac:dyDescent="0.15">
      <c r="A239" s="229"/>
      <c r="B239" s="230"/>
      <c r="C239" s="234"/>
      <c r="D239" s="235"/>
      <c r="E239" s="235"/>
      <c r="F239" s="235"/>
      <c r="G239" s="236"/>
      <c r="H239" s="238"/>
      <c r="I239" s="238"/>
      <c r="J239" s="238"/>
      <c r="K239" s="48"/>
    </row>
    <row r="240" spans="1:11" ht="13" customHeight="1" x14ac:dyDescent="0.15">
      <c r="A240" s="227" t="str">
        <f ca="1">VLOOKUP(C220,INDIRECT($F$11),7+(K240-1)*4,0)</f>
        <v>AHT 304</v>
      </c>
      <c r="B240" s="228"/>
      <c r="C240" s="231" t="str">
        <f ca="1">VLOOKUP(D220,INDIRECT($F$11),7+(K240-1)*4,0)</f>
        <v xml:space="preserve">English for Research Writing ($) </v>
      </c>
      <c r="D240" s="232"/>
      <c r="E240" s="232"/>
      <c r="F240" s="232"/>
      <c r="G240" s="233"/>
      <c r="H240" s="237">
        <f ca="1">VLOOKUP(E220,INDIRECT($F$11),7+(K240-1)*4,0)</f>
        <v>0</v>
      </c>
      <c r="I240" s="237" t="e">
        <f ca="1">VLOOKUP(B220,INDIRECT($F$11),10+(K240-1)*4,0)</f>
        <v>#N/A</v>
      </c>
      <c r="J240" s="237" t="e">
        <f ca="1">INDEX($N$2:$N$12,MATCH(I240,$M$2:$M$12,0))</f>
        <v>#N/A</v>
      </c>
      <c r="K240" s="48">
        <v>7</v>
      </c>
    </row>
    <row r="241" spans="1:11" ht="13" customHeight="1" x14ac:dyDescent="0.15">
      <c r="A241" s="229"/>
      <c r="B241" s="230"/>
      <c r="C241" s="234"/>
      <c r="D241" s="235"/>
      <c r="E241" s="235"/>
      <c r="F241" s="235"/>
      <c r="G241" s="236"/>
      <c r="H241" s="238"/>
      <c r="I241" s="238"/>
      <c r="J241" s="238"/>
      <c r="K241" s="48"/>
    </row>
    <row r="242" spans="1:11" ht="13" customHeight="1" x14ac:dyDescent="0.15">
      <c r="A242" s="227" t="str">
        <f ca="1">VLOOKUP(C220,INDIRECT($F$11),7+(K242-1)*4,0)</f>
        <v>BTP 301</v>
      </c>
      <c r="B242" s="228"/>
      <c r="C242" s="231" t="str">
        <f ca="1">VLOOKUP(D220,INDIRECT($F$11),7+(K242-1)*4,0)</f>
        <v>Biochemistry and Bioanalytical Techniques Lab  ( Lab-I)</v>
      </c>
      <c r="D242" s="232"/>
      <c r="E242" s="232"/>
      <c r="F242" s="232"/>
      <c r="G242" s="233"/>
      <c r="H242" s="237">
        <f ca="1">VLOOKUP(E220,INDIRECT($F$11),7+(K242-1)*4,0)</f>
        <v>1</v>
      </c>
      <c r="I242" s="237" t="e">
        <f ca="1">VLOOKUP(B220,INDIRECT($F$11),10+(K242-1)*4,0)</f>
        <v>#N/A</v>
      </c>
      <c r="J242" s="237" t="e">
        <f ca="1">INDEX($N$2:$N$12,MATCH(I242,$M$2:$M$12,0))</f>
        <v>#N/A</v>
      </c>
      <c r="K242" s="48">
        <v>8</v>
      </c>
    </row>
    <row r="243" spans="1:11" ht="13" customHeight="1" x14ac:dyDescent="0.15">
      <c r="A243" s="229"/>
      <c r="B243" s="230"/>
      <c r="C243" s="234"/>
      <c r="D243" s="235"/>
      <c r="E243" s="235"/>
      <c r="F243" s="235"/>
      <c r="G243" s="236"/>
      <c r="H243" s="238"/>
      <c r="I243" s="238"/>
      <c r="J243" s="238"/>
      <c r="K243" s="48"/>
    </row>
    <row r="244" spans="1:11" ht="13" customHeight="1" x14ac:dyDescent="0.15">
      <c r="A244" s="227" t="str">
        <f ca="1">VLOOKUP(C220,INDIRECT($F$11),7+(K244-1)*4,0)</f>
        <v>BTP 302</v>
      </c>
      <c r="B244" s="228"/>
      <c r="C244" s="231" t="str">
        <f ca="1">VLOOKUP(D220,INDIRECT($F$11),7+(K244-1)*4,0)</f>
        <v>Microbial Biotechnology/    Bioprocess Engg. Lab   (Lab-II )</v>
      </c>
      <c r="D244" s="232"/>
      <c r="E244" s="232"/>
      <c r="F244" s="232"/>
      <c r="G244" s="233"/>
      <c r="H244" s="237">
        <f ca="1">VLOOKUP(E220,INDIRECT($F$11),7+(K244-1)*4,0)</f>
        <v>1</v>
      </c>
      <c r="I244" s="237" t="e">
        <f ca="1">VLOOKUP(B220,INDIRECT($F$11),10+(K244-1)*4,0)</f>
        <v>#N/A</v>
      </c>
      <c r="J244" s="237" t="e">
        <f ca="1">INDEX($N$2:$N$12,MATCH(I244,$M$2:$M$12,0))</f>
        <v>#N/A</v>
      </c>
      <c r="K244" s="48">
        <v>9</v>
      </c>
    </row>
    <row r="245" spans="1:11" ht="13" customHeight="1" x14ac:dyDescent="0.15">
      <c r="A245" s="229"/>
      <c r="B245" s="230"/>
      <c r="C245" s="234"/>
      <c r="D245" s="235"/>
      <c r="E245" s="235"/>
      <c r="F245" s="235"/>
      <c r="G245" s="236"/>
      <c r="H245" s="238"/>
      <c r="I245" s="238"/>
      <c r="J245" s="238"/>
      <c r="K245" s="48"/>
    </row>
    <row r="246" spans="1:11" x14ac:dyDescent="0.15">
      <c r="A246" s="239" t="s">
        <v>104</v>
      </c>
      <c r="B246" s="239"/>
      <c r="C246" s="239"/>
      <c r="D246" s="239"/>
      <c r="E246" s="239"/>
      <c r="F246" s="239"/>
      <c r="G246" s="239"/>
      <c r="H246" s="239">
        <f ca="1">SUM(H228:H245)</f>
        <v>22</v>
      </c>
      <c r="I246" s="239" t="s">
        <v>86</v>
      </c>
      <c r="J246" s="240" t="e">
        <f ca="1">SUMPRODUCT(J228:J245,H228:H245)</f>
        <v>#N/A</v>
      </c>
      <c r="K246" s="44"/>
    </row>
    <row r="247" spans="1:11" x14ac:dyDescent="0.15">
      <c r="A247" s="239"/>
      <c r="B247" s="239"/>
      <c r="C247" s="239"/>
      <c r="D247" s="239"/>
      <c r="E247" s="239"/>
      <c r="F247" s="239"/>
      <c r="G247" s="239"/>
      <c r="H247" s="239"/>
      <c r="I247" s="239"/>
      <c r="J247" s="241"/>
      <c r="K247" s="44"/>
    </row>
    <row r="248" spans="1:11" ht="16" x14ac:dyDescent="0.2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4"/>
    </row>
    <row r="249" spans="1:11" x14ac:dyDescent="0.15">
      <c r="A249" s="244" t="s">
        <v>92</v>
      </c>
      <c r="B249" s="244"/>
      <c r="C249" s="245">
        <f>Marksheets_BT!L131</f>
        <v>0</v>
      </c>
      <c r="D249" s="244" t="s">
        <v>90</v>
      </c>
      <c r="E249" s="244"/>
      <c r="F249" s="246">
        <f>Marksheets_BT!H131</f>
        <v>0</v>
      </c>
      <c r="G249" s="244" t="s">
        <v>91</v>
      </c>
      <c r="H249" s="244"/>
      <c r="I249" s="246">
        <f>Marksheets_BT!J131</f>
        <v>0</v>
      </c>
      <c r="J249" s="246"/>
      <c r="K249" s="44"/>
    </row>
    <row r="250" spans="1:11" x14ac:dyDescent="0.15">
      <c r="A250" s="244"/>
      <c r="B250" s="244"/>
      <c r="C250" s="245"/>
      <c r="D250" s="244"/>
      <c r="E250" s="244"/>
      <c r="F250" s="246"/>
      <c r="G250" s="244"/>
      <c r="H250" s="244"/>
      <c r="I250" s="246"/>
      <c r="J250" s="246"/>
      <c r="K250" s="44"/>
    </row>
    <row r="251" spans="1:11" x14ac:dyDescent="0.15">
      <c r="A251" s="242" t="s">
        <v>88</v>
      </c>
      <c r="B251" s="226">
        <f>Marksheets_BT!B131</f>
        <v>0</v>
      </c>
      <c r="C251" s="226"/>
      <c r="D251" s="242" t="s">
        <v>89</v>
      </c>
      <c r="E251" s="242"/>
      <c r="F251" s="243">
        <f>Marksheets_BT!E131</f>
        <v>0</v>
      </c>
      <c r="G251" s="243"/>
      <c r="H251" s="243"/>
      <c r="I251" s="243"/>
      <c r="J251" s="243"/>
      <c r="K251" s="44"/>
    </row>
    <row r="252" spans="1:11" x14ac:dyDescent="0.15">
      <c r="A252" s="242"/>
      <c r="B252" s="226"/>
      <c r="C252" s="226"/>
      <c r="D252" s="242"/>
      <c r="E252" s="242"/>
      <c r="F252" s="243"/>
      <c r="G252" s="243"/>
      <c r="H252" s="243"/>
      <c r="I252" s="243"/>
      <c r="J252" s="243"/>
      <c r="K252" s="44"/>
    </row>
    <row r="253" spans="1:11" x14ac:dyDescent="0.15">
      <c r="A253" s="242"/>
      <c r="B253" s="226"/>
      <c r="C253" s="226"/>
      <c r="D253" s="242"/>
      <c r="E253" s="242"/>
      <c r="F253" s="243"/>
      <c r="G253" s="243"/>
      <c r="H253" s="243"/>
      <c r="I253" s="243"/>
      <c r="J253" s="243"/>
      <c r="K253" s="44"/>
    </row>
    <row r="254" spans="1:11" ht="14" x14ac:dyDescent="0.15">
      <c r="A254" s="46" t="s">
        <v>73</v>
      </c>
      <c r="B254" s="46">
        <f>B220+1</f>
        <v>8</v>
      </c>
      <c r="C254" s="46" t="s">
        <v>71</v>
      </c>
      <c r="D254" s="46" t="s">
        <v>72</v>
      </c>
      <c r="E254" s="46" t="s">
        <v>40</v>
      </c>
      <c r="F254" s="46" t="s">
        <v>94</v>
      </c>
      <c r="G254" s="47"/>
      <c r="H254" s="47"/>
      <c r="I254" s="47"/>
      <c r="J254" s="44"/>
      <c r="K254" s="44"/>
    </row>
    <row r="255" spans="1:11" x14ac:dyDescent="0.15">
      <c r="A255" s="218" t="s">
        <v>76</v>
      </c>
      <c r="B255" s="218"/>
      <c r="C255" s="219" t="e">
        <f ca="1">VLOOKUP(B254,INDIRECT($F$11),5,0)</f>
        <v>#N/A</v>
      </c>
      <c r="D255" s="219"/>
      <c r="E255" s="219"/>
      <c r="F255" s="218" t="s">
        <v>102</v>
      </c>
      <c r="G255" s="218"/>
      <c r="H255" s="218"/>
      <c r="I255" s="220" t="e">
        <f ca="1">VLOOKUP(B254,INDIRECT($F$11),2,0)</f>
        <v>#N/A</v>
      </c>
      <c r="J255" s="220"/>
      <c r="K255" s="44"/>
    </row>
    <row r="256" spans="1:11" x14ac:dyDescent="0.15">
      <c r="A256" s="218"/>
      <c r="B256" s="218"/>
      <c r="C256" s="219"/>
      <c r="D256" s="219"/>
      <c r="E256" s="219"/>
      <c r="F256" s="218"/>
      <c r="G256" s="218"/>
      <c r="H256" s="218"/>
      <c r="I256" s="220"/>
      <c r="J256" s="220"/>
      <c r="K256" s="44"/>
    </row>
    <row r="257" spans="1:11" x14ac:dyDescent="0.15">
      <c r="A257" s="218" t="s">
        <v>77</v>
      </c>
      <c r="B257" s="218"/>
      <c r="C257" s="219" t="e">
        <f ca="1">VLOOKUP(B254,INDIRECT($F$11),6,0)</f>
        <v>#N/A</v>
      </c>
      <c r="D257" s="219"/>
      <c r="E257" s="219"/>
      <c r="F257" s="223" t="s">
        <v>103</v>
      </c>
      <c r="G257" s="223"/>
      <c r="H257" s="223"/>
      <c r="I257" s="220" t="e">
        <f ca="1">IF(VLOOKUP(B254,INDIRECT($F$11),3,0)=0,"",VLOOKUP(B254,INDIRECT($F$11),3,0))</f>
        <v>#N/A</v>
      </c>
      <c r="J257" s="220"/>
      <c r="K257" s="44"/>
    </row>
    <row r="258" spans="1:11" x14ac:dyDescent="0.15">
      <c r="A258" s="221"/>
      <c r="B258" s="221"/>
      <c r="C258" s="222"/>
      <c r="D258" s="222"/>
      <c r="E258" s="222"/>
      <c r="F258" s="224"/>
      <c r="G258" s="224"/>
      <c r="H258" s="224"/>
      <c r="I258" s="225"/>
      <c r="J258" s="225"/>
      <c r="K258" s="44"/>
    </row>
    <row r="259" spans="1:11" x14ac:dyDescent="0.15">
      <c r="A259" s="226" t="s">
        <v>80</v>
      </c>
      <c r="B259" s="226"/>
      <c r="C259" s="226" t="s">
        <v>81</v>
      </c>
      <c r="D259" s="226"/>
      <c r="E259" s="226"/>
      <c r="F259" s="226"/>
      <c r="G259" s="226"/>
      <c r="H259" s="226" t="s">
        <v>33</v>
      </c>
      <c r="I259" s="226" t="s">
        <v>34</v>
      </c>
      <c r="J259" s="226" t="s">
        <v>85</v>
      </c>
      <c r="K259" s="44"/>
    </row>
    <row r="260" spans="1:11" x14ac:dyDescent="0.15">
      <c r="A260" s="226"/>
      <c r="B260" s="226"/>
      <c r="C260" s="226"/>
      <c r="D260" s="226"/>
      <c r="E260" s="226"/>
      <c r="F260" s="226"/>
      <c r="G260" s="226"/>
      <c r="H260" s="226"/>
      <c r="I260" s="226"/>
      <c r="J260" s="226"/>
      <c r="K260" s="44"/>
    </row>
    <row r="261" spans="1:11" x14ac:dyDescent="0.15">
      <c r="A261" s="226"/>
      <c r="B261" s="226"/>
      <c r="C261" s="226"/>
      <c r="D261" s="226"/>
      <c r="E261" s="226"/>
      <c r="F261" s="226"/>
      <c r="G261" s="226"/>
      <c r="H261" s="226"/>
      <c r="I261" s="226"/>
      <c r="J261" s="226"/>
      <c r="K261" s="44"/>
    </row>
    <row r="262" spans="1:11" x14ac:dyDescent="0.15">
      <c r="A262" s="227" t="str">
        <f ca="1">VLOOKUP(C254,INDIRECT($F$11),7+(K262-1)*4,0)</f>
        <v>BTT 301</v>
      </c>
      <c r="B262" s="228"/>
      <c r="C262" s="231" t="str">
        <f ca="1">VLOOKUP(D254,INDIRECT($F$11),7+(K262-1)*4,0)</f>
        <v>Advanced Biostatistics</v>
      </c>
      <c r="D262" s="232"/>
      <c r="E262" s="232"/>
      <c r="F262" s="232"/>
      <c r="G262" s="233"/>
      <c r="H262" s="237">
        <f ca="1">VLOOKUP(E254,INDIRECT($F$11),7+(K262-1)*4,0)</f>
        <v>4</v>
      </c>
      <c r="I262" s="237" t="e">
        <f ca="1">VLOOKUP(B254,INDIRECT($F$11),10+(K262-1)*4,0)</f>
        <v>#N/A</v>
      </c>
      <c r="J262" s="237" t="e">
        <f ca="1">INDEX($N$2:$N$12,MATCH(I262,$M$2:$M$12,0))</f>
        <v>#N/A</v>
      </c>
      <c r="K262" s="48">
        <v>1</v>
      </c>
    </row>
    <row r="263" spans="1:11" x14ac:dyDescent="0.15">
      <c r="A263" s="229"/>
      <c r="B263" s="230"/>
      <c r="C263" s="234"/>
      <c r="D263" s="235"/>
      <c r="E263" s="235"/>
      <c r="F263" s="235"/>
      <c r="G263" s="236"/>
      <c r="H263" s="238"/>
      <c r="I263" s="238"/>
      <c r="J263" s="238"/>
      <c r="K263" s="48"/>
    </row>
    <row r="264" spans="1:11" x14ac:dyDescent="0.15">
      <c r="A264" s="227" t="str">
        <f ca="1">VLOOKUP(C254,INDIRECT($F$11),7+(K264-1)*4,0)</f>
        <v>BTT 302</v>
      </c>
      <c r="B264" s="228"/>
      <c r="C264" s="231" t="str">
        <f ca="1">VLOOKUP(D254,INDIRECT($F$11),7+(K264-1)*4,0)</f>
        <v>Applied Biochemistry</v>
      </c>
      <c r="D264" s="232"/>
      <c r="E264" s="232"/>
      <c r="F264" s="232"/>
      <c r="G264" s="233"/>
      <c r="H264" s="237">
        <f ca="1">VLOOKUP(E254,INDIRECT($F$11),7+(K264-1)*4,0)</f>
        <v>4</v>
      </c>
      <c r="I264" s="237" t="e">
        <f ca="1">VLOOKUP(B254,INDIRECT($F$11),10+(K264-1)*4,0)</f>
        <v>#N/A</v>
      </c>
      <c r="J264" s="237" t="e">
        <f ca="1">INDEX($N$2:$N$12,MATCH(I264,$M$2:$M$12,0))</f>
        <v>#N/A</v>
      </c>
      <c r="K264" s="48">
        <v>2</v>
      </c>
    </row>
    <row r="265" spans="1:11" x14ac:dyDescent="0.15">
      <c r="A265" s="229"/>
      <c r="B265" s="230"/>
      <c r="C265" s="234"/>
      <c r="D265" s="235"/>
      <c r="E265" s="235"/>
      <c r="F265" s="235"/>
      <c r="G265" s="236"/>
      <c r="H265" s="238"/>
      <c r="I265" s="238"/>
      <c r="J265" s="238"/>
      <c r="K265" s="48"/>
    </row>
    <row r="266" spans="1:11" x14ac:dyDescent="0.15">
      <c r="A266" s="227" t="str">
        <f ca="1">VLOOKUP(C254,INDIRECT($F$11),7+(K266-1)*4,0)</f>
        <v>BTT 303</v>
      </c>
      <c r="B266" s="228"/>
      <c r="C266" s="231" t="str">
        <f ca="1">VLOOKUP(D254,INDIRECT($F$11),7+(K266-1)*4,0)</f>
        <v>Microbial Biotechnology</v>
      </c>
      <c r="D266" s="232"/>
      <c r="E266" s="232"/>
      <c r="F266" s="232"/>
      <c r="G266" s="233"/>
      <c r="H266" s="237">
        <f ca="1">VLOOKUP(E254,INDIRECT($F$11),7+(K266-1)*4,0)</f>
        <v>4</v>
      </c>
      <c r="I266" s="237" t="e">
        <f ca="1">VLOOKUP(B254,INDIRECT($F$11),10+(K266-1)*4,0)</f>
        <v>#N/A</v>
      </c>
      <c r="J266" s="237" t="e">
        <f ca="1">INDEX($N$2:$N$12,MATCH(I266,$M$2:$M$12,0))</f>
        <v>#N/A</v>
      </c>
      <c r="K266" s="48">
        <v>3</v>
      </c>
    </row>
    <row r="267" spans="1:11" x14ac:dyDescent="0.15">
      <c r="A267" s="229"/>
      <c r="B267" s="230"/>
      <c r="C267" s="234"/>
      <c r="D267" s="235"/>
      <c r="E267" s="235"/>
      <c r="F267" s="235"/>
      <c r="G267" s="236"/>
      <c r="H267" s="238"/>
      <c r="I267" s="238"/>
      <c r="J267" s="238"/>
      <c r="K267" s="48"/>
    </row>
    <row r="268" spans="1:11" x14ac:dyDescent="0.15">
      <c r="A268" s="227" t="str">
        <f ca="1">VLOOKUP(C254,INDIRECT($F$11),7+(K268-1)*4,0)</f>
        <v>BTT 306</v>
      </c>
      <c r="B268" s="228"/>
      <c r="C268" s="231" t="str">
        <f ca="1">VLOOKUP(D254,INDIRECT($F$11),7+(K268-1)*4,0)</f>
        <v>Bioprocess Engineering</v>
      </c>
      <c r="D268" s="232"/>
      <c r="E268" s="232"/>
      <c r="F268" s="232"/>
      <c r="G268" s="233"/>
      <c r="H268" s="237">
        <f ca="1">VLOOKUP(E254,INDIRECT($F$11),7+(K268-1)*4,0)</f>
        <v>3</v>
      </c>
      <c r="I268" s="237" t="e">
        <f ca="1">VLOOKUP(B254,INDIRECT($F$11),10+(K268-1)*4,0)</f>
        <v>#N/A</v>
      </c>
      <c r="J268" s="237" t="e">
        <f ca="1">INDEX($N$2:$N$12,MATCH(I268,$M$2:$M$12,0))</f>
        <v>#N/A</v>
      </c>
      <c r="K268" s="48">
        <v>4</v>
      </c>
    </row>
    <row r="269" spans="1:11" x14ac:dyDescent="0.15">
      <c r="A269" s="229"/>
      <c r="B269" s="230"/>
      <c r="C269" s="234"/>
      <c r="D269" s="235"/>
      <c r="E269" s="235"/>
      <c r="F269" s="235"/>
      <c r="G269" s="236"/>
      <c r="H269" s="238"/>
      <c r="I269" s="238"/>
      <c r="J269" s="238"/>
      <c r="K269" s="48"/>
    </row>
    <row r="270" spans="1:11" x14ac:dyDescent="0.15">
      <c r="A270" s="227" t="str">
        <f ca="1">VLOOKUP(C254,INDIRECT($F$11),7+(K270-1)*4,0)</f>
        <v>BTT 311</v>
      </c>
      <c r="B270" s="228"/>
      <c r="C270" s="231" t="str">
        <f ca="1">VLOOKUP(D254,INDIRECT($F$11),7+(K270-1)*4,0)</f>
        <v>Herbal Biotechnology</v>
      </c>
      <c r="D270" s="232"/>
      <c r="E270" s="232"/>
      <c r="F270" s="232"/>
      <c r="G270" s="233"/>
      <c r="H270" s="237">
        <f ca="1">VLOOKUP(E254,INDIRECT($F$11),7+(K270-1)*4,0)</f>
        <v>3</v>
      </c>
      <c r="I270" s="237" t="e">
        <f ca="1">VLOOKUP(B254,INDIRECT($F$11),10+(K270-1)*4,0)</f>
        <v>#N/A</v>
      </c>
      <c r="J270" s="237" t="e">
        <f ca="1">INDEX($N$2:$N$12,MATCH(I270,$M$2:$M$12,0))</f>
        <v>#N/A</v>
      </c>
      <c r="K270" s="48">
        <v>5</v>
      </c>
    </row>
    <row r="271" spans="1:11" x14ac:dyDescent="0.15">
      <c r="A271" s="229"/>
      <c r="B271" s="230"/>
      <c r="C271" s="234"/>
      <c r="D271" s="235"/>
      <c r="E271" s="235"/>
      <c r="F271" s="235"/>
      <c r="G271" s="236"/>
      <c r="H271" s="238"/>
      <c r="I271" s="238"/>
      <c r="J271" s="238"/>
      <c r="K271" s="48"/>
    </row>
    <row r="272" spans="1:11" x14ac:dyDescent="0.15">
      <c r="A272" s="227" t="str">
        <f ca="1">VLOOKUP(C254,INDIRECT($F$11),7+(K272-1)*4,0)</f>
        <v>AHT 302</v>
      </c>
      <c r="B272" s="228"/>
      <c r="C272" s="231" t="str">
        <f ca="1">VLOOKUP(D254,INDIRECT($F$11),7+(K272-1)*4,0)</f>
        <v>Research Methodology and IPR</v>
      </c>
      <c r="D272" s="232"/>
      <c r="E272" s="232"/>
      <c r="F272" s="232"/>
      <c r="G272" s="233"/>
      <c r="H272" s="237">
        <f ca="1">VLOOKUP(E254,INDIRECT($F$11),7+(K272-1)*4,0)</f>
        <v>2</v>
      </c>
      <c r="I272" s="237" t="e">
        <f ca="1">VLOOKUP(B254,INDIRECT($F$11),10+(K272-1)*4,0)</f>
        <v>#N/A</v>
      </c>
      <c r="J272" s="237" t="e">
        <f ca="1">INDEX($N$2:$N$12,MATCH(I272,$M$2:$M$12,0))</f>
        <v>#N/A</v>
      </c>
      <c r="K272" s="48">
        <v>6</v>
      </c>
    </row>
    <row r="273" spans="1:11" x14ac:dyDescent="0.15">
      <c r="A273" s="229"/>
      <c r="B273" s="230"/>
      <c r="C273" s="234"/>
      <c r="D273" s="235"/>
      <c r="E273" s="235"/>
      <c r="F273" s="235"/>
      <c r="G273" s="236"/>
      <c r="H273" s="238"/>
      <c r="I273" s="238"/>
      <c r="J273" s="238"/>
      <c r="K273" s="48"/>
    </row>
    <row r="274" spans="1:11" ht="13" customHeight="1" x14ac:dyDescent="0.15">
      <c r="A274" s="227" t="str">
        <f ca="1">VLOOKUP(C254,INDIRECT($F$11),7+(K274-1)*4,0)</f>
        <v>AHT 304</v>
      </c>
      <c r="B274" s="228"/>
      <c r="C274" s="231" t="str">
        <f ca="1">VLOOKUP(D254,INDIRECT($F$11),7+(K274-1)*4,0)</f>
        <v xml:space="preserve">English for Research Writing ($) </v>
      </c>
      <c r="D274" s="232"/>
      <c r="E274" s="232"/>
      <c r="F274" s="232"/>
      <c r="G274" s="233"/>
      <c r="H274" s="237">
        <f ca="1">VLOOKUP(E254,INDIRECT($F$11),7+(K274-1)*4,0)</f>
        <v>0</v>
      </c>
      <c r="I274" s="237" t="e">
        <f ca="1">VLOOKUP(B254,INDIRECT($F$11),10+(K274-1)*4,0)</f>
        <v>#N/A</v>
      </c>
      <c r="J274" s="237" t="e">
        <f ca="1">INDEX($N$2:$N$12,MATCH(I274,$M$2:$M$12,0))</f>
        <v>#N/A</v>
      </c>
      <c r="K274" s="48">
        <v>7</v>
      </c>
    </row>
    <row r="275" spans="1:11" ht="13" customHeight="1" x14ac:dyDescent="0.15">
      <c r="A275" s="229"/>
      <c r="B275" s="230"/>
      <c r="C275" s="234"/>
      <c r="D275" s="235"/>
      <c r="E275" s="235"/>
      <c r="F275" s="235"/>
      <c r="G275" s="236"/>
      <c r="H275" s="238"/>
      <c r="I275" s="238"/>
      <c r="J275" s="238"/>
      <c r="K275" s="48"/>
    </row>
    <row r="276" spans="1:11" ht="13" customHeight="1" x14ac:dyDescent="0.15">
      <c r="A276" s="227" t="str">
        <f ca="1">VLOOKUP(C254,INDIRECT($F$11),7+(K276-1)*4,0)</f>
        <v>BTP 301</v>
      </c>
      <c r="B276" s="228"/>
      <c r="C276" s="231" t="str">
        <f ca="1">VLOOKUP(D254,INDIRECT($F$11),7+(K276-1)*4,0)</f>
        <v>Biochemistry and Bioanalytical Techniques Lab  ( Lab-I)</v>
      </c>
      <c r="D276" s="232"/>
      <c r="E276" s="232"/>
      <c r="F276" s="232"/>
      <c r="G276" s="233"/>
      <c r="H276" s="237">
        <f ca="1">VLOOKUP(E254,INDIRECT($F$11),7+(K276-1)*4,0)</f>
        <v>1</v>
      </c>
      <c r="I276" s="237" t="e">
        <f ca="1">VLOOKUP(B254,INDIRECT($F$11),10+(K276-1)*4,0)</f>
        <v>#N/A</v>
      </c>
      <c r="J276" s="237" t="e">
        <f ca="1">INDEX($N$2:$N$12,MATCH(I276,$M$2:$M$12,0))</f>
        <v>#N/A</v>
      </c>
      <c r="K276" s="48">
        <v>8</v>
      </c>
    </row>
    <row r="277" spans="1:11" ht="13" customHeight="1" x14ac:dyDescent="0.15">
      <c r="A277" s="229"/>
      <c r="B277" s="230"/>
      <c r="C277" s="234"/>
      <c r="D277" s="235"/>
      <c r="E277" s="235"/>
      <c r="F277" s="235"/>
      <c r="G277" s="236"/>
      <c r="H277" s="238"/>
      <c r="I277" s="238"/>
      <c r="J277" s="238"/>
      <c r="K277" s="48"/>
    </row>
    <row r="278" spans="1:11" ht="13" customHeight="1" x14ac:dyDescent="0.15">
      <c r="A278" s="227" t="str">
        <f ca="1">VLOOKUP(C254,INDIRECT($F$11),7+(K278-1)*4,0)</f>
        <v>BTP 302</v>
      </c>
      <c r="B278" s="228"/>
      <c r="C278" s="231" t="str">
        <f ca="1">VLOOKUP(D254,INDIRECT($F$11),7+(K278-1)*4,0)</f>
        <v>Microbial Biotechnology/    Bioprocess Engg. Lab   (Lab-II )</v>
      </c>
      <c r="D278" s="232"/>
      <c r="E278" s="232"/>
      <c r="F278" s="232"/>
      <c r="G278" s="233"/>
      <c r="H278" s="237">
        <f ca="1">VLOOKUP(E254,INDIRECT($F$11),7+(K278-1)*4,0)</f>
        <v>1</v>
      </c>
      <c r="I278" s="237" t="e">
        <f ca="1">VLOOKUP(B254,INDIRECT($F$11),10+(K278-1)*4,0)</f>
        <v>#N/A</v>
      </c>
      <c r="J278" s="237" t="e">
        <f ca="1">INDEX($N$2:$N$12,MATCH(I278,$M$2:$M$12,0))</f>
        <v>#N/A</v>
      </c>
      <c r="K278" s="48">
        <v>9</v>
      </c>
    </row>
    <row r="279" spans="1:11" ht="13" customHeight="1" x14ac:dyDescent="0.15">
      <c r="A279" s="229"/>
      <c r="B279" s="230"/>
      <c r="C279" s="234"/>
      <c r="D279" s="235"/>
      <c r="E279" s="235"/>
      <c r="F279" s="235"/>
      <c r="G279" s="236"/>
      <c r="H279" s="238"/>
      <c r="I279" s="238"/>
      <c r="J279" s="238"/>
      <c r="K279" s="48"/>
    </row>
    <row r="280" spans="1:11" x14ac:dyDescent="0.15">
      <c r="A280" s="239" t="s">
        <v>104</v>
      </c>
      <c r="B280" s="239"/>
      <c r="C280" s="239"/>
      <c r="D280" s="239"/>
      <c r="E280" s="239"/>
      <c r="F280" s="239"/>
      <c r="G280" s="239"/>
      <c r="H280" s="239">
        <f ca="1">SUM(H262:H279)</f>
        <v>22</v>
      </c>
      <c r="I280" s="239" t="s">
        <v>86</v>
      </c>
      <c r="J280" s="240" t="e">
        <f ca="1">SUMPRODUCT(J262:J279,H262:H279)</f>
        <v>#N/A</v>
      </c>
      <c r="K280" s="44"/>
    </row>
    <row r="281" spans="1:11" x14ac:dyDescent="0.15">
      <c r="A281" s="239"/>
      <c r="B281" s="239"/>
      <c r="C281" s="239"/>
      <c r="D281" s="239"/>
      <c r="E281" s="239"/>
      <c r="F281" s="239"/>
      <c r="G281" s="239"/>
      <c r="H281" s="239"/>
      <c r="I281" s="239"/>
      <c r="J281" s="241"/>
      <c r="K281" s="44"/>
    </row>
    <row r="282" spans="1:11" ht="16" x14ac:dyDescent="0.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4"/>
    </row>
    <row r="283" spans="1:11" x14ac:dyDescent="0.15">
      <c r="A283" s="244" t="s">
        <v>92</v>
      </c>
      <c r="B283" s="244"/>
      <c r="C283" s="245">
        <f>Marksheets_BT!L149</f>
        <v>0</v>
      </c>
      <c r="D283" s="244" t="s">
        <v>90</v>
      </c>
      <c r="E283" s="244"/>
      <c r="F283" s="246">
        <f>Marksheets_BT!H149</f>
        <v>0</v>
      </c>
      <c r="G283" s="244" t="s">
        <v>91</v>
      </c>
      <c r="H283" s="244"/>
      <c r="I283" s="246">
        <f>Marksheets_BT!J149</f>
        <v>0</v>
      </c>
      <c r="J283" s="246"/>
      <c r="K283" s="44"/>
    </row>
    <row r="284" spans="1:11" x14ac:dyDescent="0.15">
      <c r="A284" s="244"/>
      <c r="B284" s="244"/>
      <c r="C284" s="245"/>
      <c r="D284" s="244"/>
      <c r="E284" s="244"/>
      <c r="F284" s="246"/>
      <c r="G284" s="244"/>
      <c r="H284" s="244"/>
      <c r="I284" s="246"/>
      <c r="J284" s="246"/>
      <c r="K284" s="44"/>
    </row>
    <row r="285" spans="1:11" x14ac:dyDescent="0.15">
      <c r="A285" s="242" t="s">
        <v>88</v>
      </c>
      <c r="B285" s="226">
        <f>Marksheets_BT!B149</f>
        <v>0</v>
      </c>
      <c r="C285" s="226"/>
      <c r="D285" s="242" t="s">
        <v>89</v>
      </c>
      <c r="E285" s="242"/>
      <c r="F285" s="243">
        <f>Marksheets_BT!E149</f>
        <v>0</v>
      </c>
      <c r="G285" s="243"/>
      <c r="H285" s="243"/>
      <c r="I285" s="243"/>
      <c r="J285" s="243"/>
      <c r="K285" s="44"/>
    </row>
    <row r="286" spans="1:11" x14ac:dyDescent="0.15">
      <c r="A286" s="242"/>
      <c r="B286" s="226"/>
      <c r="C286" s="226"/>
      <c r="D286" s="242"/>
      <c r="E286" s="242"/>
      <c r="F286" s="243"/>
      <c r="G286" s="243"/>
      <c r="H286" s="243"/>
      <c r="I286" s="243"/>
      <c r="J286" s="243"/>
      <c r="K286" s="44"/>
    </row>
    <row r="287" spans="1:11" x14ac:dyDescent="0.15">
      <c r="A287" s="242"/>
      <c r="B287" s="226"/>
      <c r="C287" s="226"/>
      <c r="D287" s="242"/>
      <c r="E287" s="242"/>
      <c r="F287" s="243"/>
      <c r="G287" s="243"/>
      <c r="H287" s="243"/>
      <c r="I287" s="243"/>
      <c r="J287" s="243"/>
      <c r="K287" s="44"/>
    </row>
  </sheetData>
  <mergeCells count="581">
    <mergeCell ref="A285:A287"/>
    <mergeCell ref="B285:C287"/>
    <mergeCell ref="D285:E287"/>
    <mergeCell ref="F285:J287"/>
    <mergeCell ref="A283:B284"/>
    <mergeCell ref="C283:C284"/>
    <mergeCell ref="D283:E284"/>
    <mergeCell ref="F283:F284"/>
    <mergeCell ref="G283:H284"/>
    <mergeCell ref="I283:J284"/>
    <mergeCell ref="A278:B279"/>
    <mergeCell ref="C278:G279"/>
    <mergeCell ref="H278:H279"/>
    <mergeCell ref="I278:I279"/>
    <mergeCell ref="J278:J279"/>
    <mergeCell ref="A280:G281"/>
    <mergeCell ref="H280:H281"/>
    <mergeCell ref="I280:I281"/>
    <mergeCell ref="J280:J281"/>
    <mergeCell ref="A274:B275"/>
    <mergeCell ref="C274:G275"/>
    <mergeCell ref="H274:H275"/>
    <mergeCell ref="I274:I275"/>
    <mergeCell ref="J274:J275"/>
    <mergeCell ref="A276:B277"/>
    <mergeCell ref="C276:G277"/>
    <mergeCell ref="H276:H277"/>
    <mergeCell ref="I276:I277"/>
    <mergeCell ref="J276:J277"/>
    <mergeCell ref="A270:B271"/>
    <mergeCell ref="C270:G271"/>
    <mergeCell ref="H270:H271"/>
    <mergeCell ref="I270:I271"/>
    <mergeCell ref="J270:J271"/>
    <mergeCell ref="A272:B273"/>
    <mergeCell ref="C272:G273"/>
    <mergeCell ref="H272:H273"/>
    <mergeCell ref="I272:I273"/>
    <mergeCell ref="J272:J273"/>
    <mergeCell ref="A266:B267"/>
    <mergeCell ref="C266:G267"/>
    <mergeCell ref="H266:H267"/>
    <mergeCell ref="I266:I267"/>
    <mergeCell ref="J266:J267"/>
    <mergeCell ref="A268:B269"/>
    <mergeCell ref="C268:G269"/>
    <mergeCell ref="H268:H269"/>
    <mergeCell ref="I268:I269"/>
    <mergeCell ref="J268:J269"/>
    <mergeCell ref="A262:B263"/>
    <mergeCell ref="C262:G263"/>
    <mergeCell ref="H262:H263"/>
    <mergeCell ref="I262:I263"/>
    <mergeCell ref="J262:J263"/>
    <mergeCell ref="A264:B265"/>
    <mergeCell ref="C264:G265"/>
    <mergeCell ref="H264:H265"/>
    <mergeCell ref="I264:I265"/>
    <mergeCell ref="J264:J265"/>
    <mergeCell ref="A257:B258"/>
    <mergeCell ref="C257:E258"/>
    <mergeCell ref="F257:H258"/>
    <mergeCell ref="I257:J258"/>
    <mergeCell ref="A259:B261"/>
    <mergeCell ref="C259:G261"/>
    <mergeCell ref="H259:H261"/>
    <mergeCell ref="I259:I261"/>
    <mergeCell ref="J259:J261"/>
    <mergeCell ref="A251:A253"/>
    <mergeCell ref="B251:C253"/>
    <mergeCell ref="D251:E253"/>
    <mergeCell ref="F251:J253"/>
    <mergeCell ref="A255:B256"/>
    <mergeCell ref="C255:E256"/>
    <mergeCell ref="F255:H256"/>
    <mergeCell ref="I255:J256"/>
    <mergeCell ref="A249:B250"/>
    <mergeCell ref="C249:C250"/>
    <mergeCell ref="D249:E250"/>
    <mergeCell ref="F249:F250"/>
    <mergeCell ref="G249:H250"/>
    <mergeCell ref="I249:J250"/>
    <mergeCell ref="A244:B245"/>
    <mergeCell ref="C244:G245"/>
    <mergeCell ref="H244:H245"/>
    <mergeCell ref="I244:I245"/>
    <mergeCell ref="J244:J245"/>
    <mergeCell ref="A246:G247"/>
    <mergeCell ref="H246:H247"/>
    <mergeCell ref="I246:I247"/>
    <mergeCell ref="J246:J247"/>
    <mergeCell ref="A240:B241"/>
    <mergeCell ref="C240:G241"/>
    <mergeCell ref="H240:H241"/>
    <mergeCell ref="I240:I241"/>
    <mergeCell ref="J240:J241"/>
    <mergeCell ref="A242:B243"/>
    <mergeCell ref="C242:G243"/>
    <mergeCell ref="H242:H243"/>
    <mergeCell ref="I242:I243"/>
    <mergeCell ref="J242:J243"/>
    <mergeCell ref="A236:B237"/>
    <mergeCell ref="C236:G237"/>
    <mergeCell ref="H236:H237"/>
    <mergeCell ref="I236:I237"/>
    <mergeCell ref="J236:J237"/>
    <mergeCell ref="A238:B239"/>
    <mergeCell ref="C238:G239"/>
    <mergeCell ref="H238:H239"/>
    <mergeCell ref="I238:I239"/>
    <mergeCell ref="J238:J239"/>
    <mergeCell ref="A232:B233"/>
    <mergeCell ref="C232:G233"/>
    <mergeCell ref="H232:H233"/>
    <mergeCell ref="I232:I233"/>
    <mergeCell ref="J232:J233"/>
    <mergeCell ref="A234:B235"/>
    <mergeCell ref="C234:G235"/>
    <mergeCell ref="H234:H235"/>
    <mergeCell ref="I234:I235"/>
    <mergeCell ref="J234:J235"/>
    <mergeCell ref="A228:B229"/>
    <mergeCell ref="C228:G229"/>
    <mergeCell ref="H228:H229"/>
    <mergeCell ref="I228:I229"/>
    <mergeCell ref="J228:J229"/>
    <mergeCell ref="A230:B231"/>
    <mergeCell ref="C230:G231"/>
    <mergeCell ref="H230:H231"/>
    <mergeCell ref="I230:I231"/>
    <mergeCell ref="J230:J231"/>
    <mergeCell ref="A223:B224"/>
    <mergeCell ref="C223:E224"/>
    <mergeCell ref="F223:H224"/>
    <mergeCell ref="I223:J224"/>
    <mergeCell ref="A225:B227"/>
    <mergeCell ref="C225:G227"/>
    <mergeCell ref="H225:H227"/>
    <mergeCell ref="I225:I227"/>
    <mergeCell ref="J225:J227"/>
    <mergeCell ref="A217:A219"/>
    <mergeCell ref="B217:C219"/>
    <mergeCell ref="D217:E219"/>
    <mergeCell ref="F217:J219"/>
    <mergeCell ref="A221:B222"/>
    <mergeCell ref="C221:E222"/>
    <mergeCell ref="F221:H222"/>
    <mergeCell ref="I221:J222"/>
    <mergeCell ref="A215:B216"/>
    <mergeCell ref="C215:C216"/>
    <mergeCell ref="D215:E216"/>
    <mergeCell ref="F215:F216"/>
    <mergeCell ref="G215:H216"/>
    <mergeCell ref="I215:J216"/>
    <mergeCell ref="A210:B211"/>
    <mergeCell ref="C210:G211"/>
    <mergeCell ref="H210:H211"/>
    <mergeCell ref="I210:I211"/>
    <mergeCell ref="J210:J211"/>
    <mergeCell ref="A212:G213"/>
    <mergeCell ref="H212:H213"/>
    <mergeCell ref="I212:I213"/>
    <mergeCell ref="J212:J213"/>
    <mergeCell ref="A206:B207"/>
    <mergeCell ref="C206:G207"/>
    <mergeCell ref="H206:H207"/>
    <mergeCell ref="I206:I207"/>
    <mergeCell ref="J206:J207"/>
    <mergeCell ref="A208:B209"/>
    <mergeCell ref="C208:G209"/>
    <mergeCell ref="H208:H209"/>
    <mergeCell ref="I208:I209"/>
    <mergeCell ref="J208:J209"/>
    <mergeCell ref="A202:B203"/>
    <mergeCell ref="C202:G203"/>
    <mergeCell ref="H202:H203"/>
    <mergeCell ref="I202:I203"/>
    <mergeCell ref="J202:J203"/>
    <mergeCell ref="A204:B205"/>
    <mergeCell ref="C204:G205"/>
    <mergeCell ref="H204:H205"/>
    <mergeCell ref="I204:I205"/>
    <mergeCell ref="J204:J205"/>
    <mergeCell ref="A198:B199"/>
    <mergeCell ref="C198:G199"/>
    <mergeCell ref="H198:H199"/>
    <mergeCell ref="I198:I199"/>
    <mergeCell ref="J198:J199"/>
    <mergeCell ref="A200:B201"/>
    <mergeCell ref="C200:G201"/>
    <mergeCell ref="H200:H201"/>
    <mergeCell ref="I200:I201"/>
    <mergeCell ref="J200:J201"/>
    <mergeCell ref="A194:B195"/>
    <mergeCell ref="C194:G195"/>
    <mergeCell ref="H194:H195"/>
    <mergeCell ref="I194:I195"/>
    <mergeCell ref="J194:J195"/>
    <mergeCell ref="A196:B197"/>
    <mergeCell ref="C196:G197"/>
    <mergeCell ref="H196:H197"/>
    <mergeCell ref="I196:I197"/>
    <mergeCell ref="J196:J197"/>
    <mergeCell ref="A189:B190"/>
    <mergeCell ref="C189:E190"/>
    <mergeCell ref="F189:H190"/>
    <mergeCell ref="I189:J190"/>
    <mergeCell ref="A191:B193"/>
    <mergeCell ref="C191:G193"/>
    <mergeCell ref="H191:H193"/>
    <mergeCell ref="I191:I193"/>
    <mergeCell ref="J191:J193"/>
    <mergeCell ref="A182:A184"/>
    <mergeCell ref="B182:C184"/>
    <mergeCell ref="D182:E184"/>
    <mergeCell ref="F182:J184"/>
    <mergeCell ref="A187:B188"/>
    <mergeCell ref="C187:E188"/>
    <mergeCell ref="F187:H188"/>
    <mergeCell ref="I187:J188"/>
    <mergeCell ref="A180:B181"/>
    <mergeCell ref="C180:C181"/>
    <mergeCell ref="D180:E181"/>
    <mergeCell ref="F180:F181"/>
    <mergeCell ref="G180:H181"/>
    <mergeCell ref="I180:J181"/>
    <mergeCell ref="A175:B176"/>
    <mergeCell ref="C175:G176"/>
    <mergeCell ref="H175:H176"/>
    <mergeCell ref="I175:I176"/>
    <mergeCell ref="J175:J176"/>
    <mergeCell ref="A177:G178"/>
    <mergeCell ref="H177:H178"/>
    <mergeCell ref="I177:I178"/>
    <mergeCell ref="J177:J178"/>
    <mergeCell ref="A171:B172"/>
    <mergeCell ref="C171:G172"/>
    <mergeCell ref="H171:H172"/>
    <mergeCell ref="I171:I172"/>
    <mergeCell ref="J171:J172"/>
    <mergeCell ref="A173:B174"/>
    <mergeCell ref="C173:G174"/>
    <mergeCell ref="H173:H174"/>
    <mergeCell ref="I173:I174"/>
    <mergeCell ref="J173:J174"/>
    <mergeCell ref="A167:B168"/>
    <mergeCell ref="C167:G168"/>
    <mergeCell ref="H167:H168"/>
    <mergeCell ref="I167:I168"/>
    <mergeCell ref="J167:J168"/>
    <mergeCell ref="A169:B170"/>
    <mergeCell ref="C169:G170"/>
    <mergeCell ref="H169:H170"/>
    <mergeCell ref="I169:I170"/>
    <mergeCell ref="J169:J170"/>
    <mergeCell ref="A163:B164"/>
    <mergeCell ref="C163:G164"/>
    <mergeCell ref="H163:H164"/>
    <mergeCell ref="I163:I164"/>
    <mergeCell ref="J163:J164"/>
    <mergeCell ref="A165:B166"/>
    <mergeCell ref="C165:G166"/>
    <mergeCell ref="H165:H166"/>
    <mergeCell ref="I165:I166"/>
    <mergeCell ref="J165:J166"/>
    <mergeCell ref="A159:B160"/>
    <mergeCell ref="C159:G160"/>
    <mergeCell ref="H159:H160"/>
    <mergeCell ref="I159:I160"/>
    <mergeCell ref="J159:J160"/>
    <mergeCell ref="A161:B162"/>
    <mergeCell ref="C161:G162"/>
    <mergeCell ref="H161:H162"/>
    <mergeCell ref="I161:I162"/>
    <mergeCell ref="J161:J162"/>
    <mergeCell ref="A154:B155"/>
    <mergeCell ref="C154:E155"/>
    <mergeCell ref="F154:H155"/>
    <mergeCell ref="I154:J155"/>
    <mergeCell ref="A156:B158"/>
    <mergeCell ref="C156:G158"/>
    <mergeCell ref="H156:H158"/>
    <mergeCell ref="I156:I158"/>
    <mergeCell ref="J156:J158"/>
    <mergeCell ref="A147:A149"/>
    <mergeCell ref="B147:C149"/>
    <mergeCell ref="D147:E149"/>
    <mergeCell ref="F147:J149"/>
    <mergeCell ref="A152:B153"/>
    <mergeCell ref="C152:E153"/>
    <mergeCell ref="F152:H153"/>
    <mergeCell ref="I152:J153"/>
    <mergeCell ref="A145:B146"/>
    <mergeCell ref="C145:C146"/>
    <mergeCell ref="D145:E146"/>
    <mergeCell ref="F145:F146"/>
    <mergeCell ref="G145:H146"/>
    <mergeCell ref="I145:J146"/>
    <mergeCell ref="A140:B141"/>
    <mergeCell ref="C140:G141"/>
    <mergeCell ref="H140:H141"/>
    <mergeCell ref="I140:I141"/>
    <mergeCell ref="J140:J141"/>
    <mergeCell ref="A142:G143"/>
    <mergeCell ref="H142:H143"/>
    <mergeCell ref="I142:I143"/>
    <mergeCell ref="J142:J143"/>
    <mergeCell ref="A136:B137"/>
    <mergeCell ref="C136:G137"/>
    <mergeCell ref="H136:H137"/>
    <mergeCell ref="I136:I137"/>
    <mergeCell ref="J136:J137"/>
    <mergeCell ref="A138:B139"/>
    <mergeCell ref="C138:G139"/>
    <mergeCell ref="H138:H139"/>
    <mergeCell ref="I138:I139"/>
    <mergeCell ref="J138:J139"/>
    <mergeCell ref="A132:B133"/>
    <mergeCell ref="C132:G133"/>
    <mergeCell ref="H132:H133"/>
    <mergeCell ref="I132:I133"/>
    <mergeCell ref="J132:J133"/>
    <mergeCell ref="A134:B135"/>
    <mergeCell ref="C134:G135"/>
    <mergeCell ref="H134:H135"/>
    <mergeCell ref="I134:I135"/>
    <mergeCell ref="J134:J135"/>
    <mergeCell ref="A128:B129"/>
    <mergeCell ref="C128:G129"/>
    <mergeCell ref="H128:H129"/>
    <mergeCell ref="I128:I129"/>
    <mergeCell ref="J128:J129"/>
    <mergeCell ref="A130:B131"/>
    <mergeCell ref="C130:G131"/>
    <mergeCell ref="H130:H131"/>
    <mergeCell ref="I130:I131"/>
    <mergeCell ref="J130:J131"/>
    <mergeCell ref="A124:B125"/>
    <mergeCell ref="C124:G125"/>
    <mergeCell ref="H124:H125"/>
    <mergeCell ref="I124:I125"/>
    <mergeCell ref="J124:J125"/>
    <mergeCell ref="A126:B127"/>
    <mergeCell ref="C126:G127"/>
    <mergeCell ref="H126:H127"/>
    <mergeCell ref="I126:I127"/>
    <mergeCell ref="J126:J127"/>
    <mergeCell ref="A119:B120"/>
    <mergeCell ref="C119:E120"/>
    <mergeCell ref="F119:H120"/>
    <mergeCell ref="I119:J120"/>
    <mergeCell ref="A121:B123"/>
    <mergeCell ref="C121:G123"/>
    <mergeCell ref="H121:H123"/>
    <mergeCell ref="I121:I123"/>
    <mergeCell ref="J121:J123"/>
    <mergeCell ref="A112:A114"/>
    <mergeCell ref="B112:C114"/>
    <mergeCell ref="D112:E114"/>
    <mergeCell ref="F112:J114"/>
    <mergeCell ref="A117:B118"/>
    <mergeCell ref="C117:E118"/>
    <mergeCell ref="F117:H118"/>
    <mergeCell ref="I117:J118"/>
    <mergeCell ref="A110:B111"/>
    <mergeCell ref="C110:C111"/>
    <mergeCell ref="D110:E111"/>
    <mergeCell ref="F110:F111"/>
    <mergeCell ref="G110:H111"/>
    <mergeCell ref="I110:J111"/>
    <mergeCell ref="A105:B106"/>
    <mergeCell ref="C105:G106"/>
    <mergeCell ref="H105:H106"/>
    <mergeCell ref="I105:I106"/>
    <mergeCell ref="J105:J106"/>
    <mergeCell ref="A107:G108"/>
    <mergeCell ref="H107:H108"/>
    <mergeCell ref="I107:I108"/>
    <mergeCell ref="J107:J108"/>
    <mergeCell ref="A101:B102"/>
    <mergeCell ref="C101:G102"/>
    <mergeCell ref="H101:H102"/>
    <mergeCell ref="I101:I102"/>
    <mergeCell ref="J101:J102"/>
    <mergeCell ref="A103:B104"/>
    <mergeCell ref="C103:G104"/>
    <mergeCell ref="H103:H104"/>
    <mergeCell ref="I103:I104"/>
    <mergeCell ref="J103:J104"/>
    <mergeCell ref="A97:B98"/>
    <mergeCell ref="C97:G98"/>
    <mergeCell ref="H97:H98"/>
    <mergeCell ref="I97:I98"/>
    <mergeCell ref="J97:J98"/>
    <mergeCell ref="A99:B100"/>
    <mergeCell ref="C99:G100"/>
    <mergeCell ref="H99:H100"/>
    <mergeCell ref="I99:I100"/>
    <mergeCell ref="J99:J100"/>
    <mergeCell ref="A93:B94"/>
    <mergeCell ref="C93:G94"/>
    <mergeCell ref="H93:H94"/>
    <mergeCell ref="I93:I94"/>
    <mergeCell ref="J93:J94"/>
    <mergeCell ref="A95:B96"/>
    <mergeCell ref="C95:G96"/>
    <mergeCell ref="H95:H96"/>
    <mergeCell ref="I95:I96"/>
    <mergeCell ref="J95:J96"/>
    <mergeCell ref="A89:B90"/>
    <mergeCell ref="C89:G90"/>
    <mergeCell ref="H89:H90"/>
    <mergeCell ref="I89:I90"/>
    <mergeCell ref="J89:J90"/>
    <mergeCell ref="A91:B92"/>
    <mergeCell ref="C91:G92"/>
    <mergeCell ref="H91:H92"/>
    <mergeCell ref="I91:I92"/>
    <mergeCell ref="J91:J92"/>
    <mergeCell ref="A84:B85"/>
    <mergeCell ref="C84:E85"/>
    <mergeCell ref="F84:H85"/>
    <mergeCell ref="I84:J85"/>
    <mergeCell ref="A86:B88"/>
    <mergeCell ref="C86:G88"/>
    <mergeCell ref="H86:H88"/>
    <mergeCell ref="I86:I88"/>
    <mergeCell ref="J86:J88"/>
    <mergeCell ref="A77:A79"/>
    <mergeCell ref="B77:C79"/>
    <mergeCell ref="D77:E79"/>
    <mergeCell ref="F77:J79"/>
    <mergeCell ref="A82:B83"/>
    <mergeCell ref="C82:E83"/>
    <mergeCell ref="F82:H83"/>
    <mergeCell ref="I82:J83"/>
    <mergeCell ref="A75:B76"/>
    <mergeCell ref="C75:C76"/>
    <mergeCell ref="D75:E76"/>
    <mergeCell ref="F75:F76"/>
    <mergeCell ref="G75:H76"/>
    <mergeCell ref="I75:J76"/>
    <mergeCell ref="A70:B71"/>
    <mergeCell ref="C70:G71"/>
    <mergeCell ref="H70:H71"/>
    <mergeCell ref="I70:I71"/>
    <mergeCell ref="J70:J71"/>
    <mergeCell ref="A72:G73"/>
    <mergeCell ref="H72:H73"/>
    <mergeCell ref="I72:I73"/>
    <mergeCell ref="J72:J73"/>
    <mergeCell ref="A66:B67"/>
    <mergeCell ref="C66:G67"/>
    <mergeCell ref="H66:H67"/>
    <mergeCell ref="I66:I67"/>
    <mergeCell ref="J66:J67"/>
    <mergeCell ref="A68:B69"/>
    <mergeCell ref="C68:G69"/>
    <mergeCell ref="H68:H69"/>
    <mergeCell ref="I68:I69"/>
    <mergeCell ref="J68:J69"/>
    <mergeCell ref="A62:B63"/>
    <mergeCell ref="C62:G63"/>
    <mergeCell ref="H62:H63"/>
    <mergeCell ref="I62:I63"/>
    <mergeCell ref="J62:J63"/>
    <mergeCell ref="A64:B65"/>
    <mergeCell ref="C64:G65"/>
    <mergeCell ref="H64:H65"/>
    <mergeCell ref="I64:I65"/>
    <mergeCell ref="J64:J65"/>
    <mergeCell ref="A58:B59"/>
    <mergeCell ref="C58:G59"/>
    <mergeCell ref="H58:H59"/>
    <mergeCell ref="I58:I59"/>
    <mergeCell ref="J58:J59"/>
    <mergeCell ref="A60:B61"/>
    <mergeCell ref="C60:G61"/>
    <mergeCell ref="H60:H61"/>
    <mergeCell ref="I60:I61"/>
    <mergeCell ref="J60:J61"/>
    <mergeCell ref="A54:B55"/>
    <mergeCell ref="C54:G55"/>
    <mergeCell ref="H54:H55"/>
    <mergeCell ref="I54:I55"/>
    <mergeCell ref="J54:J55"/>
    <mergeCell ref="A56:B57"/>
    <mergeCell ref="C56:G57"/>
    <mergeCell ref="H56:H57"/>
    <mergeCell ref="I56:I57"/>
    <mergeCell ref="J56:J57"/>
    <mergeCell ref="A49:B50"/>
    <mergeCell ref="C49:E50"/>
    <mergeCell ref="F49:H50"/>
    <mergeCell ref="I49:J50"/>
    <mergeCell ref="A51:B53"/>
    <mergeCell ref="C51:G53"/>
    <mergeCell ref="H51:H53"/>
    <mergeCell ref="I51:I53"/>
    <mergeCell ref="J51:J53"/>
    <mergeCell ref="A42:A44"/>
    <mergeCell ref="B42:C44"/>
    <mergeCell ref="D42:E44"/>
    <mergeCell ref="F42:J44"/>
    <mergeCell ref="A47:B48"/>
    <mergeCell ref="C47:E48"/>
    <mergeCell ref="F47:H48"/>
    <mergeCell ref="I47:J48"/>
    <mergeCell ref="A40:B41"/>
    <mergeCell ref="C40:C41"/>
    <mergeCell ref="D40:E41"/>
    <mergeCell ref="F40:F41"/>
    <mergeCell ref="G40:H41"/>
    <mergeCell ref="I40:J41"/>
    <mergeCell ref="A35:B36"/>
    <mergeCell ref="C35:G36"/>
    <mergeCell ref="H35:H36"/>
    <mergeCell ref="I35:I36"/>
    <mergeCell ref="J35:J36"/>
    <mergeCell ref="A37:G38"/>
    <mergeCell ref="H37:H38"/>
    <mergeCell ref="I37:I38"/>
    <mergeCell ref="J37:J38"/>
    <mergeCell ref="A31:B32"/>
    <mergeCell ref="C31:G32"/>
    <mergeCell ref="H31:H32"/>
    <mergeCell ref="I31:I32"/>
    <mergeCell ref="J31:J32"/>
    <mergeCell ref="A33:B34"/>
    <mergeCell ref="C33:G34"/>
    <mergeCell ref="H33:H34"/>
    <mergeCell ref="I33:I34"/>
    <mergeCell ref="J33:J34"/>
    <mergeCell ref="A27:B28"/>
    <mergeCell ref="C27:G28"/>
    <mergeCell ref="H27:H28"/>
    <mergeCell ref="I27:I28"/>
    <mergeCell ref="J27:J28"/>
    <mergeCell ref="A29:B30"/>
    <mergeCell ref="C29:G30"/>
    <mergeCell ref="H29:H30"/>
    <mergeCell ref="I29:I30"/>
    <mergeCell ref="J29:J30"/>
    <mergeCell ref="A23:B24"/>
    <mergeCell ref="C23:G24"/>
    <mergeCell ref="H23:H24"/>
    <mergeCell ref="I23:I24"/>
    <mergeCell ref="J23:J24"/>
    <mergeCell ref="A25:B26"/>
    <mergeCell ref="C25:G26"/>
    <mergeCell ref="H25:H26"/>
    <mergeCell ref="I25:I26"/>
    <mergeCell ref="J25:J26"/>
    <mergeCell ref="A19:B20"/>
    <mergeCell ref="C19:G20"/>
    <mergeCell ref="H19:H20"/>
    <mergeCell ref="I19:I20"/>
    <mergeCell ref="J19:J20"/>
    <mergeCell ref="A21:B22"/>
    <mergeCell ref="C21:G22"/>
    <mergeCell ref="H21:H22"/>
    <mergeCell ref="I21:I22"/>
    <mergeCell ref="J21:J22"/>
    <mergeCell ref="A14:B15"/>
    <mergeCell ref="C14:E15"/>
    <mergeCell ref="F14:H15"/>
    <mergeCell ref="I14:J15"/>
    <mergeCell ref="A16:B18"/>
    <mergeCell ref="C16:G18"/>
    <mergeCell ref="H16:H18"/>
    <mergeCell ref="I16:I18"/>
    <mergeCell ref="J16:J18"/>
    <mergeCell ref="A1:J1"/>
    <mergeCell ref="A2:J3"/>
    <mergeCell ref="A4:J4"/>
    <mergeCell ref="B5:I6"/>
    <mergeCell ref="B7:I10"/>
    <mergeCell ref="A12:B13"/>
    <mergeCell ref="C12:E13"/>
    <mergeCell ref="F12:H13"/>
    <mergeCell ref="I12:J13"/>
  </mergeCells>
  <conditionalFormatting sqref="I1:I44">
    <cfRule type="containsText" dxfId="45" priority="37" operator="containsText" text="Dt">
      <formula>NOT(ISERROR(SEARCH("Dt",I1)))</formula>
    </cfRule>
    <cfRule type="containsText" dxfId="44" priority="38" operator="containsText" text="Ab">
      <formula>NOT(ISERROR(SEARCH("Ab",I1)))</formula>
    </cfRule>
    <cfRule type="containsText" dxfId="43" priority="39" operator="containsText" text="F">
      <formula>NOT(ISERROR(SEARCH("F",I1)))</formula>
    </cfRule>
  </conditionalFormatting>
  <conditionalFormatting sqref="I46:I79">
    <cfRule type="containsText" dxfId="42" priority="19" operator="containsText" text="Dt">
      <formula>NOT(ISERROR(SEARCH("Dt",I46)))</formula>
    </cfRule>
    <cfRule type="containsText" dxfId="41" priority="20" operator="containsText" text="Ab">
      <formula>NOT(ISERROR(SEARCH("Ab",I46)))</formula>
    </cfRule>
    <cfRule type="containsText" dxfId="40" priority="21" operator="containsText" text="F">
      <formula>NOT(ISERROR(SEARCH("F",I46)))</formula>
    </cfRule>
  </conditionalFormatting>
  <conditionalFormatting sqref="I81:I114">
    <cfRule type="containsText" dxfId="39" priority="16" operator="containsText" text="Dt">
      <formula>NOT(ISERROR(SEARCH("Dt",I81)))</formula>
    </cfRule>
    <cfRule type="containsText" dxfId="38" priority="17" operator="containsText" text="Ab">
      <formula>NOT(ISERROR(SEARCH("Ab",I81)))</formula>
    </cfRule>
    <cfRule type="containsText" dxfId="37" priority="18" operator="containsText" text="F">
      <formula>NOT(ISERROR(SEARCH("F",I81)))</formula>
    </cfRule>
  </conditionalFormatting>
  <conditionalFormatting sqref="I116:I149">
    <cfRule type="containsText" dxfId="36" priority="13" operator="containsText" text="Dt">
      <formula>NOT(ISERROR(SEARCH("Dt",I116)))</formula>
    </cfRule>
    <cfRule type="containsText" dxfId="35" priority="14" operator="containsText" text="Ab">
      <formula>NOT(ISERROR(SEARCH("Ab",I116)))</formula>
    </cfRule>
    <cfRule type="containsText" dxfId="34" priority="15" operator="containsText" text="F">
      <formula>NOT(ISERROR(SEARCH("F",I116)))</formula>
    </cfRule>
  </conditionalFormatting>
  <conditionalFormatting sqref="I151:I184">
    <cfRule type="containsText" dxfId="33" priority="10" operator="containsText" text="Dt">
      <formula>NOT(ISERROR(SEARCH("Dt",I151)))</formula>
    </cfRule>
    <cfRule type="containsText" dxfId="32" priority="11" operator="containsText" text="Ab">
      <formula>NOT(ISERROR(SEARCH("Ab",I151)))</formula>
    </cfRule>
    <cfRule type="containsText" dxfId="31" priority="12" operator="containsText" text="F">
      <formula>NOT(ISERROR(SEARCH("F",I151)))</formula>
    </cfRule>
  </conditionalFormatting>
  <conditionalFormatting sqref="I186:I287">
    <cfRule type="containsText" dxfId="30" priority="1" operator="containsText" text="Dt">
      <formula>NOT(ISERROR(SEARCH("Dt",I186)))</formula>
    </cfRule>
    <cfRule type="containsText" dxfId="29" priority="2" operator="containsText" text="Ab">
      <formula>NOT(ISERROR(SEARCH("Ab",I186)))</formula>
    </cfRule>
    <cfRule type="containsText" dxfId="28" priority="3" operator="containsText" text="F">
      <formula>NOT(ISERROR(SEARCH("F",I186)))</formula>
    </cfRule>
  </conditionalFormatting>
  <printOptions horizontalCentered="1"/>
  <pageMargins left="0.511811023622047" right="0.511811023622047" top="1.0374015750000001" bottom="1.69347222222222" header="0.25" footer="0.98425196850393704"/>
  <pageSetup paperSize="9" scale="89" orientation="portrait" r:id="rId1"/>
  <headerFooter>
    <oddHeader>&amp;C&amp;G&amp;R&amp;"Times New Roman,Bold"&amp;12&amp;U&amp;K000000Sl. No.: M. Tech/BT/2025-27/10&amp;P</oddHeader>
    <oddFooter xml:space="preserve">&amp;L&amp;"Times New Roman,Bold"&amp;12Prepared by                         Checked by
03.02.2026&amp;C&amp;"Times New Roman,Bold"&amp;12                                               Examination Controller
&amp;R&amp;"Times New Roman,Bold"&amp;12Director
</oddFooter>
  </headerFooter>
  <rowBreaks count="7" manualBreakCount="7">
    <brk id="45" max="16383" man="1"/>
    <brk id="80" max="16383" man="1"/>
    <brk id="115" max="16383" man="1"/>
    <brk id="150" max="16383" man="1"/>
    <brk id="185" max="16383" man="1"/>
    <brk id="220" max="16383" man="1"/>
    <brk id="253" max="16383" man="1"/>
  </rowBreaks>
  <colBreaks count="1" manualBreakCount="1">
    <brk id="10" max="1048575" man="1"/>
  </col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5"/>
  <sheetViews>
    <sheetView tabSelected="1" view="pageBreakPreview" zoomScale="65" zoomScaleNormal="100" zoomScaleSheetLayoutView="65" workbookViewId="0">
      <selection activeCell="E9" sqref="E9:F10"/>
    </sheetView>
  </sheetViews>
  <sheetFormatPr baseColWidth="10" defaultColWidth="8.83203125" defaultRowHeight="12.75" customHeight="1" x14ac:dyDescent="0.15"/>
  <cols>
    <col min="5" max="5" width="18.33203125" customWidth="1"/>
  </cols>
  <sheetData>
    <row r="1" spans="1:23" ht="26" x14ac:dyDescent="0.15">
      <c r="A1" s="201" t="s">
        <v>132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V1" s="35" t="s">
        <v>34</v>
      </c>
      <c r="W1" s="36" t="s">
        <v>35</v>
      </c>
    </row>
    <row r="2" spans="1:23" ht="13" x14ac:dyDescent="0.15">
      <c r="A2" s="202" t="s">
        <v>74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V2" s="37" t="s">
        <v>36</v>
      </c>
      <c r="W2" s="37">
        <v>10</v>
      </c>
    </row>
    <row r="3" spans="1:23" ht="13" x14ac:dyDescent="0.15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V3" s="37" t="s">
        <v>37</v>
      </c>
      <c r="W3" s="37">
        <v>9</v>
      </c>
    </row>
    <row r="4" spans="1:23" ht="13" x14ac:dyDescent="0.15">
      <c r="A4" s="202" t="s">
        <v>75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V4" s="37" t="s">
        <v>38</v>
      </c>
      <c r="W4" s="37">
        <v>8</v>
      </c>
    </row>
    <row r="5" spans="1:23" ht="13" x14ac:dyDescent="0.15">
      <c r="A5" s="203" t="str">
        <f>_xlfn.TEXTJOIN("",TRUE,"Tabulation Chart for Master of Technology", IF($F$8="CSE_I"," (Computer Science and Engineering)",IF($F$8="PS_I"," (Power Systems)",IF($F$8="BT_I"," (Biotechnology)",IF($F$8="PE_I"," (Production  Engineering)",IF($F$8="GT_I"," (Geotechnology)",))))),CHAR(10),"I Semester December 2025")</f>
        <v>Tabulation Chart for Master of Technology (Geotechnology)
I Semester December 2025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V5" s="37" t="s">
        <v>39</v>
      </c>
      <c r="W5" s="37">
        <v>7</v>
      </c>
    </row>
    <row r="6" spans="1:23" ht="12.75" customHeight="1" x14ac:dyDescent="0.15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V6" s="37" t="s">
        <v>40</v>
      </c>
      <c r="W6" s="37">
        <v>6</v>
      </c>
    </row>
    <row r="7" spans="1:23" ht="22" customHeight="1" x14ac:dyDescent="0.15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V7" s="37" t="s">
        <v>41</v>
      </c>
      <c r="W7" s="37">
        <v>5</v>
      </c>
    </row>
    <row r="8" spans="1:23" ht="12.75" customHeight="1" x14ac:dyDescent="0.15">
      <c r="A8" s="38" t="s">
        <v>73</v>
      </c>
      <c r="B8" s="38">
        <v>1</v>
      </c>
      <c r="C8" s="38" t="s">
        <v>71</v>
      </c>
      <c r="D8" s="38" t="s">
        <v>72</v>
      </c>
      <c r="E8" s="38" t="s">
        <v>40</v>
      </c>
      <c r="F8" s="38" t="s">
        <v>129</v>
      </c>
      <c r="G8" s="39"/>
      <c r="H8" s="39"/>
      <c r="I8" s="39"/>
      <c r="J8" s="39"/>
      <c r="K8" s="39"/>
      <c r="L8" s="39"/>
      <c r="M8" s="39"/>
      <c r="N8" s="39"/>
      <c r="V8" s="37" t="s">
        <v>42</v>
      </c>
      <c r="W8" s="37">
        <v>0</v>
      </c>
    </row>
    <row r="9" spans="1:23" ht="12.75" customHeight="1" x14ac:dyDescent="0.15">
      <c r="A9" s="204" t="s">
        <v>76</v>
      </c>
      <c r="B9" s="204" t="str">
        <f ca="1">VLOOKUP(B8,INDIRECT($F$8),5,0)</f>
        <v>Jatin Dhapola</v>
      </c>
      <c r="C9" s="204"/>
      <c r="D9" s="204" t="s">
        <v>77</v>
      </c>
      <c r="E9" s="204" t="str">
        <f ca="1">VLOOKUP(B8,INDIRECT($F$8),6,0)</f>
        <v>Vijay Kumar Dhapola</v>
      </c>
      <c r="F9" s="204"/>
      <c r="G9" s="204" t="s">
        <v>78</v>
      </c>
      <c r="H9" s="204"/>
      <c r="I9" s="205">
        <f ca="1">VLOOKUP(B8,INDIRECT($F$8),2,0)</f>
        <v>250090725001</v>
      </c>
      <c r="J9" s="205"/>
      <c r="K9" s="204" t="s">
        <v>79</v>
      </c>
      <c r="L9" s="204"/>
      <c r="M9" s="205" t="str">
        <f ca="1">IF(VLOOKUP(B8,INDIRECT($F$8),3,0)=0,"",VLOOKUP(B8,INDIRECT($F$8),3,0))</f>
        <v>PUTU/2507100063</v>
      </c>
      <c r="N9" s="205"/>
      <c r="V9" s="37" t="s">
        <v>43</v>
      </c>
      <c r="W9" s="37">
        <v>0</v>
      </c>
    </row>
    <row r="10" spans="1:23" ht="12.75" customHeight="1" x14ac:dyDescent="0.15">
      <c r="A10" s="204"/>
      <c r="B10" s="204"/>
      <c r="C10" s="204"/>
      <c r="D10" s="204"/>
      <c r="E10" s="204"/>
      <c r="F10" s="204"/>
      <c r="G10" s="204"/>
      <c r="H10" s="204"/>
      <c r="I10" s="205"/>
      <c r="J10" s="205"/>
      <c r="K10" s="204"/>
      <c r="L10" s="204"/>
      <c r="M10" s="205"/>
      <c r="N10" s="205"/>
      <c r="V10" s="37" t="s">
        <v>44</v>
      </c>
      <c r="W10" s="37">
        <v>0</v>
      </c>
    </row>
    <row r="11" spans="1:23" ht="12.75" customHeight="1" x14ac:dyDescent="0.15">
      <c r="A11" s="206" t="s">
        <v>80</v>
      </c>
      <c r="B11" s="206" t="s">
        <v>81</v>
      </c>
      <c r="C11" s="206"/>
      <c r="D11" s="206"/>
      <c r="E11" s="206"/>
      <c r="F11" s="206" t="s">
        <v>33</v>
      </c>
      <c r="G11" s="206" t="s">
        <v>82</v>
      </c>
      <c r="H11" s="206"/>
      <c r="I11" s="206" t="s">
        <v>83</v>
      </c>
      <c r="J11" s="206"/>
      <c r="K11" s="206" t="s">
        <v>84</v>
      </c>
      <c r="L11" s="206"/>
      <c r="M11" s="206" t="s">
        <v>34</v>
      </c>
      <c r="N11" s="206" t="s">
        <v>85</v>
      </c>
      <c r="V11" s="37" t="s">
        <v>45</v>
      </c>
      <c r="W11" s="37">
        <v>0</v>
      </c>
    </row>
    <row r="12" spans="1:23" ht="12.75" customHeight="1" x14ac:dyDescent="0.15">
      <c r="A12" s="206"/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V12" s="37" t="str">
        <f>""</f>
        <v/>
      </c>
      <c r="W12" s="37" t="str">
        <f>""</f>
        <v/>
      </c>
    </row>
    <row r="13" spans="1:23" ht="12.75" customHeight="1" x14ac:dyDescent="0.15">
      <c r="A13" s="40" t="str">
        <f ca="1">VLOOKUP(C8,INDIRECT($F$8),7+(O13-1)*4,0)</f>
        <v>AHT 301</v>
      </c>
      <c r="B13" s="207" t="str">
        <f ca="1">VLOOKUP(D8,INDIRECT($F$8),7+(O13-1)*4,0)</f>
        <v>Advanced Mathematics</v>
      </c>
      <c r="C13" s="207"/>
      <c r="D13" s="207"/>
      <c r="E13" s="207"/>
      <c r="F13" s="40">
        <f ca="1">VLOOKUP(E8,INDIRECT($F$8),7+(O13-1)*4,0)</f>
        <v>4</v>
      </c>
      <c r="G13" s="208" t="str">
        <f ca="1">_xlfn.TEXTJOIN("/",FALSE,VLOOKUP(B8,INDIRECT($F$8),7+(O13-1)*4),VLOOKUP(A8,INDIRECT($F$8),7+(O13-1)*4))</f>
        <v>60/100</v>
      </c>
      <c r="H13" s="208"/>
      <c r="I13" s="208" t="str">
        <f ca="1">_xlfn.TEXTJOIN("/",FALSE,VLOOKUP(B8,INDIRECT($F$8),8+(O13-1)*4,0),VLOOKUP(A8,INDIRECT($F$8),8+(O13-1)*4,0))</f>
        <v>44/50</v>
      </c>
      <c r="J13" s="208"/>
      <c r="K13" s="208" t="str">
        <f ca="1">_xlfn.TEXTJOIN("/",FALSE,VLOOKUP(B8,INDIRECT($F$8),9+(O13-1)*4),VLOOKUP(A8,INDIRECT($F$8),9+(O13-1)*4))</f>
        <v>104/150</v>
      </c>
      <c r="L13" s="208"/>
      <c r="M13" s="40" t="str">
        <f ca="1">VLOOKUP(B8,INDIRECT($F$8),10+(O13-1)*4,0)</f>
        <v>C</v>
      </c>
      <c r="N13" s="41">
        <f t="shared" ref="N13:N21" ca="1" si="0">INDEX($W$2:$W$12,MATCH(M13,$V$2:$V$12,0))</f>
        <v>6</v>
      </c>
      <c r="O13">
        <v>1</v>
      </c>
      <c r="P13" s="42">
        <f ca="1">IFERROR(VALUE(IFERROR(LEFT(G13,SEARCH("/",G13)-1),0)),"")</f>
        <v>60</v>
      </c>
      <c r="Q13" s="42">
        <f ca="1">IFERROR(VALUE(IFERROR(LEFT(I13,SEARCH("/",I13)-1),0)),"")</f>
        <v>44</v>
      </c>
      <c r="R13" s="42">
        <f ca="1">IFERROR(VALUE(IFERROR(LEFT(K13,SEARCH("/",K13)-1),0)),"")</f>
        <v>104</v>
      </c>
      <c r="S13" s="42">
        <f ca="1">VALUE(IFERROR(RIGHT(G13,LEN(G13)-SEARCH("/",G13)),0))</f>
        <v>100</v>
      </c>
      <c r="T13" s="42">
        <f ca="1">VALUE(IFERROR(RIGHT(I13,LEN(I13)-SEARCH("/",I13)),0))</f>
        <v>50</v>
      </c>
      <c r="U13" s="42">
        <f ca="1">VALUE(IFERROR(RIGHT(K13,LEN(K13)-SEARCH("/",K13)),0))</f>
        <v>150</v>
      </c>
    </row>
    <row r="14" spans="1:23" ht="12.75" customHeight="1" x14ac:dyDescent="0.15">
      <c r="A14" s="40" t="str">
        <f ca="1">VLOOKUP(C8,INDIRECT($F$8),7+(O14-1)*4,0)</f>
        <v>CET 601</v>
      </c>
      <c r="B14" s="207" t="str">
        <f ca="1">VLOOKUP(D8,INDIRECT($F$8),7+(O14-1)*4,0)</f>
        <v>Advanced Soil Mechanics</v>
      </c>
      <c r="C14" s="207"/>
      <c r="D14" s="207"/>
      <c r="E14" s="207"/>
      <c r="F14" s="40">
        <f ca="1">VLOOKUP(E8,INDIRECT($F$8),7+(O14-1)*4,0)</f>
        <v>4</v>
      </c>
      <c r="G14" s="208" t="str">
        <f ca="1">_xlfn.TEXTJOIN("/",FALSE,VLOOKUP(B8,INDIRECT($F$8),7+(O14-1)*4),VLOOKUP(A8,INDIRECT($F$8),7+(O14-1)*4))</f>
        <v>72/100</v>
      </c>
      <c r="H14" s="208"/>
      <c r="I14" s="208" t="str">
        <f ca="1">_xlfn.TEXTJOIN("/",FALSE,VLOOKUP(B8,INDIRECT($F$8),8+(O14-1)*4),VLOOKUP(A8,INDIRECT($F$8),8+(O14-1)*4))</f>
        <v>42/50</v>
      </c>
      <c r="J14" s="208"/>
      <c r="K14" s="208" t="str">
        <f ca="1">_xlfn.TEXTJOIN("/",FALSE,VLOOKUP(B8,INDIRECT($F$8),9+(O14-1)*4),VLOOKUP(A8,INDIRECT($F$8),9+(O14-1)*4))</f>
        <v>114/150</v>
      </c>
      <c r="L14" s="208"/>
      <c r="M14" s="40" t="str">
        <f ca="1">VLOOKUP(B8,INDIRECT($F$8),10+(O14-1)*4,0)</f>
        <v>B</v>
      </c>
      <c r="N14" s="41">
        <f t="shared" ca="1" si="0"/>
        <v>7</v>
      </c>
      <c r="O14">
        <v>2</v>
      </c>
      <c r="P14" s="42">
        <f ca="1">IFERROR(VALUE(IFERROR(LEFT(G14,SEARCH("/",G14)-1),0)),"")</f>
        <v>72</v>
      </c>
      <c r="Q14" s="42">
        <f t="shared" ref="Q14:Q21" ca="1" si="1">IFERROR(VALUE(IFERROR(LEFT(I14,SEARCH("/",I14)-1),0)),"")</f>
        <v>42</v>
      </c>
      <c r="R14" s="42">
        <f t="shared" ref="R14:R21" ca="1" si="2">IFERROR(VALUE(IFERROR(LEFT(K14,SEARCH("/",K14)-1),0)),"")</f>
        <v>114</v>
      </c>
      <c r="S14" s="42">
        <f t="shared" ref="S14:S21" ca="1" si="3">VALUE(IFERROR(RIGHT(G14,LEN(G14)-SEARCH("/",G14)),0))</f>
        <v>100</v>
      </c>
      <c r="T14" s="42">
        <f t="shared" ref="T14:T21" ca="1" si="4">VALUE(IFERROR(RIGHT(I14,LEN(I14)-SEARCH("/",I14)),0))</f>
        <v>50</v>
      </c>
      <c r="U14" s="42">
        <f t="shared" ref="U14:U21" ca="1" si="5">VALUE(IFERROR(RIGHT(K14,LEN(K14)-SEARCH("/",K14)),0))</f>
        <v>150</v>
      </c>
    </row>
    <row r="15" spans="1:23" ht="12.75" customHeight="1" x14ac:dyDescent="0.15">
      <c r="A15" s="40" t="str">
        <f ca="1">VLOOKUP(C8,INDIRECT($F$8),7+(O15-1)*4,0)</f>
        <v>CET 602</v>
      </c>
      <c r="B15" s="207" t="str">
        <f ca="1">VLOOKUP(D8,INDIRECT($F$8),7+(O15-1)*4,0)</f>
        <v xml:space="preserve">Soil Dynamics  </v>
      </c>
      <c r="C15" s="207"/>
      <c r="D15" s="207"/>
      <c r="E15" s="207"/>
      <c r="F15" s="40">
        <f ca="1">VLOOKUP(E8,INDIRECT($F$8),7+(O15-1)*4,0)</f>
        <v>4</v>
      </c>
      <c r="G15" s="208" t="str">
        <f ca="1">_xlfn.TEXTJOIN("/",FALSE,VLOOKUP(B8,INDIRECT($F$8),7+(O15-1)*4),VLOOKUP(A8,INDIRECT($F$8),7+(O15-1)*4))</f>
        <v>65/100</v>
      </c>
      <c r="H15" s="208"/>
      <c r="I15" s="208" t="str">
        <f ca="1">_xlfn.TEXTJOIN("/",FALSE,VLOOKUP(B8,INDIRECT($F$8),8+(O15-1)*4),VLOOKUP(A8,INDIRECT($F$8),8+(O15-1)*4))</f>
        <v>40/50</v>
      </c>
      <c r="J15" s="208"/>
      <c r="K15" s="208" t="str">
        <f ca="1">_xlfn.TEXTJOIN("/",FALSE,VLOOKUP(B8,INDIRECT($F$8),9+(O15-1)*4),VLOOKUP(A8,INDIRECT($F$8),9+(O15-1)*4))</f>
        <v>105/150</v>
      </c>
      <c r="L15" s="208"/>
      <c r="M15" s="40" t="str">
        <f ca="1">VLOOKUP(B8,INDIRECT($F$8),10+(O15-1)*4,0)</f>
        <v>B</v>
      </c>
      <c r="N15" s="41">
        <f t="shared" ca="1" si="0"/>
        <v>7</v>
      </c>
      <c r="O15">
        <v>3</v>
      </c>
      <c r="P15" s="42">
        <f t="shared" ref="P15:P21" ca="1" si="6">IFERROR(VALUE(IFERROR(LEFT(G15,SEARCH("/",G15)-1),0)),"")</f>
        <v>65</v>
      </c>
      <c r="Q15" s="42">
        <f t="shared" ca="1" si="1"/>
        <v>40</v>
      </c>
      <c r="R15" s="42">
        <f t="shared" ca="1" si="2"/>
        <v>105</v>
      </c>
      <c r="S15" s="42">
        <f t="shared" ca="1" si="3"/>
        <v>100</v>
      </c>
      <c r="T15" s="42">
        <f t="shared" ca="1" si="4"/>
        <v>50</v>
      </c>
      <c r="U15" s="42">
        <f t="shared" ca="1" si="5"/>
        <v>150</v>
      </c>
    </row>
    <row r="16" spans="1:23" ht="12.75" customHeight="1" x14ac:dyDescent="0.15">
      <c r="A16" s="40" t="str">
        <f ca="1">VLOOKUP(C8,INDIRECT($F$8),7+(O16-1)*4,0)</f>
        <v>CET 604</v>
      </c>
      <c r="B16" s="207" t="str">
        <f ca="1">VLOOKUP(D8,INDIRECT($F$8),7+(O16-1)*4,0)</f>
        <v>Pavement Analysis and Design</v>
      </c>
      <c r="C16" s="207"/>
      <c r="D16" s="207"/>
      <c r="E16" s="207"/>
      <c r="F16" s="40">
        <f ca="1">VLOOKUP(E8,INDIRECT($F$8),7+(O16-1)*4,0)</f>
        <v>3</v>
      </c>
      <c r="G16" s="208" t="str">
        <f ca="1">_xlfn.TEXTJOIN("/",FALSE,VLOOKUP(B8,INDIRECT($F$8),7+(O16-1)*4),VLOOKUP(A8,INDIRECT($F$8),7+(O16-1)*4))</f>
        <v>77/100</v>
      </c>
      <c r="H16" s="208"/>
      <c r="I16" s="208" t="str">
        <f ca="1">_xlfn.TEXTJOIN("/",FALSE,VLOOKUP(B8,INDIRECT($F$8),8+(O16-1)*4),VLOOKUP(A8,INDIRECT($F$8),8+(O16-1)*4))</f>
        <v>47/50</v>
      </c>
      <c r="J16" s="208"/>
      <c r="K16" s="208" t="str">
        <f ca="1">_xlfn.TEXTJOIN("/",FALSE,VLOOKUP(B8,INDIRECT($F$8),9+(O16-1)*4),VLOOKUP(A8,INDIRECT($F$8),9+(O16-1)*4))</f>
        <v>124/150</v>
      </c>
      <c r="L16" s="208"/>
      <c r="M16" s="40" t="str">
        <f ca="1">VLOOKUP(B8,INDIRECT($F$8),10+(O16-1)*4,0)</f>
        <v>A</v>
      </c>
      <c r="N16" s="41">
        <f t="shared" ca="1" si="0"/>
        <v>8</v>
      </c>
      <c r="O16">
        <v>4</v>
      </c>
      <c r="P16" s="42">
        <f t="shared" ca="1" si="6"/>
        <v>77</v>
      </c>
      <c r="Q16" s="42">
        <f t="shared" ca="1" si="1"/>
        <v>47</v>
      </c>
      <c r="R16" s="42">
        <f t="shared" ca="1" si="2"/>
        <v>124</v>
      </c>
      <c r="S16" s="42">
        <f t="shared" ca="1" si="3"/>
        <v>100</v>
      </c>
      <c r="T16" s="42">
        <f t="shared" ca="1" si="4"/>
        <v>50</v>
      </c>
      <c r="U16" s="42">
        <f t="shared" ca="1" si="5"/>
        <v>150</v>
      </c>
    </row>
    <row r="17" spans="1:28" ht="12.75" customHeight="1" x14ac:dyDescent="0.15">
      <c r="A17" s="40" t="str">
        <f ca="1">VLOOKUP(C8,INDIRECT($F$8),7+(O17-1)*4,0)</f>
        <v>CET 607</v>
      </c>
      <c r="B17" s="207" t="str">
        <f ca="1">VLOOKUP(D8,INDIRECT($F$8),7+(O17-1)*4,0)</f>
        <v>Soil Structure Interaction</v>
      </c>
      <c r="C17" s="207"/>
      <c r="D17" s="207"/>
      <c r="E17" s="207"/>
      <c r="F17" s="40">
        <f ca="1">VLOOKUP(E8,INDIRECT($F$8),7+(O17-1)*4,0)</f>
        <v>3</v>
      </c>
      <c r="G17" s="208" t="str">
        <f ca="1">_xlfn.TEXTJOIN("/",FALSE,VLOOKUP(B8,INDIRECT($F$8),7+(O17-1)*4),VLOOKUP(A8,INDIRECT($F$8),7+(O17-1)*4))</f>
        <v>84/100</v>
      </c>
      <c r="H17" s="208"/>
      <c r="I17" s="208" t="str">
        <f ca="1">_xlfn.TEXTJOIN("/",FALSE,VLOOKUP(B8,INDIRECT($F$8),8+(O17-1)*4),VLOOKUP(A8,INDIRECT($F$8),8+(O17-1)*4))</f>
        <v>43/50</v>
      </c>
      <c r="J17" s="208"/>
      <c r="K17" s="208" t="str">
        <f ca="1">_xlfn.TEXTJOIN("/",FALSE,VLOOKUP(B8,INDIRECT($F$8),9+(O17-1)*4),VLOOKUP(A8,INDIRECT($F$8),9+(O17-1)*4))</f>
        <v>127/150</v>
      </c>
      <c r="L17" s="208"/>
      <c r="M17" s="40" t="str">
        <f ca="1">VLOOKUP(B8,INDIRECT($F$8),10+(O17-1)*4,0)</f>
        <v>A</v>
      </c>
      <c r="N17" s="41">
        <f t="shared" ca="1" si="0"/>
        <v>8</v>
      </c>
      <c r="O17">
        <v>5</v>
      </c>
      <c r="P17" s="42">
        <f t="shared" ca="1" si="6"/>
        <v>84</v>
      </c>
      <c r="Q17" s="42">
        <f t="shared" ca="1" si="1"/>
        <v>43</v>
      </c>
      <c r="R17" s="42">
        <f t="shared" ca="1" si="2"/>
        <v>127</v>
      </c>
      <c r="S17" s="42">
        <f t="shared" ca="1" si="3"/>
        <v>100</v>
      </c>
      <c r="T17" s="42">
        <f t="shared" ca="1" si="4"/>
        <v>50</v>
      </c>
      <c r="U17" s="42">
        <f t="shared" ca="1" si="5"/>
        <v>150</v>
      </c>
    </row>
    <row r="18" spans="1:28" ht="12.75" customHeight="1" x14ac:dyDescent="0.15">
      <c r="A18" s="40" t="str">
        <f ca="1">VLOOKUP(C8,INDIRECT($F$8),7+(O18-1)*4,0)</f>
        <v>AHT 302</v>
      </c>
      <c r="B18" s="207" t="str">
        <f ca="1">VLOOKUP(D8,INDIRECT($F$8),7+(O18-1)*4,0)</f>
        <v>Research Methodology and IPR</v>
      </c>
      <c r="C18" s="207"/>
      <c r="D18" s="207"/>
      <c r="E18" s="207"/>
      <c r="F18" s="40">
        <f ca="1">VLOOKUP(E8,INDIRECT($F$8),7+(O18-1)*4,0)</f>
        <v>2</v>
      </c>
      <c r="G18" s="208" t="str">
        <f ca="1">_xlfn.TEXTJOIN("/",FALSE,VLOOKUP(B8,INDIRECT($F$8),7+(O18-1)*4),VLOOKUP(A8,INDIRECT($F$8),7+(O18-1)*4))</f>
        <v>44/50</v>
      </c>
      <c r="H18" s="208"/>
      <c r="I18" s="208" t="str">
        <f ca="1">_xlfn.TEXTJOIN("/",FALSE,VLOOKUP(B8,INDIRECT($F$8),8+(O18-1)*4),VLOOKUP(A8,INDIRECT($F$8),8+(O18-1)*4))</f>
        <v>48/50</v>
      </c>
      <c r="J18" s="208"/>
      <c r="K18" s="208" t="str">
        <f ca="1">_xlfn.TEXTJOIN("/",FALSE,VLOOKUP(B8,INDIRECT($F$8),9+(O18-1)*4),VLOOKUP(A8,INDIRECT($F$8),9+(O18-1)*4))</f>
        <v>92/100</v>
      </c>
      <c r="L18" s="208"/>
      <c r="M18" s="40" t="str">
        <f ca="1">VLOOKUP(B8,INDIRECT($F$8),10+(O18-1)*4,0)</f>
        <v>O</v>
      </c>
      <c r="N18" s="41">
        <f t="shared" ca="1" si="0"/>
        <v>10</v>
      </c>
      <c r="O18">
        <v>6</v>
      </c>
      <c r="P18" s="42">
        <f t="shared" ca="1" si="6"/>
        <v>44</v>
      </c>
      <c r="Q18" s="42">
        <f t="shared" ca="1" si="1"/>
        <v>48</v>
      </c>
      <c r="R18" s="42">
        <f t="shared" ca="1" si="2"/>
        <v>92</v>
      </c>
      <c r="S18" s="42">
        <f t="shared" ca="1" si="3"/>
        <v>50</v>
      </c>
      <c r="T18" s="42">
        <f t="shared" ca="1" si="4"/>
        <v>50</v>
      </c>
      <c r="U18" s="42">
        <f t="shared" ca="1" si="5"/>
        <v>100</v>
      </c>
    </row>
    <row r="19" spans="1:28" ht="12.75" customHeight="1" x14ac:dyDescent="0.15">
      <c r="A19" s="40" t="str">
        <f ca="1">VLOOKUP(C8,INDIRECT($F$8),7+(O19-1)*4,0)</f>
        <v>AHT 303</v>
      </c>
      <c r="B19" s="207" t="str">
        <f ca="1">VLOOKUP(D8,INDIRECT($F$8),7+(O19-1)*4,0)</f>
        <v xml:space="preserve">Technical Writing and Presentation Skill ($) </v>
      </c>
      <c r="C19" s="207"/>
      <c r="D19" s="207"/>
      <c r="E19" s="207"/>
      <c r="F19" s="40">
        <f ca="1">VLOOKUP(E8,INDIRECT($F$8),7+(O19-1)*4,0)</f>
        <v>0</v>
      </c>
      <c r="G19" s="208" t="s">
        <v>86</v>
      </c>
      <c r="H19" s="208"/>
      <c r="I19" s="208" t="str">
        <f ca="1">_xlfn.TEXTJOIN("/",FALSE,VLOOKUP(B8,INDIRECT($F$8),8+(O19-1)*4)-Z19,VLOOKUP(A8,INDIRECT($F$8),8+(O19-1)*4-Z19))</f>
        <v>37/50</v>
      </c>
      <c r="J19" s="208"/>
      <c r="K19" s="208" t="str">
        <f ca="1">_xlfn.TEXTJOIN("/",FALSE,VLOOKUP(B8,INDIRECT($F$8),9+(O19-1)*4-AA19),VLOOKUP(A8,INDIRECT($F$8),9+(O19-1)*4-AA19))</f>
        <v>37/50</v>
      </c>
      <c r="L19" s="208"/>
      <c r="M19" s="40" t="str">
        <f ca="1">VLOOKUP(B8,INDIRECT($F$8),10+(O19-1)*4-AB19,0)</f>
        <v>B</v>
      </c>
      <c r="N19" s="41">
        <f t="shared" ca="1" si="0"/>
        <v>7</v>
      </c>
      <c r="O19">
        <v>7</v>
      </c>
      <c r="P19" s="42">
        <f>IFERROR(VALUE(IFERROR(LEFT(G19,SEARCH("/",G19)-1),0)),"")</f>
        <v>0</v>
      </c>
      <c r="Q19" s="42">
        <f t="shared" ca="1" si="1"/>
        <v>37</v>
      </c>
      <c r="R19" s="42">
        <f t="shared" ca="1" si="2"/>
        <v>37</v>
      </c>
      <c r="S19" s="42">
        <f t="shared" si="3"/>
        <v>0</v>
      </c>
      <c r="T19" s="42">
        <f t="shared" ca="1" si="4"/>
        <v>50</v>
      </c>
      <c r="U19" s="42">
        <f t="shared" ca="1" si="5"/>
        <v>50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</row>
    <row r="20" spans="1:28" ht="12.75" customHeight="1" x14ac:dyDescent="0.15">
      <c r="A20" s="40" t="str">
        <f ca="1">VLOOKUP(C8,INDIRECT($F$8),7+(O20-1)*4-V20,0)</f>
        <v>CEP 601</v>
      </c>
      <c r="B20" s="207" t="str">
        <f ca="1">VLOOKUP(D8,INDIRECT($F$8),7+(O20-1)*4-W20,0)</f>
        <v>Advanced Soil Mechanics Lab</v>
      </c>
      <c r="C20" s="207"/>
      <c r="D20" s="207"/>
      <c r="E20" s="207"/>
      <c r="F20" s="40">
        <f ca="1">VLOOKUP(E8,INDIRECT($F$8),7+(O20-1)*4-X20,0)</f>
        <v>1</v>
      </c>
      <c r="G20" s="208" t="str">
        <f ca="1">_xlfn.TEXTJOIN("/",FALSE,VLOOKUP(B8,INDIRECT($F$8),7+(O20-1)*4-Y20),VLOOKUP(A8,INDIRECT($F$8),7+(O20-1)*4-Y20))</f>
        <v>22/25</v>
      </c>
      <c r="H20" s="208"/>
      <c r="I20" s="208" t="str">
        <f ca="1">_xlfn.TEXTJOIN("/",FALSE,VLOOKUP(B8,INDIRECT($F$8),8+(O20-1)*4-Z20),VLOOKUP(A8,INDIRECT($F$8),8+(O20-1)*4-Z20))</f>
        <v>23/25</v>
      </c>
      <c r="J20" s="208"/>
      <c r="K20" s="208" t="str">
        <f ca="1">_xlfn.TEXTJOIN("/",FALSE,VLOOKUP(B8,INDIRECT($F$8),9+(O20-1)*4-AA20),VLOOKUP(A8,INDIRECT($F$8),9+(O20-1)*4-AA20))</f>
        <v>45/50</v>
      </c>
      <c r="L20" s="208"/>
      <c r="M20" s="40" t="str">
        <f ca="1">VLOOKUP(B8,INDIRECT($F$8),10+(O20-1)*4-AB20,0)</f>
        <v>O</v>
      </c>
      <c r="N20" s="41">
        <f t="shared" ca="1" si="0"/>
        <v>10</v>
      </c>
      <c r="O20">
        <v>8</v>
      </c>
      <c r="P20" s="42">
        <f t="shared" ca="1" si="6"/>
        <v>22</v>
      </c>
      <c r="Q20" s="42">
        <f t="shared" ca="1" si="1"/>
        <v>23</v>
      </c>
      <c r="R20" s="42">
        <f t="shared" ca="1" si="2"/>
        <v>45</v>
      </c>
      <c r="S20" s="42">
        <f t="shared" ca="1" si="3"/>
        <v>25</v>
      </c>
      <c r="T20" s="42">
        <f t="shared" ca="1" si="4"/>
        <v>25</v>
      </c>
      <c r="U20" s="42">
        <f t="shared" ca="1" si="5"/>
        <v>50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ht="12.75" customHeight="1" x14ac:dyDescent="0.15">
      <c r="A21" s="40" t="str">
        <f ca="1">VLOOKUP(C8,INDIRECT($F$8),7+(O21-1)*4-V21,0)</f>
        <v>CEP 602</v>
      </c>
      <c r="B21" s="207" t="str">
        <f ca="1">VLOOKUP(D8,INDIRECT($F$8),7+(O21-1)*4-W21,0)</f>
        <v>Soil Dynamics Lab</v>
      </c>
      <c r="C21" s="207"/>
      <c r="D21" s="207"/>
      <c r="E21" s="207"/>
      <c r="F21" s="40">
        <f ca="1">VLOOKUP(E8,INDIRECT($F$8),7+(O21-1)*4-X21,0)</f>
        <v>1</v>
      </c>
      <c r="G21" s="208" t="str">
        <f ca="1">_xlfn.TEXTJOIN("/",FALSE,VLOOKUP(B8,INDIRECT($F$8),7+(O21-1)*4-Y21,0),VLOOKUP(A8,INDIRECT($F$8),7+(O21-1)*4-Y21,0))</f>
        <v>24/25</v>
      </c>
      <c r="H21" s="208"/>
      <c r="I21" s="208" t="str">
        <f ca="1">_xlfn.TEXTJOIN("/",FALSE,VLOOKUP(B8,INDIRECT($F$8),8+(O21-1)*4-Z21,0),VLOOKUP(A8,INDIRECT($F$8),8+(O21-1)*4-Z21,0))</f>
        <v>24/25</v>
      </c>
      <c r="J21" s="208"/>
      <c r="K21" s="208" t="str">
        <f ca="1">_xlfn.TEXTJOIN("/",FALSE,VLOOKUP(B8,INDIRECT($F$8),9+(O21-1)*4-AA21,0),VLOOKUP(A8,INDIRECT($F$8),9+(O21-1)*4-AA21,0))</f>
        <v>48/50</v>
      </c>
      <c r="L21" s="208"/>
      <c r="M21" s="40" t="str">
        <f ca="1">VLOOKUP(B8,INDIRECT($F$8),10+(O21-1)*4-AB21,0)</f>
        <v>O</v>
      </c>
      <c r="N21" s="41">
        <f t="shared" ca="1" si="0"/>
        <v>10</v>
      </c>
      <c r="O21">
        <v>9</v>
      </c>
      <c r="P21" s="42">
        <f t="shared" ca="1" si="6"/>
        <v>24</v>
      </c>
      <c r="Q21" s="42">
        <f t="shared" ca="1" si="1"/>
        <v>24</v>
      </c>
      <c r="R21" s="42">
        <f t="shared" ca="1" si="2"/>
        <v>48</v>
      </c>
      <c r="S21" s="42">
        <f t="shared" ca="1" si="3"/>
        <v>25</v>
      </c>
      <c r="T21" s="42">
        <f t="shared" ca="1" si="4"/>
        <v>25</v>
      </c>
      <c r="U21" s="42">
        <f t="shared" ca="1" si="5"/>
        <v>50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ht="12.75" customHeight="1" x14ac:dyDescent="0.15">
      <c r="A22" s="209" t="s">
        <v>87</v>
      </c>
      <c r="B22" s="209"/>
      <c r="C22" s="209"/>
      <c r="D22" s="209"/>
      <c r="E22" s="209"/>
      <c r="F22" s="43">
        <f ca="1">SUM(F13:F21)</f>
        <v>22</v>
      </c>
      <c r="G22" s="209" t="str">
        <f ca="1">_xlfn.TEXTJOIN("/",TRUE,SUMIF(F13:F21,"&gt;0",P13:P21),SUMIF(F13:F21,"&gt;0",S13:S21))</f>
        <v>448/600</v>
      </c>
      <c r="H22" s="209"/>
      <c r="I22" s="209" t="str">
        <f ca="1">_xlfn.TEXTJOIN("/",TRUE,SUMIF(F13:F21,"&gt;0",Q13:Q21),SUMIF(F13:F21,"&gt;0",T13:T21))</f>
        <v>311/350</v>
      </c>
      <c r="J22" s="209"/>
      <c r="K22" s="209" t="str">
        <f ca="1">_xlfn.TEXTJOIN("/",TRUE,SUMIF(F13:F21,"&gt;0",R13:R21),SUMIF(F13:F21,"&gt;0",U13:U21))</f>
        <v>759/950</v>
      </c>
      <c r="L22" s="209"/>
      <c r="M22" s="210">
        <f ca="1">SUMPRODUCT(N13:N21,F13:F21)</f>
        <v>168</v>
      </c>
      <c r="N22" s="210"/>
    </row>
    <row r="23" spans="1:28" ht="12.75" customHeight="1" x14ac:dyDescent="0.15">
      <c r="A23" s="210" t="s">
        <v>88</v>
      </c>
      <c r="B23" s="206" t="str">
        <f ca="1">VLOOKUP(B8,INDIRECT($F$8),11+(O21-1)*4+3-V23,0)</f>
        <v>PASS</v>
      </c>
      <c r="C23" s="206"/>
      <c r="D23" s="210" t="s">
        <v>89</v>
      </c>
      <c r="E23" s="206" t="str">
        <f ca="1">IF(VLOOKUP(B8,INDIRECT($F$8),11+(O21-1)*4+4-V23,0)=0,"",VLOOKUP(B8,INDIRECT($F$8),11+(O21-1)*4+4-V23,0))</f>
        <v xml:space="preserve"> </v>
      </c>
      <c r="F23" s="206"/>
      <c r="G23" s="210" t="s">
        <v>90</v>
      </c>
      <c r="H23" s="211">
        <f ca="1">VLOOKUP(B8,INDIRECT($F$8),11+(O21-1)*4-V23,0)</f>
        <v>7.6363636363636367</v>
      </c>
      <c r="I23" s="210" t="s">
        <v>91</v>
      </c>
      <c r="J23" s="211">
        <f ca="1">VLOOKUP(B8,INDIRECT($F$8),11+(O21-1)*4+1-V23,0)</f>
        <v>7.6363636363636367</v>
      </c>
      <c r="K23" s="206" t="s">
        <v>92</v>
      </c>
      <c r="L23" s="210">
        <f ca="1">VLOOKUP(B8,INDIRECT($F$8),11+(O21-1)*4+2-V23,0)</f>
        <v>22</v>
      </c>
      <c r="M23" s="206" t="s">
        <v>93</v>
      </c>
      <c r="N23" s="210">
        <f ca="1">VLOOKUP(B8,INDIRECT($F$8),11+(O21-1)*4+5-V23,0)</f>
        <v>22</v>
      </c>
      <c r="V23">
        <v>0</v>
      </c>
    </row>
    <row r="24" spans="1:28" ht="12.75" customHeight="1" x14ac:dyDescent="0.15">
      <c r="A24" s="210"/>
      <c r="B24" s="206"/>
      <c r="C24" s="206"/>
      <c r="D24" s="210"/>
      <c r="E24" s="206"/>
      <c r="F24" s="206"/>
      <c r="G24" s="210"/>
      <c r="H24" s="211"/>
      <c r="I24" s="210"/>
      <c r="J24" s="211"/>
      <c r="K24" s="206"/>
      <c r="L24" s="210"/>
      <c r="M24" s="206"/>
      <c r="N24" s="210"/>
    </row>
    <row r="25" spans="1:28" ht="12.75" customHeight="1" x14ac:dyDescent="0.15">
      <c r="A25" s="210"/>
      <c r="B25" s="206"/>
      <c r="C25" s="206"/>
      <c r="D25" s="210"/>
      <c r="E25" s="206"/>
      <c r="F25" s="206"/>
      <c r="G25" s="210"/>
      <c r="H25" s="211"/>
      <c r="I25" s="210"/>
      <c r="J25" s="211"/>
      <c r="K25" s="206"/>
      <c r="L25" s="210"/>
      <c r="M25" s="206"/>
      <c r="N25" s="210"/>
    </row>
    <row r="26" spans="1:28" ht="12.75" customHeight="1" x14ac:dyDescent="0.15">
      <c r="A26" s="38" t="s">
        <v>73</v>
      </c>
      <c r="B26" s="38">
        <f>B8+1</f>
        <v>2</v>
      </c>
      <c r="C26" s="38" t="s">
        <v>71</v>
      </c>
      <c r="D26" s="38" t="s">
        <v>72</v>
      </c>
      <c r="E26" s="38" t="s">
        <v>40</v>
      </c>
      <c r="F26" s="38" t="e">
        <f ca="1">VLOOKUP(B26,INDIRECT($F$8),4,0)</f>
        <v>#N/A</v>
      </c>
      <c r="G26" s="39"/>
      <c r="H26" s="39"/>
      <c r="I26" s="39"/>
      <c r="J26" s="39"/>
      <c r="K26" s="39"/>
      <c r="L26" s="39"/>
      <c r="M26" s="39"/>
      <c r="N26" s="39"/>
    </row>
    <row r="27" spans="1:28" ht="12.75" customHeight="1" x14ac:dyDescent="0.15">
      <c r="A27" s="204" t="str">
        <f ca="1">IF(ISERROR(F26),"",A9)</f>
        <v/>
      </c>
      <c r="B27" s="204" t="str">
        <f ca="1">IFERROR(VLOOKUP(B26,INDIRECT($F$8),5,0),"")</f>
        <v/>
      </c>
      <c r="C27" s="204"/>
      <c r="D27" s="204" t="str">
        <f ca="1">IF(ISERROR(F26),"",D9)</f>
        <v/>
      </c>
      <c r="E27" s="204" t="str">
        <f ca="1">IFERROR(VLOOKUP(B26,INDIRECT($F$8),6,0),"")</f>
        <v/>
      </c>
      <c r="F27" s="204"/>
      <c r="G27" s="204" t="str">
        <f ca="1">IF(ISERROR(F26),"",G9)</f>
        <v/>
      </c>
      <c r="H27" s="204"/>
      <c r="I27" s="205" t="str">
        <f ca="1">IFERROR(VLOOKUP(B26,INDIRECT($F$8),2,0),"")</f>
        <v/>
      </c>
      <c r="J27" s="205"/>
      <c r="K27" s="204" t="str">
        <f ca="1">IF(ISERROR(F26),"",K9)</f>
        <v/>
      </c>
      <c r="L27" s="204"/>
      <c r="M27" s="205" t="str">
        <f ca="1">IFERROR(IF(VLOOKUP(B26,INDIRECT($F$8),3,0)=0,"",VLOOKUP(B26,INDIRECT($F$8),3,0)),"")</f>
        <v/>
      </c>
      <c r="N27" s="205"/>
    </row>
    <row r="28" spans="1:28" ht="12.75" customHeight="1" x14ac:dyDescent="0.15">
      <c r="A28" s="204"/>
      <c r="B28" s="204"/>
      <c r="C28" s="204"/>
      <c r="D28" s="204"/>
      <c r="E28" s="204"/>
      <c r="F28" s="204"/>
      <c r="G28" s="204"/>
      <c r="H28" s="204"/>
      <c r="I28" s="205"/>
      <c r="J28" s="205"/>
      <c r="K28" s="204"/>
      <c r="L28" s="204"/>
      <c r="M28" s="205"/>
      <c r="N28" s="205"/>
    </row>
    <row r="29" spans="1:28" ht="12.75" customHeight="1" x14ac:dyDescent="0.15">
      <c r="A29" s="206" t="str">
        <f ca="1">IF(ISERROR(F26),"",A11)</f>
        <v/>
      </c>
      <c r="B29" s="206" t="str">
        <f ca="1">IF(ISERROR(F26),"",B11)</f>
        <v/>
      </c>
      <c r="C29" s="206"/>
      <c r="D29" s="206"/>
      <c r="E29" s="206"/>
      <c r="F29" s="206" t="str">
        <f ca="1">IF(ISERROR(F26),"",F11)</f>
        <v/>
      </c>
      <c r="G29" s="206" t="str">
        <f ca="1">IF(ISERROR(F26),"",G11)</f>
        <v/>
      </c>
      <c r="H29" s="206"/>
      <c r="I29" s="206" t="str">
        <f ca="1">IF(ISERROR(F26),"",I11)</f>
        <v/>
      </c>
      <c r="J29" s="206"/>
      <c r="K29" s="206" t="str">
        <f ca="1">IF(ISERROR(F26),"",K11)</f>
        <v/>
      </c>
      <c r="L29" s="206"/>
      <c r="M29" s="206" t="str">
        <f ca="1">IF(ISERROR(F26),"",M11)</f>
        <v/>
      </c>
      <c r="N29" s="206" t="str">
        <f ca="1">IF(ISERROR(F26),"",N11)</f>
        <v/>
      </c>
    </row>
    <row r="30" spans="1:28" ht="12.75" customHeight="1" x14ac:dyDescent="0.15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</row>
    <row r="31" spans="1:28" ht="12.75" customHeight="1" x14ac:dyDescent="0.15">
      <c r="A31" s="40" t="str">
        <f ca="1">IF(ISERROR(F26),"",VLOOKUP(C26,INDIRECT($F$8),7+(O31-1)*4,0))</f>
        <v/>
      </c>
      <c r="B31" s="207" t="str">
        <f ca="1">IF(ISERROR(F26),"",VLOOKUP(D26,INDIRECT($F$8),7+(O31-1)*4,0))</f>
        <v/>
      </c>
      <c r="C31" s="207"/>
      <c r="D31" s="207"/>
      <c r="E31" s="207"/>
      <c r="F31" s="40" t="str">
        <f ca="1">IF(ISERROR(F26),"",VLOOKUP(E26,INDIRECT($F$8),7+(O31-1)*4,0))</f>
        <v/>
      </c>
      <c r="G31" s="208" t="str">
        <f ca="1">IF(ISERROR(F26),"",_xlfn.TEXTJOIN("/",FALSE,VLOOKUP(B26,INDIRECT($F$8),7+(O31-1)*4),VLOOKUP(A26,INDIRECT($F$8),7+(O31-1)*4)))</f>
        <v/>
      </c>
      <c r="H31" s="208"/>
      <c r="I31" s="208" t="str">
        <f ca="1">IF(ISERROR(F26),"",_xlfn.TEXTJOIN("/",FALSE,VLOOKUP(B26,INDIRECT($F$8),8+(O31-1)*4,0),VLOOKUP(A26,INDIRECT($F$8),8+(O31-1)*4,0)))</f>
        <v/>
      </c>
      <c r="J31" s="208"/>
      <c r="K31" s="208" t="str">
        <f ca="1">IF(ISERROR(F26),"",_xlfn.TEXTJOIN("/",FALSE,VLOOKUP(B26,INDIRECT($F$8),9+(O31-1)*4),VLOOKUP(A26,INDIRECT($F$8),9+(O31-1)*4)))</f>
        <v/>
      </c>
      <c r="L31" s="208"/>
      <c r="M31" s="40" t="str">
        <f ca="1">IF(ISERROR(F26),"",VLOOKUP(B26,INDIRECT($F$8),10+(O31-1)*4,0))</f>
        <v/>
      </c>
      <c r="N31" s="41" t="str">
        <f t="shared" ref="N31:N39" ca="1" si="7">INDEX($W$2:$W$12,MATCH(M31,$V$2:$V$12,0))</f>
        <v/>
      </c>
      <c r="O31">
        <v>1</v>
      </c>
      <c r="P31" s="42">
        <f ca="1">IFERROR(VALUE(IFERROR(LEFT(G31,SEARCH("/",G31)-1),0)),"")</f>
        <v>0</v>
      </c>
      <c r="Q31" s="42">
        <f ca="1">IFERROR(VALUE(IFERROR(LEFT(I31,SEARCH("/",I31)-1),0)),"")</f>
        <v>0</v>
      </c>
      <c r="R31" s="42">
        <f ca="1">IFERROR(VALUE(IFERROR(LEFT(K31,SEARCH("/",K31)-1),0)),"")</f>
        <v>0</v>
      </c>
      <c r="S31" s="42">
        <f ca="1">VALUE(IFERROR(RIGHT(G31,LEN(G31)-SEARCH("/",G31)),0))</f>
        <v>0</v>
      </c>
      <c r="T31" s="42">
        <f ca="1">VALUE(IFERROR(RIGHT(I31,LEN(I31)-SEARCH("/",I31)),0))</f>
        <v>0</v>
      </c>
      <c r="U31" s="42">
        <f ca="1">VALUE(IFERROR(RIGHT(K31,LEN(K31)-SEARCH("/",K31)),0))</f>
        <v>0</v>
      </c>
    </row>
    <row r="32" spans="1:28" ht="12.75" customHeight="1" x14ac:dyDescent="0.15">
      <c r="A32" s="40" t="str">
        <f ca="1">IF(ISERROR(F26),"",VLOOKUP(C26,INDIRECT($F$8),7+(O32-1)*4,0))</f>
        <v/>
      </c>
      <c r="B32" s="207" t="str">
        <f ca="1">IF(ISERROR(F26),"",VLOOKUP(D26,INDIRECT($F$8),7+(O32-1)*4,0))</f>
        <v/>
      </c>
      <c r="C32" s="207"/>
      <c r="D32" s="207"/>
      <c r="E32" s="207"/>
      <c r="F32" s="40" t="str">
        <f ca="1">IF(ISERROR(F26),"",VLOOKUP(E26,INDIRECT($F$8),7+(O32-1)*4,0))</f>
        <v/>
      </c>
      <c r="G32" s="208" t="str">
        <f ca="1">IF(ISERROR(F26),"",_xlfn.TEXTJOIN("/",FALSE,VLOOKUP(B26,INDIRECT($F$8),7+(O32-1)*4),VLOOKUP(A26,INDIRECT($F$8),7+(O32-1)*4)))</f>
        <v/>
      </c>
      <c r="H32" s="208"/>
      <c r="I32" s="208" t="str">
        <f ca="1">IF(ISERROR(F26),"",_xlfn.TEXTJOIN("/",FALSE,VLOOKUP(B26,INDIRECT($F$8),8+(O32-1)*4),VLOOKUP(A26,INDIRECT($F$8),8+(O32-1)*4)))</f>
        <v/>
      </c>
      <c r="J32" s="208"/>
      <c r="K32" s="208" t="str">
        <f ca="1">IF(ISERROR(F26),"",_xlfn.TEXTJOIN("/",FALSE,VLOOKUP(B26,INDIRECT($F$8),9+(O32-1)*4),VLOOKUP(A26,INDIRECT($F$8),9+(O32-1)*4)))</f>
        <v/>
      </c>
      <c r="L32" s="208"/>
      <c r="M32" s="40" t="str">
        <f ca="1">IF(ISERROR(F26),"",VLOOKUP(B26,INDIRECT($F$8),10+(O32-1)*4,0))</f>
        <v/>
      </c>
      <c r="N32" s="41" t="str">
        <f t="shared" ca="1" si="7"/>
        <v/>
      </c>
      <c r="O32">
        <v>2</v>
      </c>
      <c r="P32" s="42">
        <f ca="1">IFERROR(VALUE(IFERROR(LEFT(G32,SEARCH("/",G32)-1),0)),"")</f>
        <v>0</v>
      </c>
      <c r="Q32" s="42">
        <f t="shared" ref="Q32:Q39" ca="1" si="8">IFERROR(VALUE(IFERROR(LEFT(I32,SEARCH("/",I32)-1),0)),"")</f>
        <v>0</v>
      </c>
      <c r="R32" s="42">
        <f t="shared" ref="R32:R39" ca="1" si="9">IFERROR(VALUE(IFERROR(LEFT(K32,SEARCH("/",K32)-1),0)),"")</f>
        <v>0</v>
      </c>
      <c r="S32" s="42">
        <f t="shared" ref="S32:S39" ca="1" si="10">VALUE(IFERROR(RIGHT(G32,LEN(G32)-SEARCH("/",G32)),0))</f>
        <v>0</v>
      </c>
      <c r="T32" s="42">
        <f t="shared" ref="T32:T39" ca="1" si="11">VALUE(IFERROR(RIGHT(I32,LEN(I32)-SEARCH("/",I32)),0))</f>
        <v>0</v>
      </c>
      <c r="U32" s="42">
        <f t="shared" ref="U32:U39" ca="1" si="12">VALUE(IFERROR(RIGHT(K32,LEN(K32)-SEARCH("/",K32)),0))</f>
        <v>0</v>
      </c>
    </row>
    <row r="33" spans="1:28" ht="12.75" customHeight="1" x14ac:dyDescent="0.15">
      <c r="A33" s="40" t="str">
        <f ca="1">IF(ISERROR(F26),"",VLOOKUP(C26,INDIRECT($F$8),7+(O33-1)*4,0))</f>
        <v/>
      </c>
      <c r="B33" s="207" t="str">
        <f ca="1">IF(ISERROR(F26),"",VLOOKUP(D26,INDIRECT($F$8),7+(O33-1)*4,0))</f>
        <v/>
      </c>
      <c r="C33" s="207"/>
      <c r="D33" s="207"/>
      <c r="E33" s="207"/>
      <c r="F33" s="40" t="str">
        <f ca="1">IF(ISERROR(F26),"",VLOOKUP(E26,INDIRECT($F$8),7+(O33-1)*4,0))</f>
        <v/>
      </c>
      <c r="G33" s="208" t="str">
        <f ca="1">IF(ISERROR(F26),"",_xlfn.TEXTJOIN("/",FALSE,VLOOKUP(B26,INDIRECT($F$8),7+(O33-1)*4),VLOOKUP(A26,INDIRECT($F$8),7+(O33-1)*4)))</f>
        <v/>
      </c>
      <c r="H33" s="208"/>
      <c r="I33" s="208" t="str">
        <f ca="1">IF(ISERROR(F26),"",_xlfn.TEXTJOIN("/",FALSE,VLOOKUP(B26,INDIRECT($F$8),8+(O33-1)*4),VLOOKUP(A26,INDIRECT($F$8),8+(O33-1)*4)))</f>
        <v/>
      </c>
      <c r="J33" s="208"/>
      <c r="K33" s="208" t="str">
        <f ca="1">IF(ISERROR(F26),"",_xlfn.TEXTJOIN("/",FALSE,VLOOKUP(B26,INDIRECT($F$8),9+(O33-1)*4),VLOOKUP(A26,INDIRECT($F$8),9+(O33-1)*4)))</f>
        <v/>
      </c>
      <c r="L33" s="208"/>
      <c r="M33" s="40" t="str">
        <f ca="1">IF(ISERROR(F26),"",VLOOKUP(B26,INDIRECT($F$8),10+(O33-1)*4,0))</f>
        <v/>
      </c>
      <c r="N33" s="41" t="str">
        <f t="shared" ca="1" si="7"/>
        <v/>
      </c>
      <c r="O33">
        <v>3</v>
      </c>
      <c r="P33" s="42">
        <f t="shared" ref="P33:P39" ca="1" si="13">IFERROR(VALUE(IFERROR(LEFT(G33,SEARCH("/",G33)-1),0)),"")</f>
        <v>0</v>
      </c>
      <c r="Q33" s="42">
        <f t="shared" ca="1" si="8"/>
        <v>0</v>
      </c>
      <c r="R33" s="42">
        <f t="shared" ca="1" si="9"/>
        <v>0</v>
      </c>
      <c r="S33" s="42">
        <f t="shared" ca="1" si="10"/>
        <v>0</v>
      </c>
      <c r="T33" s="42">
        <f t="shared" ca="1" si="11"/>
        <v>0</v>
      </c>
      <c r="U33" s="42">
        <f t="shared" ca="1" si="12"/>
        <v>0</v>
      </c>
    </row>
    <row r="34" spans="1:28" ht="12.75" customHeight="1" x14ac:dyDescent="0.15">
      <c r="A34" s="40" t="str">
        <f ca="1">IF(ISERROR(F26),"",VLOOKUP(C26,INDIRECT($F$8),7+(O34-1)*4,0))</f>
        <v/>
      </c>
      <c r="B34" s="207" t="str">
        <f ca="1">IF(ISERROR(F26),"",VLOOKUP(D26,INDIRECT($F$8),7+(O34-1)*4,0))</f>
        <v/>
      </c>
      <c r="C34" s="207"/>
      <c r="D34" s="207"/>
      <c r="E34" s="207"/>
      <c r="F34" s="40" t="str">
        <f ca="1">IF(ISERROR(F26),"",VLOOKUP(E26,INDIRECT($F$8),7+(O34-1)*4,0))</f>
        <v/>
      </c>
      <c r="G34" s="208" t="str">
        <f ca="1">IF(ISERROR(F26),"",_xlfn.TEXTJOIN("/",FALSE,VLOOKUP(B26,INDIRECT($F$8),7+(O34-1)*4),VLOOKUP(A26,INDIRECT($F$8),7+(O34-1)*4)))</f>
        <v/>
      </c>
      <c r="H34" s="208"/>
      <c r="I34" s="208" t="str">
        <f ca="1">IF(ISERROR(F26),"",_xlfn.TEXTJOIN("/",FALSE,VLOOKUP(B26,INDIRECT($F$8),8+(O34-1)*4),VLOOKUP(A26,INDIRECT($F$8),8+(O34-1)*4)))</f>
        <v/>
      </c>
      <c r="J34" s="208"/>
      <c r="K34" s="208" t="str">
        <f ca="1">IF(ISERROR(F26),"",_xlfn.TEXTJOIN("/",FALSE,VLOOKUP(B26,INDIRECT($F$8),9+(O34-1)*4),VLOOKUP(A26,INDIRECT($F$8),9+(O34-1)*4)))</f>
        <v/>
      </c>
      <c r="L34" s="208"/>
      <c r="M34" s="40" t="str">
        <f ca="1">IF(ISERROR(F26),"",VLOOKUP(B26,INDIRECT($F$8),10+(O34-1)*4,0))</f>
        <v/>
      </c>
      <c r="N34" s="41" t="str">
        <f t="shared" ca="1" si="7"/>
        <v/>
      </c>
      <c r="O34">
        <v>4</v>
      </c>
      <c r="P34" s="42">
        <f t="shared" ca="1" si="13"/>
        <v>0</v>
      </c>
      <c r="Q34" s="42">
        <f t="shared" ca="1" si="8"/>
        <v>0</v>
      </c>
      <c r="R34" s="42">
        <f t="shared" ca="1" si="9"/>
        <v>0</v>
      </c>
      <c r="S34" s="42">
        <f t="shared" ca="1" si="10"/>
        <v>0</v>
      </c>
      <c r="T34" s="42">
        <f t="shared" ca="1" si="11"/>
        <v>0</v>
      </c>
      <c r="U34" s="42">
        <f t="shared" ca="1" si="12"/>
        <v>0</v>
      </c>
    </row>
    <row r="35" spans="1:28" ht="12.75" customHeight="1" x14ac:dyDescent="0.15">
      <c r="A35" s="40" t="str">
        <f ca="1">IF(ISERROR(F26),"",VLOOKUP(C26,INDIRECT($F$8),7+(O35-1)*4,0))</f>
        <v/>
      </c>
      <c r="B35" s="207" t="str">
        <f ca="1">IF(ISERROR(F26),"",VLOOKUP(D26,INDIRECT($F$8),7+(O35-1)*4,0))</f>
        <v/>
      </c>
      <c r="C35" s="207"/>
      <c r="D35" s="207"/>
      <c r="E35" s="207"/>
      <c r="F35" s="40" t="str">
        <f ca="1">IF(ISERROR(F26),"",VLOOKUP(E26,INDIRECT($F$8),7+(O35-1)*4,0))</f>
        <v/>
      </c>
      <c r="G35" s="208" t="str">
        <f ca="1">IF(ISERROR(F26),"",_xlfn.TEXTJOIN("/",FALSE,VLOOKUP(B26,INDIRECT($F$8),7+(O35-1)*4),VLOOKUP(A26,INDIRECT($F$8),7+(O35-1)*4)))</f>
        <v/>
      </c>
      <c r="H35" s="208"/>
      <c r="I35" s="208" t="str">
        <f ca="1">IF(ISERROR(F26),"",_xlfn.TEXTJOIN("/",FALSE,VLOOKUP(B26,INDIRECT($F$8),8+(O35-1)*4),VLOOKUP(A26,INDIRECT($F$8),8+(O35-1)*4)))</f>
        <v/>
      </c>
      <c r="J35" s="208"/>
      <c r="K35" s="208" t="str">
        <f ca="1">IF(ISERROR(F26),"",_xlfn.TEXTJOIN("/",FALSE,VLOOKUP(B26,INDIRECT($F$8),9+(O35-1)*4),VLOOKUP(A26,INDIRECT($F$8),9+(O35-1)*4)))</f>
        <v/>
      </c>
      <c r="L35" s="208"/>
      <c r="M35" s="40" t="str">
        <f ca="1">IF(ISERROR(F26),"",VLOOKUP(B26,INDIRECT($F$8),10+(O35-1)*4,0))</f>
        <v/>
      </c>
      <c r="N35" s="41" t="str">
        <f t="shared" ca="1" si="7"/>
        <v/>
      </c>
      <c r="O35">
        <v>5</v>
      </c>
      <c r="P35" s="42">
        <f t="shared" ca="1" si="13"/>
        <v>0</v>
      </c>
      <c r="Q35" s="42">
        <f t="shared" ca="1" si="8"/>
        <v>0</v>
      </c>
      <c r="R35" s="42">
        <f t="shared" ca="1" si="9"/>
        <v>0</v>
      </c>
      <c r="S35" s="42">
        <f t="shared" ca="1" si="10"/>
        <v>0</v>
      </c>
      <c r="T35" s="42">
        <f t="shared" ca="1" si="11"/>
        <v>0</v>
      </c>
      <c r="U35" s="42">
        <f t="shared" ca="1" si="12"/>
        <v>0</v>
      </c>
    </row>
    <row r="36" spans="1:28" ht="12.75" customHeight="1" x14ac:dyDescent="0.15">
      <c r="A36" s="40" t="str">
        <f ca="1">IF(ISERROR(F26),"",VLOOKUP(C26,INDIRECT($F$8),7+(O36-1)*4,0))</f>
        <v/>
      </c>
      <c r="B36" s="207" t="str">
        <f ca="1">IF(ISERROR(F26),"",VLOOKUP(D26,INDIRECT($F$8),7+(O36-1)*4,0))</f>
        <v/>
      </c>
      <c r="C36" s="207"/>
      <c r="D36" s="207"/>
      <c r="E36" s="207"/>
      <c r="F36" s="40" t="str">
        <f ca="1">IF(ISERROR(F26),"",VLOOKUP(E26,INDIRECT($F$8),7+(O36-1)*4,0))</f>
        <v/>
      </c>
      <c r="G36" s="208" t="str">
        <f ca="1">IF(ISERROR(F26),"",_xlfn.TEXTJOIN("/",FALSE,VLOOKUP(B26,INDIRECT($F$8),7+(O36-1)*4),VLOOKUP(A26,INDIRECT($F$8),7+(O36-1)*4)))</f>
        <v/>
      </c>
      <c r="H36" s="208"/>
      <c r="I36" s="208" t="str">
        <f ca="1">IF(ISERROR(F26),"",_xlfn.TEXTJOIN("/",FALSE,VLOOKUP(B26,INDIRECT($F$8),8+(O36-1)*4),VLOOKUP(A26,INDIRECT($F$8),8+(O36-1)*4)))</f>
        <v/>
      </c>
      <c r="J36" s="208"/>
      <c r="K36" s="208" t="str">
        <f ca="1">IF(ISERROR(F26),"",_xlfn.TEXTJOIN("/",FALSE,VLOOKUP(B26,INDIRECT($F$8),9+(O36-1)*4),VLOOKUP(A26,INDIRECT($F$8),9+(O36-1)*4)))</f>
        <v/>
      </c>
      <c r="L36" s="208"/>
      <c r="M36" s="40" t="str">
        <f ca="1">IF(ISERROR(F26),"",VLOOKUP(B26,INDIRECT($F$8),10+(O36-1)*4,0))</f>
        <v/>
      </c>
      <c r="N36" s="41" t="str">
        <f t="shared" ca="1" si="7"/>
        <v/>
      </c>
      <c r="O36">
        <v>6</v>
      </c>
      <c r="P36" s="42">
        <f t="shared" ca="1" si="13"/>
        <v>0</v>
      </c>
      <c r="Q36" s="42">
        <f t="shared" ca="1" si="8"/>
        <v>0</v>
      </c>
      <c r="R36" s="42">
        <f t="shared" ca="1" si="9"/>
        <v>0</v>
      </c>
      <c r="S36" s="42">
        <f t="shared" ca="1" si="10"/>
        <v>0</v>
      </c>
      <c r="T36" s="42">
        <f t="shared" ca="1" si="11"/>
        <v>0</v>
      </c>
      <c r="U36" s="42">
        <f t="shared" ca="1" si="12"/>
        <v>0</v>
      </c>
    </row>
    <row r="37" spans="1:28" ht="12.75" customHeight="1" x14ac:dyDescent="0.15">
      <c r="A37" s="40" t="str">
        <f ca="1">VLOOKUP(C26,INDIRECT($F$8),7+(O37-1)*4,0)</f>
        <v>AHT 303</v>
      </c>
      <c r="B37" s="207" t="str">
        <f ca="1">VLOOKUP(D26,INDIRECT($F$8),7+(O37-1)*4,0)</f>
        <v xml:space="preserve">Technical Writing and Presentation Skill ($) </v>
      </c>
      <c r="C37" s="207"/>
      <c r="D37" s="207"/>
      <c r="E37" s="207"/>
      <c r="F37" s="40">
        <f ca="1">VLOOKUP(E26,INDIRECT($F$8),7+(O37-1)*4,0)</f>
        <v>0</v>
      </c>
      <c r="G37" s="208" t="s">
        <v>86</v>
      </c>
      <c r="H37" s="208"/>
      <c r="I37" s="208" t="str">
        <f ca="1">_xlfn.TEXTJOIN("/",FALSE,VLOOKUP(B26,INDIRECT($F$8),8+(O37-1)*4)-Z37,VLOOKUP(A26,INDIRECT($F$8),8+(O37-1)*4-Z37))</f>
        <v>37/50</v>
      </c>
      <c r="J37" s="208"/>
      <c r="K37" s="208" t="str">
        <f ca="1">_xlfn.TEXTJOIN("/",FALSE,VLOOKUP(B26,INDIRECT($F$8),9+(O37-1)*4-AA37),VLOOKUP(A26,INDIRECT($F$8),9+(O37-1)*4-AA37))</f>
        <v>37/50</v>
      </c>
      <c r="L37" s="208"/>
      <c r="M37" s="40" t="e">
        <f ca="1">VLOOKUP(B26,INDIRECT($F$8),10+(O37-1)*4-AB37,0)</f>
        <v>#N/A</v>
      </c>
      <c r="N37" s="41" t="e">
        <f t="shared" ca="1" si="7"/>
        <v>#N/A</v>
      </c>
      <c r="O37">
        <v>7</v>
      </c>
      <c r="P37" s="42">
        <f t="shared" si="13"/>
        <v>0</v>
      </c>
      <c r="Q37" s="42">
        <f t="shared" ca="1" si="8"/>
        <v>37</v>
      </c>
      <c r="R37" s="42">
        <f t="shared" ca="1" si="9"/>
        <v>37</v>
      </c>
      <c r="S37" s="42">
        <f t="shared" si="10"/>
        <v>0</v>
      </c>
      <c r="T37" s="42">
        <f t="shared" ca="1" si="11"/>
        <v>50</v>
      </c>
      <c r="U37" s="42">
        <f t="shared" ca="1" si="12"/>
        <v>50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</row>
    <row r="38" spans="1:28" ht="12.75" customHeight="1" x14ac:dyDescent="0.15">
      <c r="A38" s="40" t="str">
        <f ca="1">VLOOKUP(C26,INDIRECT($F$8),7+(O38-1)*4-V38,0)</f>
        <v>CEP 601</v>
      </c>
      <c r="B38" s="207" t="str">
        <f ca="1">VLOOKUP(D26,INDIRECT($F$8),7+(O38-1)*4-W38,0)</f>
        <v>Advanced Soil Mechanics Lab</v>
      </c>
      <c r="C38" s="207"/>
      <c r="D38" s="207"/>
      <c r="E38" s="207"/>
      <c r="F38" s="40">
        <f ca="1">VLOOKUP(E26,INDIRECT($F$8),7+(O38-1)*4-X38,0)</f>
        <v>1</v>
      </c>
      <c r="G38" s="208" t="str">
        <f ca="1">_xlfn.TEXTJOIN("/",FALSE,VLOOKUP(B26,INDIRECT($F$8),7+(O38-1)*4-Y38),VLOOKUP(A26,INDIRECT($F$8),7+(O38-1)*4-Y38))</f>
        <v>22/25</v>
      </c>
      <c r="H38" s="208"/>
      <c r="I38" s="208" t="str">
        <f ca="1">_xlfn.TEXTJOIN("/",FALSE,VLOOKUP(B26,INDIRECT($F$8),8+(O38-1)*4-Z38),VLOOKUP(A26,INDIRECT($F$8),8+(O38-1)*4-Z38))</f>
        <v>23/25</v>
      </c>
      <c r="J38" s="208"/>
      <c r="K38" s="208" t="str">
        <f ca="1">_xlfn.TEXTJOIN("/",FALSE,VLOOKUP(B26,INDIRECT($F$8),9+(O38-1)*4-AA38),VLOOKUP(A26,INDIRECT($F$8),9+(O38-1)*4-AA38))</f>
        <v>45/50</v>
      </c>
      <c r="L38" s="208"/>
      <c r="M38" s="40" t="e">
        <f ca="1">VLOOKUP(B26,INDIRECT($F$8),10+(O38-1)*4-AB38,0)</f>
        <v>#N/A</v>
      </c>
      <c r="N38" s="41" t="e">
        <f t="shared" ca="1" si="7"/>
        <v>#N/A</v>
      </c>
      <c r="O38">
        <v>8</v>
      </c>
      <c r="P38" s="42">
        <f t="shared" ca="1" si="13"/>
        <v>22</v>
      </c>
      <c r="Q38" s="42">
        <f t="shared" ca="1" si="8"/>
        <v>23</v>
      </c>
      <c r="R38" s="42">
        <f t="shared" ca="1" si="9"/>
        <v>45</v>
      </c>
      <c r="S38" s="42">
        <f t="shared" ca="1" si="10"/>
        <v>25</v>
      </c>
      <c r="T38" s="42">
        <f t="shared" ca="1" si="11"/>
        <v>25</v>
      </c>
      <c r="U38" s="42">
        <f t="shared" ca="1" si="12"/>
        <v>50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1:28" ht="12.75" customHeight="1" x14ac:dyDescent="0.15">
      <c r="A39" s="40" t="str">
        <f ca="1">VLOOKUP(C26,INDIRECT($F$8),7+(O39-1)*4-V39,0)</f>
        <v>CEP 602</v>
      </c>
      <c r="B39" s="207" t="str">
        <f ca="1">VLOOKUP(D26,INDIRECT($F$8),7+(O39-1)*4-W39,0)</f>
        <v>Soil Dynamics Lab</v>
      </c>
      <c r="C39" s="207"/>
      <c r="D39" s="207"/>
      <c r="E39" s="207"/>
      <c r="F39" s="40">
        <f ca="1">VLOOKUP(E26,INDIRECT($F$8),7+(O39-1)*4-X39,0)</f>
        <v>1</v>
      </c>
      <c r="G39" s="208" t="e">
        <f ca="1">_xlfn.TEXTJOIN("/",FALSE,VLOOKUP(B26,INDIRECT($F$8),7+(O39-1)*4-Y39,0),VLOOKUP(A26,INDIRECT($F$8),7+(O39-1)*4-Y39,0))</f>
        <v>#N/A</v>
      </c>
      <c r="H39" s="208"/>
      <c r="I39" s="208" t="e">
        <f ca="1">_xlfn.TEXTJOIN("/",FALSE,VLOOKUP(B26,INDIRECT($F$8),8+(O39-1)*4-Z39,0),VLOOKUP(A26,INDIRECT($F$8),8+(O39-1)*4-Z39,0))</f>
        <v>#N/A</v>
      </c>
      <c r="J39" s="208"/>
      <c r="K39" s="208" t="e">
        <f ca="1">_xlfn.TEXTJOIN("/",FALSE,VLOOKUP(B26,INDIRECT($F$8),9+(O39-1)*4-AA39,0),VLOOKUP(A26,INDIRECT($F$8),9+(O39-1)*4-AA39,0))</f>
        <v>#N/A</v>
      </c>
      <c r="L39" s="208"/>
      <c r="M39" s="40" t="e">
        <f ca="1">VLOOKUP(B26,INDIRECT($F$8),10+(O39-1)*4-AB39,0)</f>
        <v>#N/A</v>
      </c>
      <c r="N39" s="41" t="e">
        <f t="shared" ca="1" si="7"/>
        <v>#N/A</v>
      </c>
      <c r="O39">
        <v>9</v>
      </c>
      <c r="P39" s="42">
        <f t="shared" ca="1" si="13"/>
        <v>0</v>
      </c>
      <c r="Q39" s="42">
        <f t="shared" ca="1" si="8"/>
        <v>0</v>
      </c>
      <c r="R39" s="42">
        <f t="shared" ca="1" si="9"/>
        <v>0</v>
      </c>
      <c r="S39" s="42">
        <f t="shared" ca="1" si="10"/>
        <v>0</v>
      </c>
      <c r="T39" s="42">
        <f t="shared" ca="1" si="11"/>
        <v>0</v>
      </c>
      <c r="U39" s="42">
        <f t="shared" ca="1" si="12"/>
        <v>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</row>
    <row r="40" spans="1:28" ht="12.75" customHeight="1" x14ac:dyDescent="0.15">
      <c r="A40" s="209" t="str">
        <f ca="1">IF(ISERROR(F26),"",A22)</f>
        <v/>
      </c>
      <c r="B40" s="209"/>
      <c r="C40" s="209"/>
      <c r="D40" s="209"/>
      <c r="E40" s="209"/>
      <c r="F40" s="43" t="str">
        <f ca="1">IF(ISERROR(F26),"",SUM(F31:F39))</f>
        <v/>
      </c>
      <c r="G40" s="209" t="str">
        <f ca="1">IF(ISERROR(F26),"",_xlfn.TEXTJOIN("/",TRUE,SUMIF(F31:F39,"&gt;0",P31:P39),SUMIF(F31:F39,"&gt;0",S31:S39)))</f>
        <v/>
      </c>
      <c r="H40" s="209"/>
      <c r="I40" s="209" t="str">
        <f ca="1">IF(ISERROR(F26),"",_xlfn.TEXTJOIN("/",TRUE,SUMIF(F31:F39,"&gt;0",Q31:Q39),SUMIF(F31:F39,"&gt;0",T31:T39)))</f>
        <v/>
      </c>
      <c r="J40" s="209"/>
      <c r="K40" s="209" t="str">
        <f ca="1">IF(ISERROR(F26),"",IF(ISERROR(F26),"",_xlfn.TEXTJOIN("/",TRUE,SUMIF(F31:F39,"&gt;0",R31:R39),SUMIF(F31:F39,"&gt;0",U31:U39))))</f>
        <v/>
      </c>
      <c r="L40" s="209"/>
      <c r="M40" s="210" t="str">
        <f ca="1">IF(ISERROR(F26),"",SUMPRODUCT(N31:N39,F31:F39))</f>
        <v/>
      </c>
      <c r="N40" s="210"/>
    </row>
    <row r="41" spans="1:28" ht="12.75" customHeight="1" x14ac:dyDescent="0.15">
      <c r="A41" s="210" t="str">
        <f ca="1">IF(ISERROR(F26),"",A23)</f>
        <v/>
      </c>
      <c r="B41" s="206" t="str">
        <f ca="1">IFERROR(VLOOKUP(B26,INDIRECT($F$8),11+(O39-1)*4+3-V41,0),"")</f>
        <v/>
      </c>
      <c r="C41" s="206"/>
      <c r="D41" s="210" t="str">
        <f ca="1">IF(ISERROR(F26),"",D23)</f>
        <v/>
      </c>
      <c r="E41" s="206" t="str">
        <f ca="1">IFERROR(IF(VLOOKUP(B26,INDIRECT($F$8),11+(O39-1)*4+4-V41,0)=0,"",VLOOKUP(B26,INDIRECT($F$8),11+(O39-1)*4+4-V41,0)),"")</f>
        <v/>
      </c>
      <c r="F41" s="206"/>
      <c r="G41" s="210" t="str">
        <f ca="1">IF(ISERROR(F26),"",G23)</f>
        <v/>
      </c>
      <c r="H41" s="211" t="str">
        <f ca="1">IFERROR(VLOOKUP(B26,INDIRECT($F$8),11+(O39-1)*4-V41,0),"")</f>
        <v/>
      </c>
      <c r="I41" s="210" t="str">
        <f ca="1">IF(ISERROR(F26),"",I23)</f>
        <v/>
      </c>
      <c r="J41" s="211" t="str">
        <f ca="1">IFERROR(VLOOKUP(B26,INDIRECT($F$8),11+(O39-1)*4+1-V41,0),"")</f>
        <v/>
      </c>
      <c r="K41" s="206" t="str">
        <f ca="1">IF(ISERROR(F26),"",K23)</f>
        <v/>
      </c>
      <c r="L41" s="210" t="str">
        <f ca="1">IFERROR(VLOOKUP(B26,INDIRECT($F$8),11+(O39-1)*4+2-V41,0),"")</f>
        <v/>
      </c>
      <c r="M41" s="206" t="str">
        <f ca="1">IF(ISERROR(F26),"",M23)</f>
        <v/>
      </c>
      <c r="N41" s="210" t="str">
        <f ca="1">IFERROR(VLOOKUP(B26,INDIRECT($F$8),11+(O39-1)*4+5-V41,0),"")</f>
        <v/>
      </c>
      <c r="V41">
        <v>0</v>
      </c>
    </row>
    <row r="42" spans="1:28" ht="12.75" customHeight="1" x14ac:dyDescent="0.15">
      <c r="A42" s="210"/>
      <c r="B42" s="206"/>
      <c r="C42" s="206"/>
      <c r="D42" s="210"/>
      <c r="E42" s="206"/>
      <c r="F42" s="206"/>
      <c r="G42" s="210"/>
      <c r="H42" s="211"/>
      <c r="I42" s="210"/>
      <c r="J42" s="211"/>
      <c r="K42" s="206"/>
      <c r="L42" s="210"/>
      <c r="M42" s="206"/>
      <c r="N42" s="210"/>
    </row>
    <row r="43" spans="1:28" ht="12.75" customHeight="1" x14ac:dyDescent="0.15">
      <c r="A43" s="210"/>
      <c r="B43" s="206"/>
      <c r="C43" s="206"/>
      <c r="D43" s="210"/>
      <c r="E43" s="206"/>
      <c r="F43" s="206"/>
      <c r="G43" s="210"/>
      <c r="H43" s="211"/>
      <c r="I43" s="210"/>
      <c r="J43" s="211"/>
      <c r="K43" s="206"/>
      <c r="L43" s="210"/>
      <c r="M43" s="206"/>
      <c r="N43" s="210"/>
    </row>
    <row r="44" spans="1:28" ht="12.75" customHeight="1" x14ac:dyDescent="0.15">
      <c r="A44" s="38" t="s">
        <v>73</v>
      </c>
      <c r="B44" s="38">
        <f>B26+1</f>
        <v>3</v>
      </c>
      <c r="C44" s="38" t="s">
        <v>71</v>
      </c>
      <c r="D44" s="38" t="s">
        <v>72</v>
      </c>
      <c r="E44" s="38" t="s">
        <v>40</v>
      </c>
      <c r="F44" s="38" t="e">
        <f ca="1">VLOOKUP(B44,INDIRECT($F$8),4,0)</f>
        <v>#N/A</v>
      </c>
      <c r="G44" s="39"/>
      <c r="H44" s="39"/>
      <c r="I44" s="39"/>
      <c r="J44" s="39"/>
      <c r="K44" s="39"/>
      <c r="L44" s="39"/>
      <c r="M44" s="39"/>
      <c r="N44" s="39"/>
    </row>
    <row r="45" spans="1:28" ht="12.75" customHeight="1" x14ac:dyDescent="0.15">
      <c r="A45" s="204" t="str">
        <f ca="1">IF(ISERROR(F44),"",A27)</f>
        <v/>
      </c>
      <c r="B45" s="204" t="str">
        <f ca="1">IFERROR(VLOOKUP(B44,INDIRECT($F$8),5,0),"")</f>
        <v/>
      </c>
      <c r="C45" s="204"/>
      <c r="D45" s="204" t="str">
        <f ca="1">IF(ISERROR(F44),"",D27)</f>
        <v/>
      </c>
      <c r="E45" s="204" t="str">
        <f ca="1">IFERROR(VLOOKUP(B44,INDIRECT($F$8),6,0),"")</f>
        <v/>
      </c>
      <c r="F45" s="204"/>
      <c r="G45" s="204" t="str">
        <f ca="1">IF(ISERROR(F44),"",G27)</f>
        <v/>
      </c>
      <c r="H45" s="204"/>
      <c r="I45" s="205" t="str">
        <f ca="1">IFERROR(VLOOKUP(B44,INDIRECT($F$8),2,0),"")</f>
        <v/>
      </c>
      <c r="J45" s="205"/>
      <c r="K45" s="204" t="str">
        <f ca="1">IF(ISERROR(F44),"",K27)</f>
        <v/>
      </c>
      <c r="L45" s="204"/>
      <c r="M45" s="205" t="str">
        <f ca="1">IFERROR(IF(VLOOKUP(B44,INDIRECT($F$8),3,0)=0,"",VLOOKUP(B44,INDIRECT($F$8),3,0)),"")</f>
        <v/>
      </c>
      <c r="N45" s="205"/>
    </row>
    <row r="46" spans="1:28" ht="12.75" customHeight="1" x14ac:dyDescent="0.15">
      <c r="A46" s="204"/>
      <c r="B46" s="204"/>
      <c r="C46" s="204"/>
      <c r="D46" s="204"/>
      <c r="E46" s="204"/>
      <c r="F46" s="204"/>
      <c r="G46" s="204"/>
      <c r="H46" s="204"/>
      <c r="I46" s="205"/>
      <c r="J46" s="205"/>
      <c r="K46" s="204"/>
      <c r="L46" s="204"/>
      <c r="M46" s="205"/>
      <c r="N46" s="205"/>
    </row>
    <row r="47" spans="1:28" ht="12.75" customHeight="1" x14ac:dyDescent="0.15">
      <c r="A47" s="206" t="str">
        <f ca="1">IF(ISERROR(F44),"",A29)</f>
        <v/>
      </c>
      <c r="B47" s="206" t="str">
        <f ca="1">IF(ISERROR(F44),"",B29)</f>
        <v/>
      </c>
      <c r="C47" s="206"/>
      <c r="D47" s="206"/>
      <c r="E47" s="206"/>
      <c r="F47" s="206" t="str">
        <f ca="1">IF(ISERROR(F44),"",F29)</f>
        <v/>
      </c>
      <c r="G47" s="206" t="str">
        <f ca="1">IF(ISERROR(F44),"",G29)</f>
        <v/>
      </c>
      <c r="H47" s="206"/>
      <c r="I47" s="206" t="str">
        <f ca="1">IF(ISERROR(F44),"",I29)</f>
        <v/>
      </c>
      <c r="J47" s="206"/>
      <c r="K47" s="206" t="str">
        <f ca="1">IF(ISERROR(F44),"",K29)</f>
        <v/>
      </c>
      <c r="L47" s="206"/>
      <c r="M47" s="206" t="str">
        <f ca="1">IF(ISERROR(F44),"",M29)</f>
        <v/>
      </c>
      <c r="N47" s="206" t="str">
        <f ca="1">IF(ISERROR(F44),"",N29)</f>
        <v/>
      </c>
    </row>
    <row r="48" spans="1:28" ht="12.75" customHeight="1" x14ac:dyDescent="0.15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</row>
    <row r="49" spans="1:28" ht="12.75" customHeight="1" x14ac:dyDescent="0.15">
      <c r="A49" s="40" t="str">
        <f ca="1">IF(ISERROR(F44),"",VLOOKUP(C44,INDIRECT($F$8),7+(O49-1)*4,0))</f>
        <v/>
      </c>
      <c r="B49" s="207" t="str">
        <f ca="1">IF(ISERROR(F44),"",VLOOKUP(D44,INDIRECT($F$8),7+(O49-1)*4,0))</f>
        <v/>
      </c>
      <c r="C49" s="207"/>
      <c r="D49" s="207"/>
      <c r="E49" s="207"/>
      <c r="F49" s="40" t="str">
        <f ca="1">IF(ISERROR(F44),"",VLOOKUP(E44,INDIRECT($F$8),7+(O49-1)*4,0))</f>
        <v/>
      </c>
      <c r="G49" s="208" t="str">
        <f ca="1">IF(ISERROR(F44),"",_xlfn.TEXTJOIN("/",FALSE,VLOOKUP(B44,INDIRECT($F$8),7+(O49-1)*4),VLOOKUP(A44,INDIRECT($F$8),7+(O49-1)*4)))</f>
        <v/>
      </c>
      <c r="H49" s="208"/>
      <c r="I49" s="208" t="str">
        <f ca="1">IF(ISERROR(F44),"",_xlfn.TEXTJOIN("/",FALSE,VLOOKUP(B44,INDIRECT($F$8),8+(O49-1)*4,0),VLOOKUP(A44,INDIRECT($F$8),8+(O49-1)*4,0)))</f>
        <v/>
      </c>
      <c r="J49" s="208"/>
      <c r="K49" s="208" t="str">
        <f ca="1">IF(ISERROR(F44),"",_xlfn.TEXTJOIN("/",FALSE,VLOOKUP(B44,INDIRECT($F$8),9+(O49-1)*4),VLOOKUP(A44,INDIRECT($F$8),9+(O49-1)*4)))</f>
        <v/>
      </c>
      <c r="L49" s="208"/>
      <c r="M49" s="40" t="str">
        <f ca="1">IF(ISERROR(F44),"",VLOOKUP(B44,INDIRECT($F$8),10+(O49-1)*4,0))</f>
        <v/>
      </c>
      <c r="N49" s="41" t="str">
        <f t="shared" ref="N49:N57" ca="1" si="14">INDEX($W$2:$W$12,MATCH(M49,$V$2:$V$12,0))</f>
        <v/>
      </c>
      <c r="O49">
        <v>1</v>
      </c>
      <c r="P49" s="42">
        <f ca="1">IFERROR(VALUE(IFERROR(LEFT(G49,SEARCH("/",G49)-1),0)),"")</f>
        <v>0</v>
      </c>
      <c r="Q49" s="42">
        <f ca="1">IFERROR(VALUE(IFERROR(LEFT(I49,SEARCH("/",I49)-1),0)),"")</f>
        <v>0</v>
      </c>
      <c r="R49" s="42">
        <f ca="1">IFERROR(VALUE(IFERROR(LEFT(K49,SEARCH("/",K49)-1),0)),"")</f>
        <v>0</v>
      </c>
      <c r="S49" s="42">
        <f ca="1">VALUE(IFERROR(RIGHT(G49,LEN(G49)-SEARCH("/",G49)),0))</f>
        <v>0</v>
      </c>
      <c r="T49" s="42">
        <f ca="1">VALUE(IFERROR(RIGHT(I49,LEN(I49)-SEARCH("/",I49)),0))</f>
        <v>0</v>
      </c>
      <c r="U49" s="42">
        <f ca="1">VALUE(IFERROR(RIGHT(K49,LEN(K49)-SEARCH("/",K49)),0))</f>
        <v>0</v>
      </c>
    </row>
    <row r="50" spans="1:28" ht="12.75" customHeight="1" x14ac:dyDescent="0.15">
      <c r="A50" s="40" t="str">
        <f ca="1">IF(ISERROR(F44),"",VLOOKUP(C44,INDIRECT($F$8),7+(O50-1)*4,0))</f>
        <v/>
      </c>
      <c r="B50" s="207" t="str">
        <f ca="1">IF(ISERROR(F44),"",VLOOKUP(D44,INDIRECT($F$8),7+(O50-1)*4,0))</f>
        <v/>
      </c>
      <c r="C50" s="207"/>
      <c r="D50" s="207"/>
      <c r="E50" s="207"/>
      <c r="F50" s="40" t="str">
        <f ca="1">IF(ISERROR(F44),"",VLOOKUP(E44,INDIRECT($F$8),7+(O50-1)*4,0))</f>
        <v/>
      </c>
      <c r="G50" s="208" t="str">
        <f ca="1">IF(ISERROR(F44),"",_xlfn.TEXTJOIN("/",FALSE,VLOOKUP(B44,INDIRECT($F$8),7+(O50-1)*4),VLOOKUP(A44,INDIRECT($F$8),7+(O50-1)*4)))</f>
        <v/>
      </c>
      <c r="H50" s="208"/>
      <c r="I50" s="208" t="str">
        <f ca="1">IF(ISERROR(F44),"",_xlfn.TEXTJOIN("/",FALSE,VLOOKUP(B44,INDIRECT($F$8),8+(O50-1)*4),VLOOKUP(A44,INDIRECT($F$8),8+(O50-1)*4)))</f>
        <v/>
      </c>
      <c r="J50" s="208"/>
      <c r="K50" s="208" t="str">
        <f ca="1">IF(ISERROR(F44),"",_xlfn.TEXTJOIN("/",FALSE,VLOOKUP(B44,INDIRECT($F$8),9+(O50-1)*4),VLOOKUP(A44,INDIRECT($F$8),9+(O50-1)*4)))</f>
        <v/>
      </c>
      <c r="L50" s="208"/>
      <c r="M50" s="40" t="str">
        <f ca="1">IF(ISERROR(F44),"",VLOOKUP(B44,INDIRECT($F$8),10+(O50-1)*4,0))</f>
        <v/>
      </c>
      <c r="N50" s="41" t="str">
        <f t="shared" ca="1" si="14"/>
        <v/>
      </c>
      <c r="O50">
        <v>2</v>
      </c>
      <c r="P50" s="42">
        <f ca="1">IFERROR(VALUE(IFERROR(LEFT(G50,SEARCH("/",G50)-1),0)),"")</f>
        <v>0</v>
      </c>
      <c r="Q50" s="42">
        <f t="shared" ref="Q50:Q57" ca="1" si="15">IFERROR(VALUE(IFERROR(LEFT(I50,SEARCH("/",I50)-1),0)),"")</f>
        <v>0</v>
      </c>
      <c r="R50" s="42">
        <f t="shared" ref="R50:R57" ca="1" si="16">IFERROR(VALUE(IFERROR(LEFT(K50,SEARCH("/",K50)-1),0)),"")</f>
        <v>0</v>
      </c>
      <c r="S50" s="42">
        <f t="shared" ref="S50:S57" ca="1" si="17">VALUE(IFERROR(RIGHT(G50,LEN(G50)-SEARCH("/",G50)),0))</f>
        <v>0</v>
      </c>
      <c r="T50" s="42">
        <f t="shared" ref="T50:T57" ca="1" si="18">VALUE(IFERROR(RIGHT(I50,LEN(I50)-SEARCH("/",I50)),0))</f>
        <v>0</v>
      </c>
      <c r="U50" s="42">
        <f t="shared" ref="U50:U57" ca="1" si="19">VALUE(IFERROR(RIGHT(K50,LEN(K50)-SEARCH("/",K50)),0))</f>
        <v>0</v>
      </c>
    </row>
    <row r="51" spans="1:28" ht="12.75" customHeight="1" x14ac:dyDescent="0.15">
      <c r="A51" s="40" t="str">
        <f ca="1">IF(ISERROR(F44),"",VLOOKUP(C44,INDIRECT($F$8),7+(O51-1)*4,0))</f>
        <v/>
      </c>
      <c r="B51" s="207" t="str">
        <f ca="1">IF(ISERROR(F44),"",VLOOKUP(D44,INDIRECT($F$8),7+(O51-1)*4,0))</f>
        <v/>
      </c>
      <c r="C51" s="207"/>
      <c r="D51" s="207"/>
      <c r="E51" s="207"/>
      <c r="F51" s="40" t="str">
        <f ca="1">IF(ISERROR(F44),"",VLOOKUP(E44,INDIRECT($F$8),7+(O51-1)*4,0))</f>
        <v/>
      </c>
      <c r="G51" s="208" t="str">
        <f ca="1">IF(ISERROR(F44),"",_xlfn.TEXTJOIN("/",FALSE,VLOOKUP(B44,INDIRECT($F$8),7+(O51-1)*4),VLOOKUP(A44,INDIRECT($F$8),7+(O51-1)*4)))</f>
        <v/>
      </c>
      <c r="H51" s="208"/>
      <c r="I51" s="208" t="str">
        <f ca="1">IF(ISERROR(F44),"",_xlfn.TEXTJOIN("/",FALSE,VLOOKUP(B44,INDIRECT($F$8),8+(O51-1)*4),VLOOKUP(A44,INDIRECT($F$8),8+(O51-1)*4)))</f>
        <v/>
      </c>
      <c r="J51" s="208"/>
      <c r="K51" s="208" t="str">
        <f ca="1">IF(ISERROR(F44),"",_xlfn.TEXTJOIN("/",FALSE,VLOOKUP(B44,INDIRECT($F$8),9+(O51-1)*4),VLOOKUP(A44,INDIRECT($F$8),9+(O51-1)*4)))</f>
        <v/>
      </c>
      <c r="L51" s="208"/>
      <c r="M51" s="40" t="str">
        <f ca="1">IF(ISERROR(F44),"",VLOOKUP(B44,INDIRECT($F$8),10+(O51-1)*4,0))</f>
        <v/>
      </c>
      <c r="N51" s="41" t="str">
        <f t="shared" ca="1" si="14"/>
        <v/>
      </c>
      <c r="O51">
        <v>3</v>
      </c>
      <c r="P51" s="42">
        <f t="shared" ref="P51:P57" ca="1" si="20">IFERROR(VALUE(IFERROR(LEFT(G51,SEARCH("/",G51)-1),0)),"")</f>
        <v>0</v>
      </c>
      <c r="Q51" s="42">
        <f t="shared" ca="1" si="15"/>
        <v>0</v>
      </c>
      <c r="R51" s="42">
        <f t="shared" ca="1" si="16"/>
        <v>0</v>
      </c>
      <c r="S51" s="42">
        <f t="shared" ca="1" si="17"/>
        <v>0</v>
      </c>
      <c r="T51" s="42">
        <f t="shared" ca="1" si="18"/>
        <v>0</v>
      </c>
      <c r="U51" s="42">
        <f t="shared" ca="1" si="19"/>
        <v>0</v>
      </c>
    </row>
    <row r="52" spans="1:28" ht="12.75" customHeight="1" x14ac:dyDescent="0.15">
      <c r="A52" s="40" t="str">
        <f ca="1">IF(ISERROR(F44),"",VLOOKUP(C44,INDIRECT($F$8),7+(O52-1)*4,0))</f>
        <v/>
      </c>
      <c r="B52" s="207" t="str">
        <f ca="1">IF(ISERROR(F44),"",VLOOKUP(D44,INDIRECT($F$8),7+(O52-1)*4,0))</f>
        <v/>
      </c>
      <c r="C52" s="207"/>
      <c r="D52" s="207"/>
      <c r="E52" s="207"/>
      <c r="F52" s="40" t="str">
        <f ca="1">IF(ISERROR(F44),"",VLOOKUP(E44,INDIRECT($F$8),7+(O52-1)*4,0))</f>
        <v/>
      </c>
      <c r="G52" s="208" t="str">
        <f ca="1">IF(ISERROR(F44),"",_xlfn.TEXTJOIN("/",FALSE,VLOOKUP(B44,INDIRECT($F$8),7+(O52-1)*4),VLOOKUP(A44,INDIRECT($F$8),7+(O52-1)*4)))</f>
        <v/>
      </c>
      <c r="H52" s="208"/>
      <c r="I52" s="208" t="str">
        <f ca="1">IF(ISERROR(F44),"",_xlfn.TEXTJOIN("/",FALSE,VLOOKUP(B44,INDIRECT($F$8),8+(O52-1)*4),VLOOKUP(A44,INDIRECT($F$8),8+(O52-1)*4)))</f>
        <v/>
      </c>
      <c r="J52" s="208"/>
      <c r="K52" s="208" t="str">
        <f ca="1">IF(ISERROR(F44),"",_xlfn.TEXTJOIN("/",FALSE,VLOOKUP(B44,INDIRECT($F$8),9+(O52-1)*4),VLOOKUP(A44,INDIRECT($F$8),9+(O52-1)*4)))</f>
        <v/>
      </c>
      <c r="L52" s="208"/>
      <c r="M52" s="40" t="str">
        <f ca="1">IF(ISERROR(F44),"",VLOOKUP(B44,INDIRECT($F$8),10+(O52-1)*4,0))</f>
        <v/>
      </c>
      <c r="N52" s="41" t="str">
        <f t="shared" ca="1" si="14"/>
        <v/>
      </c>
      <c r="O52">
        <v>4</v>
      </c>
      <c r="P52" s="42">
        <f t="shared" ca="1" si="20"/>
        <v>0</v>
      </c>
      <c r="Q52" s="42">
        <f t="shared" ca="1" si="15"/>
        <v>0</v>
      </c>
      <c r="R52" s="42">
        <f t="shared" ca="1" si="16"/>
        <v>0</v>
      </c>
      <c r="S52" s="42">
        <f t="shared" ca="1" si="17"/>
        <v>0</v>
      </c>
      <c r="T52" s="42">
        <f t="shared" ca="1" si="18"/>
        <v>0</v>
      </c>
      <c r="U52" s="42">
        <f t="shared" ca="1" si="19"/>
        <v>0</v>
      </c>
    </row>
    <row r="53" spans="1:28" ht="12.75" customHeight="1" x14ac:dyDescent="0.15">
      <c r="A53" s="40" t="str">
        <f ca="1">IF(ISERROR(F44),"",VLOOKUP(C44,INDIRECT($F$8),7+(O53-1)*4,0))</f>
        <v/>
      </c>
      <c r="B53" s="207" t="str">
        <f ca="1">IF(ISERROR(F44),"",VLOOKUP(D44,INDIRECT($F$8),7+(O53-1)*4,0))</f>
        <v/>
      </c>
      <c r="C53" s="207"/>
      <c r="D53" s="207"/>
      <c r="E53" s="207"/>
      <c r="F53" s="40" t="str">
        <f ca="1">IF(ISERROR(F44),"",VLOOKUP(E44,INDIRECT($F$8),7+(O53-1)*4,0))</f>
        <v/>
      </c>
      <c r="G53" s="208" t="str">
        <f ca="1">IF(ISERROR(F44),"",_xlfn.TEXTJOIN("/",FALSE,VLOOKUP(B44,INDIRECT($F$8),7+(O53-1)*4),VLOOKUP(A44,INDIRECT($F$8),7+(O53-1)*4)))</f>
        <v/>
      </c>
      <c r="H53" s="208"/>
      <c r="I53" s="208" t="str">
        <f ca="1">IF(ISERROR(F44),"",_xlfn.TEXTJOIN("/",FALSE,VLOOKUP(B44,INDIRECT($F$8),8+(O53-1)*4),VLOOKUP(A44,INDIRECT($F$8),8+(O53-1)*4)))</f>
        <v/>
      </c>
      <c r="J53" s="208"/>
      <c r="K53" s="208" t="str">
        <f ca="1">IF(ISERROR(F44),"",_xlfn.TEXTJOIN("/",FALSE,VLOOKUP(B44,INDIRECT($F$8),9+(O53-1)*4),VLOOKUP(A44,INDIRECT($F$8),9+(O53-1)*4)))</f>
        <v/>
      </c>
      <c r="L53" s="208"/>
      <c r="M53" s="40" t="str">
        <f ca="1">IF(ISERROR(F44),"",VLOOKUP(B44,INDIRECT($F$8),10+(O53-1)*4,0))</f>
        <v/>
      </c>
      <c r="N53" s="41" t="str">
        <f t="shared" ca="1" si="14"/>
        <v/>
      </c>
      <c r="O53">
        <v>5</v>
      </c>
      <c r="P53" s="42">
        <f t="shared" ca="1" si="20"/>
        <v>0</v>
      </c>
      <c r="Q53" s="42">
        <f t="shared" ca="1" si="15"/>
        <v>0</v>
      </c>
      <c r="R53" s="42">
        <f t="shared" ca="1" si="16"/>
        <v>0</v>
      </c>
      <c r="S53" s="42">
        <f t="shared" ca="1" si="17"/>
        <v>0</v>
      </c>
      <c r="T53" s="42">
        <f t="shared" ca="1" si="18"/>
        <v>0</v>
      </c>
      <c r="U53" s="42">
        <f t="shared" ca="1" si="19"/>
        <v>0</v>
      </c>
    </row>
    <row r="54" spans="1:28" ht="12.75" customHeight="1" x14ac:dyDescent="0.15">
      <c r="A54" s="40" t="str">
        <f ca="1">IF(ISERROR(F44),"",VLOOKUP(C44,INDIRECT($F$8),7+(O54-1)*4,0))</f>
        <v/>
      </c>
      <c r="B54" s="207" t="str">
        <f ca="1">IF(ISERROR(F44),"",VLOOKUP(D44,INDIRECT($F$8),7+(O54-1)*4,0))</f>
        <v/>
      </c>
      <c r="C54" s="207"/>
      <c r="D54" s="207"/>
      <c r="E54" s="207"/>
      <c r="F54" s="40" t="str">
        <f ca="1">IF(ISERROR(F44),"",VLOOKUP(E44,INDIRECT($F$8),7+(O54-1)*4,0))</f>
        <v/>
      </c>
      <c r="G54" s="208" t="str">
        <f ca="1">IF(ISERROR(F44),"",_xlfn.TEXTJOIN("/",FALSE,VLOOKUP(B44,INDIRECT($F$8),7+(O54-1)*4),VLOOKUP(A44,INDIRECT($F$8),7+(O54-1)*4)))</f>
        <v/>
      </c>
      <c r="H54" s="208"/>
      <c r="I54" s="208" t="str">
        <f ca="1">IF(ISERROR(F44),"",_xlfn.TEXTJOIN("/",FALSE,VLOOKUP(B44,INDIRECT($F$8),8+(O54-1)*4),VLOOKUP(A44,INDIRECT($F$8),8+(O54-1)*4)))</f>
        <v/>
      </c>
      <c r="J54" s="208"/>
      <c r="K54" s="208" t="str">
        <f ca="1">IF(ISERROR(F44),"",_xlfn.TEXTJOIN("/",FALSE,VLOOKUP(B44,INDIRECT($F$8),9+(O54-1)*4),VLOOKUP(A44,INDIRECT($F$8),9+(O54-1)*4)))</f>
        <v/>
      </c>
      <c r="L54" s="208"/>
      <c r="M54" s="40" t="str">
        <f ca="1">IF(ISERROR(F44),"",VLOOKUP(B44,INDIRECT($F$8),10+(O54-1)*4,0))</f>
        <v/>
      </c>
      <c r="N54" s="41" t="str">
        <f t="shared" ca="1" si="14"/>
        <v/>
      </c>
      <c r="O54">
        <v>6</v>
      </c>
      <c r="P54" s="42">
        <f t="shared" ca="1" si="20"/>
        <v>0</v>
      </c>
      <c r="Q54" s="42">
        <f t="shared" ca="1" si="15"/>
        <v>0</v>
      </c>
      <c r="R54" s="42">
        <f t="shared" ca="1" si="16"/>
        <v>0</v>
      </c>
      <c r="S54" s="42">
        <f t="shared" ca="1" si="17"/>
        <v>0</v>
      </c>
      <c r="T54" s="42">
        <f t="shared" ca="1" si="18"/>
        <v>0</v>
      </c>
      <c r="U54" s="42">
        <f t="shared" ca="1" si="19"/>
        <v>0</v>
      </c>
    </row>
    <row r="55" spans="1:28" ht="12.75" customHeight="1" x14ac:dyDescent="0.15">
      <c r="A55" s="40" t="str">
        <f ca="1">VLOOKUP(C44,INDIRECT($F$8),7+(O55-1)*4,0)</f>
        <v>AHT 303</v>
      </c>
      <c r="B55" s="207" t="str">
        <f ca="1">VLOOKUP(D44,INDIRECT($F$8),7+(O55-1)*4,0)</f>
        <v xml:space="preserve">Technical Writing and Presentation Skill ($) </v>
      </c>
      <c r="C55" s="207"/>
      <c r="D55" s="207"/>
      <c r="E55" s="207"/>
      <c r="F55" s="40">
        <f ca="1">VLOOKUP(E44,INDIRECT($F$8),7+(O55-1)*4,0)</f>
        <v>0</v>
      </c>
      <c r="G55" s="208" t="s">
        <v>86</v>
      </c>
      <c r="H55" s="208"/>
      <c r="I55" s="208" t="str">
        <f ca="1">_xlfn.TEXTJOIN("/",FALSE,VLOOKUP(B44,INDIRECT($F$8),8+(O55-1)*4)-Z55,VLOOKUP(A44,INDIRECT($F$8),8+(O55-1)*4-Z55))</f>
        <v>37/50</v>
      </c>
      <c r="J55" s="208"/>
      <c r="K55" s="208" t="str">
        <f ca="1">_xlfn.TEXTJOIN("/",FALSE,VLOOKUP(B44,INDIRECT($F$8),9+(O55-1)*4-AA55),VLOOKUP(A44,INDIRECT($F$8),9+(O55-1)*4-AA55))</f>
        <v>37/50</v>
      </c>
      <c r="L55" s="208"/>
      <c r="M55" s="40" t="e">
        <f ca="1">VLOOKUP(B44,INDIRECT($F$8),10+(O55-1)*4-AB55,0)</f>
        <v>#N/A</v>
      </c>
      <c r="N55" s="41" t="e">
        <f t="shared" ca="1" si="14"/>
        <v>#N/A</v>
      </c>
      <c r="O55">
        <v>7</v>
      </c>
      <c r="P55" s="42">
        <f t="shared" si="20"/>
        <v>0</v>
      </c>
      <c r="Q55" s="42">
        <f t="shared" ca="1" si="15"/>
        <v>37</v>
      </c>
      <c r="R55" s="42">
        <f t="shared" ca="1" si="16"/>
        <v>37</v>
      </c>
      <c r="S55" s="42">
        <f t="shared" si="17"/>
        <v>0</v>
      </c>
      <c r="T55" s="42">
        <f t="shared" ca="1" si="18"/>
        <v>50</v>
      </c>
      <c r="U55" s="42">
        <f t="shared" ca="1" si="19"/>
        <v>50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</row>
    <row r="56" spans="1:28" ht="12.75" customHeight="1" x14ac:dyDescent="0.15">
      <c r="A56" s="40" t="str">
        <f ca="1">VLOOKUP(C44,INDIRECT($F$8),7+(O56-1)*4-V56,0)</f>
        <v>CEP 601</v>
      </c>
      <c r="B56" s="207" t="str">
        <f ca="1">VLOOKUP(D44,INDIRECT($F$8),7+(O56-1)*4-W56,0)</f>
        <v>Advanced Soil Mechanics Lab</v>
      </c>
      <c r="C56" s="207"/>
      <c r="D56" s="207"/>
      <c r="E56" s="207"/>
      <c r="F56" s="40">
        <f ca="1">VLOOKUP(E44,INDIRECT($F$8),7+(O56-1)*4-X56,0)</f>
        <v>1</v>
      </c>
      <c r="G56" s="208" t="str">
        <f ca="1">_xlfn.TEXTJOIN("/",FALSE,VLOOKUP(B44,INDIRECT($F$8),7+(O56-1)*4-Y56),VLOOKUP(A44,INDIRECT($F$8),7+(O56-1)*4-Y56))</f>
        <v>22/25</v>
      </c>
      <c r="H56" s="208"/>
      <c r="I56" s="208" t="str">
        <f ca="1">_xlfn.TEXTJOIN("/",FALSE,VLOOKUP(B44,INDIRECT($F$8),8+(O56-1)*4-Z56),VLOOKUP(A44,INDIRECT($F$8),8+(O56-1)*4-Z56))</f>
        <v>23/25</v>
      </c>
      <c r="J56" s="208"/>
      <c r="K56" s="208" t="str">
        <f ca="1">_xlfn.TEXTJOIN("/",FALSE,VLOOKUP(B44,INDIRECT($F$8),9+(O56-1)*4-AA56),VLOOKUP(A44,INDIRECT($F$8),9+(O56-1)*4-AA56))</f>
        <v>45/50</v>
      </c>
      <c r="L56" s="208"/>
      <c r="M56" s="40" t="e">
        <f ca="1">VLOOKUP(B44,INDIRECT($F$8),10+(O56-1)*4-AB56,0)</f>
        <v>#N/A</v>
      </c>
      <c r="N56" s="41" t="e">
        <f t="shared" ca="1" si="14"/>
        <v>#N/A</v>
      </c>
      <c r="O56">
        <v>8</v>
      </c>
      <c r="P56" s="42">
        <f t="shared" ca="1" si="20"/>
        <v>22</v>
      </c>
      <c r="Q56" s="42">
        <f t="shared" ca="1" si="15"/>
        <v>23</v>
      </c>
      <c r="R56" s="42">
        <f t="shared" ca="1" si="16"/>
        <v>45</v>
      </c>
      <c r="S56" s="42">
        <f t="shared" ca="1" si="17"/>
        <v>25</v>
      </c>
      <c r="T56" s="42">
        <f t="shared" ca="1" si="18"/>
        <v>25</v>
      </c>
      <c r="U56" s="42">
        <f t="shared" ca="1" si="19"/>
        <v>50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</row>
    <row r="57" spans="1:28" ht="12.75" customHeight="1" x14ac:dyDescent="0.15">
      <c r="A57" s="40" t="str">
        <f ca="1">VLOOKUP(C44,INDIRECT($F$8),7+(O57-1)*4-V57,0)</f>
        <v>CEP 602</v>
      </c>
      <c r="B57" s="207" t="str">
        <f ca="1">VLOOKUP(D44,INDIRECT($F$8),7+(O57-1)*4-W57,0)</f>
        <v>Soil Dynamics Lab</v>
      </c>
      <c r="C57" s="207"/>
      <c r="D57" s="207"/>
      <c r="E57" s="207"/>
      <c r="F57" s="40">
        <f ca="1">VLOOKUP(E44,INDIRECT($F$8),7+(O57-1)*4-X57,0)</f>
        <v>1</v>
      </c>
      <c r="G57" s="208" t="e">
        <f ca="1">_xlfn.TEXTJOIN("/",FALSE,VLOOKUP(B44,INDIRECT($F$8),7+(O57-1)*4-Y57,0),VLOOKUP(A44,INDIRECT($F$8),7+(O57-1)*4-Y57,0))</f>
        <v>#N/A</v>
      </c>
      <c r="H57" s="208"/>
      <c r="I57" s="208" t="e">
        <f ca="1">_xlfn.TEXTJOIN("/",FALSE,VLOOKUP(B44,INDIRECT($F$8),8+(O57-1)*4-Z57,0),VLOOKUP(A44,INDIRECT($F$8),8+(O57-1)*4-Z57,0))</f>
        <v>#N/A</v>
      </c>
      <c r="J57" s="208"/>
      <c r="K57" s="208" t="e">
        <f ca="1">_xlfn.TEXTJOIN("/",FALSE,VLOOKUP(B44,INDIRECT($F$8),9+(O57-1)*4-AA57,0),VLOOKUP(A44,INDIRECT($F$8),9+(O57-1)*4-AA57,0))</f>
        <v>#N/A</v>
      </c>
      <c r="L57" s="208"/>
      <c r="M57" s="40" t="e">
        <f ca="1">VLOOKUP(B44,INDIRECT($F$8),10+(O57-1)*4-AB57,0)</f>
        <v>#N/A</v>
      </c>
      <c r="N57" s="41" t="e">
        <f t="shared" ca="1" si="14"/>
        <v>#N/A</v>
      </c>
      <c r="O57">
        <v>9</v>
      </c>
      <c r="P57" s="42">
        <f t="shared" ca="1" si="20"/>
        <v>0</v>
      </c>
      <c r="Q57" s="42">
        <f t="shared" ca="1" si="15"/>
        <v>0</v>
      </c>
      <c r="R57" s="42">
        <f t="shared" ca="1" si="16"/>
        <v>0</v>
      </c>
      <c r="S57" s="42">
        <f t="shared" ca="1" si="17"/>
        <v>0</v>
      </c>
      <c r="T57" s="42">
        <f t="shared" ca="1" si="18"/>
        <v>0</v>
      </c>
      <c r="U57" s="42">
        <f t="shared" ca="1" si="19"/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</row>
    <row r="58" spans="1:28" ht="12.75" customHeight="1" x14ac:dyDescent="0.15">
      <c r="A58" s="209" t="str">
        <f ca="1">IF(ISERROR(F44),"",A40)</f>
        <v/>
      </c>
      <c r="B58" s="209"/>
      <c r="C58" s="209"/>
      <c r="D58" s="209"/>
      <c r="E58" s="209"/>
      <c r="F58" s="43" t="str">
        <f ca="1">IF(ISERROR(F44),"",SUM(F49:F57))</f>
        <v/>
      </c>
      <c r="G58" s="209" t="str">
        <f ca="1">IF(ISERROR(F44),"",_xlfn.TEXTJOIN("/",TRUE,SUMIF(F49:F57,"&gt;0",P49:P57),SUMIF(F49:F57,"&gt;0",S49:S57)))</f>
        <v/>
      </c>
      <c r="H58" s="209"/>
      <c r="I58" s="209" t="str">
        <f ca="1">IF(ISERROR(F44),"",_xlfn.TEXTJOIN("/",TRUE,SUMIF(F49:F57,"&gt;0",Q49:Q57),SUMIF(F49:F57,"&gt;0",T49:T57)))</f>
        <v/>
      </c>
      <c r="J58" s="209"/>
      <c r="K58" s="209" t="str">
        <f ca="1">IF(ISERROR(F44),"",IF(ISERROR(F44),"",_xlfn.TEXTJOIN("/",TRUE,SUMIF(F49:F57,"&gt;0",R49:R57),SUMIF(F49:F57,"&gt;0",U49:U57))))</f>
        <v/>
      </c>
      <c r="L58" s="209"/>
      <c r="M58" s="210" t="str">
        <f ca="1">IF(ISERROR(F44),"",SUMPRODUCT(N49:N57,F49:F57))</f>
        <v/>
      </c>
      <c r="N58" s="210"/>
    </row>
    <row r="59" spans="1:28" ht="12.75" customHeight="1" x14ac:dyDescent="0.15">
      <c r="A59" s="210" t="str">
        <f ca="1">IF(ISERROR(F44),"",A41)</f>
        <v/>
      </c>
      <c r="B59" s="206" t="str">
        <f ca="1">IFERROR(VLOOKUP(B44,INDIRECT($F$8),11+(O57-1)*4+3-V59,0),"")</f>
        <v/>
      </c>
      <c r="C59" s="206"/>
      <c r="D59" s="210" t="str">
        <f ca="1">IF(ISERROR(F44),"",D41)</f>
        <v/>
      </c>
      <c r="E59" s="206" t="str">
        <f ca="1">IFERROR(IF(VLOOKUP(B44,INDIRECT($F$8),11+(O57-1)*4+4-V59,0)=0,"",VLOOKUP(B44,INDIRECT($F$8),11+(O57-1)*4+4-V59,0)),"")</f>
        <v/>
      </c>
      <c r="F59" s="206"/>
      <c r="G59" s="210" t="str">
        <f ca="1">IF(ISERROR(F44),"",G41)</f>
        <v/>
      </c>
      <c r="H59" s="211" t="str">
        <f ca="1">IFERROR(VLOOKUP(B44,INDIRECT($F$8),11+(O57-1)*4-V59,0),"")</f>
        <v/>
      </c>
      <c r="I59" s="210" t="str">
        <f ca="1">IF(ISERROR(F44),"",I41)</f>
        <v/>
      </c>
      <c r="J59" s="211" t="str">
        <f ca="1">IFERROR(VLOOKUP(B44,INDIRECT($F$8),11+(O57-1)*4+1-V59,0),"")</f>
        <v/>
      </c>
      <c r="K59" s="206" t="str">
        <f ca="1">IF(ISERROR(F44),"",K41)</f>
        <v/>
      </c>
      <c r="L59" s="210" t="str">
        <f ca="1">IFERROR(VLOOKUP(B44,INDIRECT($F$8),11+(O57-1)*4+2-V59,0),"")</f>
        <v/>
      </c>
      <c r="M59" s="206" t="str">
        <f ca="1">IF(ISERROR(F44),"",M41)</f>
        <v/>
      </c>
      <c r="N59" s="210" t="str">
        <f ca="1">IFERROR(VLOOKUP(B44,INDIRECT($F$8),11+(O57-1)*4+5-V59,0),"")</f>
        <v/>
      </c>
      <c r="V59">
        <v>0</v>
      </c>
    </row>
    <row r="60" spans="1:28" ht="12.75" customHeight="1" x14ac:dyDescent="0.15">
      <c r="A60" s="210"/>
      <c r="B60" s="206"/>
      <c r="C60" s="206"/>
      <c r="D60" s="210"/>
      <c r="E60" s="206"/>
      <c r="F60" s="206"/>
      <c r="G60" s="210"/>
      <c r="H60" s="211"/>
      <c r="I60" s="210"/>
      <c r="J60" s="211"/>
      <c r="K60" s="206"/>
      <c r="L60" s="210"/>
      <c r="M60" s="206"/>
      <c r="N60" s="210"/>
    </row>
    <row r="61" spans="1:28" ht="12.75" customHeight="1" x14ac:dyDescent="0.15">
      <c r="A61" s="210"/>
      <c r="B61" s="206"/>
      <c r="C61" s="206"/>
      <c r="D61" s="210"/>
      <c r="E61" s="206"/>
      <c r="F61" s="206"/>
      <c r="G61" s="210"/>
      <c r="H61" s="211"/>
      <c r="I61" s="210"/>
      <c r="J61" s="211"/>
      <c r="K61" s="206"/>
      <c r="L61" s="210"/>
      <c r="M61" s="206"/>
      <c r="N61" s="210"/>
    </row>
    <row r="62" spans="1:28" ht="12.75" customHeight="1" x14ac:dyDescent="0.15">
      <c r="A62" s="38" t="s">
        <v>73</v>
      </c>
      <c r="B62" s="38">
        <f>B44+1</f>
        <v>4</v>
      </c>
      <c r="C62" s="38" t="s">
        <v>71</v>
      </c>
      <c r="D62" s="38" t="s">
        <v>72</v>
      </c>
      <c r="E62" s="38" t="s">
        <v>40</v>
      </c>
      <c r="F62" s="38" t="e">
        <f ca="1">VLOOKUP(B62,INDIRECT($F$8),4,0)</f>
        <v>#N/A</v>
      </c>
      <c r="G62" s="39"/>
      <c r="H62" s="39"/>
      <c r="I62" s="39"/>
      <c r="J62" s="39"/>
      <c r="K62" s="39"/>
      <c r="L62" s="39"/>
      <c r="M62" s="39"/>
      <c r="N62" s="39"/>
    </row>
    <row r="63" spans="1:28" ht="12.75" customHeight="1" x14ac:dyDescent="0.15">
      <c r="A63" s="204" t="str">
        <f ca="1">IF(ISERROR(F62),"",A45)</f>
        <v/>
      </c>
      <c r="B63" s="204" t="str">
        <f ca="1">IFERROR(VLOOKUP(B62,INDIRECT($F$8),5,0),"")</f>
        <v/>
      </c>
      <c r="C63" s="204"/>
      <c r="D63" s="204" t="str">
        <f ca="1">IF(ISERROR(F62),"",D45)</f>
        <v/>
      </c>
      <c r="E63" s="204" t="str">
        <f ca="1">IFERROR(VLOOKUP(B62,INDIRECT($F$8),6,0),"")</f>
        <v/>
      </c>
      <c r="F63" s="204"/>
      <c r="G63" s="204" t="str">
        <f ca="1">IF(ISERROR(F62),"",G45)</f>
        <v/>
      </c>
      <c r="H63" s="204"/>
      <c r="I63" s="205" t="str">
        <f ca="1">IFERROR(VLOOKUP(B62,INDIRECT($F$8),2,0),"")</f>
        <v/>
      </c>
      <c r="J63" s="205"/>
      <c r="K63" s="204" t="str">
        <f ca="1">IF(ISERROR(F62),"",K45)</f>
        <v/>
      </c>
      <c r="L63" s="204"/>
      <c r="M63" s="205" t="str">
        <f ca="1">IFERROR(IF(VLOOKUP(B62,INDIRECT($F$8),3,0)=0,"",VLOOKUP(B62,INDIRECT($F$8),3,0)),"")</f>
        <v/>
      </c>
      <c r="N63" s="205"/>
    </row>
    <row r="64" spans="1:28" ht="12.75" customHeight="1" x14ac:dyDescent="0.15">
      <c r="A64" s="204"/>
      <c r="B64" s="204"/>
      <c r="C64" s="204"/>
      <c r="D64" s="204"/>
      <c r="E64" s="204"/>
      <c r="F64" s="204"/>
      <c r="G64" s="204"/>
      <c r="H64" s="204"/>
      <c r="I64" s="205"/>
      <c r="J64" s="205"/>
      <c r="K64" s="204"/>
      <c r="L64" s="204"/>
      <c r="M64" s="205"/>
      <c r="N64" s="205"/>
    </row>
    <row r="65" spans="1:28" ht="12.75" customHeight="1" x14ac:dyDescent="0.15">
      <c r="A65" s="206" t="str">
        <f ca="1">IF(ISERROR(F62),"",A47)</f>
        <v/>
      </c>
      <c r="B65" s="206" t="str">
        <f ca="1">IF(ISERROR(F62),"",B47)</f>
        <v/>
      </c>
      <c r="C65" s="206"/>
      <c r="D65" s="206"/>
      <c r="E65" s="206"/>
      <c r="F65" s="206" t="str">
        <f ca="1">IF(ISERROR(F62),"",F47)</f>
        <v/>
      </c>
      <c r="G65" s="206" t="str">
        <f ca="1">IF(ISERROR(F62),"",G47)</f>
        <v/>
      </c>
      <c r="H65" s="206"/>
      <c r="I65" s="206" t="str">
        <f ca="1">IF(ISERROR(F62),"",I47)</f>
        <v/>
      </c>
      <c r="J65" s="206"/>
      <c r="K65" s="206" t="str">
        <f ca="1">IF(ISERROR(F62),"",K47)</f>
        <v/>
      </c>
      <c r="L65" s="206"/>
      <c r="M65" s="206" t="str">
        <f ca="1">IF(ISERROR(F62),"",M47)</f>
        <v/>
      </c>
      <c r="N65" s="206" t="str">
        <f ca="1">IF(ISERROR(F62),"",N47)</f>
        <v/>
      </c>
    </row>
    <row r="66" spans="1:28" ht="12.75" customHeight="1" x14ac:dyDescent="0.15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</row>
    <row r="67" spans="1:28" ht="12.75" customHeight="1" x14ac:dyDescent="0.15">
      <c r="A67" s="40" t="str">
        <f ca="1">IF(ISERROR(F62),"",VLOOKUP(C62,INDIRECT($F$8),7+(O67-1)*4,0))</f>
        <v/>
      </c>
      <c r="B67" s="207" t="str">
        <f ca="1">IF(ISERROR(F62),"",VLOOKUP(D62,INDIRECT($F$8),7+(O67-1)*4,0))</f>
        <v/>
      </c>
      <c r="C67" s="207"/>
      <c r="D67" s="207"/>
      <c r="E67" s="207"/>
      <c r="F67" s="40" t="str">
        <f ca="1">IF(ISERROR(F62),"",VLOOKUP(E62,INDIRECT($F$8),7+(O67-1)*4,0))</f>
        <v/>
      </c>
      <c r="G67" s="208" t="str">
        <f ca="1">IF(ISERROR(F62),"",_xlfn.TEXTJOIN("/",FALSE,VLOOKUP(B62,INDIRECT($F$8),7+(O67-1)*4),VLOOKUP(A62,INDIRECT($F$8),7+(O67-1)*4)))</f>
        <v/>
      </c>
      <c r="H67" s="208"/>
      <c r="I67" s="208" t="str">
        <f ca="1">IF(ISERROR(F62),"",_xlfn.TEXTJOIN("/",FALSE,VLOOKUP(B62,INDIRECT($F$8),8+(O67-1)*4,0),VLOOKUP(A62,INDIRECT($F$8),8+(O67-1)*4,0)))</f>
        <v/>
      </c>
      <c r="J67" s="208"/>
      <c r="K67" s="208" t="str">
        <f ca="1">IF(ISERROR(F62),"",_xlfn.TEXTJOIN("/",FALSE,VLOOKUP(B62,INDIRECT($F$8),9+(O67-1)*4),VLOOKUP(A62,INDIRECT($F$8),9+(O67-1)*4)))</f>
        <v/>
      </c>
      <c r="L67" s="208"/>
      <c r="M67" s="40" t="str">
        <f ca="1">IF(ISERROR(F62),"",VLOOKUP(B62,INDIRECT($F$8),10+(O67-1)*4,0))</f>
        <v/>
      </c>
      <c r="N67" s="41" t="str">
        <f t="shared" ref="N67:N75" ca="1" si="21">INDEX($W$2:$W$12,MATCH(M67,$V$2:$V$12,0))</f>
        <v/>
      </c>
      <c r="O67">
        <v>1</v>
      </c>
      <c r="P67" s="42">
        <f ca="1">IFERROR(VALUE(IFERROR(LEFT(G67,SEARCH("/",G67)-1),0)),"")</f>
        <v>0</v>
      </c>
      <c r="Q67" s="42">
        <f ca="1">IFERROR(VALUE(IFERROR(LEFT(I67,SEARCH("/",I67)-1),0)),"")</f>
        <v>0</v>
      </c>
      <c r="R67" s="42">
        <f ca="1">IFERROR(VALUE(IFERROR(LEFT(K67,SEARCH("/",K67)-1),0)),"")</f>
        <v>0</v>
      </c>
      <c r="S67" s="42">
        <f ca="1">VALUE(IFERROR(RIGHT(G67,LEN(G67)-SEARCH("/",G67)),0))</f>
        <v>0</v>
      </c>
      <c r="T67" s="42">
        <f ca="1">VALUE(IFERROR(RIGHT(I67,LEN(I67)-SEARCH("/",I67)),0))</f>
        <v>0</v>
      </c>
      <c r="U67" s="42">
        <f ca="1">VALUE(IFERROR(RIGHT(K67,LEN(K67)-SEARCH("/",K67)),0))</f>
        <v>0</v>
      </c>
    </row>
    <row r="68" spans="1:28" ht="12.75" customHeight="1" x14ac:dyDescent="0.15">
      <c r="A68" s="40" t="str">
        <f ca="1">IF(ISERROR(F62),"",VLOOKUP(C62,INDIRECT($F$8),7+(O68-1)*4,0))</f>
        <v/>
      </c>
      <c r="B68" s="207" t="str">
        <f ca="1">IF(ISERROR(F62),"",VLOOKUP(D62,INDIRECT($F$8),7+(O68-1)*4,0))</f>
        <v/>
      </c>
      <c r="C68" s="207"/>
      <c r="D68" s="207"/>
      <c r="E68" s="207"/>
      <c r="F68" s="40" t="str">
        <f ca="1">IF(ISERROR(F62),"",VLOOKUP(E62,INDIRECT($F$8),7+(O68-1)*4,0))</f>
        <v/>
      </c>
      <c r="G68" s="208" t="str">
        <f ca="1">IF(ISERROR(F62),"",_xlfn.TEXTJOIN("/",FALSE,VLOOKUP(B62,INDIRECT($F$8),7+(O68-1)*4),VLOOKUP(A62,INDIRECT($F$8),7+(O68-1)*4)))</f>
        <v/>
      </c>
      <c r="H68" s="208"/>
      <c r="I68" s="208" t="str">
        <f ca="1">IF(ISERROR(F62),"",_xlfn.TEXTJOIN("/",FALSE,VLOOKUP(B62,INDIRECT($F$8),8+(O68-1)*4),VLOOKUP(A62,INDIRECT($F$8),8+(O68-1)*4)))</f>
        <v/>
      </c>
      <c r="J68" s="208"/>
      <c r="K68" s="208" t="str">
        <f ca="1">IF(ISERROR(F62),"",_xlfn.TEXTJOIN("/",FALSE,VLOOKUP(B62,INDIRECT($F$8),9+(O68-1)*4),VLOOKUP(A62,INDIRECT($F$8),9+(O68-1)*4)))</f>
        <v/>
      </c>
      <c r="L68" s="208"/>
      <c r="M68" s="40" t="str">
        <f ca="1">IF(ISERROR(F62),"",VLOOKUP(B62,INDIRECT($F$8),10+(O68-1)*4,0))</f>
        <v/>
      </c>
      <c r="N68" s="41" t="str">
        <f t="shared" ca="1" si="21"/>
        <v/>
      </c>
      <c r="O68">
        <v>2</v>
      </c>
      <c r="P68" s="42">
        <f ca="1">IFERROR(VALUE(IFERROR(LEFT(G68,SEARCH("/",G68)-1),0)),"")</f>
        <v>0</v>
      </c>
      <c r="Q68" s="42">
        <f t="shared" ref="Q68:Q75" ca="1" si="22">IFERROR(VALUE(IFERROR(LEFT(I68,SEARCH("/",I68)-1),0)),"")</f>
        <v>0</v>
      </c>
      <c r="R68" s="42">
        <f t="shared" ref="R68:R75" ca="1" si="23">IFERROR(VALUE(IFERROR(LEFT(K68,SEARCH("/",K68)-1),0)),"")</f>
        <v>0</v>
      </c>
      <c r="S68" s="42">
        <f t="shared" ref="S68:S75" ca="1" si="24">VALUE(IFERROR(RIGHT(G68,LEN(G68)-SEARCH("/",G68)),0))</f>
        <v>0</v>
      </c>
      <c r="T68" s="42">
        <f t="shared" ref="T68:T75" ca="1" si="25">VALUE(IFERROR(RIGHT(I68,LEN(I68)-SEARCH("/",I68)),0))</f>
        <v>0</v>
      </c>
      <c r="U68" s="42">
        <f t="shared" ref="U68:U75" ca="1" si="26">VALUE(IFERROR(RIGHT(K68,LEN(K68)-SEARCH("/",K68)),0))</f>
        <v>0</v>
      </c>
    </row>
    <row r="69" spans="1:28" ht="12.75" customHeight="1" x14ac:dyDescent="0.15">
      <c r="A69" s="40" t="str">
        <f ca="1">IF(ISERROR(F62),"",VLOOKUP(C62,INDIRECT($F$8),7+(O69-1)*4,0))</f>
        <v/>
      </c>
      <c r="B69" s="207" t="str">
        <f ca="1">IF(ISERROR(F62),"",VLOOKUP(D62,INDIRECT($F$8),7+(O69-1)*4,0))</f>
        <v/>
      </c>
      <c r="C69" s="207"/>
      <c r="D69" s="207"/>
      <c r="E69" s="207"/>
      <c r="F69" s="40" t="str">
        <f ca="1">IF(ISERROR(F62),"",VLOOKUP(E62,INDIRECT($F$8),7+(O69-1)*4,0))</f>
        <v/>
      </c>
      <c r="G69" s="208" t="str">
        <f ca="1">IF(ISERROR(F62),"",_xlfn.TEXTJOIN("/",FALSE,VLOOKUP(B62,INDIRECT($F$8),7+(O69-1)*4),VLOOKUP(A62,INDIRECT($F$8),7+(O69-1)*4)))</f>
        <v/>
      </c>
      <c r="H69" s="208"/>
      <c r="I69" s="208" t="str">
        <f ca="1">IF(ISERROR(F62),"",_xlfn.TEXTJOIN("/",FALSE,VLOOKUP(B62,INDIRECT($F$8),8+(O69-1)*4),VLOOKUP(A62,INDIRECT($F$8),8+(O69-1)*4)))</f>
        <v/>
      </c>
      <c r="J69" s="208"/>
      <c r="K69" s="208" t="str">
        <f ca="1">IF(ISERROR(F62),"",_xlfn.TEXTJOIN("/",FALSE,VLOOKUP(B62,INDIRECT($F$8),9+(O69-1)*4),VLOOKUP(A62,INDIRECT($F$8),9+(O69-1)*4)))</f>
        <v/>
      </c>
      <c r="L69" s="208"/>
      <c r="M69" s="40" t="str">
        <f ca="1">IF(ISERROR(F62),"",VLOOKUP(B62,INDIRECT($F$8),10+(O69-1)*4,0))</f>
        <v/>
      </c>
      <c r="N69" s="41" t="str">
        <f t="shared" ca="1" si="21"/>
        <v/>
      </c>
      <c r="O69">
        <v>3</v>
      </c>
      <c r="P69" s="42">
        <f t="shared" ref="P69:P75" ca="1" si="27">IFERROR(VALUE(IFERROR(LEFT(G69,SEARCH("/",G69)-1),0)),"")</f>
        <v>0</v>
      </c>
      <c r="Q69" s="42">
        <f t="shared" ca="1" si="22"/>
        <v>0</v>
      </c>
      <c r="R69" s="42">
        <f t="shared" ca="1" si="23"/>
        <v>0</v>
      </c>
      <c r="S69" s="42">
        <f t="shared" ca="1" si="24"/>
        <v>0</v>
      </c>
      <c r="T69" s="42">
        <f t="shared" ca="1" si="25"/>
        <v>0</v>
      </c>
      <c r="U69" s="42">
        <f t="shared" ca="1" si="26"/>
        <v>0</v>
      </c>
    </row>
    <row r="70" spans="1:28" ht="12.75" customHeight="1" x14ac:dyDescent="0.15">
      <c r="A70" s="40" t="str">
        <f ca="1">IF(ISERROR(F62),"",VLOOKUP(C62,INDIRECT($F$8),7+(O70-1)*4,0))</f>
        <v/>
      </c>
      <c r="B70" s="207" t="str">
        <f ca="1">IF(ISERROR(F62),"",VLOOKUP(D62,INDIRECT($F$8),7+(O70-1)*4,0))</f>
        <v/>
      </c>
      <c r="C70" s="207"/>
      <c r="D70" s="207"/>
      <c r="E70" s="207"/>
      <c r="F70" s="40" t="str">
        <f ca="1">IF(ISERROR(F62),"",VLOOKUP(E62,INDIRECT($F$8),7+(O70-1)*4,0))</f>
        <v/>
      </c>
      <c r="G70" s="208" t="str">
        <f ca="1">IF(ISERROR(F62),"",_xlfn.TEXTJOIN("/",FALSE,VLOOKUP(B62,INDIRECT($F$8),7+(O70-1)*4),VLOOKUP(A62,INDIRECT($F$8),7+(O70-1)*4)))</f>
        <v/>
      </c>
      <c r="H70" s="208"/>
      <c r="I70" s="208" t="str">
        <f ca="1">IF(ISERROR(F62),"",_xlfn.TEXTJOIN("/",FALSE,VLOOKUP(B62,INDIRECT($F$8),8+(O70-1)*4),VLOOKUP(A62,INDIRECT($F$8),8+(O70-1)*4)))</f>
        <v/>
      </c>
      <c r="J70" s="208"/>
      <c r="K70" s="208" t="str">
        <f ca="1">IF(ISERROR(F62),"",_xlfn.TEXTJOIN("/",FALSE,VLOOKUP(B62,INDIRECT($F$8),9+(O70-1)*4),VLOOKUP(A62,INDIRECT($F$8),9+(O70-1)*4)))</f>
        <v/>
      </c>
      <c r="L70" s="208"/>
      <c r="M70" s="40" t="str">
        <f ca="1">IF(ISERROR(F62),"",VLOOKUP(B62,INDIRECT($F$8),10+(O70-1)*4,0))</f>
        <v/>
      </c>
      <c r="N70" s="41" t="str">
        <f t="shared" ca="1" si="21"/>
        <v/>
      </c>
      <c r="O70">
        <v>4</v>
      </c>
      <c r="P70" s="42">
        <f t="shared" ca="1" si="27"/>
        <v>0</v>
      </c>
      <c r="Q70" s="42">
        <f t="shared" ca="1" si="22"/>
        <v>0</v>
      </c>
      <c r="R70" s="42">
        <f t="shared" ca="1" si="23"/>
        <v>0</v>
      </c>
      <c r="S70" s="42">
        <f t="shared" ca="1" si="24"/>
        <v>0</v>
      </c>
      <c r="T70" s="42">
        <f t="shared" ca="1" si="25"/>
        <v>0</v>
      </c>
      <c r="U70" s="42">
        <f t="shared" ca="1" si="26"/>
        <v>0</v>
      </c>
    </row>
    <row r="71" spans="1:28" ht="12.75" customHeight="1" x14ac:dyDescent="0.15">
      <c r="A71" s="40" t="str">
        <f ca="1">IF(ISERROR(F62),"",VLOOKUP(C62,INDIRECT($F$8),7+(O71-1)*4,0))</f>
        <v/>
      </c>
      <c r="B71" s="207" t="str">
        <f ca="1">IF(ISERROR(F62),"",VLOOKUP(D62,INDIRECT($F$8),7+(O71-1)*4,0))</f>
        <v/>
      </c>
      <c r="C71" s="207"/>
      <c r="D71" s="207"/>
      <c r="E71" s="207"/>
      <c r="F71" s="40" t="str">
        <f ca="1">IF(ISERROR(F62),"",VLOOKUP(E62,INDIRECT($F$8),7+(O71-1)*4,0))</f>
        <v/>
      </c>
      <c r="G71" s="208" t="str">
        <f ca="1">IF(ISERROR(F62),"",_xlfn.TEXTJOIN("/",FALSE,VLOOKUP(B62,INDIRECT($F$8),7+(O71-1)*4),VLOOKUP(A62,INDIRECT($F$8),7+(O71-1)*4)))</f>
        <v/>
      </c>
      <c r="H71" s="208"/>
      <c r="I71" s="208" t="str">
        <f ca="1">IF(ISERROR(F62),"",_xlfn.TEXTJOIN("/",FALSE,VLOOKUP(B62,INDIRECT($F$8),8+(O71-1)*4),VLOOKUP(A62,INDIRECT($F$8),8+(O71-1)*4)))</f>
        <v/>
      </c>
      <c r="J71" s="208"/>
      <c r="K71" s="208" t="str">
        <f ca="1">IF(ISERROR(F62),"",_xlfn.TEXTJOIN("/",FALSE,VLOOKUP(B62,INDIRECT($F$8),9+(O71-1)*4),VLOOKUP(A62,INDIRECT($F$8),9+(O71-1)*4)))</f>
        <v/>
      </c>
      <c r="L71" s="208"/>
      <c r="M71" s="40" t="str">
        <f ca="1">IF(ISERROR(F62),"",VLOOKUP(B62,INDIRECT($F$8),10+(O71-1)*4,0))</f>
        <v/>
      </c>
      <c r="N71" s="41" t="str">
        <f t="shared" ca="1" si="21"/>
        <v/>
      </c>
      <c r="O71">
        <v>5</v>
      </c>
      <c r="P71" s="42">
        <f t="shared" ca="1" si="27"/>
        <v>0</v>
      </c>
      <c r="Q71" s="42">
        <f t="shared" ca="1" si="22"/>
        <v>0</v>
      </c>
      <c r="R71" s="42">
        <f t="shared" ca="1" si="23"/>
        <v>0</v>
      </c>
      <c r="S71" s="42">
        <f t="shared" ca="1" si="24"/>
        <v>0</v>
      </c>
      <c r="T71" s="42">
        <f t="shared" ca="1" si="25"/>
        <v>0</v>
      </c>
      <c r="U71" s="42">
        <f t="shared" ca="1" si="26"/>
        <v>0</v>
      </c>
    </row>
    <row r="72" spans="1:28" ht="12.75" customHeight="1" x14ac:dyDescent="0.15">
      <c r="A72" s="40" t="str">
        <f ca="1">IF(ISERROR(F62),"",VLOOKUP(C62,INDIRECT($F$8),7+(O72-1)*4,0))</f>
        <v/>
      </c>
      <c r="B72" s="207" t="str">
        <f ca="1">IF(ISERROR(F62),"",VLOOKUP(D62,INDIRECT($F$8),7+(O72-1)*4,0))</f>
        <v/>
      </c>
      <c r="C72" s="207"/>
      <c r="D72" s="207"/>
      <c r="E72" s="207"/>
      <c r="F72" s="40" t="str">
        <f ca="1">IF(ISERROR(F62),"",VLOOKUP(E62,INDIRECT($F$8),7+(O72-1)*4,0))</f>
        <v/>
      </c>
      <c r="G72" s="208" t="str">
        <f ca="1">IF(ISERROR(F62),"",_xlfn.TEXTJOIN("/",FALSE,VLOOKUP(B62,INDIRECT($F$8),7+(O72-1)*4),VLOOKUP(A62,INDIRECT($F$8),7+(O72-1)*4)))</f>
        <v/>
      </c>
      <c r="H72" s="208"/>
      <c r="I72" s="208" t="str">
        <f ca="1">IF(ISERROR(F62),"",_xlfn.TEXTJOIN("/",FALSE,VLOOKUP(B62,INDIRECT($F$8),8+(O72-1)*4),VLOOKUP(A62,INDIRECT($F$8),8+(O72-1)*4)))</f>
        <v/>
      </c>
      <c r="J72" s="208"/>
      <c r="K72" s="208" t="str">
        <f ca="1">IF(ISERROR(F62),"",_xlfn.TEXTJOIN("/",FALSE,VLOOKUP(B62,INDIRECT($F$8),9+(O72-1)*4),VLOOKUP(A62,INDIRECT($F$8),9+(O72-1)*4)))</f>
        <v/>
      </c>
      <c r="L72" s="208"/>
      <c r="M72" s="40" t="str">
        <f ca="1">IF(ISERROR(F62),"",VLOOKUP(B62,INDIRECT($F$8),10+(O72-1)*4,0))</f>
        <v/>
      </c>
      <c r="N72" s="41" t="str">
        <f t="shared" ca="1" si="21"/>
        <v/>
      </c>
      <c r="O72">
        <v>6</v>
      </c>
      <c r="P72" s="42">
        <f t="shared" ca="1" si="27"/>
        <v>0</v>
      </c>
      <c r="Q72" s="42">
        <f t="shared" ca="1" si="22"/>
        <v>0</v>
      </c>
      <c r="R72" s="42">
        <f t="shared" ca="1" si="23"/>
        <v>0</v>
      </c>
      <c r="S72" s="42">
        <f t="shared" ca="1" si="24"/>
        <v>0</v>
      </c>
      <c r="T72" s="42">
        <f t="shared" ca="1" si="25"/>
        <v>0</v>
      </c>
      <c r="U72" s="42">
        <f t="shared" ca="1" si="26"/>
        <v>0</v>
      </c>
    </row>
    <row r="73" spans="1:28" ht="12.75" customHeight="1" x14ac:dyDescent="0.15">
      <c r="A73" s="40" t="str">
        <f ca="1">VLOOKUP(C62,INDIRECT($F$8),7+(O73-1)*4,0)</f>
        <v>AHT 303</v>
      </c>
      <c r="B73" s="207" t="str">
        <f ca="1">VLOOKUP(D62,INDIRECT($F$8),7+(O73-1)*4,0)</f>
        <v xml:space="preserve">Technical Writing and Presentation Skill ($) </v>
      </c>
      <c r="C73" s="207"/>
      <c r="D73" s="207"/>
      <c r="E73" s="207"/>
      <c r="F73" s="40">
        <f ca="1">VLOOKUP(E62,INDIRECT($F$8),7+(O73-1)*4,0)</f>
        <v>0</v>
      </c>
      <c r="G73" s="208" t="s">
        <v>86</v>
      </c>
      <c r="H73" s="208"/>
      <c r="I73" s="208" t="str">
        <f ca="1">_xlfn.TEXTJOIN("/",FALSE,VLOOKUP(B62,INDIRECT($F$8),8+(O73-1)*4)-Z73,VLOOKUP(A62,INDIRECT($F$8),8+(O73-1)*4-Z73))</f>
        <v>37/50</v>
      </c>
      <c r="J73" s="208"/>
      <c r="K73" s="208" t="str">
        <f ca="1">_xlfn.TEXTJOIN("/",FALSE,VLOOKUP(B62,INDIRECT($F$8),9+(O73-1)*4-AA73),VLOOKUP(A62,INDIRECT($F$8),9+(O73-1)*4-AA73))</f>
        <v>37/50</v>
      </c>
      <c r="L73" s="208"/>
      <c r="M73" s="40" t="e">
        <f ca="1">VLOOKUP(B62,INDIRECT($F$8),10+(O73-1)*4-AB73,0)</f>
        <v>#N/A</v>
      </c>
      <c r="N73" s="41" t="e">
        <f t="shared" ca="1" si="21"/>
        <v>#N/A</v>
      </c>
      <c r="O73">
        <v>7</v>
      </c>
      <c r="P73" s="42">
        <f t="shared" si="27"/>
        <v>0</v>
      </c>
      <c r="Q73" s="42">
        <f t="shared" ca="1" si="22"/>
        <v>37</v>
      </c>
      <c r="R73" s="42">
        <f t="shared" ca="1" si="23"/>
        <v>37</v>
      </c>
      <c r="S73" s="42">
        <f t="shared" si="24"/>
        <v>0</v>
      </c>
      <c r="T73" s="42">
        <f t="shared" ca="1" si="25"/>
        <v>50</v>
      </c>
      <c r="U73" s="42">
        <f t="shared" ca="1" si="26"/>
        <v>50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</row>
    <row r="74" spans="1:28" ht="12.75" customHeight="1" x14ac:dyDescent="0.15">
      <c r="A74" s="40" t="str">
        <f ca="1">VLOOKUP(C62,INDIRECT($F$8),7+(O74-1)*4-V74,0)</f>
        <v>CEP 601</v>
      </c>
      <c r="B74" s="207" t="str">
        <f ca="1">VLOOKUP(D62,INDIRECT($F$8),7+(O74-1)*4-W74,0)</f>
        <v>Advanced Soil Mechanics Lab</v>
      </c>
      <c r="C74" s="207"/>
      <c r="D74" s="207"/>
      <c r="E74" s="207"/>
      <c r="F74" s="40">
        <f ca="1">VLOOKUP(E62,INDIRECT($F$8),7+(O74-1)*4-X74,0)</f>
        <v>1</v>
      </c>
      <c r="G74" s="208" t="str">
        <f ca="1">_xlfn.TEXTJOIN("/",FALSE,VLOOKUP(B62,INDIRECT($F$8),7+(O74-1)*4-Y74),VLOOKUP(A62,INDIRECT($F$8),7+(O74-1)*4-Y74))</f>
        <v>22/25</v>
      </c>
      <c r="H74" s="208"/>
      <c r="I74" s="208" t="str">
        <f ca="1">_xlfn.TEXTJOIN("/",FALSE,VLOOKUP(B62,INDIRECT($F$8),8+(O74-1)*4-Z74),VLOOKUP(A62,INDIRECT($F$8),8+(O74-1)*4-Z74))</f>
        <v>23/25</v>
      </c>
      <c r="J74" s="208"/>
      <c r="K74" s="208" t="str">
        <f ca="1">_xlfn.TEXTJOIN("/",FALSE,VLOOKUP(B62,INDIRECT($F$8),9+(O74-1)*4-AA74),VLOOKUP(A62,INDIRECT($F$8),9+(O74-1)*4-AA74))</f>
        <v>45/50</v>
      </c>
      <c r="L74" s="208"/>
      <c r="M74" s="40" t="e">
        <f ca="1">VLOOKUP(B62,INDIRECT($F$8),10+(O74-1)*4-AB74,0)</f>
        <v>#N/A</v>
      </c>
      <c r="N74" s="41" t="e">
        <f t="shared" ca="1" si="21"/>
        <v>#N/A</v>
      </c>
      <c r="O74">
        <v>8</v>
      </c>
      <c r="P74" s="42">
        <f t="shared" ca="1" si="27"/>
        <v>22</v>
      </c>
      <c r="Q74" s="42">
        <f t="shared" ca="1" si="22"/>
        <v>23</v>
      </c>
      <c r="R74" s="42">
        <f t="shared" ca="1" si="23"/>
        <v>45</v>
      </c>
      <c r="S74" s="42">
        <f t="shared" ca="1" si="24"/>
        <v>25</v>
      </c>
      <c r="T74" s="42">
        <f t="shared" ca="1" si="25"/>
        <v>25</v>
      </c>
      <c r="U74" s="42">
        <f t="shared" ca="1" si="26"/>
        <v>50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</row>
    <row r="75" spans="1:28" ht="12.75" customHeight="1" x14ac:dyDescent="0.15">
      <c r="A75" s="40" t="str">
        <f ca="1">VLOOKUP(C62,INDIRECT($F$8),7+(O75-1)*4-V75,0)</f>
        <v>CEP 602</v>
      </c>
      <c r="B75" s="207" t="str">
        <f ca="1">VLOOKUP(D62,INDIRECT($F$8),7+(O75-1)*4-W75,0)</f>
        <v>Soil Dynamics Lab</v>
      </c>
      <c r="C75" s="207"/>
      <c r="D75" s="207"/>
      <c r="E75" s="207"/>
      <c r="F75" s="40">
        <f ca="1">VLOOKUP(E62,INDIRECT($F$8),7+(O75-1)*4-X75,0)</f>
        <v>1</v>
      </c>
      <c r="G75" s="208" t="e">
        <f ca="1">_xlfn.TEXTJOIN("/",FALSE,VLOOKUP(B62,INDIRECT($F$8),7+(O75-1)*4-Y75,0),VLOOKUP(A62,INDIRECT($F$8),7+(O75-1)*4-Y75,0))</f>
        <v>#N/A</v>
      </c>
      <c r="H75" s="208"/>
      <c r="I75" s="208" t="e">
        <f ca="1">_xlfn.TEXTJOIN("/",FALSE,VLOOKUP(B62,INDIRECT($F$8),8+(O75-1)*4-Z75,0),VLOOKUP(A62,INDIRECT($F$8),8+(O75-1)*4-Z75,0))</f>
        <v>#N/A</v>
      </c>
      <c r="J75" s="208"/>
      <c r="K75" s="208" t="e">
        <f ca="1">_xlfn.TEXTJOIN("/",FALSE,VLOOKUP(B62,INDIRECT($F$8),9+(O75-1)*4-AA75,0),VLOOKUP(A62,INDIRECT($F$8),9+(O75-1)*4-AA75,0))</f>
        <v>#N/A</v>
      </c>
      <c r="L75" s="208"/>
      <c r="M75" s="40" t="e">
        <f ca="1">VLOOKUP(B62,INDIRECT($F$8),10+(O75-1)*4-AB75,0)</f>
        <v>#N/A</v>
      </c>
      <c r="N75" s="41" t="e">
        <f t="shared" ca="1" si="21"/>
        <v>#N/A</v>
      </c>
      <c r="O75">
        <v>9</v>
      </c>
      <c r="P75" s="42">
        <f t="shared" ca="1" si="27"/>
        <v>0</v>
      </c>
      <c r="Q75" s="42">
        <f t="shared" ca="1" si="22"/>
        <v>0</v>
      </c>
      <c r="R75" s="42">
        <f t="shared" ca="1" si="23"/>
        <v>0</v>
      </c>
      <c r="S75" s="42">
        <f t="shared" ca="1" si="24"/>
        <v>0</v>
      </c>
      <c r="T75" s="42">
        <f t="shared" ca="1" si="25"/>
        <v>0</v>
      </c>
      <c r="U75" s="42">
        <f t="shared" ca="1" si="26"/>
        <v>0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</row>
    <row r="76" spans="1:28" ht="12.75" customHeight="1" x14ac:dyDescent="0.15">
      <c r="A76" s="209" t="str">
        <f ca="1">IF(ISERROR(F62),"",A58)</f>
        <v/>
      </c>
      <c r="B76" s="209"/>
      <c r="C76" s="209"/>
      <c r="D76" s="209"/>
      <c r="E76" s="209"/>
      <c r="F76" s="43" t="str">
        <f ca="1">IF(ISERROR(F62),"",SUM(F67:F75))</f>
        <v/>
      </c>
      <c r="G76" s="209" t="str">
        <f ca="1">IF(ISERROR(F62),"",_xlfn.TEXTJOIN("/",TRUE,SUMIF(F67:F75,"&gt;0",P67:P75),SUMIF(F67:F75,"&gt;0",S67:S75)))</f>
        <v/>
      </c>
      <c r="H76" s="209"/>
      <c r="I76" s="209" t="str">
        <f ca="1">IF(ISERROR(F62),"",_xlfn.TEXTJOIN("/",TRUE,SUMIF(F67:F75,"&gt;0",Q67:Q75),SUMIF(F67:F75,"&gt;0",T67:T75)))</f>
        <v/>
      </c>
      <c r="J76" s="209"/>
      <c r="K76" s="209" t="str">
        <f ca="1">IF(ISERROR(F62),"",IF(ISERROR(F62),"",_xlfn.TEXTJOIN("/",TRUE,SUMIF(F67:F75,"&gt;0",R67:R75),SUMIF(F67:F75,"&gt;0",U67:U75))))</f>
        <v/>
      </c>
      <c r="L76" s="209"/>
      <c r="M76" s="210" t="str">
        <f ca="1">IF(ISERROR(F62),"",SUMPRODUCT(N67:N75,F67:F75))</f>
        <v/>
      </c>
      <c r="N76" s="210"/>
    </row>
    <row r="77" spans="1:28" ht="12.75" customHeight="1" x14ac:dyDescent="0.15">
      <c r="A77" s="210" t="str">
        <f ca="1">IF(ISERROR(F62),"",A59)</f>
        <v/>
      </c>
      <c r="B77" s="206" t="str">
        <f ca="1">IFERROR(VLOOKUP(B62,INDIRECT($F$8),11+(O75-1)*4+3-V77,0),"")</f>
        <v/>
      </c>
      <c r="C77" s="206"/>
      <c r="D77" s="210" t="str">
        <f ca="1">IF(ISERROR(F62),"",D59)</f>
        <v/>
      </c>
      <c r="E77" s="206" t="str">
        <f ca="1">IFERROR(IF(VLOOKUP(B62,INDIRECT($F$8),11+(O75-1)*4+4-V77,0)=0,"",VLOOKUP(B62,INDIRECT($F$8),11+(O75-1)*4+4-V77,0)),"")</f>
        <v/>
      </c>
      <c r="F77" s="206"/>
      <c r="G77" s="210" t="str">
        <f ca="1">IF(ISERROR(F62),"",G59)</f>
        <v/>
      </c>
      <c r="H77" s="211" t="str">
        <f ca="1">IFERROR(VLOOKUP(B62,INDIRECT($F$8),11+(O75-1)*4-V77,0),"")</f>
        <v/>
      </c>
      <c r="I77" s="210" t="str">
        <f ca="1">IF(ISERROR(F62),"",I59)</f>
        <v/>
      </c>
      <c r="J77" s="211" t="str">
        <f ca="1">IFERROR(VLOOKUP(B62,INDIRECT($F$8),11+(O75-1)*4+1-V77,0),"")</f>
        <v/>
      </c>
      <c r="K77" s="206" t="str">
        <f ca="1">IF(ISERROR(F62),"",K59)</f>
        <v/>
      </c>
      <c r="L77" s="210" t="str">
        <f ca="1">IFERROR(VLOOKUP(B62,INDIRECT($F$8),11+(O75-1)*4+2-V77,0),"")</f>
        <v/>
      </c>
      <c r="M77" s="206" t="str">
        <f ca="1">IF(ISERROR(F62),"",M59)</f>
        <v/>
      </c>
      <c r="N77" s="210" t="str">
        <f ca="1">IFERROR(VLOOKUP(B62,INDIRECT($F$8),11+(O75-1)*4+5-V77,0),"")</f>
        <v/>
      </c>
      <c r="V77">
        <v>0</v>
      </c>
    </row>
    <row r="78" spans="1:28" ht="12.75" customHeight="1" x14ac:dyDescent="0.15">
      <c r="A78" s="210"/>
      <c r="B78" s="206"/>
      <c r="C78" s="206"/>
      <c r="D78" s="210"/>
      <c r="E78" s="206"/>
      <c r="F78" s="206"/>
      <c r="G78" s="210"/>
      <c r="H78" s="211"/>
      <c r="I78" s="210"/>
      <c r="J78" s="211"/>
      <c r="K78" s="206"/>
      <c r="L78" s="210"/>
      <c r="M78" s="206"/>
      <c r="N78" s="210"/>
    </row>
    <row r="79" spans="1:28" ht="13" x14ac:dyDescent="0.15">
      <c r="A79" s="210"/>
      <c r="B79" s="206"/>
      <c r="C79" s="206"/>
      <c r="D79" s="210"/>
      <c r="E79" s="206"/>
      <c r="F79" s="206"/>
      <c r="G79" s="210"/>
      <c r="H79" s="211"/>
      <c r="I79" s="210"/>
      <c r="J79" s="211"/>
      <c r="K79" s="206"/>
      <c r="L79" s="210"/>
      <c r="M79" s="206"/>
      <c r="N79" s="210"/>
    </row>
    <row r="80" spans="1:28" ht="12.75" customHeight="1" x14ac:dyDescent="0.15">
      <c r="A80" s="38" t="s">
        <v>73</v>
      </c>
      <c r="B80" s="38">
        <f>B62+1</f>
        <v>5</v>
      </c>
      <c r="C80" s="38" t="s">
        <v>71</v>
      </c>
      <c r="D80" s="38" t="s">
        <v>72</v>
      </c>
      <c r="E80" s="38" t="s">
        <v>40</v>
      </c>
      <c r="F80" s="38" t="e">
        <f ca="1">VLOOKUP(B80,INDIRECT($F$8),4,0)</f>
        <v>#N/A</v>
      </c>
      <c r="G80" s="39"/>
      <c r="H80" s="39"/>
      <c r="I80" s="39"/>
      <c r="J80" s="39"/>
      <c r="K80" s="39"/>
      <c r="L80" s="39"/>
      <c r="M80" s="39"/>
      <c r="N80" s="39"/>
    </row>
    <row r="81" spans="1:28" ht="12.75" customHeight="1" x14ac:dyDescent="0.15">
      <c r="A81" s="204" t="str">
        <f ca="1">IF(ISERROR(F80),"",A63)</f>
        <v/>
      </c>
      <c r="B81" s="204" t="str">
        <f ca="1">IFERROR(VLOOKUP(B80,INDIRECT($F$8),5,0),"")</f>
        <v/>
      </c>
      <c r="C81" s="204"/>
      <c r="D81" s="204" t="str">
        <f ca="1">IF(ISERROR(F80),"",D63)</f>
        <v/>
      </c>
      <c r="E81" s="204" t="str">
        <f ca="1">IFERROR(VLOOKUP(B80,INDIRECT($F$8),6,0),"")</f>
        <v/>
      </c>
      <c r="F81" s="204"/>
      <c r="G81" s="204" t="str">
        <f ca="1">IF(ISERROR(F80),"",G63)</f>
        <v/>
      </c>
      <c r="H81" s="204"/>
      <c r="I81" s="205" t="str">
        <f ca="1">IFERROR(VLOOKUP(B80,INDIRECT($F$8),2,0),"")</f>
        <v/>
      </c>
      <c r="J81" s="205"/>
      <c r="K81" s="204" t="str">
        <f ca="1">IF(ISERROR(F80),"",K63)</f>
        <v/>
      </c>
      <c r="L81" s="204"/>
      <c r="M81" s="205" t="str">
        <f ca="1">IFERROR(IF(VLOOKUP(B80,INDIRECT($F$8),3,0)=0,"",VLOOKUP(B80,INDIRECT($F$8),3,0)),"")</f>
        <v/>
      </c>
      <c r="N81" s="205"/>
    </row>
    <row r="82" spans="1:28" ht="12.75" customHeight="1" x14ac:dyDescent="0.15">
      <c r="A82" s="204"/>
      <c r="B82" s="204"/>
      <c r="C82" s="204"/>
      <c r="D82" s="204"/>
      <c r="E82" s="204"/>
      <c r="F82" s="204"/>
      <c r="G82" s="204"/>
      <c r="H82" s="204"/>
      <c r="I82" s="205"/>
      <c r="J82" s="205"/>
      <c r="K82" s="204"/>
      <c r="L82" s="204"/>
      <c r="M82" s="205"/>
      <c r="N82" s="205"/>
    </row>
    <row r="83" spans="1:28" ht="12.75" customHeight="1" x14ac:dyDescent="0.15">
      <c r="A83" s="206" t="str">
        <f ca="1">IF(ISERROR(F80),"",A65)</f>
        <v/>
      </c>
      <c r="B83" s="206" t="str">
        <f ca="1">IF(ISERROR(F80),"",B65)</f>
        <v/>
      </c>
      <c r="C83" s="206"/>
      <c r="D83" s="206"/>
      <c r="E83" s="206"/>
      <c r="F83" s="206" t="str">
        <f ca="1">IF(ISERROR(F80),"",F65)</f>
        <v/>
      </c>
      <c r="G83" s="206" t="str">
        <f ca="1">IF(ISERROR(F80),"",G65)</f>
        <v/>
      </c>
      <c r="H83" s="206"/>
      <c r="I83" s="206" t="str">
        <f ca="1">IF(ISERROR(F80),"",I65)</f>
        <v/>
      </c>
      <c r="J83" s="206"/>
      <c r="K83" s="206" t="str">
        <f ca="1">IF(ISERROR(F80),"",K65)</f>
        <v/>
      </c>
      <c r="L83" s="206"/>
      <c r="M83" s="206" t="str">
        <f ca="1">IF(ISERROR(F80),"",M65)</f>
        <v/>
      </c>
      <c r="N83" s="206" t="str">
        <f ca="1">IF(ISERROR(F80),"",N65)</f>
        <v/>
      </c>
    </row>
    <row r="84" spans="1:28" ht="12.75" customHeight="1" x14ac:dyDescent="0.15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</row>
    <row r="85" spans="1:28" ht="12.75" customHeight="1" x14ac:dyDescent="0.15">
      <c r="A85" s="40" t="str">
        <f ca="1">IF(ISERROR(F80),"",VLOOKUP(C80,INDIRECT($F$8),7+(O85-1)*4,0))</f>
        <v/>
      </c>
      <c r="B85" s="207" t="str">
        <f ca="1">IF(ISERROR(F80),"",VLOOKUP(D80,INDIRECT($F$8),7+(O85-1)*4,0))</f>
        <v/>
      </c>
      <c r="C85" s="207"/>
      <c r="D85" s="207"/>
      <c r="E85" s="207"/>
      <c r="F85" s="40" t="str">
        <f ca="1">IF(ISERROR(F80),"",VLOOKUP(E80,INDIRECT($F$8),7+(O85-1)*4,0))</f>
        <v/>
      </c>
      <c r="G85" s="208" t="str">
        <f ca="1">IF(ISERROR(F80),"",_xlfn.TEXTJOIN("/",FALSE,VLOOKUP(B80,INDIRECT($F$8),7+(O85-1)*4),VLOOKUP(A80,INDIRECT($F$8),7+(O85-1)*4)))</f>
        <v/>
      </c>
      <c r="H85" s="208"/>
      <c r="I85" s="208" t="str">
        <f ca="1">IF(ISERROR(F80),"",_xlfn.TEXTJOIN("/",FALSE,VLOOKUP(B80,INDIRECT($F$8),8+(O85-1)*4,0),VLOOKUP(A80,INDIRECT($F$8),8+(O85-1)*4,0)))</f>
        <v/>
      </c>
      <c r="J85" s="208"/>
      <c r="K85" s="208" t="str">
        <f ca="1">IF(ISERROR(F80),"",_xlfn.TEXTJOIN("/",FALSE,VLOOKUP(B80,INDIRECT($F$8),9+(O85-1)*4),VLOOKUP(A80,INDIRECT($F$8),9+(O85-1)*4)))</f>
        <v/>
      </c>
      <c r="L85" s="208"/>
      <c r="M85" s="40" t="str">
        <f ca="1">IF(ISERROR(F80),"",VLOOKUP(B80,INDIRECT($F$8),10+(O85-1)*4,0))</f>
        <v/>
      </c>
      <c r="N85" s="41" t="str">
        <f t="shared" ref="N85:N93" ca="1" si="28">INDEX($W$2:$W$12,MATCH(M85,$V$2:$V$12,0))</f>
        <v/>
      </c>
      <c r="O85">
        <v>1</v>
      </c>
      <c r="P85" s="42">
        <f ca="1">IFERROR(VALUE(IFERROR(LEFT(G85,SEARCH("/",G85)-1),0)),"")</f>
        <v>0</v>
      </c>
      <c r="Q85" s="42">
        <f ca="1">IFERROR(VALUE(IFERROR(LEFT(I85,SEARCH("/",I85)-1),0)),"")</f>
        <v>0</v>
      </c>
      <c r="R85" s="42">
        <f ca="1">IFERROR(VALUE(IFERROR(LEFT(K85,SEARCH("/",K85)-1),0)),"")</f>
        <v>0</v>
      </c>
      <c r="S85" s="42">
        <f ca="1">VALUE(IFERROR(RIGHT(G85,LEN(G85)-SEARCH("/",G85)),0))</f>
        <v>0</v>
      </c>
      <c r="T85" s="42">
        <f ca="1">VALUE(IFERROR(RIGHT(I85,LEN(I85)-SEARCH("/",I85)),0))</f>
        <v>0</v>
      </c>
      <c r="U85" s="42">
        <f ca="1">VALUE(IFERROR(RIGHT(K85,LEN(K85)-SEARCH("/",K85)),0))</f>
        <v>0</v>
      </c>
    </row>
    <row r="86" spans="1:28" ht="12.75" customHeight="1" x14ac:dyDescent="0.15">
      <c r="A86" s="40" t="str">
        <f ca="1">IF(ISERROR(F80),"",VLOOKUP(C80,INDIRECT($F$8),7+(O86-1)*4,0))</f>
        <v/>
      </c>
      <c r="B86" s="207" t="str">
        <f ca="1">IF(ISERROR(F80),"",VLOOKUP(D80,INDIRECT($F$8),7+(O86-1)*4,0))</f>
        <v/>
      </c>
      <c r="C86" s="207"/>
      <c r="D86" s="207"/>
      <c r="E86" s="207"/>
      <c r="F86" s="40" t="str">
        <f ca="1">IF(ISERROR(F80),"",VLOOKUP(E80,INDIRECT($F$8),7+(O86-1)*4,0))</f>
        <v/>
      </c>
      <c r="G86" s="208" t="str">
        <f ca="1">IF(ISERROR(F80),"",_xlfn.TEXTJOIN("/",FALSE,VLOOKUP(B80,INDIRECT($F$8),7+(O86-1)*4),VLOOKUP(A80,INDIRECT($F$8),7+(O86-1)*4)))</f>
        <v/>
      </c>
      <c r="H86" s="208"/>
      <c r="I86" s="208" t="str">
        <f ca="1">IF(ISERROR(F80),"",_xlfn.TEXTJOIN("/",FALSE,VLOOKUP(B80,INDIRECT($F$8),8+(O86-1)*4),VLOOKUP(A80,INDIRECT($F$8),8+(O86-1)*4)))</f>
        <v/>
      </c>
      <c r="J86" s="208"/>
      <c r="K86" s="208" t="str">
        <f ca="1">IF(ISERROR(F80),"",_xlfn.TEXTJOIN("/",FALSE,VLOOKUP(B80,INDIRECT($F$8),9+(O86-1)*4),VLOOKUP(A80,INDIRECT($F$8),9+(O86-1)*4)))</f>
        <v/>
      </c>
      <c r="L86" s="208"/>
      <c r="M86" s="40" t="str">
        <f ca="1">IF(ISERROR(F80),"",VLOOKUP(B80,INDIRECT($F$8),10+(O86-1)*4,0))</f>
        <v/>
      </c>
      <c r="N86" s="41" t="str">
        <f t="shared" ca="1" si="28"/>
        <v/>
      </c>
      <c r="O86">
        <v>2</v>
      </c>
      <c r="P86" s="42">
        <f ca="1">IFERROR(VALUE(IFERROR(LEFT(G86,SEARCH("/",G86)-1),0)),"")</f>
        <v>0</v>
      </c>
      <c r="Q86" s="42">
        <f t="shared" ref="Q86:Q93" ca="1" si="29">IFERROR(VALUE(IFERROR(LEFT(I86,SEARCH("/",I86)-1),0)),"")</f>
        <v>0</v>
      </c>
      <c r="R86" s="42">
        <f t="shared" ref="R86:R93" ca="1" si="30">IFERROR(VALUE(IFERROR(LEFT(K86,SEARCH("/",K86)-1),0)),"")</f>
        <v>0</v>
      </c>
      <c r="S86" s="42">
        <f t="shared" ref="S86:S93" ca="1" si="31">VALUE(IFERROR(RIGHT(G86,LEN(G86)-SEARCH("/",G86)),0))</f>
        <v>0</v>
      </c>
      <c r="T86" s="42">
        <f t="shared" ref="T86:T93" ca="1" si="32">VALUE(IFERROR(RIGHT(I86,LEN(I86)-SEARCH("/",I86)),0))</f>
        <v>0</v>
      </c>
      <c r="U86" s="42">
        <f t="shared" ref="U86:U93" ca="1" si="33">VALUE(IFERROR(RIGHT(K86,LEN(K86)-SEARCH("/",K86)),0))</f>
        <v>0</v>
      </c>
    </row>
    <row r="87" spans="1:28" ht="12.75" customHeight="1" x14ac:dyDescent="0.15">
      <c r="A87" s="40" t="str">
        <f ca="1">IF(ISERROR(F80),"",VLOOKUP(C80,INDIRECT($F$8),7+(O87-1)*4,0))</f>
        <v/>
      </c>
      <c r="B87" s="207" t="str">
        <f ca="1">IF(ISERROR(F80),"",VLOOKUP(D80,INDIRECT($F$8),7+(O87-1)*4,0))</f>
        <v/>
      </c>
      <c r="C87" s="207"/>
      <c r="D87" s="207"/>
      <c r="E87" s="207"/>
      <c r="F87" s="40" t="str">
        <f ca="1">IF(ISERROR(F80),"",VLOOKUP(E80,INDIRECT($F$8),7+(O87-1)*4,0))</f>
        <v/>
      </c>
      <c r="G87" s="208" t="str">
        <f ca="1">IF(ISERROR(F80),"",_xlfn.TEXTJOIN("/",FALSE,VLOOKUP(B80,INDIRECT($F$8),7+(O87-1)*4),VLOOKUP(A80,INDIRECT($F$8),7+(O87-1)*4)))</f>
        <v/>
      </c>
      <c r="H87" s="208"/>
      <c r="I87" s="208" t="str">
        <f ca="1">IF(ISERROR(F80),"",_xlfn.TEXTJOIN("/",FALSE,VLOOKUP(B80,INDIRECT($F$8),8+(O87-1)*4),VLOOKUP(A80,INDIRECT($F$8),8+(O87-1)*4)))</f>
        <v/>
      </c>
      <c r="J87" s="208"/>
      <c r="K87" s="208" t="str">
        <f ca="1">IF(ISERROR(F80),"",_xlfn.TEXTJOIN("/",FALSE,VLOOKUP(B80,INDIRECT($F$8),9+(O87-1)*4),VLOOKUP(A80,INDIRECT($F$8),9+(O87-1)*4)))</f>
        <v/>
      </c>
      <c r="L87" s="208"/>
      <c r="M87" s="40" t="str">
        <f ca="1">IF(ISERROR(F80),"",VLOOKUP(B80,INDIRECT($F$8),10+(O87-1)*4,0))</f>
        <v/>
      </c>
      <c r="N87" s="41" t="str">
        <f t="shared" ca="1" si="28"/>
        <v/>
      </c>
      <c r="O87">
        <v>3</v>
      </c>
      <c r="P87" s="42">
        <f t="shared" ref="P87:P93" ca="1" si="34">IFERROR(VALUE(IFERROR(LEFT(G87,SEARCH("/",G87)-1),0)),"")</f>
        <v>0</v>
      </c>
      <c r="Q87" s="42">
        <f t="shared" ca="1" si="29"/>
        <v>0</v>
      </c>
      <c r="R87" s="42">
        <f t="shared" ca="1" si="30"/>
        <v>0</v>
      </c>
      <c r="S87" s="42">
        <f t="shared" ca="1" si="31"/>
        <v>0</v>
      </c>
      <c r="T87" s="42">
        <f t="shared" ca="1" si="32"/>
        <v>0</v>
      </c>
      <c r="U87" s="42">
        <f t="shared" ca="1" si="33"/>
        <v>0</v>
      </c>
    </row>
    <row r="88" spans="1:28" ht="12.75" customHeight="1" x14ac:dyDescent="0.15">
      <c r="A88" s="40" t="str">
        <f ca="1">IF(ISERROR(F80),"",VLOOKUP(C80,INDIRECT($F$8),7+(O88-1)*4,0))</f>
        <v/>
      </c>
      <c r="B88" s="207" t="str">
        <f ca="1">IF(ISERROR(F80),"",VLOOKUP(D80,INDIRECT($F$8),7+(O88-1)*4,0))</f>
        <v/>
      </c>
      <c r="C88" s="207"/>
      <c r="D88" s="207"/>
      <c r="E88" s="207"/>
      <c r="F88" s="40" t="str">
        <f ca="1">IF(ISERROR(F80),"",VLOOKUP(E80,INDIRECT($F$8),7+(O88-1)*4,0))</f>
        <v/>
      </c>
      <c r="G88" s="208" t="str">
        <f ca="1">IF(ISERROR(F80),"",_xlfn.TEXTJOIN("/",FALSE,VLOOKUP(B80,INDIRECT($F$8),7+(O88-1)*4),VLOOKUP(A80,INDIRECT($F$8),7+(O88-1)*4)))</f>
        <v/>
      </c>
      <c r="H88" s="208"/>
      <c r="I88" s="208" t="str">
        <f ca="1">IF(ISERROR(F80),"",_xlfn.TEXTJOIN("/",FALSE,VLOOKUP(B80,INDIRECT($F$8),8+(O88-1)*4),VLOOKUP(A80,INDIRECT($F$8),8+(O88-1)*4)))</f>
        <v/>
      </c>
      <c r="J88" s="208"/>
      <c r="K88" s="208" t="str">
        <f ca="1">IF(ISERROR(F80),"",_xlfn.TEXTJOIN("/",FALSE,VLOOKUP(B80,INDIRECT($F$8),9+(O88-1)*4),VLOOKUP(A80,INDIRECT($F$8),9+(O88-1)*4)))</f>
        <v/>
      </c>
      <c r="L88" s="208"/>
      <c r="M88" s="40" t="str">
        <f ca="1">IF(ISERROR(F80),"",VLOOKUP(B80,INDIRECT($F$8),10+(O88-1)*4,0))</f>
        <v/>
      </c>
      <c r="N88" s="41" t="str">
        <f t="shared" ca="1" si="28"/>
        <v/>
      </c>
      <c r="O88">
        <v>4</v>
      </c>
      <c r="P88" s="42">
        <f t="shared" ca="1" si="34"/>
        <v>0</v>
      </c>
      <c r="Q88" s="42">
        <f t="shared" ca="1" si="29"/>
        <v>0</v>
      </c>
      <c r="R88" s="42">
        <f t="shared" ca="1" si="30"/>
        <v>0</v>
      </c>
      <c r="S88" s="42">
        <f t="shared" ca="1" si="31"/>
        <v>0</v>
      </c>
      <c r="T88" s="42">
        <f t="shared" ca="1" si="32"/>
        <v>0</v>
      </c>
      <c r="U88" s="42">
        <f t="shared" ca="1" si="33"/>
        <v>0</v>
      </c>
    </row>
    <row r="89" spans="1:28" ht="12.75" customHeight="1" x14ac:dyDescent="0.15">
      <c r="A89" s="40" t="str">
        <f ca="1">IF(ISERROR(F80),"",VLOOKUP(C80,INDIRECT($F$8),7+(O89-1)*4,0))</f>
        <v/>
      </c>
      <c r="B89" s="207" t="str">
        <f ca="1">IF(ISERROR(F80),"",VLOOKUP(D80,INDIRECT($F$8),7+(O89-1)*4,0))</f>
        <v/>
      </c>
      <c r="C89" s="207"/>
      <c r="D89" s="207"/>
      <c r="E89" s="207"/>
      <c r="F89" s="40" t="str">
        <f ca="1">IF(ISERROR(F80),"",VLOOKUP(E80,INDIRECT($F$8),7+(O89-1)*4,0))</f>
        <v/>
      </c>
      <c r="G89" s="208" t="str">
        <f ca="1">IF(ISERROR(F80),"",_xlfn.TEXTJOIN("/",FALSE,VLOOKUP(B80,INDIRECT($F$8),7+(O89-1)*4),VLOOKUP(A80,INDIRECT($F$8),7+(O89-1)*4)))</f>
        <v/>
      </c>
      <c r="H89" s="208"/>
      <c r="I89" s="208" t="str">
        <f ca="1">IF(ISERROR(F80),"",_xlfn.TEXTJOIN("/",FALSE,VLOOKUP(B80,INDIRECT($F$8),8+(O89-1)*4),VLOOKUP(A80,INDIRECT($F$8),8+(O89-1)*4)))</f>
        <v/>
      </c>
      <c r="J89" s="208"/>
      <c r="K89" s="208" t="str">
        <f ca="1">IF(ISERROR(F80),"",_xlfn.TEXTJOIN("/",FALSE,VLOOKUP(B80,INDIRECT($F$8),9+(O89-1)*4),VLOOKUP(A80,INDIRECT($F$8),9+(O89-1)*4)))</f>
        <v/>
      </c>
      <c r="L89" s="208"/>
      <c r="M89" s="40" t="str">
        <f ca="1">IF(ISERROR(F80),"",VLOOKUP(B80,INDIRECT($F$8),10+(O89-1)*4,0))</f>
        <v/>
      </c>
      <c r="N89" s="41" t="str">
        <f t="shared" ca="1" si="28"/>
        <v/>
      </c>
      <c r="O89">
        <v>5</v>
      </c>
      <c r="P89" s="42">
        <f t="shared" ca="1" si="34"/>
        <v>0</v>
      </c>
      <c r="Q89" s="42">
        <f t="shared" ca="1" si="29"/>
        <v>0</v>
      </c>
      <c r="R89" s="42">
        <f t="shared" ca="1" si="30"/>
        <v>0</v>
      </c>
      <c r="S89" s="42">
        <f t="shared" ca="1" si="31"/>
        <v>0</v>
      </c>
      <c r="T89" s="42">
        <f t="shared" ca="1" si="32"/>
        <v>0</v>
      </c>
      <c r="U89" s="42">
        <f t="shared" ca="1" si="33"/>
        <v>0</v>
      </c>
    </row>
    <row r="90" spans="1:28" ht="12.75" customHeight="1" x14ac:dyDescent="0.15">
      <c r="A90" s="40" t="str">
        <f ca="1">IF(ISERROR(F80),"",VLOOKUP(C80,INDIRECT($F$8),7+(O90-1)*4,0))</f>
        <v/>
      </c>
      <c r="B90" s="207" t="str">
        <f ca="1">IF(ISERROR(F80),"",VLOOKUP(D80,INDIRECT($F$8),7+(O90-1)*4,0))</f>
        <v/>
      </c>
      <c r="C90" s="207"/>
      <c r="D90" s="207"/>
      <c r="E90" s="207"/>
      <c r="F90" s="40" t="str">
        <f ca="1">IF(ISERROR(F80),"",VLOOKUP(E80,INDIRECT($F$8),7+(O90-1)*4,0))</f>
        <v/>
      </c>
      <c r="G90" s="208" t="str">
        <f ca="1">IF(ISERROR(F80),"",_xlfn.TEXTJOIN("/",FALSE,VLOOKUP(B80,INDIRECT($F$8),7+(O90-1)*4),VLOOKUP(A80,INDIRECT($F$8),7+(O90-1)*4)))</f>
        <v/>
      </c>
      <c r="H90" s="208"/>
      <c r="I90" s="208" t="str">
        <f ca="1">IF(ISERROR(F80),"",_xlfn.TEXTJOIN("/",FALSE,VLOOKUP(B80,INDIRECT($F$8),8+(O90-1)*4),VLOOKUP(A80,INDIRECT($F$8),8+(O90-1)*4)))</f>
        <v/>
      </c>
      <c r="J90" s="208"/>
      <c r="K90" s="208" t="str">
        <f ca="1">IF(ISERROR(F80),"",_xlfn.TEXTJOIN("/",FALSE,VLOOKUP(B80,INDIRECT($F$8),9+(O90-1)*4),VLOOKUP(A80,INDIRECT($F$8),9+(O90-1)*4)))</f>
        <v/>
      </c>
      <c r="L90" s="208"/>
      <c r="M90" s="40" t="str">
        <f ca="1">IF(ISERROR(F80),"",VLOOKUP(B80,INDIRECT($F$8),10+(O90-1)*4,0))</f>
        <v/>
      </c>
      <c r="N90" s="41" t="str">
        <f t="shared" ca="1" si="28"/>
        <v/>
      </c>
      <c r="O90">
        <v>6</v>
      </c>
      <c r="P90" s="42">
        <f t="shared" ca="1" si="34"/>
        <v>0</v>
      </c>
      <c r="Q90" s="42">
        <f t="shared" ca="1" si="29"/>
        <v>0</v>
      </c>
      <c r="R90" s="42">
        <f t="shared" ca="1" si="30"/>
        <v>0</v>
      </c>
      <c r="S90" s="42">
        <f t="shared" ca="1" si="31"/>
        <v>0</v>
      </c>
      <c r="T90" s="42">
        <f t="shared" ca="1" si="32"/>
        <v>0</v>
      </c>
      <c r="U90" s="42">
        <f t="shared" ca="1" si="33"/>
        <v>0</v>
      </c>
    </row>
    <row r="91" spans="1:28" ht="12.75" customHeight="1" x14ac:dyDescent="0.15">
      <c r="A91" s="40" t="str">
        <f ca="1">VLOOKUP(C80,INDIRECT($F$8),7+(O91-1)*4,0)</f>
        <v>AHT 303</v>
      </c>
      <c r="B91" s="207" t="str">
        <f ca="1">VLOOKUP(D80,INDIRECT($F$8),7+(O91-1)*4,0)</f>
        <v xml:space="preserve">Technical Writing and Presentation Skill ($) </v>
      </c>
      <c r="C91" s="207"/>
      <c r="D91" s="207"/>
      <c r="E91" s="207"/>
      <c r="F91" s="40">
        <f ca="1">VLOOKUP(E80,INDIRECT($F$8),7+(O91-1)*4,0)</f>
        <v>0</v>
      </c>
      <c r="G91" s="208" t="s">
        <v>86</v>
      </c>
      <c r="H91" s="208"/>
      <c r="I91" s="208" t="str">
        <f ca="1">_xlfn.TEXTJOIN("/",FALSE,VLOOKUP(B80,INDIRECT($F$8),8+(O91-1)*4)-Z91,VLOOKUP(A80,INDIRECT($F$8),8+(O91-1)*4-Z91))</f>
        <v>37/50</v>
      </c>
      <c r="J91" s="208"/>
      <c r="K91" s="208" t="str">
        <f ca="1">_xlfn.TEXTJOIN("/",FALSE,VLOOKUP(B80,INDIRECT($F$8),9+(O91-1)*4-AA91),VLOOKUP(A80,INDIRECT($F$8),9+(O91-1)*4-AA91))</f>
        <v>37/50</v>
      </c>
      <c r="L91" s="208"/>
      <c r="M91" s="40" t="e">
        <f ca="1">VLOOKUP(B80,INDIRECT($F$8),10+(O91-1)*4-AB91,0)</f>
        <v>#N/A</v>
      </c>
      <c r="N91" s="41" t="e">
        <f t="shared" ca="1" si="28"/>
        <v>#N/A</v>
      </c>
      <c r="O91">
        <v>7</v>
      </c>
      <c r="P91" s="42">
        <f t="shared" si="34"/>
        <v>0</v>
      </c>
      <c r="Q91" s="42">
        <f t="shared" ca="1" si="29"/>
        <v>37</v>
      </c>
      <c r="R91" s="42">
        <f t="shared" ca="1" si="30"/>
        <v>37</v>
      </c>
      <c r="S91" s="42">
        <f t="shared" si="31"/>
        <v>0</v>
      </c>
      <c r="T91" s="42">
        <f t="shared" ca="1" si="32"/>
        <v>50</v>
      </c>
      <c r="U91" s="42">
        <f t="shared" ca="1" si="33"/>
        <v>50</v>
      </c>
      <c r="V91">
        <v>1</v>
      </c>
      <c r="W91">
        <v>1</v>
      </c>
      <c r="X91">
        <v>1</v>
      </c>
      <c r="Y91">
        <v>1</v>
      </c>
      <c r="Z91">
        <v>0</v>
      </c>
      <c r="AA91">
        <v>1</v>
      </c>
      <c r="AB91">
        <v>1</v>
      </c>
    </row>
    <row r="92" spans="1:28" ht="12.75" customHeight="1" x14ac:dyDescent="0.15">
      <c r="A92" s="40" t="str">
        <f ca="1">VLOOKUP(C80,INDIRECT($F$8),7+(O92-1)*4-V92,0)</f>
        <v>CEP 601</v>
      </c>
      <c r="B92" s="207" t="str">
        <f ca="1">VLOOKUP(D80,INDIRECT($F$8),7+(O92-1)*4-W92,0)</f>
        <v>Advanced Soil Mechanics Lab</v>
      </c>
      <c r="C92" s="207"/>
      <c r="D92" s="207"/>
      <c r="E92" s="207"/>
      <c r="F92" s="40">
        <f ca="1">VLOOKUP(E80,INDIRECT($F$8),7+(O92-1)*4-X92,0)</f>
        <v>1</v>
      </c>
      <c r="G92" s="208" t="str">
        <f ca="1">_xlfn.TEXTJOIN("/",FALSE,VLOOKUP(B80,INDIRECT($F$8),7+(O92-1)*4-Y92),VLOOKUP(A80,INDIRECT($F$8),7+(O92-1)*4-Y92))</f>
        <v>22/25</v>
      </c>
      <c r="H92" s="208"/>
      <c r="I92" s="208" t="str">
        <f ca="1">_xlfn.TEXTJOIN("/",FALSE,VLOOKUP(B80,INDIRECT($F$8),8+(O92-1)*4-Z92),VLOOKUP(A80,INDIRECT($F$8),8+(O92-1)*4-Z92))</f>
        <v>23/25</v>
      </c>
      <c r="J92" s="208"/>
      <c r="K92" s="208" t="str">
        <f ca="1">_xlfn.TEXTJOIN("/",FALSE,VLOOKUP(B80,INDIRECT($F$8),9+(O92-1)*4-AA92),VLOOKUP(A80,INDIRECT($F$8),9+(O92-1)*4-AA92))</f>
        <v>45/50</v>
      </c>
      <c r="L92" s="208"/>
      <c r="M92" s="40" t="e">
        <f ca="1">VLOOKUP(B80,INDIRECT($F$8),10+(O92-1)*4-AB92,0)</f>
        <v>#N/A</v>
      </c>
      <c r="N92" s="41" t="e">
        <f t="shared" ca="1" si="28"/>
        <v>#N/A</v>
      </c>
      <c r="O92">
        <v>8</v>
      </c>
      <c r="P92" s="42">
        <f t="shared" ca="1" si="34"/>
        <v>22</v>
      </c>
      <c r="Q92" s="42">
        <f t="shared" ca="1" si="29"/>
        <v>23</v>
      </c>
      <c r="R92" s="42">
        <f t="shared" ca="1" si="30"/>
        <v>45</v>
      </c>
      <c r="S92" s="42">
        <f t="shared" ca="1" si="31"/>
        <v>25</v>
      </c>
      <c r="T92" s="42">
        <f t="shared" ca="1" si="32"/>
        <v>25</v>
      </c>
      <c r="U92" s="42">
        <f t="shared" ca="1" si="33"/>
        <v>50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</row>
    <row r="93" spans="1:28" ht="12.75" customHeight="1" x14ac:dyDescent="0.15">
      <c r="A93" s="40" t="str">
        <f ca="1">VLOOKUP(C80,INDIRECT($F$8),7+(O93-1)*4-V93,0)</f>
        <v>CEP 602</v>
      </c>
      <c r="B93" s="207" t="str">
        <f ca="1">VLOOKUP(D80,INDIRECT($F$8),7+(O93-1)*4-W93,0)</f>
        <v>Soil Dynamics Lab</v>
      </c>
      <c r="C93" s="207"/>
      <c r="D93" s="207"/>
      <c r="E93" s="207"/>
      <c r="F93" s="40">
        <f ca="1">VLOOKUP(E80,INDIRECT($F$8),7+(O93-1)*4-X93,0)</f>
        <v>1</v>
      </c>
      <c r="G93" s="208" t="e">
        <f ca="1">_xlfn.TEXTJOIN("/",FALSE,VLOOKUP(B80,INDIRECT($F$8),7+(O93-1)*4-Y93,0),VLOOKUP(A80,INDIRECT($F$8),7+(O93-1)*4-Y93,0))</f>
        <v>#N/A</v>
      </c>
      <c r="H93" s="208"/>
      <c r="I93" s="208" t="e">
        <f ca="1">_xlfn.TEXTJOIN("/",FALSE,VLOOKUP(B80,INDIRECT($F$8),8+(O93-1)*4-Z93,0),VLOOKUP(A80,INDIRECT($F$8),8+(O93-1)*4-Z93,0))</f>
        <v>#N/A</v>
      </c>
      <c r="J93" s="208"/>
      <c r="K93" s="208" t="e">
        <f ca="1">_xlfn.TEXTJOIN("/",FALSE,VLOOKUP(B80,INDIRECT($F$8),9+(O93-1)*4-AA93,0),VLOOKUP(A80,INDIRECT($F$8),9+(O93-1)*4-AA93,0))</f>
        <v>#N/A</v>
      </c>
      <c r="L93" s="208"/>
      <c r="M93" s="40" t="e">
        <f ca="1">VLOOKUP(B80,INDIRECT($F$8),10+(O93-1)*4-AB93,0)</f>
        <v>#N/A</v>
      </c>
      <c r="N93" s="41" t="e">
        <f t="shared" ca="1" si="28"/>
        <v>#N/A</v>
      </c>
      <c r="O93">
        <v>9</v>
      </c>
      <c r="P93" s="42">
        <f t="shared" ca="1" si="34"/>
        <v>0</v>
      </c>
      <c r="Q93" s="42">
        <f t="shared" ca="1" si="29"/>
        <v>0</v>
      </c>
      <c r="R93" s="42">
        <f t="shared" ca="1" si="30"/>
        <v>0</v>
      </c>
      <c r="S93" s="42">
        <f t="shared" ca="1" si="31"/>
        <v>0</v>
      </c>
      <c r="T93" s="42">
        <f t="shared" ca="1" si="32"/>
        <v>0</v>
      </c>
      <c r="U93" s="42">
        <f t="shared" ca="1" si="33"/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</row>
    <row r="94" spans="1:28" ht="12.75" customHeight="1" x14ac:dyDescent="0.15">
      <c r="A94" s="209" t="str">
        <f ca="1">IF(ISERROR(F80),"",A76)</f>
        <v/>
      </c>
      <c r="B94" s="209"/>
      <c r="C94" s="209"/>
      <c r="D94" s="209"/>
      <c r="E94" s="209"/>
      <c r="F94" s="43" t="str">
        <f ca="1">IF(ISERROR(F80),"",SUM(F85:F93))</f>
        <v/>
      </c>
      <c r="G94" s="209" t="str">
        <f ca="1">IF(ISERROR(F80),"",_xlfn.TEXTJOIN("/",TRUE,SUMIF(F85:F93,"&gt;0",P85:P93),SUMIF(F85:F93,"&gt;0",S85:S93)))</f>
        <v/>
      </c>
      <c r="H94" s="209"/>
      <c r="I94" s="209" t="str">
        <f ca="1">IF(ISERROR(F80),"",_xlfn.TEXTJOIN("/",TRUE,SUMIF(F85:F93,"&gt;0",Q85:Q93),SUMIF(F85:F93,"&gt;0",T85:T93)))</f>
        <v/>
      </c>
      <c r="J94" s="209"/>
      <c r="K94" s="209" t="str">
        <f ca="1">IF(ISERROR(F80),"",IF(ISERROR(F80),"",_xlfn.TEXTJOIN("/",TRUE,SUMIF(F85:F93,"&gt;0",R85:R93),SUMIF(F85:F93,"&gt;0",U85:U93))))</f>
        <v/>
      </c>
      <c r="L94" s="209"/>
      <c r="M94" s="210" t="str">
        <f ca="1">IF(ISERROR(F80),"",SUMPRODUCT(N85:N93,F85:F93))</f>
        <v/>
      </c>
      <c r="N94" s="210"/>
    </row>
    <row r="95" spans="1:28" ht="12.75" customHeight="1" x14ac:dyDescent="0.15">
      <c r="A95" s="210" t="str">
        <f ca="1">IF(ISERROR(F80),"",A77)</f>
        <v/>
      </c>
      <c r="B95" s="206" t="str">
        <f ca="1">IFERROR(VLOOKUP(B80,INDIRECT($F$8),11+(O93-1)*4+3-V95,0),"")</f>
        <v/>
      </c>
      <c r="C95" s="206"/>
      <c r="D95" s="210" t="str">
        <f ca="1">IF(ISERROR(F80),"",D77)</f>
        <v/>
      </c>
      <c r="E95" s="206" t="str">
        <f ca="1">IFERROR(IF(VLOOKUP(B80,INDIRECT($F$8),11+(O93-1)*4+4-V95,0)=0,"",VLOOKUP(B80,INDIRECT($F$8),11+(O93-1)*4+4-V95,0)),"")</f>
        <v/>
      </c>
      <c r="F95" s="206"/>
      <c r="G95" s="210" t="str">
        <f ca="1">IF(ISERROR(F80),"",G77)</f>
        <v/>
      </c>
      <c r="H95" s="211" t="str">
        <f ca="1">IFERROR(VLOOKUP(B80,INDIRECT($F$8),11+(O93-1)*4-V95,0),"")</f>
        <v/>
      </c>
      <c r="I95" s="210" t="str">
        <f ca="1">IF(ISERROR(F80),"",I77)</f>
        <v/>
      </c>
      <c r="J95" s="211" t="str">
        <f ca="1">IFERROR(VLOOKUP(B80,INDIRECT($F$8),11+(O93-1)*4+1-V95,0),"")</f>
        <v/>
      </c>
      <c r="K95" s="206" t="str">
        <f ca="1">IF(ISERROR(F80),"",K77)</f>
        <v/>
      </c>
      <c r="L95" s="210" t="str">
        <f ca="1">IFERROR(VLOOKUP(B80,INDIRECT($F$8),11+(O93-1)*4+2-V95,0),"")</f>
        <v/>
      </c>
      <c r="M95" s="206" t="str">
        <f ca="1">IF(ISERROR(F80),"",M77)</f>
        <v/>
      </c>
      <c r="N95" s="210" t="str">
        <f ca="1">IFERROR(VLOOKUP(B80,INDIRECT($F$8),11+(O93-1)*4+5-V95,0),"")</f>
        <v/>
      </c>
      <c r="V95">
        <v>0</v>
      </c>
    </row>
    <row r="96" spans="1:28" ht="12.75" customHeight="1" x14ac:dyDescent="0.15">
      <c r="A96" s="210"/>
      <c r="B96" s="206"/>
      <c r="C96" s="206"/>
      <c r="D96" s="210"/>
      <c r="E96" s="206"/>
      <c r="F96" s="206"/>
      <c r="G96" s="210"/>
      <c r="H96" s="211"/>
      <c r="I96" s="210"/>
      <c r="J96" s="211"/>
      <c r="K96" s="206"/>
      <c r="L96" s="210"/>
      <c r="M96" s="206"/>
      <c r="N96" s="210"/>
    </row>
    <row r="97" spans="1:28" ht="12.75" customHeight="1" x14ac:dyDescent="0.15">
      <c r="A97" s="210"/>
      <c r="B97" s="206"/>
      <c r="C97" s="206"/>
      <c r="D97" s="210"/>
      <c r="E97" s="206"/>
      <c r="F97" s="206"/>
      <c r="G97" s="210"/>
      <c r="H97" s="211"/>
      <c r="I97" s="210"/>
      <c r="J97" s="211"/>
      <c r="K97" s="206"/>
      <c r="L97" s="210"/>
      <c r="M97" s="206"/>
      <c r="N97" s="210"/>
    </row>
    <row r="98" spans="1:28" ht="12.75" customHeight="1" x14ac:dyDescent="0.15">
      <c r="A98" s="38" t="s">
        <v>73</v>
      </c>
      <c r="B98" s="38">
        <f>B80+1</f>
        <v>6</v>
      </c>
      <c r="C98" s="38" t="s">
        <v>71</v>
      </c>
      <c r="D98" s="38" t="s">
        <v>72</v>
      </c>
      <c r="E98" s="38" t="s">
        <v>40</v>
      </c>
      <c r="F98" s="38" t="e">
        <f ca="1">VLOOKUP(B98,INDIRECT($F$8),4,0)</f>
        <v>#N/A</v>
      </c>
      <c r="G98" s="39"/>
      <c r="H98" s="39"/>
      <c r="I98" s="39"/>
      <c r="J98" s="39"/>
      <c r="K98" s="39"/>
      <c r="L98" s="39"/>
      <c r="M98" s="39"/>
      <c r="N98" s="39"/>
    </row>
    <row r="99" spans="1:28" ht="12.75" customHeight="1" x14ac:dyDescent="0.15">
      <c r="A99" s="204" t="str">
        <f ca="1">IF(ISERROR(F98),"",A81)</f>
        <v/>
      </c>
      <c r="B99" s="204" t="str">
        <f ca="1">IFERROR(VLOOKUP(B98,INDIRECT($F$8),5,0),"")</f>
        <v/>
      </c>
      <c r="C99" s="204"/>
      <c r="D99" s="204" t="str">
        <f ca="1">IF(ISERROR(F98),"",D81)</f>
        <v/>
      </c>
      <c r="E99" s="204" t="str">
        <f ca="1">IFERROR(VLOOKUP(B98,INDIRECT($F$8),6,0),"")</f>
        <v/>
      </c>
      <c r="F99" s="204"/>
      <c r="G99" s="204" t="str">
        <f ca="1">IF(ISERROR(F98),"",G81)</f>
        <v/>
      </c>
      <c r="H99" s="204"/>
      <c r="I99" s="205" t="str">
        <f ca="1">IFERROR(VLOOKUP(B98,INDIRECT($F$8),2,0),"")</f>
        <v/>
      </c>
      <c r="J99" s="205"/>
      <c r="K99" s="204" t="str">
        <f ca="1">IF(ISERROR(F98),"",K81)</f>
        <v/>
      </c>
      <c r="L99" s="204"/>
      <c r="M99" s="205" t="str">
        <f ca="1">IFERROR(IF(VLOOKUP(B98,INDIRECT($F$8),3,0)=0,"",VLOOKUP(B98,INDIRECT($F$8),3,0)),"")</f>
        <v/>
      </c>
      <c r="N99" s="205"/>
    </row>
    <row r="100" spans="1:28" ht="12.75" customHeight="1" x14ac:dyDescent="0.15">
      <c r="A100" s="204"/>
      <c r="B100" s="204"/>
      <c r="C100" s="204"/>
      <c r="D100" s="204"/>
      <c r="E100" s="204"/>
      <c r="F100" s="204"/>
      <c r="G100" s="204"/>
      <c r="H100" s="204"/>
      <c r="I100" s="205"/>
      <c r="J100" s="205"/>
      <c r="K100" s="204"/>
      <c r="L100" s="204"/>
      <c r="M100" s="205"/>
      <c r="N100" s="205"/>
    </row>
    <row r="101" spans="1:28" ht="12.75" customHeight="1" x14ac:dyDescent="0.15">
      <c r="A101" s="206" t="str">
        <f ca="1">IF(ISERROR(F98),"",A83)</f>
        <v/>
      </c>
      <c r="B101" s="206" t="str">
        <f ca="1">IF(ISERROR(F98),"",B83)</f>
        <v/>
      </c>
      <c r="C101" s="206"/>
      <c r="D101" s="206"/>
      <c r="E101" s="206"/>
      <c r="F101" s="206" t="str">
        <f ca="1">IF(ISERROR(F98),"",F83)</f>
        <v/>
      </c>
      <c r="G101" s="206" t="str">
        <f ca="1">IF(ISERROR(F98),"",G83)</f>
        <v/>
      </c>
      <c r="H101" s="206"/>
      <c r="I101" s="206" t="str">
        <f ca="1">IF(ISERROR(F98),"",I83)</f>
        <v/>
      </c>
      <c r="J101" s="206"/>
      <c r="K101" s="206" t="str">
        <f ca="1">IF(ISERROR(F98),"",K83)</f>
        <v/>
      </c>
      <c r="L101" s="206"/>
      <c r="M101" s="206" t="str">
        <f ca="1">IF(ISERROR(F98),"",M83)</f>
        <v/>
      </c>
      <c r="N101" s="206" t="str">
        <f ca="1">IF(ISERROR(F98),"",N83)</f>
        <v/>
      </c>
    </row>
    <row r="102" spans="1:28" ht="12.75" customHeight="1" x14ac:dyDescent="0.15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</row>
    <row r="103" spans="1:28" ht="12.75" customHeight="1" x14ac:dyDescent="0.15">
      <c r="A103" s="40" t="str">
        <f ca="1">IF(ISERROR(F98),"",VLOOKUP(C98,INDIRECT($F$8),7+(O103-1)*4,0))</f>
        <v/>
      </c>
      <c r="B103" s="207" t="str">
        <f ca="1">IF(ISERROR(F98),"",VLOOKUP(D98,INDIRECT($F$8),7+(O103-1)*4,0))</f>
        <v/>
      </c>
      <c r="C103" s="207"/>
      <c r="D103" s="207"/>
      <c r="E103" s="207"/>
      <c r="F103" s="40" t="str">
        <f ca="1">IF(ISERROR(F98),"",VLOOKUP(E98,INDIRECT($F$8),7+(O103-1)*4,0))</f>
        <v/>
      </c>
      <c r="G103" s="208" t="str">
        <f ca="1">IF(ISERROR(F98),"",_xlfn.TEXTJOIN("/",FALSE,VLOOKUP(B98,INDIRECT($F$8),7+(O103-1)*4),VLOOKUP(A98,INDIRECT($F$8),7+(O103-1)*4)))</f>
        <v/>
      </c>
      <c r="H103" s="208"/>
      <c r="I103" s="208" t="str">
        <f ca="1">IF(ISERROR(F98),"",_xlfn.TEXTJOIN("/",FALSE,VLOOKUP(B98,INDIRECT($F$8),8+(O103-1)*4,0),VLOOKUP(A98,INDIRECT($F$8),8+(O103-1)*4,0)))</f>
        <v/>
      </c>
      <c r="J103" s="208"/>
      <c r="K103" s="208" t="str">
        <f ca="1">IF(ISERROR(F98),"",_xlfn.TEXTJOIN("/",FALSE,VLOOKUP(B98,INDIRECT($F$8),9+(O103-1)*4),VLOOKUP(A98,INDIRECT($F$8),9+(O103-1)*4)))</f>
        <v/>
      </c>
      <c r="L103" s="208"/>
      <c r="M103" s="40" t="str">
        <f ca="1">IF(ISERROR(F98),"",VLOOKUP(B98,INDIRECT($F$8),10+(O103-1)*4,0))</f>
        <v/>
      </c>
      <c r="N103" s="41" t="str">
        <f t="shared" ref="N103:N111" ca="1" si="35">INDEX($W$2:$W$12,MATCH(M103,$V$2:$V$12,0))</f>
        <v/>
      </c>
      <c r="O103">
        <v>1</v>
      </c>
      <c r="P103" s="42">
        <f ca="1">IFERROR(VALUE(IFERROR(LEFT(G103,SEARCH("/",G103)-1),0)),"")</f>
        <v>0</v>
      </c>
      <c r="Q103" s="42">
        <f ca="1">IFERROR(VALUE(IFERROR(LEFT(I103,SEARCH("/",I103)-1),0)),"")</f>
        <v>0</v>
      </c>
      <c r="R103" s="42">
        <f ca="1">IFERROR(VALUE(IFERROR(LEFT(K103,SEARCH("/",K103)-1),0)),"")</f>
        <v>0</v>
      </c>
      <c r="S103" s="42">
        <f ca="1">VALUE(IFERROR(RIGHT(G103,LEN(G103)-SEARCH("/",G103)),0))</f>
        <v>0</v>
      </c>
      <c r="T103" s="42">
        <f ca="1">VALUE(IFERROR(RIGHT(I103,LEN(I103)-SEARCH("/",I103)),0))</f>
        <v>0</v>
      </c>
      <c r="U103" s="42">
        <f ca="1">VALUE(IFERROR(RIGHT(K103,LEN(K103)-SEARCH("/",K103)),0))</f>
        <v>0</v>
      </c>
    </row>
    <row r="104" spans="1:28" ht="12.75" customHeight="1" x14ac:dyDescent="0.15">
      <c r="A104" s="40" t="str">
        <f ca="1">IF(ISERROR(F98),"",VLOOKUP(C98,INDIRECT($F$8),7+(O104-1)*4,0))</f>
        <v/>
      </c>
      <c r="B104" s="207" t="str">
        <f ca="1">IF(ISERROR(F98),"",VLOOKUP(D98,INDIRECT($F$8),7+(O104-1)*4,0))</f>
        <v/>
      </c>
      <c r="C104" s="207"/>
      <c r="D104" s="207"/>
      <c r="E104" s="207"/>
      <c r="F104" s="40" t="str">
        <f ca="1">IF(ISERROR(F98),"",VLOOKUP(E98,INDIRECT($F$8),7+(O104-1)*4,0))</f>
        <v/>
      </c>
      <c r="G104" s="208" t="str">
        <f ca="1">IF(ISERROR(F98),"",_xlfn.TEXTJOIN("/",FALSE,VLOOKUP(B98,INDIRECT($F$8),7+(O104-1)*4),VLOOKUP(A98,INDIRECT($F$8),7+(O104-1)*4)))</f>
        <v/>
      </c>
      <c r="H104" s="208"/>
      <c r="I104" s="208" t="str">
        <f ca="1">IF(ISERROR(F98),"",_xlfn.TEXTJOIN("/",FALSE,VLOOKUP(B98,INDIRECT($F$8),8+(O104-1)*4),VLOOKUP(A98,INDIRECT($F$8),8+(O104-1)*4)))</f>
        <v/>
      </c>
      <c r="J104" s="208"/>
      <c r="K104" s="208" t="str">
        <f ca="1">IF(ISERROR(F98),"",_xlfn.TEXTJOIN("/",FALSE,VLOOKUP(B98,INDIRECT($F$8),9+(O104-1)*4),VLOOKUP(A98,INDIRECT($F$8),9+(O104-1)*4)))</f>
        <v/>
      </c>
      <c r="L104" s="208"/>
      <c r="M104" s="40" t="str">
        <f ca="1">IF(ISERROR(F98),"",VLOOKUP(B98,INDIRECT($F$8),10+(O104-1)*4,0))</f>
        <v/>
      </c>
      <c r="N104" s="41" t="str">
        <f t="shared" ca="1" si="35"/>
        <v/>
      </c>
      <c r="O104">
        <v>2</v>
      </c>
      <c r="P104" s="42">
        <f ca="1">IFERROR(VALUE(IFERROR(LEFT(G104,SEARCH("/",G104)-1),0)),"")</f>
        <v>0</v>
      </c>
      <c r="Q104" s="42">
        <f t="shared" ref="Q104:Q111" ca="1" si="36">IFERROR(VALUE(IFERROR(LEFT(I104,SEARCH("/",I104)-1),0)),"")</f>
        <v>0</v>
      </c>
      <c r="R104" s="42">
        <f t="shared" ref="R104:R111" ca="1" si="37">IFERROR(VALUE(IFERROR(LEFT(K104,SEARCH("/",K104)-1),0)),"")</f>
        <v>0</v>
      </c>
      <c r="S104" s="42">
        <f t="shared" ref="S104:S111" ca="1" si="38">VALUE(IFERROR(RIGHT(G104,LEN(G104)-SEARCH("/",G104)),0))</f>
        <v>0</v>
      </c>
      <c r="T104" s="42">
        <f t="shared" ref="T104:T111" ca="1" si="39">VALUE(IFERROR(RIGHT(I104,LEN(I104)-SEARCH("/",I104)),0))</f>
        <v>0</v>
      </c>
      <c r="U104" s="42">
        <f t="shared" ref="U104:U111" ca="1" si="40">VALUE(IFERROR(RIGHT(K104,LEN(K104)-SEARCH("/",K104)),0))</f>
        <v>0</v>
      </c>
    </row>
    <row r="105" spans="1:28" ht="12.75" customHeight="1" x14ac:dyDescent="0.15">
      <c r="A105" s="40" t="str">
        <f ca="1">IF(ISERROR(F98),"",VLOOKUP(C98,INDIRECT($F$8),7+(O105-1)*4,0))</f>
        <v/>
      </c>
      <c r="B105" s="207" t="str">
        <f ca="1">IF(ISERROR(F98),"",VLOOKUP(D98,INDIRECT($F$8),7+(O105-1)*4,0))</f>
        <v/>
      </c>
      <c r="C105" s="207"/>
      <c r="D105" s="207"/>
      <c r="E105" s="207"/>
      <c r="F105" s="40" t="str">
        <f ca="1">IF(ISERROR(F98),"",VLOOKUP(E98,INDIRECT($F$8),7+(O105-1)*4,0))</f>
        <v/>
      </c>
      <c r="G105" s="208" t="str">
        <f ca="1">IF(ISERROR(F98),"",_xlfn.TEXTJOIN("/",FALSE,VLOOKUP(B98,INDIRECT($F$8),7+(O105-1)*4),VLOOKUP(A98,INDIRECT($F$8),7+(O105-1)*4)))</f>
        <v/>
      </c>
      <c r="H105" s="208"/>
      <c r="I105" s="208" t="str">
        <f ca="1">IF(ISERROR(F98),"",_xlfn.TEXTJOIN("/",FALSE,VLOOKUP(B98,INDIRECT($F$8),8+(O105-1)*4),VLOOKUP(A98,INDIRECT($F$8),8+(O105-1)*4)))</f>
        <v/>
      </c>
      <c r="J105" s="208"/>
      <c r="K105" s="208" t="str">
        <f ca="1">IF(ISERROR(F98),"",_xlfn.TEXTJOIN("/",FALSE,VLOOKUP(B98,INDIRECT($F$8),9+(O105-1)*4),VLOOKUP(A98,INDIRECT($F$8),9+(O105-1)*4)))</f>
        <v/>
      </c>
      <c r="L105" s="208"/>
      <c r="M105" s="40" t="str">
        <f ca="1">IF(ISERROR(F98),"",VLOOKUP(B98,INDIRECT($F$8),10+(O105-1)*4,0))</f>
        <v/>
      </c>
      <c r="N105" s="41" t="str">
        <f t="shared" ca="1" si="35"/>
        <v/>
      </c>
      <c r="O105">
        <v>3</v>
      </c>
      <c r="P105" s="42">
        <f t="shared" ref="P105:P111" ca="1" si="41">IFERROR(VALUE(IFERROR(LEFT(G105,SEARCH("/",G105)-1),0)),"")</f>
        <v>0</v>
      </c>
      <c r="Q105" s="42">
        <f t="shared" ca="1" si="36"/>
        <v>0</v>
      </c>
      <c r="R105" s="42">
        <f t="shared" ca="1" si="37"/>
        <v>0</v>
      </c>
      <c r="S105" s="42">
        <f t="shared" ca="1" si="38"/>
        <v>0</v>
      </c>
      <c r="T105" s="42">
        <f t="shared" ca="1" si="39"/>
        <v>0</v>
      </c>
      <c r="U105" s="42">
        <f t="shared" ca="1" si="40"/>
        <v>0</v>
      </c>
    </row>
    <row r="106" spans="1:28" ht="12.75" customHeight="1" x14ac:dyDescent="0.15">
      <c r="A106" s="40" t="str">
        <f ca="1">IF(ISERROR(F98),"",VLOOKUP(C98,INDIRECT($F$8),7+(O106-1)*4,0))</f>
        <v/>
      </c>
      <c r="B106" s="207" t="str">
        <f ca="1">IF(ISERROR(F98),"",VLOOKUP(D98,INDIRECT($F$8),7+(O106-1)*4,0))</f>
        <v/>
      </c>
      <c r="C106" s="207"/>
      <c r="D106" s="207"/>
      <c r="E106" s="207"/>
      <c r="F106" s="40" t="str">
        <f ca="1">IF(ISERROR(F98),"",VLOOKUP(E98,INDIRECT($F$8),7+(O106-1)*4,0))</f>
        <v/>
      </c>
      <c r="G106" s="208" t="str">
        <f ca="1">IF(ISERROR(F98),"",_xlfn.TEXTJOIN("/",FALSE,VLOOKUP(B98,INDIRECT($F$8),7+(O106-1)*4),VLOOKUP(A98,INDIRECT($F$8),7+(O106-1)*4)))</f>
        <v/>
      </c>
      <c r="H106" s="208"/>
      <c r="I106" s="208" t="str">
        <f ca="1">IF(ISERROR(F98),"",_xlfn.TEXTJOIN("/",FALSE,VLOOKUP(B98,INDIRECT($F$8),8+(O106-1)*4),VLOOKUP(A98,INDIRECT($F$8),8+(O106-1)*4)))</f>
        <v/>
      </c>
      <c r="J106" s="208"/>
      <c r="K106" s="208" t="str">
        <f ca="1">IF(ISERROR(F98),"",_xlfn.TEXTJOIN("/",FALSE,VLOOKUP(B98,INDIRECT($F$8),9+(O106-1)*4),VLOOKUP(A98,INDIRECT($F$8),9+(O106-1)*4)))</f>
        <v/>
      </c>
      <c r="L106" s="208"/>
      <c r="M106" s="40" t="str">
        <f ca="1">IF(ISERROR(F98),"",VLOOKUP(B98,INDIRECT($F$8),10+(O106-1)*4,0))</f>
        <v/>
      </c>
      <c r="N106" s="41" t="str">
        <f t="shared" ca="1" si="35"/>
        <v/>
      </c>
      <c r="O106">
        <v>4</v>
      </c>
      <c r="P106" s="42">
        <f t="shared" ca="1" si="41"/>
        <v>0</v>
      </c>
      <c r="Q106" s="42">
        <f t="shared" ca="1" si="36"/>
        <v>0</v>
      </c>
      <c r="R106" s="42">
        <f t="shared" ca="1" si="37"/>
        <v>0</v>
      </c>
      <c r="S106" s="42">
        <f t="shared" ca="1" si="38"/>
        <v>0</v>
      </c>
      <c r="T106" s="42">
        <f t="shared" ca="1" si="39"/>
        <v>0</v>
      </c>
      <c r="U106" s="42">
        <f t="shared" ca="1" si="40"/>
        <v>0</v>
      </c>
    </row>
    <row r="107" spans="1:28" ht="12.75" customHeight="1" x14ac:dyDescent="0.15">
      <c r="A107" s="40" t="str">
        <f ca="1">IF(ISERROR(F98),"",VLOOKUP(C98,INDIRECT($F$8),7+(O107-1)*4,0))</f>
        <v/>
      </c>
      <c r="B107" s="207" t="str">
        <f ca="1">IF(ISERROR(F98),"",VLOOKUP(D98,INDIRECT($F$8),7+(O107-1)*4,0))</f>
        <v/>
      </c>
      <c r="C107" s="207"/>
      <c r="D107" s="207"/>
      <c r="E107" s="207"/>
      <c r="F107" s="40" t="str">
        <f ca="1">IF(ISERROR(F98),"",VLOOKUP(E98,INDIRECT($F$8),7+(O107-1)*4,0))</f>
        <v/>
      </c>
      <c r="G107" s="208" t="str">
        <f ca="1">IF(ISERROR(F98),"",_xlfn.TEXTJOIN("/",FALSE,VLOOKUP(B98,INDIRECT($F$8),7+(O107-1)*4),VLOOKUP(A98,INDIRECT($F$8),7+(O107-1)*4)))</f>
        <v/>
      </c>
      <c r="H107" s="208"/>
      <c r="I107" s="208" t="str">
        <f ca="1">IF(ISERROR(F98),"",_xlfn.TEXTJOIN("/",FALSE,VLOOKUP(B98,INDIRECT($F$8),8+(O107-1)*4),VLOOKUP(A98,INDIRECT($F$8),8+(O107-1)*4)))</f>
        <v/>
      </c>
      <c r="J107" s="208"/>
      <c r="K107" s="208" t="str">
        <f ca="1">IF(ISERROR(F98),"",_xlfn.TEXTJOIN("/",FALSE,VLOOKUP(B98,INDIRECT($F$8),9+(O107-1)*4),VLOOKUP(A98,INDIRECT($F$8),9+(O107-1)*4)))</f>
        <v/>
      </c>
      <c r="L107" s="208"/>
      <c r="M107" s="40" t="str">
        <f ca="1">IF(ISERROR(F98),"",VLOOKUP(B98,INDIRECT($F$8),10+(O107-1)*4,0))</f>
        <v/>
      </c>
      <c r="N107" s="41" t="str">
        <f t="shared" ca="1" si="35"/>
        <v/>
      </c>
      <c r="O107">
        <v>5</v>
      </c>
      <c r="P107" s="42">
        <f t="shared" ca="1" si="41"/>
        <v>0</v>
      </c>
      <c r="Q107" s="42">
        <f t="shared" ca="1" si="36"/>
        <v>0</v>
      </c>
      <c r="R107" s="42">
        <f t="shared" ca="1" si="37"/>
        <v>0</v>
      </c>
      <c r="S107" s="42">
        <f t="shared" ca="1" si="38"/>
        <v>0</v>
      </c>
      <c r="T107" s="42">
        <f t="shared" ca="1" si="39"/>
        <v>0</v>
      </c>
      <c r="U107" s="42">
        <f t="shared" ca="1" si="40"/>
        <v>0</v>
      </c>
    </row>
    <row r="108" spans="1:28" ht="12.75" customHeight="1" x14ac:dyDescent="0.15">
      <c r="A108" s="40" t="str">
        <f ca="1">IF(ISERROR(F98),"",VLOOKUP(C98,INDIRECT($F$8),7+(O108-1)*4,0))</f>
        <v/>
      </c>
      <c r="B108" s="207" t="str">
        <f ca="1">IF(ISERROR(F98),"",VLOOKUP(D98,INDIRECT($F$8),7+(O108-1)*4,0))</f>
        <v/>
      </c>
      <c r="C108" s="207"/>
      <c r="D108" s="207"/>
      <c r="E108" s="207"/>
      <c r="F108" s="40" t="str">
        <f ca="1">IF(ISERROR(F98),"",VLOOKUP(E98,INDIRECT($F$8),7+(O108-1)*4,0))</f>
        <v/>
      </c>
      <c r="G108" s="208" t="str">
        <f ca="1">IF(ISERROR(F98),"",_xlfn.TEXTJOIN("/",FALSE,VLOOKUP(B98,INDIRECT($F$8),7+(O108-1)*4),VLOOKUP(A98,INDIRECT($F$8),7+(O108-1)*4)))</f>
        <v/>
      </c>
      <c r="H108" s="208"/>
      <c r="I108" s="208" t="str">
        <f ca="1">IF(ISERROR(F98),"",_xlfn.TEXTJOIN("/",FALSE,VLOOKUP(B98,INDIRECT($F$8),8+(O108-1)*4),VLOOKUP(A98,INDIRECT($F$8),8+(O108-1)*4)))</f>
        <v/>
      </c>
      <c r="J108" s="208"/>
      <c r="K108" s="208" t="str">
        <f ca="1">IF(ISERROR(F98),"",_xlfn.TEXTJOIN("/",FALSE,VLOOKUP(B98,INDIRECT($F$8),9+(O108-1)*4),VLOOKUP(A98,INDIRECT($F$8),9+(O108-1)*4)))</f>
        <v/>
      </c>
      <c r="L108" s="208"/>
      <c r="M108" s="40" t="str">
        <f ca="1">IF(ISERROR(F98),"",VLOOKUP(B98,INDIRECT($F$8),10+(O108-1)*4,0))</f>
        <v/>
      </c>
      <c r="N108" s="41" t="str">
        <f t="shared" ca="1" si="35"/>
        <v/>
      </c>
      <c r="O108">
        <v>6</v>
      </c>
      <c r="P108" s="42">
        <f t="shared" ca="1" si="41"/>
        <v>0</v>
      </c>
      <c r="Q108" s="42">
        <f t="shared" ca="1" si="36"/>
        <v>0</v>
      </c>
      <c r="R108" s="42">
        <f t="shared" ca="1" si="37"/>
        <v>0</v>
      </c>
      <c r="S108" s="42">
        <f t="shared" ca="1" si="38"/>
        <v>0</v>
      </c>
      <c r="T108" s="42">
        <f t="shared" ca="1" si="39"/>
        <v>0</v>
      </c>
      <c r="U108" s="42">
        <f t="shared" ca="1" si="40"/>
        <v>0</v>
      </c>
    </row>
    <row r="109" spans="1:28" ht="12.75" customHeight="1" x14ac:dyDescent="0.15">
      <c r="A109" s="40" t="str">
        <f ca="1">VLOOKUP(C98,INDIRECT($F$8),7+(O109-1)*4,0)</f>
        <v>AHT 303</v>
      </c>
      <c r="B109" s="207" t="str">
        <f ca="1">VLOOKUP(D98,INDIRECT($F$8),7+(O109-1)*4,0)</f>
        <v xml:space="preserve">Technical Writing and Presentation Skill ($) </v>
      </c>
      <c r="C109" s="207"/>
      <c r="D109" s="207"/>
      <c r="E109" s="207"/>
      <c r="F109" s="40">
        <f ca="1">VLOOKUP(E98,INDIRECT($F$8),7+(O109-1)*4,0)</f>
        <v>0</v>
      </c>
      <c r="G109" s="208" t="s">
        <v>86</v>
      </c>
      <c r="H109" s="208"/>
      <c r="I109" s="208" t="str">
        <f ca="1">_xlfn.TEXTJOIN("/",FALSE,VLOOKUP(B98,INDIRECT($F$8),8+(O109-1)*4)-Z109,VLOOKUP(A98,INDIRECT($F$8),8+(O109-1)*4-Z109))</f>
        <v>37/50</v>
      </c>
      <c r="J109" s="208"/>
      <c r="K109" s="208" t="str">
        <f ca="1">_xlfn.TEXTJOIN("/",FALSE,VLOOKUP(B98,INDIRECT($F$8),9+(O109-1)*4-AA109),VLOOKUP(A98,INDIRECT($F$8),9+(O109-1)*4-AA109))</f>
        <v>37/50</v>
      </c>
      <c r="L109" s="208"/>
      <c r="M109" s="40" t="e">
        <f ca="1">VLOOKUP(B98,INDIRECT($F$8),10+(O109-1)*4-AB109,0)</f>
        <v>#N/A</v>
      </c>
      <c r="N109" s="41" t="e">
        <f t="shared" ca="1" si="35"/>
        <v>#N/A</v>
      </c>
      <c r="O109">
        <v>7</v>
      </c>
      <c r="P109" s="42">
        <f t="shared" si="41"/>
        <v>0</v>
      </c>
      <c r="Q109" s="42">
        <f t="shared" ca="1" si="36"/>
        <v>37</v>
      </c>
      <c r="R109" s="42">
        <f t="shared" ca="1" si="37"/>
        <v>37</v>
      </c>
      <c r="S109" s="42">
        <f t="shared" si="38"/>
        <v>0</v>
      </c>
      <c r="T109" s="42">
        <f t="shared" ca="1" si="39"/>
        <v>50</v>
      </c>
      <c r="U109" s="42">
        <f t="shared" ca="1" si="40"/>
        <v>50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</row>
    <row r="110" spans="1:28" ht="12.75" customHeight="1" x14ac:dyDescent="0.15">
      <c r="A110" s="40" t="str">
        <f ca="1">VLOOKUP(C98,INDIRECT($F$8),7+(O110-1)*4-V110,0)</f>
        <v>CEP 601</v>
      </c>
      <c r="B110" s="207" t="str">
        <f ca="1">VLOOKUP(D98,INDIRECT($F$8),7+(O110-1)*4-W110,0)</f>
        <v>Advanced Soil Mechanics Lab</v>
      </c>
      <c r="C110" s="207"/>
      <c r="D110" s="207"/>
      <c r="E110" s="207"/>
      <c r="F110" s="40">
        <f ca="1">VLOOKUP(E98,INDIRECT($F$8),7+(O110-1)*4-X110,0)</f>
        <v>1</v>
      </c>
      <c r="G110" s="208" t="str">
        <f ca="1">_xlfn.TEXTJOIN("/",FALSE,VLOOKUP(B98,INDIRECT($F$8),7+(O110-1)*4-Y110),VLOOKUP(A98,INDIRECT($F$8),7+(O110-1)*4-Y110))</f>
        <v>22/25</v>
      </c>
      <c r="H110" s="208"/>
      <c r="I110" s="208" t="str">
        <f ca="1">_xlfn.TEXTJOIN("/",FALSE,VLOOKUP(B98,INDIRECT($F$8),8+(O110-1)*4-Z110),VLOOKUP(A98,INDIRECT($F$8),8+(O110-1)*4-Z110))</f>
        <v>23/25</v>
      </c>
      <c r="J110" s="208"/>
      <c r="K110" s="208" t="str">
        <f ca="1">_xlfn.TEXTJOIN("/",FALSE,VLOOKUP(B98,INDIRECT($F$8),9+(O110-1)*4-AA110),VLOOKUP(A98,INDIRECT($F$8),9+(O110-1)*4-AA110))</f>
        <v>45/50</v>
      </c>
      <c r="L110" s="208"/>
      <c r="M110" s="40" t="e">
        <f ca="1">VLOOKUP(B98,INDIRECT($F$8),10+(O110-1)*4-AB110,0)</f>
        <v>#N/A</v>
      </c>
      <c r="N110" s="41" t="e">
        <f t="shared" ca="1" si="35"/>
        <v>#N/A</v>
      </c>
      <c r="O110">
        <v>8</v>
      </c>
      <c r="P110" s="42">
        <f t="shared" ca="1" si="41"/>
        <v>22</v>
      </c>
      <c r="Q110" s="42">
        <f t="shared" ca="1" si="36"/>
        <v>23</v>
      </c>
      <c r="R110" s="42">
        <f t="shared" ca="1" si="37"/>
        <v>45</v>
      </c>
      <c r="S110" s="42">
        <f t="shared" ca="1" si="38"/>
        <v>25</v>
      </c>
      <c r="T110" s="42">
        <f t="shared" ca="1" si="39"/>
        <v>25</v>
      </c>
      <c r="U110" s="42">
        <f t="shared" ca="1" si="40"/>
        <v>50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</row>
    <row r="111" spans="1:28" ht="12.75" customHeight="1" x14ac:dyDescent="0.15">
      <c r="A111" s="40" t="str">
        <f ca="1">VLOOKUP(C98,INDIRECT($F$8),7+(O111-1)*4-V111,0)</f>
        <v>CEP 602</v>
      </c>
      <c r="B111" s="207" t="str">
        <f ca="1">VLOOKUP(D98,INDIRECT($F$8),7+(O111-1)*4-W111,0)</f>
        <v>Soil Dynamics Lab</v>
      </c>
      <c r="C111" s="207"/>
      <c r="D111" s="207"/>
      <c r="E111" s="207"/>
      <c r="F111" s="40">
        <f ca="1">VLOOKUP(E98,INDIRECT($F$8),7+(O111-1)*4-X111,0)</f>
        <v>1</v>
      </c>
      <c r="G111" s="208" t="e">
        <f ca="1">_xlfn.TEXTJOIN("/",FALSE,VLOOKUP(B98,INDIRECT($F$8),7+(O111-1)*4-Y111,0),VLOOKUP(A98,INDIRECT($F$8),7+(O111-1)*4-Y111,0))</f>
        <v>#N/A</v>
      </c>
      <c r="H111" s="208"/>
      <c r="I111" s="208" t="e">
        <f ca="1">_xlfn.TEXTJOIN("/",FALSE,VLOOKUP(B98,INDIRECT($F$8),8+(O111-1)*4-Z111,0),VLOOKUP(A98,INDIRECT($F$8),8+(O111-1)*4-Z111,0))</f>
        <v>#N/A</v>
      </c>
      <c r="J111" s="208"/>
      <c r="K111" s="208" t="e">
        <f ca="1">_xlfn.TEXTJOIN("/",FALSE,VLOOKUP(B98,INDIRECT($F$8),9+(O111-1)*4-AA111,0),VLOOKUP(A98,INDIRECT($F$8),9+(O111-1)*4-AA111,0))</f>
        <v>#N/A</v>
      </c>
      <c r="L111" s="208"/>
      <c r="M111" s="40" t="e">
        <f ca="1">VLOOKUP(B98,INDIRECT($F$8),10+(O111-1)*4-AB111,0)</f>
        <v>#N/A</v>
      </c>
      <c r="N111" s="41" t="e">
        <f t="shared" ca="1" si="35"/>
        <v>#N/A</v>
      </c>
      <c r="O111">
        <v>9</v>
      </c>
      <c r="P111" s="42">
        <f t="shared" ca="1" si="41"/>
        <v>0</v>
      </c>
      <c r="Q111" s="42">
        <f t="shared" ca="1" si="36"/>
        <v>0</v>
      </c>
      <c r="R111" s="42">
        <f t="shared" ca="1" si="37"/>
        <v>0</v>
      </c>
      <c r="S111" s="42">
        <f t="shared" ca="1" si="38"/>
        <v>0</v>
      </c>
      <c r="T111" s="42">
        <f t="shared" ca="1" si="39"/>
        <v>0</v>
      </c>
      <c r="U111" s="42">
        <f t="shared" ca="1" si="40"/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</row>
    <row r="112" spans="1:28" ht="12.75" customHeight="1" x14ac:dyDescent="0.15">
      <c r="A112" s="209" t="str">
        <f ca="1">IF(ISERROR(F98),"",A94)</f>
        <v/>
      </c>
      <c r="B112" s="209"/>
      <c r="C112" s="209"/>
      <c r="D112" s="209"/>
      <c r="E112" s="209"/>
      <c r="F112" s="43" t="str">
        <f ca="1">IF(ISERROR(F98),"",SUM(F103:F111))</f>
        <v/>
      </c>
      <c r="G112" s="209" t="str">
        <f ca="1">IF(ISERROR(F98),"",_xlfn.TEXTJOIN("/",TRUE,SUMIF(F103:F111,"&gt;0",P103:P111),SUMIF(F103:F111,"&gt;0",S103:S111)))</f>
        <v/>
      </c>
      <c r="H112" s="209"/>
      <c r="I112" s="209" t="str">
        <f ca="1">IF(ISERROR(F98),"",_xlfn.TEXTJOIN("/",TRUE,SUMIF(F103:F111,"&gt;0",Q103:Q111),SUMIF(F103:F111,"&gt;0",T103:T111)))</f>
        <v/>
      </c>
      <c r="J112" s="209"/>
      <c r="K112" s="209" t="str">
        <f ca="1">IF(ISERROR(F98),"",IF(ISERROR(F98),"",_xlfn.TEXTJOIN("/",TRUE,SUMIF(F103:F111,"&gt;0",R103:R111),SUMIF(F103:F111,"&gt;0",U103:U111))))</f>
        <v/>
      </c>
      <c r="L112" s="209"/>
      <c r="M112" s="210" t="str">
        <f ca="1">IF(ISERROR(F98),"",SUMPRODUCT(N103:N111,F103:F111))</f>
        <v/>
      </c>
      <c r="N112" s="210"/>
    </row>
    <row r="113" spans="1:22" ht="12.75" customHeight="1" x14ac:dyDescent="0.15">
      <c r="A113" s="210" t="str">
        <f ca="1">IF(ISERROR(F98),"",A95)</f>
        <v/>
      </c>
      <c r="B113" s="206" t="str">
        <f ca="1">IFERROR(VLOOKUP(B98,INDIRECT($F$8),11+(O111-1)*4+3-V113,0),"")</f>
        <v/>
      </c>
      <c r="C113" s="206"/>
      <c r="D113" s="210" t="str">
        <f ca="1">IF(ISERROR(F98),"",D95)</f>
        <v/>
      </c>
      <c r="E113" s="206" t="str">
        <f ca="1">IFERROR(IF(VLOOKUP(B98,INDIRECT($F$8),11+(O111-1)*4+4-V113,0)=0,"",VLOOKUP(B98,INDIRECT($F$8),11+(O111-1)*4+4-V113,0)),"")</f>
        <v/>
      </c>
      <c r="F113" s="206"/>
      <c r="G113" s="210" t="str">
        <f ca="1">IF(ISERROR(F98),"",G95)</f>
        <v/>
      </c>
      <c r="H113" s="211" t="str">
        <f ca="1">IFERROR(VLOOKUP(B98,INDIRECT($F$8),11+(O111-1)*4-V113,0),"")</f>
        <v/>
      </c>
      <c r="I113" s="210" t="str">
        <f ca="1">IF(ISERROR(F98),"",I95)</f>
        <v/>
      </c>
      <c r="J113" s="211" t="str">
        <f ca="1">IFERROR(VLOOKUP(B98,INDIRECT($F$8),11+(O111-1)*4+1-V113,0),"")</f>
        <v/>
      </c>
      <c r="K113" s="206" t="str">
        <f ca="1">IF(ISERROR(F98),"",K95)</f>
        <v/>
      </c>
      <c r="L113" s="210" t="str">
        <f ca="1">IFERROR(VLOOKUP(B98,INDIRECT($F$8),11+(O111-1)*4+2-V113,0),"")</f>
        <v/>
      </c>
      <c r="M113" s="206" t="str">
        <f ca="1">IF(ISERROR(F98),"",M95)</f>
        <v/>
      </c>
      <c r="N113" s="210" t="str">
        <f ca="1">IFERROR(VLOOKUP(B98,INDIRECT($F$8),11+(O111-1)*4+5-V113,0),"")</f>
        <v/>
      </c>
      <c r="V113">
        <v>0</v>
      </c>
    </row>
    <row r="114" spans="1:22" ht="12.75" customHeight="1" x14ac:dyDescent="0.15">
      <c r="A114" s="210"/>
      <c r="B114" s="206"/>
      <c r="C114" s="206"/>
      <c r="D114" s="210"/>
      <c r="E114" s="206"/>
      <c r="F114" s="206"/>
      <c r="G114" s="210"/>
      <c r="H114" s="211"/>
      <c r="I114" s="210"/>
      <c r="J114" s="211"/>
      <c r="K114" s="206"/>
      <c r="L114" s="210"/>
      <c r="M114" s="206"/>
      <c r="N114" s="210"/>
    </row>
    <row r="115" spans="1:22" ht="12.75" customHeight="1" x14ac:dyDescent="0.15">
      <c r="A115" s="210"/>
      <c r="B115" s="206"/>
      <c r="C115" s="206"/>
      <c r="D115" s="210"/>
      <c r="E115" s="206"/>
      <c r="F115" s="206"/>
      <c r="G115" s="210"/>
      <c r="H115" s="211"/>
      <c r="I115" s="210"/>
      <c r="J115" s="211"/>
      <c r="K115" s="206"/>
      <c r="L115" s="210"/>
      <c r="M115" s="206"/>
      <c r="N115" s="210"/>
    </row>
  </sheetData>
  <mergeCells count="418"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B21:E21"/>
    <mergeCell ref="G21:H21"/>
    <mergeCell ref="I21:J21"/>
    <mergeCell ref="K21:L21"/>
    <mergeCell ref="B19:E19"/>
    <mergeCell ref="G19:H19"/>
    <mergeCell ref="I19:J19"/>
    <mergeCell ref="K19:L19"/>
    <mergeCell ref="B20:E20"/>
    <mergeCell ref="G20:H20"/>
    <mergeCell ref="I20:J20"/>
    <mergeCell ref="K20:L20"/>
    <mergeCell ref="N23:N25"/>
    <mergeCell ref="H23:H25"/>
    <mergeCell ref="I23:I25"/>
    <mergeCell ref="J23:J25"/>
    <mergeCell ref="K23:K25"/>
    <mergeCell ref="L23:L25"/>
    <mergeCell ref="M23:M25"/>
    <mergeCell ref="A22:E22"/>
    <mergeCell ref="G22:H22"/>
    <mergeCell ref="I22:J22"/>
    <mergeCell ref="K22:L22"/>
    <mergeCell ref="M22:N22"/>
    <mergeCell ref="A23:A25"/>
    <mergeCell ref="B23:C25"/>
    <mergeCell ref="D23:D25"/>
    <mergeCell ref="E23:F25"/>
    <mergeCell ref="G23:G25"/>
    <mergeCell ref="M29:M30"/>
    <mergeCell ref="N29:N30"/>
    <mergeCell ref="B31:E31"/>
    <mergeCell ref="G31:H31"/>
    <mergeCell ref="I31:J31"/>
    <mergeCell ref="K31:L31"/>
    <mergeCell ref="A29:A30"/>
    <mergeCell ref="B29:E30"/>
    <mergeCell ref="F29:F30"/>
    <mergeCell ref="G29:H30"/>
    <mergeCell ref="I29:J30"/>
    <mergeCell ref="K29:L30"/>
    <mergeCell ref="B34:E34"/>
    <mergeCell ref="G34:H34"/>
    <mergeCell ref="I34:J34"/>
    <mergeCell ref="K34:L34"/>
    <mergeCell ref="B35:E35"/>
    <mergeCell ref="G35:H35"/>
    <mergeCell ref="I35:J35"/>
    <mergeCell ref="K35:L35"/>
    <mergeCell ref="B32:E32"/>
    <mergeCell ref="G32:H32"/>
    <mergeCell ref="I32:J32"/>
    <mergeCell ref="K32:L32"/>
    <mergeCell ref="B33:E33"/>
    <mergeCell ref="G33:H33"/>
    <mergeCell ref="I33:J33"/>
    <mergeCell ref="K33:L33"/>
    <mergeCell ref="G38:H38"/>
    <mergeCell ref="I38:J38"/>
    <mergeCell ref="K38:L38"/>
    <mergeCell ref="B39:E39"/>
    <mergeCell ref="G39:H39"/>
    <mergeCell ref="I39:J39"/>
    <mergeCell ref="K39:L39"/>
    <mergeCell ref="B36:E36"/>
    <mergeCell ref="G36:H36"/>
    <mergeCell ref="I36:J36"/>
    <mergeCell ref="K36:L36"/>
    <mergeCell ref="B37:E37"/>
    <mergeCell ref="G37:H37"/>
    <mergeCell ref="I37:J37"/>
    <mergeCell ref="K37:L37"/>
    <mergeCell ref="M27:N28"/>
    <mergeCell ref="A40:E40"/>
    <mergeCell ref="M40:N40"/>
    <mergeCell ref="A41:A43"/>
    <mergeCell ref="B41:C43"/>
    <mergeCell ref="D41:D43"/>
    <mergeCell ref="E41:F43"/>
    <mergeCell ref="G41:G43"/>
    <mergeCell ref="H41:H43"/>
    <mergeCell ref="I41:I43"/>
    <mergeCell ref="A27:A28"/>
    <mergeCell ref="B27:C28"/>
    <mergeCell ref="D27:D28"/>
    <mergeCell ref="E27:F28"/>
    <mergeCell ref="G27:H28"/>
    <mergeCell ref="I27:J28"/>
    <mergeCell ref="K27:L28"/>
    <mergeCell ref="J41:J43"/>
    <mergeCell ref="K41:K43"/>
    <mergeCell ref="G40:H40"/>
    <mergeCell ref="I40:J40"/>
    <mergeCell ref="K40:L40"/>
    <mergeCell ref="L41:L43"/>
    <mergeCell ref="B38:E38"/>
    <mergeCell ref="M41:M43"/>
    <mergeCell ref="N41:N43"/>
    <mergeCell ref="A45:A46"/>
    <mergeCell ref="B45:C46"/>
    <mergeCell ref="D45:D46"/>
    <mergeCell ref="E45:F46"/>
    <mergeCell ref="G45:H46"/>
    <mergeCell ref="I45:J46"/>
    <mergeCell ref="K45:L46"/>
    <mergeCell ref="M45:N46"/>
    <mergeCell ref="M47:M48"/>
    <mergeCell ref="N47:N48"/>
    <mergeCell ref="B49:E49"/>
    <mergeCell ref="G49:H49"/>
    <mergeCell ref="I49:J49"/>
    <mergeCell ref="K49:L49"/>
    <mergeCell ref="A47:A48"/>
    <mergeCell ref="B47:E48"/>
    <mergeCell ref="F47:F48"/>
    <mergeCell ref="G47:H48"/>
    <mergeCell ref="I47:J48"/>
    <mergeCell ref="K47:L48"/>
    <mergeCell ref="B52:E52"/>
    <mergeCell ref="G52:H52"/>
    <mergeCell ref="I52:J52"/>
    <mergeCell ref="K52:L52"/>
    <mergeCell ref="B53:E53"/>
    <mergeCell ref="G53:H53"/>
    <mergeCell ref="I53:J53"/>
    <mergeCell ref="K53:L53"/>
    <mergeCell ref="B50:E50"/>
    <mergeCell ref="G50:H50"/>
    <mergeCell ref="I50:J50"/>
    <mergeCell ref="K50:L50"/>
    <mergeCell ref="B51:E51"/>
    <mergeCell ref="G51:H51"/>
    <mergeCell ref="I51:J51"/>
    <mergeCell ref="K51:L51"/>
    <mergeCell ref="B56:E56"/>
    <mergeCell ref="G56:H56"/>
    <mergeCell ref="I56:J56"/>
    <mergeCell ref="K56:L56"/>
    <mergeCell ref="B57:E57"/>
    <mergeCell ref="G57:H57"/>
    <mergeCell ref="I57:J57"/>
    <mergeCell ref="K57:L57"/>
    <mergeCell ref="B54:E54"/>
    <mergeCell ref="G54:H54"/>
    <mergeCell ref="I54:J54"/>
    <mergeCell ref="K54:L54"/>
    <mergeCell ref="B55:E55"/>
    <mergeCell ref="G55:H55"/>
    <mergeCell ref="I55:J55"/>
    <mergeCell ref="K55:L55"/>
    <mergeCell ref="A58:E58"/>
    <mergeCell ref="G58:H58"/>
    <mergeCell ref="I58:J58"/>
    <mergeCell ref="K58:L58"/>
    <mergeCell ref="M58:N58"/>
    <mergeCell ref="A59:A61"/>
    <mergeCell ref="B59:C61"/>
    <mergeCell ref="D59:D61"/>
    <mergeCell ref="E59:F61"/>
    <mergeCell ref="G59:G61"/>
    <mergeCell ref="N59:N61"/>
    <mergeCell ref="A63:A64"/>
    <mergeCell ref="B63:C64"/>
    <mergeCell ref="D63:D64"/>
    <mergeCell ref="E63:F64"/>
    <mergeCell ref="G63:H64"/>
    <mergeCell ref="I63:J64"/>
    <mergeCell ref="K63:L64"/>
    <mergeCell ref="M63:N64"/>
    <mergeCell ref="H59:H61"/>
    <mergeCell ref="I59:I61"/>
    <mergeCell ref="J59:J61"/>
    <mergeCell ref="K59:K61"/>
    <mergeCell ref="L59:L61"/>
    <mergeCell ref="M59:M61"/>
    <mergeCell ref="M65:M66"/>
    <mergeCell ref="N65:N66"/>
    <mergeCell ref="B67:E67"/>
    <mergeCell ref="G67:H67"/>
    <mergeCell ref="I67:J67"/>
    <mergeCell ref="K67:L67"/>
    <mergeCell ref="A65:A66"/>
    <mergeCell ref="B65:E66"/>
    <mergeCell ref="F65:F66"/>
    <mergeCell ref="G65:H66"/>
    <mergeCell ref="I65:J66"/>
    <mergeCell ref="K65:L66"/>
    <mergeCell ref="B70:E70"/>
    <mergeCell ref="G70:H70"/>
    <mergeCell ref="I70:J70"/>
    <mergeCell ref="K70:L70"/>
    <mergeCell ref="B71:E71"/>
    <mergeCell ref="G71:H71"/>
    <mergeCell ref="I71:J71"/>
    <mergeCell ref="K71:L71"/>
    <mergeCell ref="B68:E68"/>
    <mergeCell ref="G68:H68"/>
    <mergeCell ref="I68:J68"/>
    <mergeCell ref="K68:L68"/>
    <mergeCell ref="B69:E69"/>
    <mergeCell ref="G69:H69"/>
    <mergeCell ref="I69:J69"/>
    <mergeCell ref="K69:L69"/>
    <mergeCell ref="B74:E74"/>
    <mergeCell ref="G74:H74"/>
    <mergeCell ref="I74:J74"/>
    <mergeCell ref="K74:L74"/>
    <mergeCell ref="B75:E75"/>
    <mergeCell ref="G75:H75"/>
    <mergeCell ref="I75:J75"/>
    <mergeCell ref="K75:L75"/>
    <mergeCell ref="B72:E72"/>
    <mergeCell ref="G72:H72"/>
    <mergeCell ref="I72:J72"/>
    <mergeCell ref="K72:L72"/>
    <mergeCell ref="B73:E73"/>
    <mergeCell ref="G73:H73"/>
    <mergeCell ref="I73:J73"/>
    <mergeCell ref="K73:L73"/>
    <mergeCell ref="A76:E76"/>
    <mergeCell ref="G76:H76"/>
    <mergeCell ref="I76:J76"/>
    <mergeCell ref="K76:L76"/>
    <mergeCell ref="M76:N76"/>
    <mergeCell ref="A77:A79"/>
    <mergeCell ref="B77:C79"/>
    <mergeCell ref="D77:D79"/>
    <mergeCell ref="E77:F79"/>
    <mergeCell ref="G77:G79"/>
    <mergeCell ref="N77:N79"/>
    <mergeCell ref="A81:A82"/>
    <mergeCell ref="B81:C82"/>
    <mergeCell ref="D81:D82"/>
    <mergeCell ref="E81:F82"/>
    <mergeCell ref="G81:H82"/>
    <mergeCell ref="I81:J82"/>
    <mergeCell ref="K81:L82"/>
    <mergeCell ref="M81:N82"/>
    <mergeCell ref="H77:H79"/>
    <mergeCell ref="I77:I79"/>
    <mergeCell ref="J77:J79"/>
    <mergeCell ref="K77:K79"/>
    <mergeCell ref="L77:L79"/>
    <mergeCell ref="M77:M79"/>
    <mergeCell ref="M83:M84"/>
    <mergeCell ref="N83:N84"/>
    <mergeCell ref="B85:E85"/>
    <mergeCell ref="G85:H85"/>
    <mergeCell ref="I85:J85"/>
    <mergeCell ref="K85:L85"/>
    <mergeCell ref="A83:A84"/>
    <mergeCell ref="B83:E84"/>
    <mergeCell ref="F83:F84"/>
    <mergeCell ref="G83:H84"/>
    <mergeCell ref="I83:J84"/>
    <mergeCell ref="K83:L84"/>
    <mergeCell ref="B88:E88"/>
    <mergeCell ref="G88:H88"/>
    <mergeCell ref="I88:J88"/>
    <mergeCell ref="K88:L88"/>
    <mergeCell ref="B89:E89"/>
    <mergeCell ref="G89:H89"/>
    <mergeCell ref="I89:J89"/>
    <mergeCell ref="K89:L89"/>
    <mergeCell ref="B86:E86"/>
    <mergeCell ref="G86:H86"/>
    <mergeCell ref="I86:J86"/>
    <mergeCell ref="K86:L86"/>
    <mergeCell ref="B87:E87"/>
    <mergeCell ref="G87:H87"/>
    <mergeCell ref="I87:J87"/>
    <mergeCell ref="K87:L87"/>
    <mergeCell ref="B92:E92"/>
    <mergeCell ref="G92:H92"/>
    <mergeCell ref="I92:J92"/>
    <mergeCell ref="K92:L92"/>
    <mergeCell ref="B93:E93"/>
    <mergeCell ref="G93:H93"/>
    <mergeCell ref="I93:J93"/>
    <mergeCell ref="K93:L93"/>
    <mergeCell ref="B90:E90"/>
    <mergeCell ref="G90:H90"/>
    <mergeCell ref="I90:J90"/>
    <mergeCell ref="K90:L90"/>
    <mergeCell ref="B91:E91"/>
    <mergeCell ref="G91:H91"/>
    <mergeCell ref="I91:J91"/>
    <mergeCell ref="K91:L91"/>
    <mergeCell ref="A94:E94"/>
    <mergeCell ref="G94:H94"/>
    <mergeCell ref="I94:J94"/>
    <mergeCell ref="K94:L94"/>
    <mergeCell ref="M94:N94"/>
    <mergeCell ref="A95:A97"/>
    <mergeCell ref="B95:C97"/>
    <mergeCell ref="D95:D97"/>
    <mergeCell ref="E95:F97"/>
    <mergeCell ref="G95:G97"/>
    <mergeCell ref="N95:N97"/>
    <mergeCell ref="A99:A100"/>
    <mergeCell ref="B99:C100"/>
    <mergeCell ref="D99:D100"/>
    <mergeCell ref="E99:F100"/>
    <mergeCell ref="G99:H100"/>
    <mergeCell ref="I99:J100"/>
    <mergeCell ref="K99:L100"/>
    <mergeCell ref="M99:N100"/>
    <mergeCell ref="H95:H97"/>
    <mergeCell ref="I95:I97"/>
    <mergeCell ref="J95:J97"/>
    <mergeCell ref="K95:K97"/>
    <mergeCell ref="L95:L97"/>
    <mergeCell ref="M95:M97"/>
    <mergeCell ref="M101:M102"/>
    <mergeCell ref="N101:N102"/>
    <mergeCell ref="B103:E103"/>
    <mergeCell ref="G103:H103"/>
    <mergeCell ref="I103:J103"/>
    <mergeCell ref="K103:L103"/>
    <mergeCell ref="A101:A102"/>
    <mergeCell ref="B101:E102"/>
    <mergeCell ref="F101:F102"/>
    <mergeCell ref="G101:H102"/>
    <mergeCell ref="I101:J102"/>
    <mergeCell ref="K101:L102"/>
    <mergeCell ref="B106:E106"/>
    <mergeCell ref="G106:H106"/>
    <mergeCell ref="I106:J106"/>
    <mergeCell ref="K106:L106"/>
    <mergeCell ref="B107:E107"/>
    <mergeCell ref="G107:H107"/>
    <mergeCell ref="I107:J107"/>
    <mergeCell ref="K107:L107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10:E110"/>
    <mergeCell ref="G110:H110"/>
    <mergeCell ref="I110:J110"/>
    <mergeCell ref="K110:L110"/>
    <mergeCell ref="B111:E111"/>
    <mergeCell ref="G111:H111"/>
    <mergeCell ref="I111:J111"/>
    <mergeCell ref="K111:L111"/>
    <mergeCell ref="B108:E108"/>
    <mergeCell ref="G108:H108"/>
    <mergeCell ref="I108:J108"/>
    <mergeCell ref="K108:L108"/>
    <mergeCell ref="B109:E109"/>
    <mergeCell ref="G109:H109"/>
    <mergeCell ref="I109:J109"/>
    <mergeCell ref="K109:L109"/>
    <mergeCell ref="N113:N115"/>
    <mergeCell ref="H113:H115"/>
    <mergeCell ref="I113:I115"/>
    <mergeCell ref="J113:J115"/>
    <mergeCell ref="K113:K115"/>
    <mergeCell ref="L113:L115"/>
    <mergeCell ref="M113:M115"/>
    <mergeCell ref="A112:E112"/>
    <mergeCell ref="G112:H112"/>
    <mergeCell ref="I112:J112"/>
    <mergeCell ref="K112:L112"/>
    <mergeCell ref="M112:N112"/>
    <mergeCell ref="A113:A115"/>
    <mergeCell ref="B113:C115"/>
    <mergeCell ref="D113:D115"/>
    <mergeCell ref="E113:F115"/>
    <mergeCell ref="G113:G115"/>
  </mergeCells>
  <pageMargins left="0.70866141732283472" right="0.70866141732283472" top="0.59055118110236227" bottom="1.2138888888888888" header="0" footer="0.78740157480314965"/>
  <pageSetup paperSize="8" scale="92" orientation="portrait" r:id="rId1"/>
  <headerFooter>
    <oddFooter xml:space="preserve">&amp;L&amp;"Times New Roman,Bold"Prepared by                        Checked by
Date: 24.04.2026&amp;C&amp;"Times New Roman,Bold"Controller(GBPIET)
&amp;R&amp;"Times New Roman,Bold"
Director (GBPIET)                        Contoller(UTU)               
</oddFooter>
  </headerFooter>
  <rowBreaks count="2" manualBreakCount="2">
    <brk id="27" max="27" man="1"/>
    <brk id="161" max="16383" man="1"/>
  </rowBreaks>
  <colBreaks count="2" manualBreakCount="2">
    <brk id="14" max="1048575" man="1"/>
    <brk id="1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selection activeCell="L25" sqref="L25"/>
    </sheetView>
  </sheetViews>
  <sheetFormatPr baseColWidth="10" defaultColWidth="8.83203125" defaultRowHeight="13" x14ac:dyDescent="0.15"/>
  <cols>
    <col min="1" max="1" width="4.33203125" bestFit="1" customWidth="1"/>
    <col min="2" max="2" width="15.6640625" style="263" bestFit="1" customWidth="1"/>
    <col min="3" max="3" width="16.33203125" bestFit="1" customWidth="1"/>
    <col min="4" max="4" width="10" bestFit="1" customWidth="1"/>
    <col min="5" max="5" width="16.83203125" bestFit="1" customWidth="1"/>
    <col min="6" max="6" width="20.83203125" bestFit="1" customWidth="1"/>
  </cols>
  <sheetData>
    <row r="1" spans="1:10" x14ac:dyDescent="0.15">
      <c r="A1" s="272" t="s">
        <v>95</v>
      </c>
      <c r="B1" s="271" t="s">
        <v>96</v>
      </c>
      <c r="C1" s="272" t="s">
        <v>14</v>
      </c>
      <c r="D1" s="272" t="s">
        <v>97</v>
      </c>
      <c r="E1" s="272" t="s">
        <v>98</v>
      </c>
      <c r="F1" s="272" t="s">
        <v>99</v>
      </c>
      <c r="G1" s="272" t="s">
        <v>47</v>
      </c>
      <c r="H1" s="272" t="s">
        <v>101</v>
      </c>
      <c r="I1" s="272" t="s">
        <v>100</v>
      </c>
    </row>
    <row r="2" spans="1:10" s="270" customFormat="1" x14ac:dyDescent="0.15">
      <c r="A2" s="273">
        <f>CSE!A11</f>
        <v>1</v>
      </c>
      <c r="B2" s="274">
        <f>CSE!B11</f>
        <v>250090705001</v>
      </c>
      <c r="C2" s="273" t="str">
        <f>CSE!C11</f>
        <v>UTU/2507100023</v>
      </c>
      <c r="D2" s="273">
        <f>CSE!D11</f>
        <v>255301</v>
      </c>
      <c r="E2" s="273" t="str">
        <f>CSE!E11</f>
        <v>Anshika Paliwal</v>
      </c>
      <c r="F2" s="273" t="str">
        <f>CSE!F11</f>
        <v>Vishwanath Paliwal</v>
      </c>
      <c r="G2" s="274">
        <f ca="1">CSE!BJ11</f>
        <v>186</v>
      </c>
      <c r="H2" s="274">
        <f ca="1">CSE!AS11</f>
        <v>22</v>
      </c>
      <c r="I2" s="274">
        <f>CSE!AP8</f>
        <v>22</v>
      </c>
      <c r="J2" s="248" t="s">
        <v>123</v>
      </c>
    </row>
    <row r="3" spans="1:10" s="270" customFormat="1" x14ac:dyDescent="0.15">
      <c r="A3" s="273">
        <f>CSE!A12</f>
        <v>2</v>
      </c>
      <c r="B3" s="274">
        <f>CSE!B12</f>
        <v>250090705002</v>
      </c>
      <c r="C3" s="273" t="str">
        <f>CSE!C12</f>
        <v>UTU/2507100031</v>
      </c>
      <c r="D3" s="273">
        <f>CSE!D12</f>
        <v>255302</v>
      </c>
      <c r="E3" s="273" t="str">
        <f>CSE!E12</f>
        <v>Himanshu Mandrwal</v>
      </c>
      <c r="F3" s="273" t="str">
        <f>CSE!F12</f>
        <v>Sunil Kumar</v>
      </c>
      <c r="G3" s="274">
        <f ca="1">CSE!BJ12</f>
        <v>139</v>
      </c>
      <c r="H3" s="274">
        <f ca="1">CSE!AS12</f>
        <v>22</v>
      </c>
      <c r="I3" s="274">
        <v>22</v>
      </c>
      <c r="J3" s="248"/>
    </row>
    <row r="4" spans="1:10" s="270" customFormat="1" x14ac:dyDescent="0.15">
      <c r="A4" s="273">
        <f>CSE!A13</f>
        <v>3</v>
      </c>
      <c r="B4" s="274">
        <f>CSE!B13</f>
        <v>250090705003</v>
      </c>
      <c r="C4" s="273" t="str">
        <f>CSE!C13</f>
        <v>UTU/2507100022</v>
      </c>
      <c r="D4" s="273">
        <f>CSE!D13</f>
        <v>255303</v>
      </c>
      <c r="E4" s="273" t="str">
        <f>CSE!E13</f>
        <v>Kalash Kundaliya</v>
      </c>
      <c r="F4" s="273" t="str">
        <f>CSE!F13</f>
        <v>Sanjay Prasad Kundaliya</v>
      </c>
      <c r="G4" s="274">
        <f ca="1">CSE!BJ13</f>
        <v>169</v>
      </c>
      <c r="H4" s="274">
        <f ca="1">CSE!AS13</f>
        <v>22</v>
      </c>
      <c r="I4" s="274">
        <v>22</v>
      </c>
      <c r="J4" s="248"/>
    </row>
    <row r="5" spans="1:10" s="270" customFormat="1" x14ac:dyDescent="0.15">
      <c r="A5" s="273">
        <f>CSE!A14</f>
        <v>4</v>
      </c>
      <c r="B5" s="274">
        <f>CSE!B14</f>
        <v>250090705004</v>
      </c>
      <c r="C5" s="273" t="str">
        <f>CSE!C14</f>
        <v>UTU/2507100037</v>
      </c>
      <c r="D5" s="273">
        <f>CSE!D14</f>
        <v>255304</v>
      </c>
      <c r="E5" s="273" t="str">
        <f>CSE!E14</f>
        <v>Mayank Gaur</v>
      </c>
      <c r="F5" s="273" t="str">
        <f>CSE!F14</f>
        <v>Rakesh Gaur</v>
      </c>
      <c r="G5" s="274">
        <f ca="1">CSE!BJ14</f>
        <v>162</v>
      </c>
      <c r="H5" s="274">
        <f ca="1">CSE!AS14</f>
        <v>22</v>
      </c>
      <c r="I5" s="274">
        <v>22</v>
      </c>
      <c r="J5" s="248"/>
    </row>
    <row r="6" spans="1:10" s="270" customFormat="1" x14ac:dyDescent="0.15">
      <c r="A6" s="273">
        <f>CSE!A15</f>
        <v>5</v>
      </c>
      <c r="B6" s="274">
        <f>CSE!B15</f>
        <v>250090705005</v>
      </c>
      <c r="C6" s="273" t="str">
        <f>CSE!C15</f>
        <v>PUTU/2507100070</v>
      </c>
      <c r="D6" s="273">
        <f>CSE!D15</f>
        <v>255305</v>
      </c>
      <c r="E6" s="273" t="str">
        <f>CSE!E15</f>
        <v>Rajesh Kumar</v>
      </c>
      <c r="F6" s="273" t="str">
        <f>CSE!F15</f>
        <v>Ranjeet Singh</v>
      </c>
      <c r="G6" s="274">
        <f ca="1">CSE!BJ15</f>
        <v>0</v>
      </c>
      <c r="H6" s="274">
        <f ca="1">CSE!AS15</f>
        <v>0</v>
      </c>
      <c r="I6" s="274">
        <v>22</v>
      </c>
      <c r="J6" s="248"/>
    </row>
    <row r="7" spans="1:10" s="270" customFormat="1" x14ac:dyDescent="0.15">
      <c r="A7" s="275">
        <f>Production!A11</f>
        <v>1</v>
      </c>
      <c r="B7" s="276" t="str">
        <f>Production!B11</f>
        <v>250090707001</v>
      </c>
      <c r="C7" s="275" t="str">
        <f>Production!C11</f>
        <v>PUTU/2507100044</v>
      </c>
      <c r="D7" s="275">
        <f>Production!D11</f>
        <v>255401</v>
      </c>
      <c r="E7" s="275" t="str">
        <f>Production!E11</f>
        <v>Amandeep</v>
      </c>
      <c r="F7" s="275" t="str">
        <f>Production!F11</f>
        <v>Kripa Ram</v>
      </c>
      <c r="G7" s="276">
        <f ca="1">Production!BJ11</f>
        <v>167</v>
      </c>
      <c r="H7" s="276">
        <f ca="1">Production!AS11</f>
        <v>22</v>
      </c>
      <c r="I7" s="277">
        <f>Production!AP8</f>
        <v>22</v>
      </c>
      <c r="J7" s="247" t="s">
        <v>203</v>
      </c>
    </row>
    <row r="8" spans="1:10" s="270" customFormat="1" x14ac:dyDescent="0.15">
      <c r="A8" s="275">
        <f>Production!A12</f>
        <v>2</v>
      </c>
      <c r="B8" s="276" t="str">
        <f>Production!B12</f>
        <v>250090707002</v>
      </c>
      <c r="C8" s="275" t="str">
        <f>Production!C12</f>
        <v>PUTU/2507100051</v>
      </c>
      <c r="D8" s="275">
        <f>Production!D12</f>
        <v>255402</v>
      </c>
      <c r="E8" s="275" t="str">
        <f>Production!E12</f>
        <v>Yukti Dinkar</v>
      </c>
      <c r="F8" s="275" t="str">
        <f>Production!F12</f>
        <v>Hemant Kumar</v>
      </c>
      <c r="G8" s="276">
        <f ca="1">Production!BJ12</f>
        <v>157</v>
      </c>
      <c r="H8" s="276">
        <f ca="1">Production!AS12</f>
        <v>22</v>
      </c>
      <c r="I8" s="276">
        <v>22</v>
      </c>
      <c r="J8" s="247"/>
    </row>
    <row r="9" spans="1:10" s="270" customFormat="1" x14ac:dyDescent="0.15">
      <c r="A9" s="278">
        <f>Geotechnology!A11</f>
        <v>1</v>
      </c>
      <c r="B9" s="279">
        <f>Geotechnology!B11</f>
        <v>250090725001</v>
      </c>
      <c r="C9" s="278" t="str">
        <f>Geotechnology!C11</f>
        <v>PUTU/2507100063</v>
      </c>
      <c r="D9" s="278">
        <f>Geotechnology!D11</f>
        <v>255601</v>
      </c>
      <c r="E9" s="278" t="str">
        <f>Geotechnology!E11</f>
        <v>Jatin Dhapola</v>
      </c>
      <c r="F9" s="278" t="str">
        <f>Geotechnology!F11</f>
        <v>Vijay Kumar Dhapola</v>
      </c>
      <c r="G9" s="279">
        <f ca="1">Geotechnology!BJ11</f>
        <v>168</v>
      </c>
      <c r="H9" s="279">
        <f ca="1">Geotechnology!AS11</f>
        <v>22</v>
      </c>
      <c r="I9" s="279">
        <v>22</v>
      </c>
      <c r="J9" s="280" t="s">
        <v>124</v>
      </c>
    </row>
    <row r="10" spans="1:10" s="270" customFormat="1" x14ac:dyDescent="0.15">
      <c r="A10" s="281">
        <f>PowerSystems!A11</f>
        <v>1</v>
      </c>
      <c r="B10" s="282">
        <f>PowerSystems!B11</f>
        <v>250090713001</v>
      </c>
      <c r="C10" s="281" t="str">
        <f>PowerSystems!C11</f>
        <v>PUTU/2507100066</v>
      </c>
      <c r="D10" s="281">
        <f>PowerSystems!D11</f>
        <v>255601</v>
      </c>
      <c r="E10" s="281" t="str">
        <f>PowerSystems!E11</f>
        <v>Deepansha Arya</v>
      </c>
      <c r="F10" s="281" t="str">
        <f>PowerSystems!F11</f>
        <v>Nand Kishor</v>
      </c>
      <c r="G10" s="282">
        <f ca="1">PowerSystems!BJ11</f>
        <v>147</v>
      </c>
      <c r="H10" s="282">
        <f ca="1">PowerSystems!AS11</f>
        <v>22</v>
      </c>
      <c r="I10" s="282">
        <f>PowerSystems!AP8</f>
        <v>22</v>
      </c>
      <c r="J10" s="283" t="s">
        <v>125</v>
      </c>
    </row>
    <row r="11" spans="1:10" s="270" customFormat="1" x14ac:dyDescent="0.15">
      <c r="A11" s="281">
        <f>PowerSystems!A12</f>
        <v>2</v>
      </c>
      <c r="B11" s="282">
        <f>PowerSystems!B12</f>
        <v>250090713002</v>
      </c>
      <c r="C11" s="281" t="str">
        <f>PowerSystems!C12</f>
        <v>PUTU/2507100033</v>
      </c>
      <c r="D11" s="281">
        <f>PowerSystems!D12</f>
        <v>255602</v>
      </c>
      <c r="E11" s="281" t="str">
        <f>PowerSystems!E12</f>
        <v>Prajjwal</v>
      </c>
      <c r="F11" s="281" t="str">
        <f>PowerSystems!F12</f>
        <v>Hardev Singh</v>
      </c>
      <c r="G11" s="282">
        <f ca="1">PowerSystems!BJ12</f>
        <v>120</v>
      </c>
      <c r="H11" s="282">
        <f ca="1">PowerSystems!AS12</f>
        <v>19</v>
      </c>
      <c r="I11" s="282">
        <v>22</v>
      </c>
      <c r="J11" s="283"/>
    </row>
    <row r="12" spans="1:10" s="270" customFormat="1" x14ac:dyDescent="0.15">
      <c r="A12" s="284">
        <f>BT!A11</f>
        <v>1</v>
      </c>
      <c r="B12" s="285">
        <f>BT!B11</f>
        <v>250090703001</v>
      </c>
      <c r="C12" s="284" t="str">
        <f>BT!C11</f>
        <v>UTU/2507100053</v>
      </c>
      <c r="D12" s="284">
        <f>BT!D11</f>
        <v>255201</v>
      </c>
      <c r="E12" s="284" t="str">
        <f>BT!E11</f>
        <v>Mayank Negi</v>
      </c>
      <c r="F12" s="284" t="str">
        <f>BT!F11</f>
        <v>Narendra Singh Negi</v>
      </c>
      <c r="G12" s="285">
        <f ca="1">BT!BK11</f>
        <v>146</v>
      </c>
      <c r="H12" s="285">
        <f ca="1">BT!AT11</f>
        <v>22</v>
      </c>
      <c r="I12" s="285">
        <f>BT!AQ8</f>
        <v>22</v>
      </c>
      <c r="J12" s="286" t="s">
        <v>126</v>
      </c>
    </row>
    <row r="13" spans="1:10" s="270" customFormat="1" x14ac:dyDescent="0.15">
      <c r="A13" s="284">
        <f>BT!A12</f>
        <v>2</v>
      </c>
      <c r="B13" s="285">
        <f>BT!B12</f>
        <v>250090703002</v>
      </c>
      <c r="C13" s="284" t="str">
        <f>BT!C12</f>
        <v>UTU/2507100025</v>
      </c>
      <c r="D13" s="284">
        <f>BT!D12</f>
        <v>255202</v>
      </c>
      <c r="E13" s="284" t="str">
        <f>BT!E12</f>
        <v>Prabhav Singh</v>
      </c>
      <c r="F13" s="284" t="str">
        <f>BT!F12</f>
        <v>Jaspal Singh</v>
      </c>
      <c r="G13" s="285">
        <f ca="1">BT!BK12</f>
        <v>136</v>
      </c>
      <c r="H13" s="285">
        <f ca="1">BT!AT12</f>
        <v>22</v>
      </c>
      <c r="I13" s="285">
        <v>22</v>
      </c>
      <c r="J13" s="286"/>
    </row>
    <row r="14" spans="1:10" x14ac:dyDescent="0.15">
      <c r="A14" s="284">
        <f>BT!A13</f>
        <v>3</v>
      </c>
      <c r="B14" s="285">
        <f>BT!B13</f>
        <v>250090703003</v>
      </c>
      <c r="C14" s="284" t="str">
        <f>BT!C13</f>
        <v>UTU/2507100026</v>
      </c>
      <c r="D14" s="284">
        <f>BT!D13</f>
        <v>255203</v>
      </c>
      <c r="E14" s="284" t="str">
        <f>BT!E13</f>
        <v>Priyanshu Dobhal</v>
      </c>
      <c r="F14" s="284" t="str">
        <f>BT!F13</f>
        <v>Jaiprakash Dobhal</v>
      </c>
      <c r="G14" s="285">
        <f ca="1">BT!BK13</f>
        <v>157</v>
      </c>
      <c r="H14" s="285">
        <f ca="1">BT!AT13</f>
        <v>22</v>
      </c>
      <c r="I14" s="285">
        <v>22</v>
      </c>
      <c r="J14" s="286"/>
    </row>
    <row r="15" spans="1:10" x14ac:dyDescent="0.15">
      <c r="C15" s="42"/>
      <c r="D15" s="42"/>
      <c r="E15" s="42"/>
      <c r="F15" s="42"/>
      <c r="G15" s="42"/>
      <c r="H15" s="42"/>
      <c r="I15" s="42"/>
    </row>
    <row r="16" spans="1:10" x14ac:dyDescent="0.15">
      <c r="C16" s="42"/>
      <c r="D16" s="42"/>
      <c r="E16" s="42"/>
      <c r="F16" s="42"/>
      <c r="G16" s="42"/>
      <c r="H16" s="42"/>
      <c r="I16" s="42"/>
    </row>
  </sheetData>
  <mergeCells count="4">
    <mergeCell ref="J7:J8"/>
    <mergeCell ref="J10:J11"/>
    <mergeCell ref="J12:J14"/>
    <mergeCell ref="J2:J6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9"/>
  <sheetViews>
    <sheetView view="pageLayout" topLeftCell="A106" zoomScale="112" zoomScaleNormal="100" zoomScalePageLayoutView="112" workbookViewId="0">
      <selection activeCell="F11" sqref="F11"/>
    </sheetView>
  </sheetViews>
  <sheetFormatPr baseColWidth="10" defaultColWidth="8.83203125" defaultRowHeight="13" x14ac:dyDescent="0.15"/>
  <cols>
    <col min="7" max="7" width="8.6640625" customWidth="1"/>
    <col min="11" max="11" width="7" customWidth="1"/>
  </cols>
  <sheetData>
    <row r="1" spans="1:14" ht="26" x14ac:dyDescent="0.15">
      <c r="A1" s="255" t="s">
        <v>131</v>
      </c>
      <c r="B1" s="255"/>
      <c r="C1" s="255"/>
      <c r="D1" s="255"/>
      <c r="E1" s="255"/>
      <c r="F1" s="255"/>
      <c r="G1" s="255"/>
      <c r="H1" s="255"/>
      <c r="I1" s="255"/>
      <c r="J1" s="255"/>
      <c r="K1" s="44"/>
      <c r="M1" s="35" t="s">
        <v>34</v>
      </c>
      <c r="N1" s="36" t="s">
        <v>35</v>
      </c>
    </row>
    <row r="2" spans="1:14" x14ac:dyDescent="0.15">
      <c r="A2" s="214" t="s">
        <v>74</v>
      </c>
      <c r="B2" s="214"/>
      <c r="C2" s="214"/>
      <c r="D2" s="214"/>
      <c r="E2" s="214"/>
      <c r="F2" s="214"/>
      <c r="G2" s="214"/>
      <c r="H2" s="214"/>
      <c r="I2" s="214"/>
      <c r="J2" s="214"/>
      <c r="K2" s="44"/>
      <c r="M2" s="37" t="s">
        <v>36</v>
      </c>
      <c r="N2" s="37">
        <v>10</v>
      </c>
    </row>
    <row r="3" spans="1:14" x14ac:dyDescent="0.15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44"/>
      <c r="M3" s="37" t="s">
        <v>37</v>
      </c>
      <c r="N3" s="37">
        <v>9</v>
      </c>
    </row>
    <row r="4" spans="1:14" x14ac:dyDescent="0.15">
      <c r="A4" s="215" t="s">
        <v>120</v>
      </c>
      <c r="B4" s="215"/>
      <c r="C4" s="215"/>
      <c r="D4" s="215"/>
      <c r="E4" s="215"/>
      <c r="F4" s="215"/>
      <c r="G4" s="215"/>
      <c r="H4" s="215"/>
      <c r="I4" s="215"/>
      <c r="J4" s="215"/>
      <c r="K4" s="44"/>
      <c r="M4" s="37" t="s">
        <v>38</v>
      </c>
      <c r="N4" s="37">
        <v>8</v>
      </c>
    </row>
    <row r="5" spans="1:14" x14ac:dyDescent="0.15">
      <c r="A5" s="44"/>
      <c r="B5" s="216" t="s">
        <v>128</v>
      </c>
      <c r="C5" s="216"/>
      <c r="D5" s="216"/>
      <c r="E5" s="216"/>
      <c r="F5" s="216"/>
      <c r="G5" s="216"/>
      <c r="H5" s="216"/>
      <c r="I5" s="216"/>
      <c r="J5" s="44"/>
      <c r="K5" s="44"/>
      <c r="M5" s="37" t="s">
        <v>39</v>
      </c>
      <c r="N5" s="37">
        <v>7</v>
      </c>
    </row>
    <row r="6" spans="1:14" x14ac:dyDescent="0.15">
      <c r="A6" s="45"/>
      <c r="B6" s="216"/>
      <c r="C6" s="216"/>
      <c r="D6" s="216"/>
      <c r="E6" s="216"/>
      <c r="F6" s="216"/>
      <c r="G6" s="216"/>
      <c r="H6" s="216"/>
      <c r="I6" s="216"/>
      <c r="J6" s="45"/>
      <c r="K6" s="44"/>
      <c r="M6" s="37" t="s">
        <v>40</v>
      </c>
      <c r="N6" s="37">
        <v>6</v>
      </c>
    </row>
    <row r="7" spans="1:14" x14ac:dyDescent="0.15">
      <c r="A7" s="45"/>
      <c r="B7" s="217" t="str">
        <f>_xlfn.TEXTJOIN("",TRUE,"Master of Technology", IF($F$11="CSE_I"," (Computer Science and Engineering)",IF($F$11="PS_I"," (Power Systems)",IF($F$11="BT_I"," (Biotechnology)",IF($F$11="ECE_I"," (Production Engineering)",IF($F$11="GT_I"," (Geotechnology)",))))),CHAR(10),"I Semester December 2025")</f>
        <v>Master of Technology (Production Engineering)
I Semester December 2025</v>
      </c>
      <c r="C7" s="217"/>
      <c r="D7" s="217"/>
      <c r="E7" s="217"/>
      <c r="F7" s="217"/>
      <c r="G7" s="217"/>
      <c r="H7" s="217"/>
      <c r="I7" s="217"/>
      <c r="J7" s="45"/>
      <c r="K7" s="44"/>
      <c r="M7" s="37" t="s">
        <v>41</v>
      </c>
      <c r="N7" s="37">
        <v>5</v>
      </c>
    </row>
    <row r="8" spans="1:14" x14ac:dyDescent="0.15">
      <c r="A8" s="45"/>
      <c r="B8" s="217"/>
      <c r="C8" s="217"/>
      <c r="D8" s="217"/>
      <c r="E8" s="217"/>
      <c r="F8" s="217"/>
      <c r="G8" s="217"/>
      <c r="H8" s="217"/>
      <c r="I8" s="217"/>
      <c r="J8" s="45"/>
      <c r="K8" s="44"/>
      <c r="M8" s="37" t="s">
        <v>42</v>
      </c>
      <c r="N8" s="37">
        <v>0</v>
      </c>
    </row>
    <row r="9" spans="1:14" x14ac:dyDescent="0.15">
      <c r="A9" s="45"/>
      <c r="B9" s="217"/>
      <c r="C9" s="217"/>
      <c r="D9" s="217"/>
      <c r="E9" s="217"/>
      <c r="F9" s="217"/>
      <c r="G9" s="217"/>
      <c r="H9" s="217"/>
      <c r="I9" s="217"/>
      <c r="J9" s="45"/>
      <c r="K9" s="44"/>
      <c r="M9" s="37" t="s">
        <v>43</v>
      </c>
      <c r="N9" s="37">
        <v>0</v>
      </c>
    </row>
    <row r="10" spans="1:14" x14ac:dyDescent="0.15">
      <c r="A10" s="45"/>
      <c r="B10" s="217"/>
      <c r="C10" s="217"/>
      <c r="D10" s="217"/>
      <c r="E10" s="217"/>
      <c r="F10" s="217"/>
      <c r="G10" s="217"/>
      <c r="H10" s="217"/>
      <c r="I10" s="217"/>
      <c r="J10" s="45"/>
      <c r="K10" s="44"/>
      <c r="M10" s="37" t="s">
        <v>44</v>
      </c>
      <c r="N10" s="37">
        <v>0</v>
      </c>
    </row>
    <row r="11" spans="1:14" ht="14" x14ac:dyDescent="0.15">
      <c r="A11" s="46" t="s">
        <v>73</v>
      </c>
      <c r="B11" s="46">
        <v>1</v>
      </c>
      <c r="C11" s="46" t="s">
        <v>71</v>
      </c>
      <c r="D11" s="46" t="s">
        <v>72</v>
      </c>
      <c r="E11" s="46" t="s">
        <v>40</v>
      </c>
      <c r="F11" s="46" t="s">
        <v>156</v>
      </c>
      <c r="G11" s="47"/>
      <c r="H11" s="47"/>
      <c r="I11" s="47"/>
      <c r="J11" s="44"/>
      <c r="K11" s="44"/>
      <c r="M11" s="37" t="s">
        <v>45</v>
      </c>
      <c r="N11" s="37">
        <v>0</v>
      </c>
    </row>
    <row r="12" spans="1:14" x14ac:dyDescent="0.15">
      <c r="A12" s="218" t="s">
        <v>76</v>
      </c>
      <c r="B12" s="218"/>
      <c r="C12" s="219" t="e">
        <f ca="1">VLOOKUP(B11,INDIRECT($F$11),5,0)</f>
        <v>#REF!</v>
      </c>
      <c r="D12" s="219"/>
      <c r="E12" s="219"/>
      <c r="F12" s="218" t="s">
        <v>102</v>
      </c>
      <c r="G12" s="218"/>
      <c r="H12" s="218"/>
      <c r="I12" s="220" t="e">
        <f ca="1">VLOOKUP(B11,INDIRECT($F$11),2,0)</f>
        <v>#REF!</v>
      </c>
      <c r="J12" s="220"/>
      <c r="K12" s="44"/>
      <c r="M12" s="37" t="str">
        <f>""</f>
        <v/>
      </c>
      <c r="N12" s="37" t="str">
        <f>""</f>
        <v/>
      </c>
    </row>
    <row r="13" spans="1:14" x14ac:dyDescent="0.15">
      <c r="A13" s="218"/>
      <c r="B13" s="218"/>
      <c r="C13" s="219"/>
      <c r="D13" s="219"/>
      <c r="E13" s="219"/>
      <c r="F13" s="218"/>
      <c r="G13" s="218"/>
      <c r="H13" s="218"/>
      <c r="I13" s="220"/>
      <c r="J13" s="220"/>
      <c r="K13" s="44"/>
    </row>
    <row r="14" spans="1:14" x14ac:dyDescent="0.15">
      <c r="A14" s="218" t="s">
        <v>77</v>
      </c>
      <c r="B14" s="218"/>
      <c r="C14" s="219" t="e">
        <f ca="1">VLOOKUP(B11,INDIRECT($F$11),6,0)</f>
        <v>#REF!</v>
      </c>
      <c r="D14" s="219"/>
      <c r="E14" s="219"/>
      <c r="F14" s="223" t="s">
        <v>103</v>
      </c>
      <c r="G14" s="223"/>
      <c r="H14" s="223"/>
      <c r="I14" s="220" t="e">
        <f ca="1">IF(VLOOKUP(B11,INDIRECT($F$11),3,0)=0,"",VLOOKUP(B11,INDIRECT($F$11),3,0))</f>
        <v>#REF!</v>
      </c>
      <c r="J14" s="220"/>
      <c r="K14" s="44"/>
    </row>
    <row r="15" spans="1:14" x14ac:dyDescent="0.15">
      <c r="A15" s="221"/>
      <c r="B15" s="221"/>
      <c r="C15" s="222"/>
      <c r="D15" s="222"/>
      <c r="E15" s="222"/>
      <c r="F15" s="224"/>
      <c r="G15" s="224"/>
      <c r="H15" s="224"/>
      <c r="I15" s="225"/>
      <c r="J15" s="225"/>
      <c r="K15" s="44"/>
    </row>
    <row r="16" spans="1:14" x14ac:dyDescent="0.15">
      <c r="A16" s="226" t="s">
        <v>80</v>
      </c>
      <c r="B16" s="226"/>
      <c r="C16" s="226" t="s">
        <v>81</v>
      </c>
      <c r="D16" s="226"/>
      <c r="E16" s="226"/>
      <c r="F16" s="226"/>
      <c r="G16" s="226"/>
      <c r="H16" s="226" t="s">
        <v>33</v>
      </c>
      <c r="I16" s="226" t="s">
        <v>34</v>
      </c>
      <c r="J16" s="226" t="s">
        <v>85</v>
      </c>
      <c r="K16" s="44"/>
    </row>
    <row r="17" spans="1:11" x14ac:dyDescent="0.15">
      <c r="A17" s="226"/>
      <c r="B17" s="226"/>
      <c r="C17" s="226"/>
      <c r="D17" s="226"/>
      <c r="E17" s="226"/>
      <c r="F17" s="226"/>
      <c r="G17" s="226"/>
      <c r="H17" s="226"/>
      <c r="I17" s="226"/>
      <c r="J17" s="226"/>
      <c r="K17" s="44"/>
    </row>
    <row r="18" spans="1:11" x14ac:dyDescent="0.15">
      <c r="A18" s="226"/>
      <c r="B18" s="226"/>
      <c r="C18" s="226"/>
      <c r="D18" s="226"/>
      <c r="E18" s="226"/>
      <c r="F18" s="226"/>
      <c r="G18" s="226"/>
      <c r="H18" s="226"/>
      <c r="I18" s="226"/>
      <c r="J18" s="226"/>
      <c r="K18" s="44"/>
    </row>
    <row r="19" spans="1:11" x14ac:dyDescent="0.15">
      <c r="A19" s="227" t="e">
        <f ca="1">VLOOKUP(C11,INDIRECT($F$11),7+(K19-1)*4,0)</f>
        <v>#REF!</v>
      </c>
      <c r="B19" s="228"/>
      <c r="C19" s="231" t="e">
        <f ca="1">VLOOKUP(D11,INDIRECT($F$11),7+(K19-1)*4,0)</f>
        <v>#REF!</v>
      </c>
      <c r="D19" s="232"/>
      <c r="E19" s="232"/>
      <c r="F19" s="232"/>
      <c r="G19" s="233"/>
      <c r="H19" s="237" t="e">
        <f ca="1">VLOOKUP(E11,INDIRECT($F$11),7+(K19-1)*4,0)</f>
        <v>#REF!</v>
      </c>
      <c r="I19" s="237" t="e">
        <f ca="1">VLOOKUP(B11,INDIRECT($F$11),10+(K19-1)*4,0)</f>
        <v>#REF!</v>
      </c>
      <c r="J19" s="237" t="e">
        <f ca="1">INDEX($N$2:$N$12,MATCH(I19,$M$2:$M$12,0))</f>
        <v>#REF!</v>
      </c>
      <c r="K19" s="48">
        <v>1</v>
      </c>
    </row>
    <row r="20" spans="1:11" x14ac:dyDescent="0.15">
      <c r="A20" s="229"/>
      <c r="B20" s="230"/>
      <c r="C20" s="234"/>
      <c r="D20" s="235"/>
      <c r="E20" s="235"/>
      <c r="F20" s="235"/>
      <c r="G20" s="236"/>
      <c r="H20" s="238"/>
      <c r="I20" s="238"/>
      <c r="J20" s="238"/>
      <c r="K20" s="48"/>
    </row>
    <row r="21" spans="1:11" x14ac:dyDescent="0.15">
      <c r="A21" s="227" t="e">
        <f ca="1">VLOOKUP(C11,INDIRECT($F$11),7+(K21-1)*4,0)</f>
        <v>#REF!</v>
      </c>
      <c r="B21" s="228"/>
      <c r="C21" s="231" t="e">
        <f ca="1">VLOOKUP(D11,INDIRECT($F$11),7+(K21-1)*4,0)</f>
        <v>#REF!</v>
      </c>
      <c r="D21" s="232"/>
      <c r="E21" s="232"/>
      <c r="F21" s="232"/>
      <c r="G21" s="233"/>
      <c r="H21" s="237" t="e">
        <f ca="1">VLOOKUP(E11,INDIRECT($F$11),7+(K21-1)*4,0)</f>
        <v>#REF!</v>
      </c>
      <c r="I21" s="237" t="e">
        <f ca="1">VLOOKUP(B11,INDIRECT($F$11),10+(K21-1)*4,0)</f>
        <v>#REF!</v>
      </c>
      <c r="J21" s="237" t="e">
        <f ca="1">INDEX($N$2:$N$12,MATCH(I21,$M$2:$M$12,0))</f>
        <v>#REF!</v>
      </c>
      <c r="K21" s="48">
        <v>2</v>
      </c>
    </row>
    <row r="22" spans="1:11" x14ac:dyDescent="0.15">
      <c r="A22" s="229"/>
      <c r="B22" s="230"/>
      <c r="C22" s="234"/>
      <c r="D22" s="235"/>
      <c r="E22" s="235"/>
      <c r="F22" s="235"/>
      <c r="G22" s="236"/>
      <c r="H22" s="238"/>
      <c r="I22" s="238"/>
      <c r="J22" s="238"/>
      <c r="K22" s="48"/>
    </row>
    <row r="23" spans="1:11" x14ac:dyDescent="0.15">
      <c r="A23" s="227" t="e">
        <f ca="1">VLOOKUP(C11,INDIRECT($F$11),7+(K23-1)*4,0)</f>
        <v>#REF!</v>
      </c>
      <c r="B23" s="228"/>
      <c r="C23" s="231" t="e">
        <f ca="1">VLOOKUP(D11,INDIRECT($F$11),7+(K23-1)*4,0)</f>
        <v>#REF!</v>
      </c>
      <c r="D23" s="232"/>
      <c r="E23" s="232"/>
      <c r="F23" s="232"/>
      <c r="G23" s="233"/>
      <c r="H23" s="237" t="e">
        <f ca="1">VLOOKUP(E11,INDIRECT($F$11),7+(K23-1)*4,0)</f>
        <v>#REF!</v>
      </c>
      <c r="I23" s="237" t="e">
        <f ca="1">VLOOKUP(B11,INDIRECT($F$11),10+(K23-1)*4,0)</f>
        <v>#REF!</v>
      </c>
      <c r="J23" s="237" t="e">
        <f ca="1">INDEX($N$2:$N$12,MATCH(I23,$M$2:$M$12,0))</f>
        <v>#REF!</v>
      </c>
      <c r="K23" s="48">
        <v>3</v>
      </c>
    </row>
    <row r="24" spans="1:11" x14ac:dyDescent="0.15">
      <c r="A24" s="229"/>
      <c r="B24" s="230"/>
      <c r="C24" s="234"/>
      <c r="D24" s="235"/>
      <c r="E24" s="235"/>
      <c r="F24" s="235"/>
      <c r="G24" s="236"/>
      <c r="H24" s="238"/>
      <c r="I24" s="238"/>
      <c r="J24" s="238"/>
      <c r="K24" s="48"/>
    </row>
    <row r="25" spans="1:11" x14ac:dyDescent="0.15">
      <c r="A25" s="227" t="e">
        <f ca="1">VLOOKUP(C11,INDIRECT($F$11),7+(K25-1)*4,0)</f>
        <v>#REF!</v>
      </c>
      <c r="B25" s="228"/>
      <c r="C25" s="231" t="e">
        <f ca="1">VLOOKUP(D11,INDIRECT($F$11),7+(K25-1)*4,0)</f>
        <v>#REF!</v>
      </c>
      <c r="D25" s="232"/>
      <c r="E25" s="232"/>
      <c r="F25" s="232"/>
      <c r="G25" s="233"/>
      <c r="H25" s="237" t="e">
        <f ca="1">VLOOKUP(E11,INDIRECT($F$11),7+(K25-1)*4,0)</f>
        <v>#REF!</v>
      </c>
      <c r="I25" s="237" t="e">
        <f ca="1">VLOOKUP(B11,INDIRECT($F$11),10+(K25-1)*4,0)</f>
        <v>#REF!</v>
      </c>
      <c r="J25" s="237" t="e">
        <f ca="1">INDEX($N$2:$N$12,MATCH(I25,$M$2:$M$12,0))</f>
        <v>#REF!</v>
      </c>
      <c r="K25" s="48">
        <v>4</v>
      </c>
    </row>
    <row r="26" spans="1:11" x14ac:dyDescent="0.15">
      <c r="A26" s="229"/>
      <c r="B26" s="230"/>
      <c r="C26" s="234"/>
      <c r="D26" s="235"/>
      <c r="E26" s="235"/>
      <c r="F26" s="235"/>
      <c r="G26" s="236"/>
      <c r="H26" s="238"/>
      <c r="I26" s="238"/>
      <c r="J26" s="238"/>
      <c r="K26" s="48"/>
    </row>
    <row r="27" spans="1:11" x14ac:dyDescent="0.15">
      <c r="A27" s="227" t="e">
        <f ca="1">VLOOKUP(C11,INDIRECT($F$11),7+(K27-1)*4,0)</f>
        <v>#REF!</v>
      </c>
      <c r="B27" s="228"/>
      <c r="C27" s="231" t="e">
        <f ca="1">VLOOKUP(D11,INDIRECT($F$11),7+(K27-1)*4,0)</f>
        <v>#REF!</v>
      </c>
      <c r="D27" s="232"/>
      <c r="E27" s="232"/>
      <c r="F27" s="232"/>
      <c r="G27" s="233"/>
      <c r="H27" s="237" t="e">
        <f ca="1">VLOOKUP(E11,INDIRECT($F$11),7+(K27-1)*4,0)</f>
        <v>#REF!</v>
      </c>
      <c r="I27" s="237" t="e">
        <f ca="1">VLOOKUP(B11,INDIRECT($F$11),10+(K27-1)*4,0)</f>
        <v>#REF!</v>
      </c>
      <c r="J27" s="237" t="e">
        <f ca="1">INDEX($N$2:$N$12,MATCH(I27,$M$2:$M$12,0))</f>
        <v>#REF!</v>
      </c>
      <c r="K27" s="48">
        <v>5</v>
      </c>
    </row>
    <row r="28" spans="1:11" x14ac:dyDescent="0.15">
      <c r="A28" s="229"/>
      <c r="B28" s="230"/>
      <c r="C28" s="234"/>
      <c r="D28" s="235"/>
      <c r="E28" s="235"/>
      <c r="F28" s="235"/>
      <c r="G28" s="236"/>
      <c r="H28" s="238"/>
      <c r="I28" s="238"/>
      <c r="J28" s="238"/>
      <c r="K28" s="48"/>
    </row>
    <row r="29" spans="1:11" x14ac:dyDescent="0.15">
      <c r="A29" s="227" t="e">
        <f ca="1">VLOOKUP(C11,INDIRECT($F$11),7+(K29-1)*4,0)</f>
        <v>#REF!</v>
      </c>
      <c r="B29" s="228"/>
      <c r="C29" s="231" t="e">
        <f ca="1">VLOOKUP(D11,INDIRECT($F$11),7+(K29-1)*4,0)</f>
        <v>#REF!</v>
      </c>
      <c r="D29" s="232"/>
      <c r="E29" s="232"/>
      <c r="F29" s="232"/>
      <c r="G29" s="233"/>
      <c r="H29" s="237" t="e">
        <f ca="1">VLOOKUP(E11,INDIRECT($F$11),7+(K29-1)*4,0)</f>
        <v>#REF!</v>
      </c>
      <c r="I29" s="237" t="e">
        <f ca="1">VLOOKUP(B11,INDIRECT($F$11),10+(K29-1)*4,0)</f>
        <v>#REF!</v>
      </c>
      <c r="J29" s="237" t="e">
        <f ca="1">INDEX($N$2:$N$12,MATCH(I29,$M$2:$M$12,0))</f>
        <v>#REF!</v>
      </c>
      <c r="K29" s="48">
        <v>6</v>
      </c>
    </row>
    <row r="30" spans="1:11" x14ac:dyDescent="0.15">
      <c r="A30" s="229"/>
      <c r="B30" s="230"/>
      <c r="C30" s="234"/>
      <c r="D30" s="235"/>
      <c r="E30" s="235"/>
      <c r="F30" s="235"/>
      <c r="G30" s="236"/>
      <c r="H30" s="238"/>
      <c r="I30" s="238"/>
      <c r="J30" s="238"/>
      <c r="K30" s="48"/>
    </row>
    <row r="31" spans="1:11" x14ac:dyDescent="0.15">
      <c r="A31" s="227" t="e">
        <f ca="1">VLOOKUP(C11,INDIRECT($F$11),7+(K31-1)*4,0)</f>
        <v>#REF!</v>
      </c>
      <c r="B31" s="228"/>
      <c r="C31" s="231" t="e">
        <f ca="1">VLOOKUP(D11,INDIRECT($F$11),7+(K31-1)*4,0)</f>
        <v>#REF!</v>
      </c>
      <c r="D31" s="232"/>
      <c r="E31" s="232"/>
      <c r="F31" s="232"/>
      <c r="G31" s="233"/>
      <c r="H31" s="237" t="e">
        <f ca="1">VLOOKUP(E11,INDIRECT($F$11),7+(K31-1)*4,0)</f>
        <v>#REF!</v>
      </c>
      <c r="I31" s="237" t="e">
        <f ca="1">VLOOKUP(B11,INDIRECT($F$11),10+(K31-1)*4-1,0)</f>
        <v>#REF!</v>
      </c>
      <c r="J31" s="237" t="e">
        <f ca="1">INDEX($N$2:$N$12,MATCH(I31,$M$2:$M$12,0))</f>
        <v>#REF!</v>
      </c>
      <c r="K31" s="48">
        <v>7</v>
      </c>
    </row>
    <row r="32" spans="1:11" x14ac:dyDescent="0.15">
      <c r="A32" s="229"/>
      <c r="B32" s="230"/>
      <c r="C32" s="234"/>
      <c r="D32" s="235"/>
      <c r="E32" s="235"/>
      <c r="F32" s="235"/>
      <c r="G32" s="236"/>
      <c r="H32" s="238"/>
      <c r="I32" s="238"/>
      <c r="J32" s="238"/>
      <c r="K32" s="48"/>
    </row>
    <row r="33" spans="1:11" x14ac:dyDescent="0.15">
      <c r="A33" s="227" t="e">
        <f ca="1">VLOOKUP(C11,INDIRECT($F$11),7+(K33-1)*4-1,0)</f>
        <v>#REF!</v>
      </c>
      <c r="B33" s="228"/>
      <c r="C33" s="231" t="e">
        <f ca="1">VLOOKUP(D11,INDIRECT($F$11),7+(K33-1)*4-1,0)</f>
        <v>#REF!</v>
      </c>
      <c r="D33" s="232"/>
      <c r="E33" s="232"/>
      <c r="F33" s="232"/>
      <c r="G33" s="233"/>
      <c r="H33" s="237" t="e">
        <f ca="1">VLOOKUP(E11,INDIRECT($F$11),7+(K33-1)*4-1,0)</f>
        <v>#REF!</v>
      </c>
      <c r="I33" s="237" t="e">
        <f ca="1">VLOOKUP(B11,INDIRECT($F$11),10+(K33-1)*4-1,0)</f>
        <v>#REF!</v>
      </c>
      <c r="J33" s="237" t="e">
        <f ca="1">INDEX($N$2:$N$12,MATCH(I33,$M$2:$M$12,0))</f>
        <v>#REF!</v>
      </c>
      <c r="K33" s="48">
        <v>8</v>
      </c>
    </row>
    <row r="34" spans="1:11" x14ac:dyDescent="0.15">
      <c r="A34" s="229"/>
      <c r="B34" s="230"/>
      <c r="C34" s="234"/>
      <c r="D34" s="235"/>
      <c r="E34" s="235"/>
      <c r="F34" s="235"/>
      <c r="G34" s="236"/>
      <c r="H34" s="238"/>
      <c r="I34" s="238"/>
      <c r="J34" s="238"/>
      <c r="K34" s="48"/>
    </row>
    <row r="35" spans="1:11" x14ac:dyDescent="0.15">
      <c r="A35" s="227" t="e">
        <f ca="1">VLOOKUP(C11,INDIRECT($F$11),7+(K35-1)*4-1,0)</f>
        <v>#REF!</v>
      </c>
      <c r="B35" s="228"/>
      <c r="C35" s="231" t="e">
        <f ca="1">VLOOKUP(D11,INDIRECT($F$11),7+(K35-1)*4-1,0)</f>
        <v>#REF!</v>
      </c>
      <c r="D35" s="232"/>
      <c r="E35" s="232"/>
      <c r="F35" s="232"/>
      <c r="G35" s="233"/>
      <c r="H35" s="237" t="e">
        <f ca="1">VLOOKUP(E11,INDIRECT($F$11),7+(K35-1)*4-1,0)</f>
        <v>#REF!</v>
      </c>
      <c r="I35" s="237" t="e">
        <f ca="1">VLOOKUP(B11,INDIRECT($F$11),10+(K35-1)*4-1,0)</f>
        <v>#REF!</v>
      </c>
      <c r="J35" s="237" t="e">
        <f ca="1">INDEX($N$2:$N$12,MATCH(I35,$M$2:$M$12,0))</f>
        <v>#REF!</v>
      </c>
      <c r="K35" s="48">
        <v>9</v>
      </c>
    </row>
    <row r="36" spans="1:11" x14ac:dyDescent="0.15">
      <c r="A36" s="229"/>
      <c r="B36" s="230"/>
      <c r="C36" s="234"/>
      <c r="D36" s="235"/>
      <c r="E36" s="235"/>
      <c r="F36" s="235"/>
      <c r="G36" s="236"/>
      <c r="H36" s="238"/>
      <c r="I36" s="238"/>
      <c r="J36" s="238"/>
      <c r="K36" s="48"/>
    </row>
    <row r="37" spans="1:11" x14ac:dyDescent="0.15">
      <c r="A37" s="239" t="s">
        <v>104</v>
      </c>
      <c r="B37" s="239"/>
      <c r="C37" s="239"/>
      <c r="D37" s="239"/>
      <c r="E37" s="239"/>
      <c r="F37" s="239"/>
      <c r="G37" s="239"/>
      <c r="H37" s="239" t="e">
        <f ca="1">SUM(H19:H36)</f>
        <v>#REF!</v>
      </c>
      <c r="I37" s="239" t="s">
        <v>86</v>
      </c>
      <c r="J37" s="240" t="e">
        <f ca="1">SUMPRODUCT(J19:J36,H19:H36)</f>
        <v>#REF!</v>
      </c>
      <c r="K37" s="44"/>
    </row>
    <row r="38" spans="1:11" x14ac:dyDescent="0.15">
      <c r="A38" s="239"/>
      <c r="B38" s="239"/>
      <c r="C38" s="239"/>
      <c r="D38" s="239"/>
      <c r="E38" s="239"/>
      <c r="F38" s="239"/>
      <c r="G38" s="239"/>
      <c r="H38" s="239"/>
      <c r="I38" s="239"/>
      <c r="J38" s="241"/>
      <c r="K38" s="44"/>
    </row>
    <row r="39" spans="1:11" ht="16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4"/>
    </row>
    <row r="40" spans="1:11" x14ac:dyDescent="0.15">
      <c r="A40" s="244" t="s">
        <v>92</v>
      </c>
      <c r="B40" s="244"/>
      <c r="C40" s="245" t="e">
        <f ca="1">VLOOKUP(B11,INDIRECT($F$11),11+(K35-1)*4+2,0)</f>
        <v>#REF!</v>
      </c>
      <c r="D40" s="244" t="s">
        <v>90</v>
      </c>
      <c r="E40" s="244"/>
      <c r="F40" s="246" t="e">
        <f ca="1">VLOOKUP(B11,INDIRECT($F$11),11+(K35-1)*4,0)</f>
        <v>#REF!</v>
      </c>
      <c r="G40" s="244" t="s">
        <v>91</v>
      </c>
      <c r="H40" s="244"/>
      <c r="I40" s="246" t="e">
        <f ca="1">VLOOKUP(B11,INDIRECT($F$11),11+(K35-1)*4+1,0)</f>
        <v>#REF!</v>
      </c>
      <c r="J40" s="246"/>
      <c r="K40" s="44"/>
    </row>
    <row r="41" spans="1:11" x14ac:dyDescent="0.15">
      <c r="A41" s="244"/>
      <c r="B41" s="244"/>
      <c r="C41" s="245"/>
      <c r="D41" s="244"/>
      <c r="E41" s="244"/>
      <c r="F41" s="246"/>
      <c r="G41" s="244"/>
      <c r="H41" s="244"/>
      <c r="I41" s="246"/>
      <c r="J41" s="246"/>
      <c r="K41" s="44"/>
    </row>
    <row r="42" spans="1:11" x14ac:dyDescent="0.15">
      <c r="A42" s="242" t="s">
        <v>88</v>
      </c>
      <c r="B42" s="226" t="e">
        <f ca="1">VLOOKUP(B11,INDIRECT($F$11),11+(K35-1)*4+3,0)</f>
        <v>#REF!</v>
      </c>
      <c r="C42" s="226"/>
      <c r="D42" s="242" t="s">
        <v>89</v>
      </c>
      <c r="E42" s="242"/>
      <c r="F42" s="243" t="e">
        <f ca="1">IF(VLOOKUP(B11,INDIRECT($F$11),11+(K35-1)*4+4,0)=0,"",VLOOKUP(B11,INDIRECT($F$11),11+(K35-1)*4+4,0))</f>
        <v>#REF!</v>
      </c>
      <c r="G42" s="243"/>
      <c r="H42" s="243"/>
      <c r="I42" s="243"/>
      <c r="J42" s="243"/>
      <c r="K42" s="44"/>
    </row>
    <row r="43" spans="1:11" x14ac:dyDescent="0.15">
      <c r="A43" s="242"/>
      <c r="B43" s="226"/>
      <c r="C43" s="226"/>
      <c r="D43" s="242"/>
      <c r="E43" s="242"/>
      <c r="F43" s="243"/>
      <c r="G43" s="243"/>
      <c r="H43" s="243"/>
      <c r="I43" s="243"/>
      <c r="J43" s="243"/>
      <c r="K43" s="44"/>
    </row>
    <row r="44" spans="1:11" x14ac:dyDescent="0.15">
      <c r="A44" s="242"/>
      <c r="B44" s="226"/>
      <c r="C44" s="226"/>
      <c r="D44" s="242"/>
      <c r="E44" s="242"/>
      <c r="F44" s="243"/>
      <c r="G44" s="243"/>
      <c r="H44" s="243"/>
      <c r="I44" s="243"/>
      <c r="J44" s="243"/>
      <c r="K44" s="44"/>
    </row>
    <row r="46" spans="1:11" ht="14" x14ac:dyDescent="0.15">
      <c r="A46" s="46" t="s">
        <v>73</v>
      </c>
      <c r="B46" s="46">
        <f>B11+1</f>
        <v>2</v>
      </c>
      <c r="C46" s="46" t="s">
        <v>71</v>
      </c>
      <c r="D46" s="46" t="s">
        <v>72</v>
      </c>
      <c r="E46" s="46" t="s">
        <v>40</v>
      </c>
      <c r="F46" s="46" t="s">
        <v>129</v>
      </c>
      <c r="G46" s="47"/>
      <c r="H46" s="47"/>
      <c r="I46" s="47"/>
      <c r="J46" s="44"/>
      <c r="K46" s="44"/>
    </row>
    <row r="47" spans="1:11" x14ac:dyDescent="0.15">
      <c r="A47" s="218" t="s">
        <v>76</v>
      </c>
      <c r="B47" s="218"/>
      <c r="C47" s="219" t="e">
        <f ca="1">VLOOKUP(B46,INDIRECT($F$11),5,0)</f>
        <v>#REF!</v>
      </c>
      <c r="D47" s="219"/>
      <c r="E47" s="219"/>
      <c r="F47" s="218" t="s">
        <v>102</v>
      </c>
      <c r="G47" s="218"/>
      <c r="H47" s="218"/>
      <c r="I47" s="220" t="e">
        <f ca="1">VLOOKUP(B46,INDIRECT($F$11),2,0)</f>
        <v>#REF!</v>
      </c>
      <c r="J47" s="220"/>
      <c r="K47" s="44"/>
    </row>
    <row r="48" spans="1:11" x14ac:dyDescent="0.15">
      <c r="A48" s="218"/>
      <c r="B48" s="218"/>
      <c r="C48" s="219"/>
      <c r="D48" s="219"/>
      <c r="E48" s="219"/>
      <c r="F48" s="218"/>
      <c r="G48" s="218"/>
      <c r="H48" s="218"/>
      <c r="I48" s="220"/>
      <c r="J48" s="220"/>
      <c r="K48" s="44"/>
    </row>
    <row r="49" spans="1:11" x14ac:dyDescent="0.15">
      <c r="A49" s="218" t="s">
        <v>77</v>
      </c>
      <c r="B49" s="218"/>
      <c r="C49" s="219" t="e">
        <f ca="1">VLOOKUP(B46,INDIRECT($F$11),6,0)</f>
        <v>#REF!</v>
      </c>
      <c r="D49" s="219"/>
      <c r="E49" s="219"/>
      <c r="F49" s="223" t="s">
        <v>103</v>
      </c>
      <c r="G49" s="223"/>
      <c r="H49" s="223"/>
      <c r="I49" s="220" t="e">
        <f ca="1">IF(VLOOKUP(B46,INDIRECT($F$11),3,0)=0,"",VLOOKUP(B46,INDIRECT($F$11),3,0))</f>
        <v>#REF!</v>
      </c>
      <c r="J49" s="220"/>
      <c r="K49" s="44"/>
    </row>
    <row r="50" spans="1:11" x14ac:dyDescent="0.15">
      <c r="A50" s="221"/>
      <c r="B50" s="221"/>
      <c r="C50" s="222"/>
      <c r="D50" s="222"/>
      <c r="E50" s="222"/>
      <c r="F50" s="224"/>
      <c r="G50" s="224"/>
      <c r="H50" s="224"/>
      <c r="I50" s="225"/>
      <c r="J50" s="225"/>
      <c r="K50" s="44"/>
    </row>
    <row r="51" spans="1:11" x14ac:dyDescent="0.15">
      <c r="A51" s="226" t="s">
        <v>80</v>
      </c>
      <c r="B51" s="226"/>
      <c r="C51" s="226" t="s">
        <v>81</v>
      </c>
      <c r="D51" s="226"/>
      <c r="E51" s="226"/>
      <c r="F51" s="226"/>
      <c r="G51" s="226"/>
      <c r="H51" s="226" t="s">
        <v>33</v>
      </c>
      <c r="I51" s="226" t="s">
        <v>34</v>
      </c>
      <c r="J51" s="226" t="s">
        <v>85</v>
      </c>
      <c r="K51" s="44"/>
    </row>
    <row r="52" spans="1:11" x14ac:dyDescent="0.15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44"/>
    </row>
    <row r="53" spans="1:11" x14ac:dyDescent="0.15">
      <c r="A53" s="226"/>
      <c r="B53" s="226"/>
      <c r="C53" s="226"/>
      <c r="D53" s="226"/>
      <c r="E53" s="226"/>
      <c r="F53" s="226"/>
      <c r="G53" s="226"/>
      <c r="H53" s="226"/>
      <c r="I53" s="226"/>
      <c r="J53" s="226"/>
      <c r="K53" s="44"/>
    </row>
    <row r="54" spans="1:11" x14ac:dyDescent="0.15">
      <c r="A54" s="227" t="e">
        <f ca="1">VLOOKUP(C46,INDIRECT($F$11),7+(K54-1)*4,0)</f>
        <v>#REF!</v>
      </c>
      <c r="B54" s="228"/>
      <c r="C54" s="231" t="e">
        <f ca="1">VLOOKUP(D46,INDIRECT($F$11),7+(K54-1)*4,0)</f>
        <v>#REF!</v>
      </c>
      <c r="D54" s="232"/>
      <c r="E54" s="232"/>
      <c r="F54" s="232"/>
      <c r="G54" s="233"/>
      <c r="H54" s="237" t="e">
        <f ca="1">VLOOKUP(E46,INDIRECT($F$11),7+(K54-1)*4,0)</f>
        <v>#REF!</v>
      </c>
      <c r="I54" s="237" t="e">
        <f ca="1">VLOOKUP(B46,INDIRECT($F$11),10+(K54-1)*4,0)</f>
        <v>#REF!</v>
      </c>
      <c r="J54" s="237" t="e">
        <f ca="1">INDEX($N$2:$N$12,MATCH(I54,$M$2:$M$12,0))</f>
        <v>#REF!</v>
      </c>
      <c r="K54" s="48">
        <v>1</v>
      </c>
    </row>
    <row r="55" spans="1:11" x14ac:dyDescent="0.15">
      <c r="A55" s="229"/>
      <c r="B55" s="230"/>
      <c r="C55" s="234"/>
      <c r="D55" s="235"/>
      <c r="E55" s="235"/>
      <c r="F55" s="235"/>
      <c r="G55" s="236"/>
      <c r="H55" s="238"/>
      <c r="I55" s="238"/>
      <c r="J55" s="238"/>
      <c r="K55" s="48"/>
    </row>
    <row r="56" spans="1:11" x14ac:dyDescent="0.15">
      <c r="A56" s="227" t="e">
        <f ca="1">VLOOKUP(C46,INDIRECT($F$11),7+(K56-1)*4,0)</f>
        <v>#REF!</v>
      </c>
      <c r="B56" s="228"/>
      <c r="C56" s="231" t="e">
        <f ca="1">VLOOKUP(D46,INDIRECT($F$11),7+(K56-1)*4,0)</f>
        <v>#REF!</v>
      </c>
      <c r="D56" s="232"/>
      <c r="E56" s="232"/>
      <c r="F56" s="232"/>
      <c r="G56" s="233"/>
      <c r="H56" s="237" t="e">
        <f ca="1">VLOOKUP(E46,INDIRECT($F$11),7+(K56-1)*4,0)</f>
        <v>#REF!</v>
      </c>
      <c r="I56" s="237" t="e">
        <f ca="1">VLOOKUP(B46,INDIRECT($F$11),10+(K56-1)*4,0)</f>
        <v>#REF!</v>
      </c>
      <c r="J56" s="237" t="e">
        <f ca="1">INDEX($N$2:$N$12,MATCH(I56,$M$2:$M$12,0))</f>
        <v>#REF!</v>
      </c>
      <c r="K56" s="48">
        <v>2</v>
      </c>
    </row>
    <row r="57" spans="1:11" x14ac:dyDescent="0.15">
      <c r="A57" s="229"/>
      <c r="B57" s="230"/>
      <c r="C57" s="234"/>
      <c r="D57" s="235"/>
      <c r="E57" s="235"/>
      <c r="F57" s="235"/>
      <c r="G57" s="236"/>
      <c r="H57" s="238"/>
      <c r="I57" s="238"/>
      <c r="J57" s="238"/>
      <c r="K57" s="48"/>
    </row>
    <row r="58" spans="1:11" x14ac:dyDescent="0.15">
      <c r="A58" s="227" t="e">
        <f ca="1">VLOOKUP(C46,INDIRECT($F$11),7+(K58-1)*4,0)</f>
        <v>#REF!</v>
      </c>
      <c r="B58" s="228"/>
      <c r="C58" s="231" t="e">
        <f ca="1">VLOOKUP(D46,INDIRECT($F$11),7+(K58-1)*4,0)</f>
        <v>#REF!</v>
      </c>
      <c r="D58" s="232"/>
      <c r="E58" s="232"/>
      <c r="F58" s="232"/>
      <c r="G58" s="233"/>
      <c r="H58" s="237" t="e">
        <f ca="1">VLOOKUP(E46,INDIRECT($F$11),7+(K58-1)*4,0)</f>
        <v>#REF!</v>
      </c>
      <c r="I58" s="237" t="e">
        <f ca="1">VLOOKUP(B46,INDIRECT($F$11),10+(K58-1)*4,0)</f>
        <v>#REF!</v>
      </c>
      <c r="J58" s="237" t="e">
        <f ca="1">INDEX($N$2:$N$12,MATCH(I58,$M$2:$M$12,0))</f>
        <v>#REF!</v>
      </c>
      <c r="K58" s="48">
        <v>3</v>
      </c>
    </row>
    <row r="59" spans="1:11" x14ac:dyDescent="0.15">
      <c r="A59" s="229"/>
      <c r="B59" s="230"/>
      <c r="C59" s="234"/>
      <c r="D59" s="235"/>
      <c r="E59" s="235"/>
      <c r="F59" s="235"/>
      <c r="G59" s="236"/>
      <c r="H59" s="238"/>
      <c r="I59" s="238"/>
      <c r="J59" s="238"/>
      <c r="K59" s="48"/>
    </row>
    <row r="60" spans="1:11" x14ac:dyDescent="0.15">
      <c r="A60" s="227" t="e">
        <f ca="1">VLOOKUP(C46,INDIRECT($F$11),7+(K60-1)*4,0)</f>
        <v>#REF!</v>
      </c>
      <c r="B60" s="228"/>
      <c r="C60" s="231" t="e">
        <f ca="1">VLOOKUP(D46,INDIRECT($F$11),7+(K60-1)*4,0)</f>
        <v>#REF!</v>
      </c>
      <c r="D60" s="232"/>
      <c r="E60" s="232"/>
      <c r="F60" s="232"/>
      <c r="G60" s="233"/>
      <c r="H60" s="237" t="e">
        <f ca="1">VLOOKUP(E46,INDIRECT($F$11),7+(K60-1)*4,0)</f>
        <v>#REF!</v>
      </c>
      <c r="I60" s="237" t="e">
        <f ca="1">VLOOKUP(B46,INDIRECT($F$11),10+(K60-1)*4,0)</f>
        <v>#REF!</v>
      </c>
      <c r="J60" s="237" t="e">
        <f ca="1">INDEX($N$2:$N$12,MATCH(I60,$M$2:$M$12,0))</f>
        <v>#REF!</v>
      </c>
      <c r="K60" s="48">
        <v>4</v>
      </c>
    </row>
    <row r="61" spans="1:11" x14ac:dyDescent="0.15">
      <c r="A61" s="229"/>
      <c r="B61" s="230"/>
      <c r="C61" s="234"/>
      <c r="D61" s="235"/>
      <c r="E61" s="235"/>
      <c r="F61" s="235"/>
      <c r="G61" s="236"/>
      <c r="H61" s="238"/>
      <c r="I61" s="238"/>
      <c r="J61" s="238"/>
      <c r="K61" s="48"/>
    </row>
    <row r="62" spans="1:11" x14ac:dyDescent="0.15">
      <c r="A62" s="227" t="e">
        <f ca="1">VLOOKUP(C46,INDIRECT($F$11),7+(K62-1)*4,0)</f>
        <v>#REF!</v>
      </c>
      <c r="B62" s="228"/>
      <c r="C62" s="231" t="e">
        <f ca="1">VLOOKUP(D46,INDIRECT($F$11),7+(K62-1)*4,0)</f>
        <v>#REF!</v>
      </c>
      <c r="D62" s="232"/>
      <c r="E62" s="232"/>
      <c r="F62" s="232"/>
      <c r="G62" s="233"/>
      <c r="H62" s="237" t="e">
        <f ca="1">VLOOKUP(E46,INDIRECT($F$11),7+(K62-1)*4,0)</f>
        <v>#REF!</v>
      </c>
      <c r="I62" s="237" t="e">
        <f ca="1">VLOOKUP(B46,INDIRECT($F$11),10+(K62-1)*4,0)</f>
        <v>#REF!</v>
      </c>
      <c r="J62" s="237" t="e">
        <f ca="1">INDEX($N$2:$N$12,MATCH(I62,$M$2:$M$12,0))</f>
        <v>#REF!</v>
      </c>
      <c r="K62" s="48">
        <v>5</v>
      </c>
    </row>
    <row r="63" spans="1:11" x14ac:dyDescent="0.15">
      <c r="A63" s="229"/>
      <c r="B63" s="230"/>
      <c r="C63" s="234"/>
      <c r="D63" s="235"/>
      <c r="E63" s="235"/>
      <c r="F63" s="235"/>
      <c r="G63" s="236"/>
      <c r="H63" s="238"/>
      <c r="I63" s="238"/>
      <c r="J63" s="238"/>
      <c r="K63" s="48"/>
    </row>
    <row r="64" spans="1:11" x14ac:dyDescent="0.15">
      <c r="A64" s="227" t="e">
        <f ca="1">VLOOKUP(C46,INDIRECT($F$11),7+(K64-1)*4,0)</f>
        <v>#REF!</v>
      </c>
      <c r="B64" s="228"/>
      <c r="C64" s="231" t="e">
        <f ca="1">VLOOKUP(D46,INDIRECT($F$11),7+(K64-1)*4,0)</f>
        <v>#REF!</v>
      </c>
      <c r="D64" s="232"/>
      <c r="E64" s="232"/>
      <c r="F64" s="232"/>
      <c r="G64" s="233"/>
      <c r="H64" s="237" t="e">
        <f ca="1">VLOOKUP(E46,INDIRECT($F$11),7+(K64-1)*4,0)</f>
        <v>#REF!</v>
      </c>
      <c r="I64" s="237" t="e">
        <f ca="1">VLOOKUP(B46,INDIRECT($F$11),10+(K64-1)*4,0)</f>
        <v>#REF!</v>
      </c>
      <c r="J64" s="237" t="e">
        <f ca="1">INDEX($N$2:$N$12,MATCH(I64,$M$2:$M$12,0))</f>
        <v>#REF!</v>
      </c>
      <c r="K64" s="48">
        <v>6</v>
      </c>
    </row>
    <row r="65" spans="1:11" x14ac:dyDescent="0.15">
      <c r="A65" s="229"/>
      <c r="B65" s="230"/>
      <c r="C65" s="234"/>
      <c r="D65" s="235"/>
      <c r="E65" s="235"/>
      <c r="F65" s="235"/>
      <c r="G65" s="236"/>
      <c r="H65" s="238"/>
      <c r="I65" s="238"/>
      <c r="J65" s="238"/>
      <c r="K65" s="48"/>
    </row>
    <row r="66" spans="1:11" ht="13" customHeight="1" x14ac:dyDescent="0.15">
      <c r="A66" s="227" t="e">
        <f ca="1">VLOOKUP(C46,INDIRECT($F$11),7+(K66-1)*4,0)</f>
        <v>#REF!</v>
      </c>
      <c r="B66" s="228"/>
      <c r="C66" s="231" t="e">
        <f ca="1">VLOOKUP(D46,INDIRECT($F$11),7+(K66-1)*4,0)</f>
        <v>#REF!</v>
      </c>
      <c r="D66" s="232"/>
      <c r="E66" s="232"/>
      <c r="F66" s="232"/>
      <c r="G66" s="233"/>
      <c r="H66" s="237" t="e">
        <f ca="1">VLOOKUP(E46,INDIRECT($F$11),7+(K66-1)*4,0)</f>
        <v>#REF!</v>
      </c>
      <c r="I66" s="237" t="e">
        <f ca="1">VLOOKUP(B46,INDIRECT($F$11),10+(K66-1)*4-1,0)</f>
        <v>#REF!</v>
      </c>
      <c r="J66" s="237" t="e">
        <f ca="1">INDEX($N$2:$N$12,MATCH(I66,$M$2:$M$12,0))</f>
        <v>#REF!</v>
      </c>
      <c r="K66" s="48">
        <v>7</v>
      </c>
    </row>
    <row r="67" spans="1:11" ht="13" customHeight="1" x14ac:dyDescent="0.15">
      <c r="A67" s="249"/>
      <c r="B67" s="250"/>
      <c r="C67" s="251"/>
      <c r="D67" s="252"/>
      <c r="E67" s="252"/>
      <c r="F67" s="252"/>
      <c r="G67" s="253"/>
      <c r="H67" s="254"/>
      <c r="I67" s="254"/>
      <c r="J67" s="238"/>
      <c r="K67" s="48"/>
    </row>
    <row r="68" spans="1:11" ht="13" customHeight="1" x14ac:dyDescent="0.15">
      <c r="A68" s="227" t="e">
        <f ca="1">VLOOKUP(C46,INDIRECT($F$11),7+(K68-1)*4-1,0)</f>
        <v>#REF!</v>
      </c>
      <c r="B68" s="228"/>
      <c r="C68" s="231" t="e">
        <f ca="1">VLOOKUP(D46,INDIRECT($F$11),7+(K68-1)*4-1,0)</f>
        <v>#REF!</v>
      </c>
      <c r="D68" s="232"/>
      <c r="E68" s="232"/>
      <c r="F68" s="232"/>
      <c r="G68" s="233"/>
      <c r="H68" s="237" t="e">
        <f ca="1">VLOOKUP(E46,INDIRECT($F$11),7+(K68-1)*4-1,0)</f>
        <v>#REF!</v>
      </c>
      <c r="I68" s="237" t="e">
        <f ca="1">VLOOKUP(B46,INDIRECT($F$11),10+(K68-1)*4-1,0)</f>
        <v>#REF!</v>
      </c>
      <c r="J68" s="237" t="e">
        <f ca="1">INDEX($N$2:$N$12,MATCH(I68,$M$2:$M$12,0))</f>
        <v>#REF!</v>
      </c>
      <c r="K68" s="48">
        <v>8</v>
      </c>
    </row>
    <row r="69" spans="1:11" ht="13" customHeight="1" x14ac:dyDescent="0.15">
      <c r="A69" s="249"/>
      <c r="B69" s="250"/>
      <c r="C69" s="251"/>
      <c r="D69" s="252"/>
      <c r="E69" s="252"/>
      <c r="F69" s="252"/>
      <c r="G69" s="253"/>
      <c r="H69" s="254"/>
      <c r="I69" s="254"/>
      <c r="J69" s="238"/>
      <c r="K69" s="48"/>
    </row>
    <row r="70" spans="1:11" ht="13" customHeight="1" x14ac:dyDescent="0.15">
      <c r="A70" s="227" t="e">
        <f ca="1">VLOOKUP(C46,INDIRECT($F$11),7+(K70-1)*4-1,0)</f>
        <v>#REF!</v>
      </c>
      <c r="B70" s="228"/>
      <c r="C70" s="231" t="e">
        <f ca="1">VLOOKUP(D46,INDIRECT($F$11),7+(K70-1)*4-1,0)</f>
        <v>#REF!</v>
      </c>
      <c r="D70" s="232"/>
      <c r="E70" s="232"/>
      <c r="F70" s="232"/>
      <c r="G70" s="233"/>
      <c r="H70" s="237" t="e">
        <f ca="1">VLOOKUP(E46,INDIRECT($F$11),7+(K70-1)*4-1,0)</f>
        <v>#REF!</v>
      </c>
      <c r="I70" s="237" t="e">
        <f ca="1">VLOOKUP(B46,INDIRECT($F$11),10+(K70-1)*4-1,0)</f>
        <v>#REF!</v>
      </c>
      <c r="J70" s="237" t="e">
        <f ca="1">INDEX($N$2:$N$12,MATCH(I70,$M$2:$M$12,0))</f>
        <v>#REF!</v>
      </c>
      <c r="K70" s="48">
        <v>9</v>
      </c>
    </row>
    <row r="71" spans="1:11" ht="13" customHeight="1" x14ac:dyDescent="0.15">
      <c r="A71" s="249"/>
      <c r="B71" s="250"/>
      <c r="C71" s="251"/>
      <c r="D71" s="252"/>
      <c r="E71" s="252"/>
      <c r="F71" s="252"/>
      <c r="G71" s="253"/>
      <c r="H71" s="254"/>
      <c r="I71" s="254"/>
      <c r="J71" s="238"/>
      <c r="K71" s="48"/>
    </row>
    <row r="72" spans="1:11" x14ac:dyDescent="0.15">
      <c r="A72" s="239" t="s">
        <v>104</v>
      </c>
      <c r="B72" s="239"/>
      <c r="C72" s="239"/>
      <c r="D72" s="239"/>
      <c r="E72" s="239"/>
      <c r="F72" s="239"/>
      <c r="G72" s="239"/>
      <c r="H72" s="239" t="e">
        <f ca="1">SUM(H54:H71)</f>
        <v>#REF!</v>
      </c>
      <c r="I72" s="239" t="s">
        <v>86</v>
      </c>
      <c r="J72" s="240" t="e">
        <f ca="1">SUMPRODUCT(J54:J71,H54:H71)</f>
        <v>#REF!</v>
      </c>
      <c r="K72" s="44"/>
    </row>
    <row r="73" spans="1:11" x14ac:dyDescent="0.15">
      <c r="A73" s="239"/>
      <c r="B73" s="239"/>
      <c r="C73" s="239"/>
      <c r="D73" s="239"/>
      <c r="E73" s="239"/>
      <c r="F73" s="239"/>
      <c r="G73" s="239"/>
      <c r="H73" s="239"/>
      <c r="I73" s="239"/>
      <c r="J73" s="241"/>
      <c r="K73" s="44"/>
    </row>
    <row r="74" spans="1:11" ht="16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4"/>
    </row>
    <row r="75" spans="1:11" x14ac:dyDescent="0.15">
      <c r="A75" s="244" t="s">
        <v>92</v>
      </c>
      <c r="B75" s="244"/>
      <c r="C75" s="245" t="e">
        <f ca="1">VLOOKUP(B46,INDIRECT($F$11),11+(K70-1)*4+2,0)</f>
        <v>#REF!</v>
      </c>
      <c r="D75" s="244" t="s">
        <v>90</v>
      </c>
      <c r="E75" s="244"/>
      <c r="F75" s="246" t="e">
        <f ca="1">VLOOKUP(B46,INDIRECT($F$11),11+(K70-1)*4,0)</f>
        <v>#REF!</v>
      </c>
      <c r="G75" s="244" t="s">
        <v>91</v>
      </c>
      <c r="H75" s="244"/>
      <c r="I75" s="246" t="e">
        <f ca="1">VLOOKUP(B46,INDIRECT($F$11),11+(K70-1)*4+1,0)</f>
        <v>#REF!</v>
      </c>
      <c r="J75" s="246"/>
      <c r="K75" s="44"/>
    </row>
    <row r="76" spans="1:11" x14ac:dyDescent="0.15">
      <c r="A76" s="244"/>
      <c r="B76" s="244"/>
      <c r="C76" s="245"/>
      <c r="D76" s="244"/>
      <c r="E76" s="244"/>
      <c r="F76" s="246"/>
      <c r="G76" s="244"/>
      <c r="H76" s="244"/>
      <c r="I76" s="246"/>
      <c r="J76" s="246"/>
      <c r="K76" s="44"/>
    </row>
    <row r="77" spans="1:11" x14ac:dyDescent="0.15">
      <c r="A77" s="242" t="s">
        <v>88</v>
      </c>
      <c r="B77" s="226" t="e">
        <f ca="1">VLOOKUP(B46,INDIRECT($F$11),11+(K70-1)*4+3,0)</f>
        <v>#REF!</v>
      </c>
      <c r="C77" s="226"/>
      <c r="D77" s="242" t="s">
        <v>89</v>
      </c>
      <c r="E77" s="242"/>
      <c r="F77" s="243" t="e">
        <f ca="1">IF(VLOOKUP(B46,INDIRECT($F$11),11+(K70-1)*4+4,0)=0,"",VLOOKUP(B46,INDIRECT($F$11),11+(K70-1)*4+4,0))</f>
        <v>#REF!</v>
      </c>
      <c r="G77" s="243"/>
      <c r="H77" s="243"/>
      <c r="I77" s="243"/>
      <c r="J77" s="243"/>
      <c r="K77" s="44"/>
    </row>
    <row r="78" spans="1:11" x14ac:dyDescent="0.15">
      <c r="A78" s="242"/>
      <c r="B78" s="226"/>
      <c r="C78" s="226"/>
      <c r="D78" s="242"/>
      <c r="E78" s="242"/>
      <c r="F78" s="243"/>
      <c r="G78" s="243"/>
      <c r="H78" s="243"/>
      <c r="I78" s="243"/>
      <c r="J78" s="243"/>
      <c r="K78" s="44"/>
    </row>
    <row r="79" spans="1:11" x14ac:dyDescent="0.15">
      <c r="A79" s="242"/>
      <c r="B79" s="226"/>
      <c r="C79" s="226"/>
      <c r="D79" s="242"/>
      <c r="E79" s="242"/>
      <c r="F79" s="243"/>
      <c r="G79" s="243"/>
      <c r="H79" s="243"/>
      <c r="I79" s="243"/>
      <c r="J79" s="243"/>
      <c r="K79" s="44"/>
    </row>
    <row r="81" spans="1:11" ht="14" x14ac:dyDescent="0.15">
      <c r="A81" s="46" t="s">
        <v>73</v>
      </c>
      <c r="B81" s="46">
        <f>B46+1</f>
        <v>3</v>
      </c>
      <c r="C81" s="46" t="s">
        <v>71</v>
      </c>
      <c r="D81" s="46" t="s">
        <v>72</v>
      </c>
      <c r="E81" s="46" t="s">
        <v>40</v>
      </c>
      <c r="F81" s="46" t="s">
        <v>94</v>
      </c>
      <c r="G81" s="47"/>
      <c r="H81" s="47"/>
      <c r="I81" s="47"/>
      <c r="J81" s="44"/>
      <c r="K81" s="44"/>
    </row>
    <row r="82" spans="1:11" x14ac:dyDescent="0.15">
      <c r="A82" s="218" t="s">
        <v>76</v>
      </c>
      <c r="B82" s="218"/>
      <c r="C82" s="219" t="e">
        <f ca="1">VLOOKUP(B81,INDIRECT($F$11),5,0)</f>
        <v>#REF!</v>
      </c>
      <c r="D82" s="219"/>
      <c r="E82" s="219"/>
      <c r="F82" s="218" t="s">
        <v>102</v>
      </c>
      <c r="G82" s="218"/>
      <c r="H82" s="218"/>
      <c r="I82" s="220" t="e">
        <f ca="1">VLOOKUP(B81,INDIRECT($F$11),2,0)</f>
        <v>#REF!</v>
      </c>
      <c r="J82" s="220"/>
      <c r="K82" s="44"/>
    </row>
    <row r="83" spans="1:11" x14ac:dyDescent="0.15">
      <c r="A83" s="218"/>
      <c r="B83" s="218"/>
      <c r="C83" s="219"/>
      <c r="D83" s="219"/>
      <c r="E83" s="219"/>
      <c r="F83" s="218"/>
      <c r="G83" s="218"/>
      <c r="H83" s="218"/>
      <c r="I83" s="220"/>
      <c r="J83" s="220"/>
      <c r="K83" s="44"/>
    </row>
    <row r="84" spans="1:11" x14ac:dyDescent="0.15">
      <c r="A84" s="218" t="s">
        <v>77</v>
      </c>
      <c r="B84" s="218"/>
      <c r="C84" s="219" t="e">
        <f ca="1">VLOOKUP(B81,INDIRECT($F$11),6,0)</f>
        <v>#REF!</v>
      </c>
      <c r="D84" s="219"/>
      <c r="E84" s="219"/>
      <c r="F84" s="223" t="s">
        <v>103</v>
      </c>
      <c r="G84" s="223"/>
      <c r="H84" s="223"/>
      <c r="I84" s="220" t="e">
        <f ca="1">IF(VLOOKUP(B81,INDIRECT($F$11),3,0)=0,"",VLOOKUP(B81,INDIRECT($F$11),3,0))</f>
        <v>#REF!</v>
      </c>
      <c r="J84" s="220"/>
      <c r="K84" s="44"/>
    </row>
    <row r="85" spans="1:11" x14ac:dyDescent="0.15">
      <c r="A85" s="221"/>
      <c r="B85" s="221"/>
      <c r="C85" s="222"/>
      <c r="D85" s="222"/>
      <c r="E85" s="222"/>
      <c r="F85" s="224"/>
      <c r="G85" s="224"/>
      <c r="H85" s="224"/>
      <c r="I85" s="225"/>
      <c r="J85" s="225"/>
      <c r="K85" s="44"/>
    </row>
    <row r="86" spans="1:11" x14ac:dyDescent="0.15">
      <c r="A86" s="226" t="s">
        <v>80</v>
      </c>
      <c r="B86" s="226"/>
      <c r="C86" s="226" t="s">
        <v>81</v>
      </c>
      <c r="D86" s="226"/>
      <c r="E86" s="226"/>
      <c r="F86" s="226"/>
      <c r="G86" s="226"/>
      <c r="H86" s="226" t="s">
        <v>33</v>
      </c>
      <c r="I86" s="226" t="s">
        <v>34</v>
      </c>
      <c r="J86" s="226" t="s">
        <v>85</v>
      </c>
      <c r="K86" s="44"/>
    </row>
    <row r="87" spans="1:11" x14ac:dyDescent="0.15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44"/>
    </row>
    <row r="88" spans="1:11" x14ac:dyDescent="0.15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44"/>
    </row>
    <row r="89" spans="1:11" x14ac:dyDescent="0.15">
      <c r="A89" s="227" t="e">
        <f ca="1">VLOOKUP(C81,INDIRECT($F$11),7+(K89-1)*4,0)</f>
        <v>#REF!</v>
      </c>
      <c r="B89" s="228"/>
      <c r="C89" s="231" t="e">
        <f ca="1">VLOOKUP(D81,INDIRECT($F$11),7+(K89-1)*4,0)</f>
        <v>#REF!</v>
      </c>
      <c r="D89" s="232"/>
      <c r="E89" s="232"/>
      <c r="F89" s="232"/>
      <c r="G89" s="233"/>
      <c r="H89" s="237" t="e">
        <f ca="1">VLOOKUP(E81,INDIRECT($F$11),7+(K89-1)*4,0)</f>
        <v>#REF!</v>
      </c>
      <c r="I89" s="237" t="e">
        <f ca="1">VLOOKUP(B81,INDIRECT($F$11),10+(K89-1)*4,0)</f>
        <v>#REF!</v>
      </c>
      <c r="J89" s="237" t="e">
        <f ca="1">INDEX($N$2:$N$12,MATCH(I89,$M$2:$M$12,0))</f>
        <v>#REF!</v>
      </c>
      <c r="K89" s="48">
        <v>1</v>
      </c>
    </row>
    <row r="90" spans="1:11" x14ac:dyDescent="0.15">
      <c r="A90" s="229"/>
      <c r="B90" s="230"/>
      <c r="C90" s="234"/>
      <c r="D90" s="235"/>
      <c r="E90" s="235"/>
      <c r="F90" s="235"/>
      <c r="G90" s="236"/>
      <c r="H90" s="238"/>
      <c r="I90" s="238"/>
      <c r="J90" s="238"/>
      <c r="K90" s="48"/>
    </row>
    <row r="91" spans="1:11" x14ac:dyDescent="0.15">
      <c r="A91" s="227" t="e">
        <f ca="1">VLOOKUP(C81,INDIRECT($F$11),7+(K91-1)*4,0)</f>
        <v>#REF!</v>
      </c>
      <c r="B91" s="228"/>
      <c r="C91" s="231" t="e">
        <f ca="1">VLOOKUP(D81,INDIRECT($F$11),7+(K91-1)*4,0)</f>
        <v>#REF!</v>
      </c>
      <c r="D91" s="232"/>
      <c r="E91" s="232"/>
      <c r="F91" s="232"/>
      <c r="G91" s="233"/>
      <c r="H91" s="237" t="e">
        <f ca="1">VLOOKUP(E81,INDIRECT($F$11),7+(K91-1)*4,0)</f>
        <v>#REF!</v>
      </c>
      <c r="I91" s="237" t="e">
        <f ca="1">VLOOKUP(B81,INDIRECT($F$11),10+(K91-1)*4,0)</f>
        <v>#REF!</v>
      </c>
      <c r="J91" s="237" t="e">
        <f ca="1">INDEX($N$2:$N$12,MATCH(I91,$M$2:$M$12,0))</f>
        <v>#REF!</v>
      </c>
      <c r="K91" s="48">
        <v>2</v>
      </c>
    </row>
    <row r="92" spans="1:11" x14ac:dyDescent="0.15">
      <c r="A92" s="229"/>
      <c r="B92" s="230"/>
      <c r="C92" s="234"/>
      <c r="D92" s="235"/>
      <c r="E92" s="235"/>
      <c r="F92" s="235"/>
      <c r="G92" s="236"/>
      <c r="H92" s="238"/>
      <c r="I92" s="238"/>
      <c r="J92" s="238"/>
      <c r="K92" s="48"/>
    </row>
    <row r="93" spans="1:11" x14ac:dyDescent="0.15">
      <c r="A93" s="227" t="e">
        <f ca="1">VLOOKUP(C81,INDIRECT($F$11),7+(K93-1)*4,0)</f>
        <v>#REF!</v>
      </c>
      <c r="B93" s="228"/>
      <c r="C93" s="231" t="e">
        <f ca="1">VLOOKUP(D81,INDIRECT($F$11),7+(K93-1)*4,0)</f>
        <v>#REF!</v>
      </c>
      <c r="D93" s="232"/>
      <c r="E93" s="232"/>
      <c r="F93" s="232"/>
      <c r="G93" s="233"/>
      <c r="H93" s="237" t="e">
        <f ca="1">VLOOKUP(E81,INDIRECT($F$11),7+(K93-1)*4,0)</f>
        <v>#REF!</v>
      </c>
      <c r="I93" s="237" t="e">
        <f ca="1">VLOOKUP(B81,INDIRECT($F$11),10+(K93-1)*4,0)</f>
        <v>#REF!</v>
      </c>
      <c r="J93" s="237" t="e">
        <f ca="1">INDEX($N$2:$N$12,MATCH(I93,$M$2:$M$12,0))</f>
        <v>#REF!</v>
      </c>
      <c r="K93" s="48">
        <v>3</v>
      </c>
    </row>
    <row r="94" spans="1:11" x14ac:dyDescent="0.15">
      <c r="A94" s="229"/>
      <c r="B94" s="230"/>
      <c r="C94" s="234"/>
      <c r="D94" s="235"/>
      <c r="E94" s="235"/>
      <c r="F94" s="235"/>
      <c r="G94" s="236"/>
      <c r="H94" s="238"/>
      <c r="I94" s="238"/>
      <c r="J94" s="238"/>
      <c r="K94" s="48"/>
    </row>
    <row r="95" spans="1:11" x14ac:dyDescent="0.15">
      <c r="A95" s="227" t="e">
        <f ca="1">VLOOKUP(C81,INDIRECT($F$11),7+(K95-1)*4,0)</f>
        <v>#REF!</v>
      </c>
      <c r="B95" s="228"/>
      <c r="C95" s="231" t="e">
        <f ca="1">VLOOKUP(D81,INDIRECT($F$11),7+(K95-1)*4,0)</f>
        <v>#REF!</v>
      </c>
      <c r="D95" s="232"/>
      <c r="E95" s="232"/>
      <c r="F95" s="232"/>
      <c r="G95" s="233"/>
      <c r="H95" s="237" t="e">
        <f ca="1">VLOOKUP(E81,INDIRECT($F$11),7+(K95-1)*4,0)</f>
        <v>#REF!</v>
      </c>
      <c r="I95" s="237" t="e">
        <f ca="1">VLOOKUP(B81,INDIRECT($F$11),10+(K95-1)*4,0)</f>
        <v>#REF!</v>
      </c>
      <c r="J95" s="237" t="e">
        <f ca="1">INDEX($N$2:$N$12,MATCH(I95,$M$2:$M$12,0))</f>
        <v>#REF!</v>
      </c>
      <c r="K95" s="48">
        <v>4</v>
      </c>
    </row>
    <row r="96" spans="1:11" x14ac:dyDescent="0.15">
      <c r="A96" s="229"/>
      <c r="B96" s="230"/>
      <c r="C96" s="234"/>
      <c r="D96" s="235"/>
      <c r="E96" s="235"/>
      <c r="F96" s="235"/>
      <c r="G96" s="236"/>
      <c r="H96" s="238"/>
      <c r="I96" s="238"/>
      <c r="J96" s="238"/>
      <c r="K96" s="48"/>
    </row>
    <row r="97" spans="1:11" x14ac:dyDescent="0.15">
      <c r="A97" s="227" t="e">
        <f ca="1">VLOOKUP(C81,INDIRECT($F$11),7+(K97-1)*4,0)</f>
        <v>#REF!</v>
      </c>
      <c r="B97" s="228"/>
      <c r="C97" s="231" t="e">
        <f ca="1">VLOOKUP(D81,INDIRECT($F$11),7+(K97-1)*4,0)</f>
        <v>#REF!</v>
      </c>
      <c r="D97" s="232"/>
      <c r="E97" s="232"/>
      <c r="F97" s="232"/>
      <c r="G97" s="233"/>
      <c r="H97" s="237" t="e">
        <f ca="1">VLOOKUP(E81,INDIRECT($F$11),7+(K97-1)*4,0)</f>
        <v>#REF!</v>
      </c>
      <c r="I97" s="237" t="e">
        <f ca="1">VLOOKUP(B81,INDIRECT($F$11),10+(K97-1)*4,0)</f>
        <v>#REF!</v>
      </c>
      <c r="J97" s="237" t="e">
        <f ca="1">INDEX($N$2:$N$12,MATCH(I97,$M$2:$M$12,0))</f>
        <v>#REF!</v>
      </c>
      <c r="K97" s="48">
        <v>5</v>
      </c>
    </row>
    <row r="98" spans="1:11" x14ac:dyDescent="0.15">
      <c r="A98" s="229"/>
      <c r="B98" s="230"/>
      <c r="C98" s="234"/>
      <c r="D98" s="235"/>
      <c r="E98" s="235"/>
      <c r="F98" s="235"/>
      <c r="G98" s="236"/>
      <c r="H98" s="238"/>
      <c r="I98" s="238"/>
      <c r="J98" s="238"/>
      <c r="K98" s="48"/>
    </row>
    <row r="99" spans="1:11" x14ac:dyDescent="0.15">
      <c r="A99" s="227" t="e">
        <f ca="1">VLOOKUP(C81,INDIRECT($F$11),7+(K99-1)*4,0)</f>
        <v>#REF!</v>
      </c>
      <c r="B99" s="228"/>
      <c r="C99" s="231" t="e">
        <f ca="1">VLOOKUP(D81,INDIRECT($F$11),7+(K99-1)*4,0)</f>
        <v>#REF!</v>
      </c>
      <c r="D99" s="232"/>
      <c r="E99" s="232"/>
      <c r="F99" s="232"/>
      <c r="G99" s="233"/>
      <c r="H99" s="237" t="e">
        <f ca="1">VLOOKUP(E81,INDIRECT($F$11),7+(K99-1)*4,0)</f>
        <v>#REF!</v>
      </c>
      <c r="I99" s="237" t="e">
        <f ca="1">VLOOKUP(B81,INDIRECT($F$11),10+(K99-1)*4,0)</f>
        <v>#REF!</v>
      </c>
      <c r="J99" s="237" t="e">
        <f ca="1">INDEX($N$2:$N$12,MATCH(I99,$M$2:$M$12,0))</f>
        <v>#REF!</v>
      </c>
      <c r="K99" s="48">
        <v>6</v>
      </c>
    </row>
    <row r="100" spans="1:11" x14ac:dyDescent="0.15">
      <c r="A100" s="229"/>
      <c r="B100" s="230"/>
      <c r="C100" s="234"/>
      <c r="D100" s="235"/>
      <c r="E100" s="235"/>
      <c r="F100" s="235"/>
      <c r="G100" s="236"/>
      <c r="H100" s="238"/>
      <c r="I100" s="238"/>
      <c r="J100" s="238"/>
      <c r="K100" s="48"/>
    </row>
    <row r="101" spans="1:11" ht="13" customHeight="1" x14ac:dyDescent="0.15">
      <c r="A101" s="227" t="e">
        <f ca="1">VLOOKUP(C81,INDIRECT($F$11),7+(K101-1)*4,0)</f>
        <v>#REF!</v>
      </c>
      <c r="B101" s="228"/>
      <c r="C101" s="231" t="e">
        <f ca="1">VLOOKUP(D81,INDIRECT($F$11),7+(K101-1)*4,0)</f>
        <v>#REF!</v>
      </c>
      <c r="D101" s="232"/>
      <c r="E101" s="232"/>
      <c r="F101" s="232"/>
      <c r="G101" s="233"/>
      <c r="H101" s="237" t="e">
        <f ca="1">VLOOKUP(E81,INDIRECT($F$11),7+(K101-1)*4,0)</f>
        <v>#REF!</v>
      </c>
      <c r="I101" s="237" t="e">
        <f ca="1">VLOOKUP(B81,INDIRECT($F$11),10+(K101-1)*4-1,0)</f>
        <v>#REF!</v>
      </c>
      <c r="J101" s="237" t="e">
        <f ca="1">INDEX($N$2:$N$12,MATCH(I101,$M$2:$M$12,0))</f>
        <v>#REF!</v>
      </c>
      <c r="K101" s="48">
        <v>7</v>
      </c>
    </row>
    <row r="102" spans="1:11" ht="13" customHeight="1" x14ac:dyDescent="0.15">
      <c r="A102" s="249"/>
      <c r="B102" s="250"/>
      <c r="C102" s="251"/>
      <c r="D102" s="252"/>
      <c r="E102" s="252"/>
      <c r="F102" s="252"/>
      <c r="G102" s="253"/>
      <c r="H102" s="254"/>
      <c r="I102" s="254"/>
      <c r="J102" s="238"/>
      <c r="K102" s="48"/>
    </row>
    <row r="103" spans="1:11" ht="13" customHeight="1" x14ac:dyDescent="0.15">
      <c r="A103" s="227" t="e">
        <f ca="1">VLOOKUP(C81,INDIRECT($F$11),7+(K103-1)*4-1,0)</f>
        <v>#REF!</v>
      </c>
      <c r="B103" s="228"/>
      <c r="C103" s="231" t="e">
        <f ca="1">VLOOKUP(D81,INDIRECT($F$11),7+(K103-1)*4-1,0)</f>
        <v>#REF!</v>
      </c>
      <c r="D103" s="232"/>
      <c r="E103" s="232"/>
      <c r="F103" s="232"/>
      <c r="G103" s="233"/>
      <c r="H103" s="237" t="e">
        <f ca="1">VLOOKUP(E81,INDIRECT($F$11),7+(K103-1)*4-1,0)</f>
        <v>#REF!</v>
      </c>
      <c r="I103" s="237" t="e">
        <f ca="1">VLOOKUP(B81,INDIRECT($F$11),10+(K103-1)*4-1,0)</f>
        <v>#REF!</v>
      </c>
      <c r="J103" s="237" t="e">
        <f ca="1">INDEX($N$2:$N$12,MATCH(I103,$M$2:$M$12,0))</f>
        <v>#REF!</v>
      </c>
      <c r="K103" s="48">
        <v>8</v>
      </c>
    </row>
    <row r="104" spans="1:11" ht="13" customHeight="1" x14ac:dyDescent="0.15">
      <c r="A104" s="249"/>
      <c r="B104" s="250"/>
      <c r="C104" s="251"/>
      <c r="D104" s="252"/>
      <c r="E104" s="252"/>
      <c r="F104" s="252"/>
      <c r="G104" s="253"/>
      <c r="H104" s="254"/>
      <c r="I104" s="254"/>
      <c r="J104" s="238"/>
      <c r="K104" s="48"/>
    </row>
    <row r="105" spans="1:11" ht="13" customHeight="1" x14ac:dyDescent="0.15">
      <c r="A105" s="227" t="e">
        <f ca="1">VLOOKUP(C81,INDIRECT($F$11),7+(K105-1)*4-1,0)</f>
        <v>#REF!</v>
      </c>
      <c r="B105" s="228"/>
      <c r="C105" s="231" t="e">
        <f ca="1">VLOOKUP(D81,INDIRECT($F$11),7+(K105-1)*4-1,0)</f>
        <v>#REF!</v>
      </c>
      <c r="D105" s="232"/>
      <c r="E105" s="232"/>
      <c r="F105" s="232"/>
      <c r="G105" s="233"/>
      <c r="H105" s="237" t="e">
        <f ca="1">VLOOKUP(E81,INDIRECT($F$11),7+(K105-1)*4-1,0)</f>
        <v>#REF!</v>
      </c>
      <c r="I105" s="237" t="e">
        <f ca="1">VLOOKUP(B81,INDIRECT($F$11),10+(K105-1)*4-1,0)</f>
        <v>#REF!</v>
      </c>
      <c r="J105" s="237" t="e">
        <f ca="1">INDEX($N$2:$N$12,MATCH(I105,$M$2:$M$12,0))</f>
        <v>#REF!</v>
      </c>
      <c r="K105" s="48">
        <v>9</v>
      </c>
    </row>
    <row r="106" spans="1:11" ht="13" customHeight="1" x14ac:dyDescent="0.15">
      <c r="A106" s="249"/>
      <c r="B106" s="250"/>
      <c r="C106" s="251"/>
      <c r="D106" s="252"/>
      <c r="E106" s="252"/>
      <c r="F106" s="252"/>
      <c r="G106" s="253"/>
      <c r="H106" s="254"/>
      <c r="I106" s="254"/>
      <c r="J106" s="238"/>
      <c r="K106" s="48"/>
    </row>
    <row r="107" spans="1:11" x14ac:dyDescent="0.15">
      <c r="A107" s="239" t="s">
        <v>104</v>
      </c>
      <c r="B107" s="239"/>
      <c r="C107" s="239"/>
      <c r="D107" s="239"/>
      <c r="E107" s="239"/>
      <c r="F107" s="239"/>
      <c r="G107" s="239"/>
      <c r="H107" s="239" t="e">
        <f ca="1">SUM(H89:H106)</f>
        <v>#REF!</v>
      </c>
      <c r="I107" s="239" t="s">
        <v>86</v>
      </c>
      <c r="J107" s="240" t="e">
        <f ca="1">SUMPRODUCT(J89:J106,H89:H106)</f>
        <v>#REF!</v>
      </c>
      <c r="K107" s="44"/>
    </row>
    <row r="108" spans="1:11" x14ac:dyDescent="0.15">
      <c r="A108" s="239"/>
      <c r="B108" s="239"/>
      <c r="C108" s="239"/>
      <c r="D108" s="239"/>
      <c r="E108" s="239"/>
      <c r="F108" s="239"/>
      <c r="G108" s="239"/>
      <c r="H108" s="239"/>
      <c r="I108" s="239"/>
      <c r="J108" s="241"/>
      <c r="K108" s="44"/>
    </row>
    <row r="109" spans="1:11" ht="16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4"/>
    </row>
    <row r="110" spans="1:11" x14ac:dyDescent="0.15">
      <c r="A110" s="244" t="s">
        <v>92</v>
      </c>
      <c r="B110" s="244"/>
      <c r="C110" s="245" t="e">
        <f ca="1">VLOOKUP(B81,INDIRECT($F$11),11+(K105-1)*4+2,0)</f>
        <v>#REF!</v>
      </c>
      <c r="D110" s="244" t="s">
        <v>90</v>
      </c>
      <c r="E110" s="244"/>
      <c r="F110" s="246" t="e">
        <f ca="1">VLOOKUP(B81,INDIRECT($F$11),11+(K105-1)*4,0)</f>
        <v>#REF!</v>
      </c>
      <c r="G110" s="244" t="s">
        <v>91</v>
      </c>
      <c r="H110" s="244"/>
      <c r="I110" s="246" t="e">
        <f ca="1">VLOOKUP(B81,INDIRECT($F$11),11+(K105-1)*4+1,0)</f>
        <v>#REF!</v>
      </c>
      <c r="J110" s="246"/>
      <c r="K110" s="44"/>
    </row>
    <row r="111" spans="1:11" x14ac:dyDescent="0.15">
      <c r="A111" s="244"/>
      <c r="B111" s="244"/>
      <c r="C111" s="245"/>
      <c r="D111" s="244"/>
      <c r="E111" s="244"/>
      <c r="F111" s="246"/>
      <c r="G111" s="244"/>
      <c r="H111" s="244"/>
      <c r="I111" s="246"/>
      <c r="J111" s="246"/>
      <c r="K111" s="44"/>
    </row>
    <row r="112" spans="1:11" x14ac:dyDescent="0.15">
      <c r="A112" s="242" t="s">
        <v>88</v>
      </c>
      <c r="B112" s="226" t="e">
        <f ca="1">VLOOKUP(B81,INDIRECT($F$11),11+(K105-1)*4+3,0)</f>
        <v>#REF!</v>
      </c>
      <c r="C112" s="226"/>
      <c r="D112" s="242" t="s">
        <v>89</v>
      </c>
      <c r="E112" s="242"/>
      <c r="F112" s="243" t="e">
        <f ca="1">IF(VLOOKUP(B81,INDIRECT($F$11),11+(K105-1)*4+4,0)=0,"",VLOOKUP(B81,INDIRECT($F$11),11+(K105-1)*4+4,0))</f>
        <v>#REF!</v>
      </c>
      <c r="G112" s="243"/>
      <c r="H112" s="243"/>
      <c r="I112" s="243"/>
      <c r="J112" s="243"/>
      <c r="K112" s="44"/>
    </row>
    <row r="113" spans="1:11" x14ac:dyDescent="0.15">
      <c r="A113" s="242"/>
      <c r="B113" s="226"/>
      <c r="C113" s="226"/>
      <c r="D113" s="242"/>
      <c r="E113" s="242"/>
      <c r="F113" s="243"/>
      <c r="G113" s="243"/>
      <c r="H113" s="243"/>
      <c r="I113" s="243"/>
      <c r="J113" s="243"/>
      <c r="K113" s="44"/>
    </row>
    <row r="114" spans="1:11" x14ac:dyDescent="0.15">
      <c r="A114" s="242"/>
      <c r="B114" s="226"/>
      <c r="C114" s="226"/>
      <c r="D114" s="242"/>
      <c r="E114" s="242"/>
      <c r="F114" s="243"/>
      <c r="G114" s="243"/>
      <c r="H114" s="243"/>
      <c r="I114" s="243"/>
      <c r="J114" s="243"/>
      <c r="K114" s="44"/>
    </row>
    <row r="116" spans="1:11" ht="14" x14ac:dyDescent="0.15">
      <c r="A116" s="46" t="s">
        <v>73</v>
      </c>
      <c r="B116" s="46">
        <f>B81+1</f>
        <v>4</v>
      </c>
      <c r="C116" s="46" t="s">
        <v>71</v>
      </c>
      <c r="D116" s="46" t="s">
        <v>72</v>
      </c>
      <c r="E116" s="46" t="s">
        <v>40</v>
      </c>
      <c r="F116" s="46" t="s">
        <v>94</v>
      </c>
      <c r="G116" s="47"/>
      <c r="H116" s="47"/>
      <c r="I116" s="47"/>
      <c r="J116" s="44"/>
      <c r="K116" s="44"/>
    </row>
    <row r="117" spans="1:11" x14ac:dyDescent="0.15">
      <c r="A117" s="218" t="s">
        <v>76</v>
      </c>
      <c r="B117" s="218"/>
      <c r="C117" s="219" t="e">
        <f ca="1">VLOOKUP(B116,INDIRECT($F$11),5,0)</f>
        <v>#REF!</v>
      </c>
      <c r="D117" s="219"/>
      <c r="E117" s="219"/>
      <c r="F117" s="218" t="s">
        <v>102</v>
      </c>
      <c r="G117" s="218"/>
      <c r="H117" s="218"/>
      <c r="I117" s="220" t="e">
        <f ca="1">VLOOKUP(B116,INDIRECT($F$11),2,0)</f>
        <v>#REF!</v>
      </c>
      <c r="J117" s="220"/>
      <c r="K117" s="44"/>
    </row>
    <row r="118" spans="1:11" x14ac:dyDescent="0.15">
      <c r="A118" s="218"/>
      <c r="B118" s="218"/>
      <c r="C118" s="219"/>
      <c r="D118" s="219"/>
      <c r="E118" s="219"/>
      <c r="F118" s="218"/>
      <c r="G118" s="218"/>
      <c r="H118" s="218"/>
      <c r="I118" s="220"/>
      <c r="J118" s="220"/>
      <c r="K118" s="44"/>
    </row>
    <row r="119" spans="1:11" x14ac:dyDescent="0.15">
      <c r="A119" s="218" t="s">
        <v>77</v>
      </c>
      <c r="B119" s="218"/>
      <c r="C119" s="219" t="e">
        <f ca="1">VLOOKUP(B116,INDIRECT($F$11),6,0)</f>
        <v>#REF!</v>
      </c>
      <c r="D119" s="219"/>
      <c r="E119" s="219"/>
      <c r="F119" s="223" t="s">
        <v>103</v>
      </c>
      <c r="G119" s="223"/>
      <c r="H119" s="223"/>
      <c r="I119" s="220" t="e">
        <f ca="1">IF(VLOOKUP(B116,INDIRECT($F$11),3,0)=0,"",VLOOKUP(B116,INDIRECT($F$11),3,0))</f>
        <v>#REF!</v>
      </c>
      <c r="J119" s="220"/>
      <c r="K119" s="44"/>
    </row>
    <row r="120" spans="1:11" x14ac:dyDescent="0.15">
      <c r="A120" s="221"/>
      <c r="B120" s="221"/>
      <c r="C120" s="222"/>
      <c r="D120" s="222"/>
      <c r="E120" s="222"/>
      <c r="F120" s="224"/>
      <c r="G120" s="224"/>
      <c r="H120" s="224"/>
      <c r="I120" s="225"/>
      <c r="J120" s="225"/>
      <c r="K120" s="44"/>
    </row>
    <row r="121" spans="1:11" x14ac:dyDescent="0.15">
      <c r="A121" s="226" t="s">
        <v>80</v>
      </c>
      <c r="B121" s="226"/>
      <c r="C121" s="226" t="s">
        <v>81</v>
      </c>
      <c r="D121" s="226"/>
      <c r="E121" s="226"/>
      <c r="F121" s="226"/>
      <c r="G121" s="226"/>
      <c r="H121" s="226" t="s">
        <v>33</v>
      </c>
      <c r="I121" s="226" t="s">
        <v>34</v>
      </c>
      <c r="J121" s="226" t="s">
        <v>85</v>
      </c>
      <c r="K121" s="44"/>
    </row>
    <row r="122" spans="1:11" x14ac:dyDescent="0.15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44"/>
    </row>
    <row r="123" spans="1:11" x14ac:dyDescent="0.15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44"/>
    </row>
    <row r="124" spans="1:11" x14ac:dyDescent="0.15">
      <c r="A124" s="227" t="e">
        <f ca="1">VLOOKUP(C116,INDIRECT($F$11),7+(K124-1)*4,0)</f>
        <v>#REF!</v>
      </c>
      <c r="B124" s="228"/>
      <c r="C124" s="231" t="e">
        <f ca="1">VLOOKUP(D116,INDIRECT($F$11),7+(K124-1)*4,0)</f>
        <v>#REF!</v>
      </c>
      <c r="D124" s="232"/>
      <c r="E124" s="232"/>
      <c r="F124" s="232"/>
      <c r="G124" s="233"/>
      <c r="H124" s="237" t="e">
        <f ca="1">VLOOKUP(E116,INDIRECT($F$11),7+(K124-1)*4,0)</f>
        <v>#REF!</v>
      </c>
      <c r="I124" s="237" t="e">
        <f ca="1">VLOOKUP(B116,INDIRECT($F$11),10+(K124-1)*4,0)</f>
        <v>#REF!</v>
      </c>
      <c r="J124" s="237" t="e">
        <f ca="1">INDEX($N$2:$N$12,MATCH(I124,$M$2:$M$12,0))</f>
        <v>#REF!</v>
      </c>
      <c r="K124" s="48">
        <v>1</v>
      </c>
    </row>
    <row r="125" spans="1:11" x14ac:dyDescent="0.15">
      <c r="A125" s="229"/>
      <c r="B125" s="230"/>
      <c r="C125" s="234"/>
      <c r="D125" s="235"/>
      <c r="E125" s="235"/>
      <c r="F125" s="235"/>
      <c r="G125" s="236"/>
      <c r="H125" s="238"/>
      <c r="I125" s="238"/>
      <c r="J125" s="238"/>
      <c r="K125" s="48"/>
    </row>
    <row r="126" spans="1:11" x14ac:dyDescent="0.15">
      <c r="A126" s="227" t="e">
        <f ca="1">VLOOKUP(C116,INDIRECT($F$11),7+(K126-1)*4,0)</f>
        <v>#REF!</v>
      </c>
      <c r="B126" s="228"/>
      <c r="C126" s="231" t="e">
        <f ca="1">VLOOKUP(D116,INDIRECT($F$11),7+(K126-1)*4,0)</f>
        <v>#REF!</v>
      </c>
      <c r="D126" s="232"/>
      <c r="E126" s="232"/>
      <c r="F126" s="232"/>
      <c r="G126" s="233"/>
      <c r="H126" s="237" t="e">
        <f ca="1">VLOOKUP(E116,INDIRECT($F$11),7+(K126-1)*4,0)</f>
        <v>#REF!</v>
      </c>
      <c r="I126" s="237" t="e">
        <f ca="1">VLOOKUP(B116,INDIRECT($F$11),10+(K126-1)*4,0)</f>
        <v>#REF!</v>
      </c>
      <c r="J126" s="237" t="e">
        <f ca="1">INDEX($N$2:$N$12,MATCH(I126,$M$2:$M$12,0))</f>
        <v>#REF!</v>
      </c>
      <c r="K126" s="48">
        <v>2</v>
      </c>
    </row>
    <row r="127" spans="1:11" x14ac:dyDescent="0.15">
      <c r="A127" s="229"/>
      <c r="B127" s="230"/>
      <c r="C127" s="234"/>
      <c r="D127" s="235"/>
      <c r="E127" s="235"/>
      <c r="F127" s="235"/>
      <c r="G127" s="236"/>
      <c r="H127" s="238"/>
      <c r="I127" s="238"/>
      <c r="J127" s="238"/>
      <c r="K127" s="48"/>
    </row>
    <row r="128" spans="1:11" x14ac:dyDescent="0.15">
      <c r="A128" s="227" t="e">
        <f ca="1">VLOOKUP(C116,INDIRECT($F$11),7+(K128-1)*4,0)</f>
        <v>#REF!</v>
      </c>
      <c r="B128" s="228"/>
      <c r="C128" s="231" t="e">
        <f ca="1">VLOOKUP(D116,INDIRECT($F$11),7+(K128-1)*4,0)</f>
        <v>#REF!</v>
      </c>
      <c r="D128" s="232"/>
      <c r="E128" s="232"/>
      <c r="F128" s="232"/>
      <c r="G128" s="233"/>
      <c r="H128" s="237" t="e">
        <f ca="1">VLOOKUP(E116,INDIRECT($F$11),7+(K128-1)*4,0)</f>
        <v>#REF!</v>
      </c>
      <c r="I128" s="237" t="e">
        <f ca="1">VLOOKUP(B116,INDIRECT($F$11),10+(K128-1)*4,0)</f>
        <v>#REF!</v>
      </c>
      <c r="J128" s="237" t="e">
        <f ca="1">INDEX($N$2:$N$12,MATCH(I128,$M$2:$M$12,0))</f>
        <v>#REF!</v>
      </c>
      <c r="K128" s="48">
        <v>3</v>
      </c>
    </row>
    <row r="129" spans="1:11" x14ac:dyDescent="0.15">
      <c r="A129" s="229"/>
      <c r="B129" s="230"/>
      <c r="C129" s="234"/>
      <c r="D129" s="235"/>
      <c r="E129" s="235"/>
      <c r="F129" s="235"/>
      <c r="G129" s="236"/>
      <c r="H129" s="238"/>
      <c r="I129" s="238"/>
      <c r="J129" s="238"/>
      <c r="K129" s="48"/>
    </row>
    <row r="130" spans="1:11" x14ac:dyDescent="0.15">
      <c r="A130" s="227" t="e">
        <f ca="1">VLOOKUP(C116,INDIRECT($F$11),7+(K130-1)*4,0)</f>
        <v>#REF!</v>
      </c>
      <c r="B130" s="228"/>
      <c r="C130" s="231" t="e">
        <f ca="1">VLOOKUP(D116,INDIRECT($F$11),7+(K130-1)*4,0)</f>
        <v>#REF!</v>
      </c>
      <c r="D130" s="232"/>
      <c r="E130" s="232"/>
      <c r="F130" s="232"/>
      <c r="G130" s="233"/>
      <c r="H130" s="237" t="e">
        <f ca="1">VLOOKUP(E116,INDIRECT($F$11),7+(K130-1)*4,0)</f>
        <v>#REF!</v>
      </c>
      <c r="I130" s="237" t="e">
        <f ca="1">VLOOKUP(B116,INDIRECT($F$11),10+(K130-1)*4,0)</f>
        <v>#REF!</v>
      </c>
      <c r="J130" s="237" t="e">
        <f ca="1">INDEX($N$2:$N$12,MATCH(I130,$M$2:$M$12,0))</f>
        <v>#REF!</v>
      </c>
      <c r="K130" s="48">
        <v>4</v>
      </c>
    </row>
    <row r="131" spans="1:11" x14ac:dyDescent="0.15">
      <c r="A131" s="229"/>
      <c r="B131" s="230"/>
      <c r="C131" s="234"/>
      <c r="D131" s="235"/>
      <c r="E131" s="235"/>
      <c r="F131" s="235"/>
      <c r="G131" s="236"/>
      <c r="H131" s="238"/>
      <c r="I131" s="238"/>
      <c r="J131" s="238"/>
      <c r="K131" s="48"/>
    </row>
    <row r="132" spans="1:11" x14ac:dyDescent="0.15">
      <c r="A132" s="227" t="e">
        <f ca="1">VLOOKUP(C116,INDIRECT($F$11),7+(K132-1)*4,0)</f>
        <v>#REF!</v>
      </c>
      <c r="B132" s="228"/>
      <c r="C132" s="231" t="e">
        <f ca="1">VLOOKUP(D116,INDIRECT($F$11),7+(K132-1)*4,0)</f>
        <v>#REF!</v>
      </c>
      <c r="D132" s="232"/>
      <c r="E132" s="232"/>
      <c r="F132" s="232"/>
      <c r="G132" s="233"/>
      <c r="H132" s="237" t="e">
        <f ca="1">VLOOKUP(E116,INDIRECT($F$11),7+(K132-1)*4,0)</f>
        <v>#REF!</v>
      </c>
      <c r="I132" s="237" t="e">
        <f ca="1">VLOOKUP(B116,INDIRECT($F$11),10+(K132-1)*4,0)</f>
        <v>#REF!</v>
      </c>
      <c r="J132" s="237" t="e">
        <f ca="1">INDEX($N$2:$N$12,MATCH(I132,$M$2:$M$12,0))</f>
        <v>#REF!</v>
      </c>
      <c r="K132" s="48">
        <v>5</v>
      </c>
    </row>
    <row r="133" spans="1:11" x14ac:dyDescent="0.15">
      <c r="A133" s="229"/>
      <c r="B133" s="230"/>
      <c r="C133" s="234"/>
      <c r="D133" s="235"/>
      <c r="E133" s="235"/>
      <c r="F133" s="235"/>
      <c r="G133" s="236"/>
      <c r="H133" s="238"/>
      <c r="I133" s="238"/>
      <c r="J133" s="238"/>
      <c r="K133" s="48"/>
    </row>
    <row r="134" spans="1:11" x14ac:dyDescent="0.15">
      <c r="A134" s="227" t="e">
        <f ca="1">VLOOKUP(C116,INDIRECT($F$11),7+(K134-1)*4,0)</f>
        <v>#REF!</v>
      </c>
      <c r="B134" s="228"/>
      <c r="C134" s="231" t="e">
        <f ca="1">VLOOKUP(D116,INDIRECT($F$11),7+(K134-1)*4,0)</f>
        <v>#REF!</v>
      </c>
      <c r="D134" s="232"/>
      <c r="E134" s="232"/>
      <c r="F134" s="232"/>
      <c r="G134" s="233"/>
      <c r="H134" s="237" t="e">
        <f ca="1">VLOOKUP(E116,INDIRECT($F$11),7+(K134-1)*4,0)</f>
        <v>#REF!</v>
      </c>
      <c r="I134" s="237" t="e">
        <f ca="1">VLOOKUP(B116,INDIRECT($F$11),10+(K134-1)*4,0)</f>
        <v>#REF!</v>
      </c>
      <c r="J134" s="237" t="e">
        <f ca="1">INDEX($N$2:$N$12,MATCH(I134,$M$2:$M$12,0))</f>
        <v>#REF!</v>
      </c>
      <c r="K134" s="48">
        <v>6</v>
      </c>
    </row>
    <row r="135" spans="1:11" x14ac:dyDescent="0.15">
      <c r="A135" s="229"/>
      <c r="B135" s="230"/>
      <c r="C135" s="234"/>
      <c r="D135" s="235"/>
      <c r="E135" s="235"/>
      <c r="F135" s="235"/>
      <c r="G135" s="236"/>
      <c r="H135" s="238"/>
      <c r="I135" s="238"/>
      <c r="J135" s="238"/>
      <c r="K135" s="48"/>
    </row>
    <row r="136" spans="1:11" ht="13" customHeight="1" x14ac:dyDescent="0.15">
      <c r="A136" s="227" t="e">
        <f ca="1">VLOOKUP(C116,INDIRECT($F$11),7+(K136-1)*4,0)</f>
        <v>#REF!</v>
      </c>
      <c r="B136" s="228"/>
      <c r="C136" s="231" t="e">
        <f ca="1">VLOOKUP(D116,INDIRECT($F$11),7+(K136-1)*4,0)</f>
        <v>#REF!</v>
      </c>
      <c r="D136" s="232"/>
      <c r="E136" s="232"/>
      <c r="F136" s="232"/>
      <c r="G136" s="233"/>
      <c r="H136" s="237" t="e">
        <f ca="1">VLOOKUP(E116,INDIRECT($F$11),7+(K136-1)*4,0)</f>
        <v>#REF!</v>
      </c>
      <c r="I136" s="237" t="e">
        <f ca="1">VLOOKUP(B116,INDIRECT($F$11),10+(K136-1)*4-1,0)</f>
        <v>#REF!</v>
      </c>
      <c r="J136" s="237" t="e">
        <f ca="1">INDEX($N$2:$N$12,MATCH(I136,$M$2:$M$12,0))</f>
        <v>#REF!</v>
      </c>
      <c r="K136" s="48">
        <v>7</v>
      </c>
    </row>
    <row r="137" spans="1:11" ht="13" customHeight="1" x14ac:dyDescent="0.15">
      <c r="A137" s="249"/>
      <c r="B137" s="250"/>
      <c r="C137" s="251"/>
      <c r="D137" s="252"/>
      <c r="E137" s="252"/>
      <c r="F137" s="252"/>
      <c r="G137" s="253"/>
      <c r="H137" s="254"/>
      <c r="I137" s="254"/>
      <c r="J137" s="238"/>
      <c r="K137" s="48"/>
    </row>
    <row r="138" spans="1:11" ht="13" customHeight="1" x14ac:dyDescent="0.15">
      <c r="A138" s="227" t="e">
        <f ca="1">VLOOKUP(C116,INDIRECT($F$11),7+(K138-1)*4-1,0)</f>
        <v>#REF!</v>
      </c>
      <c r="B138" s="228"/>
      <c r="C138" s="231" t="e">
        <f ca="1">VLOOKUP(D116,INDIRECT($F$11),7+(K138-1)*4-1,0)</f>
        <v>#REF!</v>
      </c>
      <c r="D138" s="232"/>
      <c r="E138" s="232"/>
      <c r="F138" s="232"/>
      <c r="G138" s="233"/>
      <c r="H138" s="237" t="e">
        <f ca="1">VLOOKUP(E116,INDIRECT($F$11),7+(K138-1)*4-1,0)</f>
        <v>#REF!</v>
      </c>
      <c r="I138" s="237" t="e">
        <f ca="1">VLOOKUP(B116,INDIRECT($F$11),10+(K138-1)*4-1,0)</f>
        <v>#REF!</v>
      </c>
      <c r="J138" s="237" t="e">
        <f ca="1">INDEX($N$2:$N$12,MATCH(I138,$M$2:$M$12,0))</f>
        <v>#REF!</v>
      </c>
      <c r="K138" s="48">
        <v>8</v>
      </c>
    </row>
    <row r="139" spans="1:11" ht="13" customHeight="1" x14ac:dyDescent="0.15">
      <c r="A139" s="249"/>
      <c r="B139" s="250"/>
      <c r="C139" s="251"/>
      <c r="D139" s="252"/>
      <c r="E139" s="252"/>
      <c r="F139" s="252"/>
      <c r="G139" s="253"/>
      <c r="H139" s="254"/>
      <c r="I139" s="254"/>
      <c r="J139" s="238"/>
      <c r="K139" s="48"/>
    </row>
    <row r="140" spans="1:11" ht="13" customHeight="1" x14ac:dyDescent="0.15">
      <c r="A140" s="227" t="e">
        <f ca="1">VLOOKUP(C116,INDIRECT($F$11),7+(K140-1)*4-1,0)</f>
        <v>#REF!</v>
      </c>
      <c r="B140" s="228"/>
      <c r="C140" s="231" t="e">
        <f ca="1">VLOOKUP(D116,INDIRECT($F$11),7+(K140-1)*4-1,0)</f>
        <v>#REF!</v>
      </c>
      <c r="D140" s="232"/>
      <c r="E140" s="232"/>
      <c r="F140" s="232"/>
      <c r="G140" s="233"/>
      <c r="H140" s="237" t="e">
        <f ca="1">VLOOKUP(E116,INDIRECT($F$11),7+(K140-1)*4-1,0)</f>
        <v>#REF!</v>
      </c>
      <c r="I140" s="237" t="e">
        <f ca="1">VLOOKUP(B116,INDIRECT($F$11),10+(K140-1)*4-1,0)</f>
        <v>#REF!</v>
      </c>
      <c r="J140" s="237" t="e">
        <f ca="1">INDEX($N$2:$N$12,MATCH(I140,$M$2:$M$12,0))</f>
        <v>#REF!</v>
      </c>
      <c r="K140" s="48">
        <v>9</v>
      </c>
    </row>
    <row r="141" spans="1:11" ht="13" customHeight="1" x14ac:dyDescent="0.15">
      <c r="A141" s="249"/>
      <c r="B141" s="250"/>
      <c r="C141" s="251"/>
      <c r="D141" s="252"/>
      <c r="E141" s="252"/>
      <c r="F141" s="252"/>
      <c r="G141" s="253"/>
      <c r="H141" s="254"/>
      <c r="I141" s="254"/>
      <c r="J141" s="238"/>
      <c r="K141" s="48"/>
    </row>
    <row r="142" spans="1:11" x14ac:dyDescent="0.15">
      <c r="A142" s="239" t="s">
        <v>104</v>
      </c>
      <c r="B142" s="239"/>
      <c r="C142" s="239"/>
      <c r="D142" s="239"/>
      <c r="E142" s="239"/>
      <c r="F142" s="239"/>
      <c r="G142" s="239"/>
      <c r="H142" s="239" t="e">
        <f ca="1">SUM(H124:H141)</f>
        <v>#REF!</v>
      </c>
      <c r="I142" s="239" t="s">
        <v>86</v>
      </c>
      <c r="J142" s="240" t="e">
        <f ca="1">SUMPRODUCT(J124:J141,H124:H141)</f>
        <v>#REF!</v>
      </c>
      <c r="K142" s="44"/>
    </row>
    <row r="143" spans="1:11" x14ac:dyDescent="0.15">
      <c r="A143" s="239"/>
      <c r="B143" s="239"/>
      <c r="C143" s="239"/>
      <c r="D143" s="239"/>
      <c r="E143" s="239"/>
      <c r="F143" s="239"/>
      <c r="G143" s="239"/>
      <c r="H143" s="239"/>
      <c r="I143" s="239"/>
      <c r="J143" s="241"/>
      <c r="K143" s="44"/>
    </row>
    <row r="144" spans="1:11" ht="16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4"/>
    </row>
    <row r="145" spans="1:11" x14ac:dyDescent="0.15">
      <c r="A145" s="244" t="s">
        <v>92</v>
      </c>
      <c r="B145" s="244"/>
      <c r="C145" s="245" t="e">
        <f ca="1">VLOOKUP(B116,INDIRECT($F$11),11+(K140-1)*4+2,0)</f>
        <v>#REF!</v>
      </c>
      <c r="D145" s="244" t="s">
        <v>90</v>
      </c>
      <c r="E145" s="244"/>
      <c r="F145" s="246" t="e">
        <f ca="1">VLOOKUP(B116,INDIRECT($F$11),11+(K140-1)*4,0)</f>
        <v>#REF!</v>
      </c>
      <c r="G145" s="244" t="s">
        <v>91</v>
      </c>
      <c r="H145" s="244"/>
      <c r="I145" s="246" t="e">
        <f ca="1">VLOOKUP(B116,INDIRECT($F$11),11+(K140-1)*4+1,0)</f>
        <v>#REF!</v>
      </c>
      <c r="J145" s="246"/>
      <c r="K145" s="44"/>
    </row>
    <row r="146" spans="1:11" x14ac:dyDescent="0.15">
      <c r="A146" s="244"/>
      <c r="B146" s="244"/>
      <c r="C146" s="245"/>
      <c r="D146" s="244"/>
      <c r="E146" s="244"/>
      <c r="F146" s="246"/>
      <c r="G146" s="244"/>
      <c r="H146" s="244"/>
      <c r="I146" s="246"/>
      <c r="J146" s="246"/>
      <c r="K146" s="44"/>
    </row>
    <row r="147" spans="1:11" x14ac:dyDescent="0.15">
      <c r="A147" s="242" t="s">
        <v>88</v>
      </c>
      <c r="B147" s="226" t="e">
        <f ca="1">VLOOKUP(B116,INDIRECT($F$11),11+(K140-1)*4+3,0)</f>
        <v>#REF!</v>
      </c>
      <c r="C147" s="226"/>
      <c r="D147" s="242" t="s">
        <v>89</v>
      </c>
      <c r="E147" s="242"/>
      <c r="F147" s="243" t="e">
        <f ca="1">IF(VLOOKUP(B116,INDIRECT($F$11),11+(K140-1)*4+4,0)=0,"",VLOOKUP(B116,INDIRECT($F$11),11+(K140-1)*4+4,0))</f>
        <v>#REF!</v>
      </c>
      <c r="G147" s="243"/>
      <c r="H147" s="243"/>
      <c r="I147" s="243"/>
      <c r="J147" s="243"/>
      <c r="K147" s="44"/>
    </row>
    <row r="148" spans="1:11" x14ac:dyDescent="0.15">
      <c r="A148" s="242"/>
      <c r="B148" s="226"/>
      <c r="C148" s="226"/>
      <c r="D148" s="242"/>
      <c r="E148" s="242"/>
      <c r="F148" s="243"/>
      <c r="G148" s="243"/>
      <c r="H148" s="243"/>
      <c r="I148" s="243"/>
      <c r="J148" s="243"/>
      <c r="K148" s="44"/>
    </row>
    <row r="149" spans="1:11" x14ac:dyDescent="0.15">
      <c r="A149" s="242"/>
      <c r="B149" s="226"/>
      <c r="C149" s="226"/>
      <c r="D149" s="242"/>
      <c r="E149" s="242"/>
      <c r="F149" s="243"/>
      <c r="G149" s="243"/>
      <c r="H149" s="243"/>
      <c r="I149" s="243"/>
      <c r="J149" s="243"/>
      <c r="K149" s="44"/>
    </row>
    <row r="151" spans="1:11" ht="14" x14ac:dyDescent="0.15">
      <c r="A151" s="46" t="s">
        <v>73</v>
      </c>
      <c r="B151" s="46">
        <f>B116+1</f>
        <v>5</v>
      </c>
      <c r="C151" s="46" t="s">
        <v>71</v>
      </c>
      <c r="D151" s="46" t="s">
        <v>72</v>
      </c>
      <c r="E151" s="46" t="s">
        <v>40</v>
      </c>
      <c r="F151" s="46" t="s">
        <v>94</v>
      </c>
      <c r="G151" s="47"/>
      <c r="H151" s="47"/>
      <c r="I151" s="47"/>
      <c r="J151" s="44"/>
      <c r="K151" s="44"/>
    </row>
    <row r="152" spans="1:11" x14ac:dyDescent="0.15">
      <c r="A152" s="218" t="s">
        <v>76</v>
      </c>
      <c r="B152" s="218"/>
      <c r="C152" s="219" t="e">
        <f ca="1">VLOOKUP(B151,INDIRECT($F$11),5,0)</f>
        <v>#REF!</v>
      </c>
      <c r="D152" s="219"/>
      <c r="E152" s="219"/>
      <c r="F152" s="218" t="s">
        <v>102</v>
      </c>
      <c r="G152" s="218"/>
      <c r="H152" s="218"/>
      <c r="I152" s="220" t="e">
        <f ca="1">VLOOKUP(B151,INDIRECT($F$11),2,0)</f>
        <v>#REF!</v>
      </c>
      <c r="J152" s="220"/>
      <c r="K152" s="44"/>
    </row>
    <row r="153" spans="1:11" x14ac:dyDescent="0.15">
      <c r="A153" s="218"/>
      <c r="B153" s="218"/>
      <c r="C153" s="219"/>
      <c r="D153" s="219"/>
      <c r="E153" s="219"/>
      <c r="F153" s="218"/>
      <c r="G153" s="218"/>
      <c r="H153" s="218"/>
      <c r="I153" s="220"/>
      <c r="J153" s="220"/>
      <c r="K153" s="44"/>
    </row>
    <row r="154" spans="1:11" x14ac:dyDescent="0.15">
      <c r="A154" s="218" t="s">
        <v>77</v>
      </c>
      <c r="B154" s="218"/>
      <c r="C154" s="219" t="e">
        <f ca="1">VLOOKUP(B151,INDIRECT($F$11),6,0)</f>
        <v>#REF!</v>
      </c>
      <c r="D154" s="219"/>
      <c r="E154" s="219"/>
      <c r="F154" s="223" t="s">
        <v>103</v>
      </c>
      <c r="G154" s="223"/>
      <c r="H154" s="223"/>
      <c r="I154" s="220" t="e">
        <f ca="1">IF(VLOOKUP(B151,INDIRECT($F$11),3,0)=0,"",VLOOKUP(B151,INDIRECT($F$11),3,0))</f>
        <v>#REF!</v>
      </c>
      <c r="J154" s="220"/>
      <c r="K154" s="44"/>
    </row>
    <row r="155" spans="1:11" x14ac:dyDescent="0.15">
      <c r="A155" s="221"/>
      <c r="B155" s="221"/>
      <c r="C155" s="222"/>
      <c r="D155" s="222"/>
      <c r="E155" s="222"/>
      <c r="F155" s="224"/>
      <c r="G155" s="224"/>
      <c r="H155" s="224"/>
      <c r="I155" s="225"/>
      <c r="J155" s="225"/>
      <c r="K155" s="44"/>
    </row>
    <row r="156" spans="1:11" x14ac:dyDescent="0.15">
      <c r="A156" s="226" t="s">
        <v>80</v>
      </c>
      <c r="B156" s="226"/>
      <c r="C156" s="226" t="s">
        <v>81</v>
      </c>
      <c r="D156" s="226"/>
      <c r="E156" s="226"/>
      <c r="F156" s="226"/>
      <c r="G156" s="226"/>
      <c r="H156" s="226" t="s">
        <v>33</v>
      </c>
      <c r="I156" s="226" t="s">
        <v>34</v>
      </c>
      <c r="J156" s="226" t="s">
        <v>85</v>
      </c>
      <c r="K156" s="44"/>
    </row>
    <row r="157" spans="1:11" x14ac:dyDescent="0.15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44"/>
    </row>
    <row r="158" spans="1:11" x14ac:dyDescent="0.15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44"/>
    </row>
    <row r="159" spans="1:11" x14ac:dyDescent="0.15">
      <c r="A159" s="227" t="e">
        <f ca="1">VLOOKUP(C151,INDIRECT($F$11),7+(K159-1)*4,0)</f>
        <v>#REF!</v>
      </c>
      <c r="B159" s="228"/>
      <c r="C159" s="231" t="e">
        <f ca="1">VLOOKUP(D151,INDIRECT($F$11),7+(K159-1)*4,0)</f>
        <v>#REF!</v>
      </c>
      <c r="D159" s="232"/>
      <c r="E159" s="232"/>
      <c r="F159" s="232"/>
      <c r="G159" s="233"/>
      <c r="H159" s="237" t="e">
        <f ca="1">VLOOKUP(E151,INDIRECT($F$11),7+(K159-1)*4,0)</f>
        <v>#REF!</v>
      </c>
      <c r="I159" s="237" t="e">
        <f ca="1">VLOOKUP(B151,INDIRECT($F$11),10+(K159-1)*4,0)</f>
        <v>#REF!</v>
      </c>
      <c r="J159" s="237" t="e">
        <f ca="1">INDEX($N$2:$N$12,MATCH(I159,$M$2:$M$12,0))</f>
        <v>#REF!</v>
      </c>
      <c r="K159" s="48">
        <v>1</v>
      </c>
    </row>
    <row r="160" spans="1:11" x14ac:dyDescent="0.15">
      <c r="A160" s="229"/>
      <c r="B160" s="230"/>
      <c r="C160" s="234"/>
      <c r="D160" s="235"/>
      <c r="E160" s="235"/>
      <c r="F160" s="235"/>
      <c r="G160" s="236"/>
      <c r="H160" s="238"/>
      <c r="I160" s="238"/>
      <c r="J160" s="238"/>
      <c r="K160" s="48"/>
    </row>
    <row r="161" spans="1:11" x14ac:dyDescent="0.15">
      <c r="A161" s="227" t="e">
        <f ca="1">VLOOKUP(C151,INDIRECT($F$11),7+(K161-1)*4,0)</f>
        <v>#REF!</v>
      </c>
      <c r="B161" s="228"/>
      <c r="C161" s="231" t="e">
        <f ca="1">VLOOKUP(D151,INDIRECT($F$11),7+(K161-1)*4,0)</f>
        <v>#REF!</v>
      </c>
      <c r="D161" s="232"/>
      <c r="E161" s="232"/>
      <c r="F161" s="232"/>
      <c r="G161" s="233"/>
      <c r="H161" s="237" t="e">
        <f ca="1">VLOOKUP(E151,INDIRECT($F$11),7+(K161-1)*4,0)</f>
        <v>#REF!</v>
      </c>
      <c r="I161" s="237" t="e">
        <f ca="1">VLOOKUP(B151,INDIRECT($F$11),10+(K161-1)*4,0)</f>
        <v>#REF!</v>
      </c>
      <c r="J161" s="237" t="e">
        <f ca="1">INDEX($N$2:$N$12,MATCH(I161,$M$2:$M$12,0))</f>
        <v>#REF!</v>
      </c>
      <c r="K161" s="48">
        <v>2</v>
      </c>
    </row>
    <row r="162" spans="1:11" x14ac:dyDescent="0.15">
      <c r="A162" s="229"/>
      <c r="B162" s="230"/>
      <c r="C162" s="234"/>
      <c r="D162" s="235"/>
      <c r="E162" s="235"/>
      <c r="F162" s="235"/>
      <c r="G162" s="236"/>
      <c r="H162" s="238"/>
      <c r="I162" s="238"/>
      <c r="J162" s="238"/>
      <c r="K162" s="48"/>
    </row>
    <row r="163" spans="1:11" x14ac:dyDescent="0.15">
      <c r="A163" s="227" t="e">
        <f ca="1">VLOOKUP(C151,INDIRECT($F$11),7+(K163-1)*4,0)</f>
        <v>#REF!</v>
      </c>
      <c r="B163" s="228"/>
      <c r="C163" s="231" t="e">
        <f ca="1">VLOOKUP(D151,INDIRECT($F$11),7+(K163-1)*4,0)</f>
        <v>#REF!</v>
      </c>
      <c r="D163" s="232"/>
      <c r="E163" s="232"/>
      <c r="F163" s="232"/>
      <c r="G163" s="233"/>
      <c r="H163" s="237" t="e">
        <f ca="1">VLOOKUP(E151,INDIRECT($F$11),7+(K163-1)*4,0)</f>
        <v>#REF!</v>
      </c>
      <c r="I163" s="237" t="e">
        <f ca="1">VLOOKUP(B151,INDIRECT($F$11),10+(K163-1)*4,0)</f>
        <v>#REF!</v>
      </c>
      <c r="J163" s="237" t="e">
        <f ca="1">INDEX($N$2:$N$12,MATCH(I163,$M$2:$M$12,0))</f>
        <v>#REF!</v>
      </c>
      <c r="K163" s="48">
        <v>3</v>
      </c>
    </row>
    <row r="164" spans="1:11" x14ac:dyDescent="0.15">
      <c r="A164" s="229"/>
      <c r="B164" s="230"/>
      <c r="C164" s="234"/>
      <c r="D164" s="235"/>
      <c r="E164" s="235"/>
      <c r="F164" s="235"/>
      <c r="G164" s="236"/>
      <c r="H164" s="238"/>
      <c r="I164" s="238"/>
      <c r="J164" s="238"/>
      <c r="K164" s="48"/>
    </row>
    <row r="165" spans="1:11" x14ac:dyDescent="0.15">
      <c r="A165" s="227" t="e">
        <f ca="1">VLOOKUP(C151,INDIRECT($F$11),7+(K165-1)*4,0)</f>
        <v>#REF!</v>
      </c>
      <c r="B165" s="228"/>
      <c r="C165" s="231" t="e">
        <f ca="1">VLOOKUP(D151,INDIRECT($F$11),7+(K165-1)*4,0)</f>
        <v>#REF!</v>
      </c>
      <c r="D165" s="232"/>
      <c r="E165" s="232"/>
      <c r="F165" s="232"/>
      <c r="G165" s="233"/>
      <c r="H165" s="237" t="e">
        <f ca="1">VLOOKUP(E151,INDIRECT($F$11),7+(K165-1)*4,0)</f>
        <v>#REF!</v>
      </c>
      <c r="I165" s="237" t="e">
        <f ca="1">VLOOKUP(B151,INDIRECT($F$11),10+(K165-1)*4,0)</f>
        <v>#REF!</v>
      </c>
      <c r="J165" s="237" t="e">
        <f ca="1">INDEX($N$2:$N$12,MATCH(I165,$M$2:$M$12,0))</f>
        <v>#REF!</v>
      </c>
      <c r="K165" s="48">
        <v>4</v>
      </c>
    </row>
    <row r="166" spans="1:11" x14ac:dyDescent="0.15">
      <c r="A166" s="229"/>
      <c r="B166" s="230"/>
      <c r="C166" s="234"/>
      <c r="D166" s="235"/>
      <c r="E166" s="235"/>
      <c r="F166" s="235"/>
      <c r="G166" s="236"/>
      <c r="H166" s="238"/>
      <c r="I166" s="238"/>
      <c r="J166" s="238"/>
      <c r="K166" s="48"/>
    </row>
    <row r="167" spans="1:11" x14ac:dyDescent="0.15">
      <c r="A167" s="227" t="e">
        <f ca="1">VLOOKUP(C151,INDIRECT($F$11),7+(K167-1)*4,0)</f>
        <v>#REF!</v>
      </c>
      <c r="B167" s="228"/>
      <c r="C167" s="231" t="e">
        <f ca="1">VLOOKUP(D151,INDIRECT($F$11),7+(K167-1)*4,0)</f>
        <v>#REF!</v>
      </c>
      <c r="D167" s="232"/>
      <c r="E167" s="232"/>
      <c r="F167" s="232"/>
      <c r="G167" s="233"/>
      <c r="H167" s="237" t="e">
        <f ca="1">VLOOKUP(E151,INDIRECT($F$11),7+(K167-1)*4,0)</f>
        <v>#REF!</v>
      </c>
      <c r="I167" s="237" t="e">
        <f ca="1">VLOOKUP(B151,INDIRECT($F$11),10+(K167-1)*4,0)</f>
        <v>#REF!</v>
      </c>
      <c r="J167" s="237" t="e">
        <f ca="1">INDEX($N$2:$N$12,MATCH(I167,$M$2:$M$12,0))</f>
        <v>#REF!</v>
      </c>
      <c r="K167" s="48">
        <v>5</v>
      </c>
    </row>
    <row r="168" spans="1:11" x14ac:dyDescent="0.15">
      <c r="A168" s="229"/>
      <c r="B168" s="230"/>
      <c r="C168" s="234"/>
      <c r="D168" s="235"/>
      <c r="E168" s="235"/>
      <c r="F168" s="235"/>
      <c r="G168" s="236"/>
      <c r="H168" s="238"/>
      <c r="I168" s="238"/>
      <c r="J168" s="238"/>
      <c r="K168" s="48"/>
    </row>
    <row r="169" spans="1:11" x14ac:dyDescent="0.15">
      <c r="A169" s="227" t="e">
        <f ca="1">VLOOKUP(C151,INDIRECT($F$11),7+(K169-1)*4,0)</f>
        <v>#REF!</v>
      </c>
      <c r="B169" s="228"/>
      <c r="C169" s="231" t="e">
        <f ca="1">VLOOKUP(D151,INDIRECT($F$11),7+(K169-1)*4,0)</f>
        <v>#REF!</v>
      </c>
      <c r="D169" s="232"/>
      <c r="E169" s="232"/>
      <c r="F169" s="232"/>
      <c r="G169" s="233"/>
      <c r="H169" s="237" t="e">
        <f ca="1">VLOOKUP(E151,INDIRECT($F$11),7+(K169-1)*4,0)</f>
        <v>#REF!</v>
      </c>
      <c r="I169" s="237" t="e">
        <f ca="1">VLOOKUP(B151,INDIRECT($F$11),10+(K169-1)*4,0)</f>
        <v>#REF!</v>
      </c>
      <c r="J169" s="237" t="e">
        <f ca="1">INDEX($N$2:$N$12,MATCH(I169,$M$2:$M$12,0))</f>
        <v>#REF!</v>
      </c>
      <c r="K169" s="48">
        <v>6</v>
      </c>
    </row>
    <row r="170" spans="1:11" x14ac:dyDescent="0.15">
      <c r="A170" s="229"/>
      <c r="B170" s="230"/>
      <c r="C170" s="234"/>
      <c r="D170" s="235"/>
      <c r="E170" s="235"/>
      <c r="F170" s="235"/>
      <c r="G170" s="236"/>
      <c r="H170" s="238"/>
      <c r="I170" s="238"/>
      <c r="J170" s="238"/>
      <c r="K170" s="48"/>
    </row>
    <row r="171" spans="1:11" ht="13" customHeight="1" x14ac:dyDescent="0.15">
      <c r="A171" s="227" t="e">
        <f ca="1">VLOOKUP(C151,INDIRECT($F$11),7+(K171-1)*4,0)</f>
        <v>#REF!</v>
      </c>
      <c r="B171" s="228"/>
      <c r="C171" s="231" t="e">
        <f ca="1">VLOOKUP(D151,INDIRECT($F$11),7+(K171-1)*4,0)</f>
        <v>#REF!</v>
      </c>
      <c r="D171" s="232"/>
      <c r="E171" s="232"/>
      <c r="F171" s="232"/>
      <c r="G171" s="233"/>
      <c r="H171" s="237" t="e">
        <f ca="1">VLOOKUP(E151,INDIRECT($F$11),7+(K171-1)*4,0)</f>
        <v>#REF!</v>
      </c>
      <c r="I171" s="237" t="e">
        <f ca="1">VLOOKUP(B151,INDIRECT($F$11),10+(K171-1)*4-1,0)</f>
        <v>#REF!</v>
      </c>
      <c r="J171" s="237" t="e">
        <f ca="1">INDEX($N$2:$N$12,MATCH(I171,$M$2:$M$12,0))</f>
        <v>#REF!</v>
      </c>
      <c r="K171" s="48">
        <v>7</v>
      </c>
    </row>
    <row r="172" spans="1:11" ht="13" customHeight="1" x14ac:dyDescent="0.15">
      <c r="A172" s="249"/>
      <c r="B172" s="250"/>
      <c r="C172" s="251"/>
      <c r="D172" s="252"/>
      <c r="E172" s="252"/>
      <c r="F172" s="252"/>
      <c r="G172" s="253"/>
      <c r="H172" s="254"/>
      <c r="I172" s="254"/>
      <c r="J172" s="238"/>
      <c r="K172" s="48"/>
    </row>
    <row r="173" spans="1:11" ht="13" customHeight="1" x14ac:dyDescent="0.15">
      <c r="A173" s="227" t="e">
        <f ca="1">VLOOKUP(C151,INDIRECT($F$11),7+(K173-1)*4-1,0)</f>
        <v>#REF!</v>
      </c>
      <c r="B173" s="228"/>
      <c r="C173" s="231" t="e">
        <f ca="1">VLOOKUP(D151,INDIRECT($F$11),7+(K173-1)*4-1,0)</f>
        <v>#REF!</v>
      </c>
      <c r="D173" s="232"/>
      <c r="E173" s="232"/>
      <c r="F173" s="232"/>
      <c r="G173" s="233"/>
      <c r="H173" s="237" t="e">
        <f ca="1">VLOOKUP(E151,INDIRECT($F$11),7+(K173-1)*4-1,0)</f>
        <v>#REF!</v>
      </c>
      <c r="I173" s="237" t="e">
        <f ca="1">VLOOKUP(B151,INDIRECT($F$11),10+(K173-1)*4-1,0)</f>
        <v>#REF!</v>
      </c>
      <c r="J173" s="237" t="e">
        <f ca="1">INDEX($N$2:$N$12,MATCH(I173,$M$2:$M$12,0))</f>
        <v>#REF!</v>
      </c>
      <c r="K173" s="48">
        <v>8</v>
      </c>
    </row>
    <row r="174" spans="1:11" ht="13" customHeight="1" x14ac:dyDescent="0.15">
      <c r="A174" s="249"/>
      <c r="B174" s="250"/>
      <c r="C174" s="251"/>
      <c r="D174" s="252"/>
      <c r="E174" s="252"/>
      <c r="F174" s="252"/>
      <c r="G174" s="253"/>
      <c r="H174" s="254"/>
      <c r="I174" s="254"/>
      <c r="J174" s="238"/>
      <c r="K174" s="48"/>
    </row>
    <row r="175" spans="1:11" ht="13" customHeight="1" x14ac:dyDescent="0.15">
      <c r="A175" s="227" t="e">
        <f ca="1">VLOOKUP(C151,INDIRECT($F$11),7+(K175-1)*4-1,0)</f>
        <v>#REF!</v>
      </c>
      <c r="B175" s="228"/>
      <c r="C175" s="231" t="e">
        <f ca="1">VLOOKUP(D151,INDIRECT($F$11),7+(K175-1)*4-1,0)</f>
        <v>#REF!</v>
      </c>
      <c r="D175" s="232"/>
      <c r="E175" s="232"/>
      <c r="F175" s="232"/>
      <c r="G175" s="233"/>
      <c r="H175" s="237" t="e">
        <f ca="1">VLOOKUP(E151,INDIRECT($F$11),7+(K175-1)*4-1,0)</f>
        <v>#REF!</v>
      </c>
      <c r="I175" s="237" t="e">
        <f ca="1">VLOOKUP(B151,INDIRECT($F$11),10+(K175-1)*4-1,0)</f>
        <v>#REF!</v>
      </c>
      <c r="J175" s="237" t="e">
        <f ca="1">INDEX($N$2:$N$12,MATCH(I175,$M$2:$M$12,0))</f>
        <v>#REF!</v>
      </c>
      <c r="K175" s="48">
        <v>9</v>
      </c>
    </row>
    <row r="176" spans="1:11" ht="13" customHeight="1" x14ac:dyDescent="0.15">
      <c r="A176" s="249"/>
      <c r="B176" s="250"/>
      <c r="C176" s="251"/>
      <c r="D176" s="252"/>
      <c r="E176" s="252"/>
      <c r="F176" s="252"/>
      <c r="G176" s="253"/>
      <c r="H176" s="254"/>
      <c r="I176" s="254"/>
      <c r="J176" s="238"/>
      <c r="K176" s="48"/>
    </row>
    <row r="177" spans="1:11" x14ac:dyDescent="0.15">
      <c r="A177" s="239" t="s">
        <v>104</v>
      </c>
      <c r="B177" s="239"/>
      <c r="C177" s="239"/>
      <c r="D177" s="239"/>
      <c r="E177" s="239"/>
      <c r="F177" s="239"/>
      <c r="G177" s="239"/>
      <c r="H177" s="239" t="e">
        <f ca="1">SUM(H159:H176)</f>
        <v>#REF!</v>
      </c>
      <c r="I177" s="239" t="s">
        <v>86</v>
      </c>
      <c r="J177" s="240" t="e">
        <f ca="1">SUMPRODUCT(J159:J176,H159:H176)</f>
        <v>#REF!</v>
      </c>
      <c r="K177" s="44"/>
    </row>
    <row r="178" spans="1:11" x14ac:dyDescent="0.15">
      <c r="A178" s="239"/>
      <c r="B178" s="239"/>
      <c r="C178" s="239"/>
      <c r="D178" s="239"/>
      <c r="E178" s="239"/>
      <c r="F178" s="239"/>
      <c r="G178" s="239"/>
      <c r="H178" s="239"/>
      <c r="I178" s="239"/>
      <c r="J178" s="241"/>
      <c r="K178" s="44"/>
    </row>
    <row r="179" spans="1:11" ht="16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4"/>
    </row>
    <row r="180" spans="1:11" x14ac:dyDescent="0.15">
      <c r="A180" s="244" t="s">
        <v>92</v>
      </c>
      <c r="B180" s="244"/>
      <c r="C180" s="245" t="e">
        <f ca="1">VLOOKUP(B151,INDIRECT($F$11),11+(K175-1)*4+2,0)</f>
        <v>#REF!</v>
      </c>
      <c r="D180" s="244" t="s">
        <v>90</v>
      </c>
      <c r="E180" s="244"/>
      <c r="F180" s="246" t="e">
        <f ca="1">VLOOKUP(B151,INDIRECT($F$11),11+(K175-1)*4,0)</f>
        <v>#REF!</v>
      </c>
      <c r="G180" s="244" t="s">
        <v>91</v>
      </c>
      <c r="H180" s="244"/>
      <c r="I180" s="246" t="e">
        <f ca="1">VLOOKUP(B151,INDIRECT($F$11),11+(K175-1)*4+1,0)</f>
        <v>#REF!</v>
      </c>
      <c r="J180" s="246"/>
      <c r="K180" s="44"/>
    </row>
    <row r="181" spans="1:11" x14ac:dyDescent="0.15">
      <c r="A181" s="244"/>
      <c r="B181" s="244"/>
      <c r="C181" s="245"/>
      <c r="D181" s="244"/>
      <c r="E181" s="244"/>
      <c r="F181" s="246"/>
      <c r="G181" s="244"/>
      <c r="H181" s="244"/>
      <c r="I181" s="246"/>
      <c r="J181" s="246"/>
      <c r="K181" s="44"/>
    </row>
    <row r="182" spans="1:11" x14ac:dyDescent="0.15">
      <c r="A182" s="242" t="s">
        <v>88</v>
      </c>
      <c r="B182" s="226" t="e">
        <f ca="1">VLOOKUP(B151,INDIRECT($F$11),11+(K175-1)*4+3,0)</f>
        <v>#REF!</v>
      </c>
      <c r="C182" s="226"/>
      <c r="D182" s="242" t="s">
        <v>89</v>
      </c>
      <c r="E182" s="242"/>
      <c r="F182" s="243" t="e">
        <f ca="1">IF(VLOOKUP(B151,INDIRECT($F$11),11+(K175-1)*4+4,0)=0,"",VLOOKUP(B151,INDIRECT($F$11),11+(K175-1)*4+4,0))</f>
        <v>#REF!</v>
      </c>
      <c r="G182" s="243"/>
      <c r="H182" s="243"/>
      <c r="I182" s="243"/>
      <c r="J182" s="243"/>
      <c r="K182" s="44"/>
    </row>
    <row r="183" spans="1:11" x14ac:dyDescent="0.15">
      <c r="A183" s="242"/>
      <c r="B183" s="226"/>
      <c r="C183" s="226"/>
      <c r="D183" s="242"/>
      <c r="E183" s="242"/>
      <c r="F183" s="243"/>
      <c r="G183" s="243"/>
      <c r="H183" s="243"/>
      <c r="I183" s="243"/>
      <c r="J183" s="243"/>
      <c r="K183" s="44"/>
    </row>
    <row r="184" spans="1:11" x14ac:dyDescent="0.15">
      <c r="A184" s="242"/>
      <c r="B184" s="226"/>
      <c r="C184" s="226"/>
      <c r="D184" s="242"/>
      <c r="E184" s="242"/>
      <c r="F184" s="243"/>
      <c r="G184" s="243"/>
      <c r="H184" s="243"/>
      <c r="I184" s="243"/>
      <c r="J184" s="243"/>
      <c r="K184" s="44"/>
    </row>
    <row r="186" spans="1:11" ht="14" x14ac:dyDescent="0.15">
      <c r="A186" s="46" t="s">
        <v>73</v>
      </c>
      <c r="B186" s="46">
        <f>B151+1</f>
        <v>6</v>
      </c>
      <c r="C186" s="46" t="s">
        <v>71</v>
      </c>
      <c r="D186" s="46" t="s">
        <v>72</v>
      </c>
      <c r="E186" s="46" t="s">
        <v>40</v>
      </c>
      <c r="F186" s="46" t="s">
        <v>94</v>
      </c>
      <c r="G186" s="47"/>
      <c r="H186" s="47"/>
      <c r="I186" s="47"/>
      <c r="J186" s="44"/>
      <c r="K186" s="44"/>
    </row>
    <row r="187" spans="1:11" x14ac:dyDescent="0.15">
      <c r="A187" s="218" t="s">
        <v>76</v>
      </c>
      <c r="B187" s="218"/>
      <c r="C187" s="219" t="e">
        <f ca="1">VLOOKUP(B186,INDIRECT($F$11),5,0)</f>
        <v>#REF!</v>
      </c>
      <c r="D187" s="219"/>
      <c r="E187" s="219"/>
      <c r="F187" s="218" t="s">
        <v>102</v>
      </c>
      <c r="G187" s="218"/>
      <c r="H187" s="218"/>
      <c r="I187" s="220" t="e">
        <f ca="1">VLOOKUP(B186,INDIRECT($F$11),2,0)</f>
        <v>#REF!</v>
      </c>
      <c r="J187" s="220"/>
      <c r="K187" s="44"/>
    </row>
    <row r="188" spans="1:11" x14ac:dyDescent="0.15">
      <c r="A188" s="218"/>
      <c r="B188" s="218"/>
      <c r="C188" s="219"/>
      <c r="D188" s="219"/>
      <c r="E188" s="219"/>
      <c r="F188" s="218"/>
      <c r="G188" s="218"/>
      <c r="H188" s="218"/>
      <c r="I188" s="220"/>
      <c r="J188" s="220"/>
      <c r="K188" s="44"/>
    </row>
    <row r="189" spans="1:11" x14ac:dyDescent="0.15">
      <c r="A189" s="218" t="s">
        <v>77</v>
      </c>
      <c r="B189" s="218"/>
      <c r="C189" s="219" t="e">
        <f ca="1">VLOOKUP(B186,INDIRECT($F$11),6,0)</f>
        <v>#REF!</v>
      </c>
      <c r="D189" s="219"/>
      <c r="E189" s="219"/>
      <c r="F189" s="223" t="s">
        <v>103</v>
      </c>
      <c r="G189" s="223"/>
      <c r="H189" s="223"/>
      <c r="I189" s="220" t="e">
        <f ca="1">IF(VLOOKUP(B186,INDIRECT($F$11),3,0)=0,"",VLOOKUP(B186,INDIRECT($F$11),3,0))</f>
        <v>#REF!</v>
      </c>
      <c r="J189" s="220"/>
      <c r="K189" s="44"/>
    </row>
    <row r="190" spans="1:11" x14ac:dyDescent="0.15">
      <c r="A190" s="221"/>
      <c r="B190" s="221"/>
      <c r="C190" s="222"/>
      <c r="D190" s="222"/>
      <c r="E190" s="222"/>
      <c r="F190" s="224"/>
      <c r="G190" s="224"/>
      <c r="H190" s="224"/>
      <c r="I190" s="225"/>
      <c r="J190" s="225"/>
      <c r="K190" s="44"/>
    </row>
    <row r="191" spans="1:11" x14ac:dyDescent="0.15">
      <c r="A191" s="226" t="s">
        <v>80</v>
      </c>
      <c r="B191" s="226"/>
      <c r="C191" s="226" t="s">
        <v>81</v>
      </c>
      <c r="D191" s="226"/>
      <c r="E191" s="226"/>
      <c r="F191" s="226"/>
      <c r="G191" s="226"/>
      <c r="H191" s="226" t="s">
        <v>33</v>
      </c>
      <c r="I191" s="226" t="s">
        <v>34</v>
      </c>
      <c r="J191" s="226" t="s">
        <v>85</v>
      </c>
      <c r="K191" s="44"/>
    </row>
    <row r="192" spans="1:11" x14ac:dyDescent="0.15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44"/>
    </row>
    <row r="193" spans="1:11" x14ac:dyDescent="0.15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44"/>
    </row>
    <row r="194" spans="1:11" x14ac:dyDescent="0.15">
      <c r="A194" s="227" t="e">
        <f ca="1">VLOOKUP(C186,INDIRECT($F$11),7+(K194-1)*4,0)</f>
        <v>#REF!</v>
      </c>
      <c r="B194" s="228"/>
      <c r="C194" s="231" t="e">
        <f ca="1">VLOOKUP(D186,INDIRECT($F$11),7+(K194-1)*4,0)</f>
        <v>#REF!</v>
      </c>
      <c r="D194" s="232"/>
      <c r="E194" s="232"/>
      <c r="F194" s="232"/>
      <c r="G194" s="233"/>
      <c r="H194" s="237" t="e">
        <f ca="1">VLOOKUP(E186,INDIRECT($F$11),7+(K194-1)*4,0)</f>
        <v>#REF!</v>
      </c>
      <c r="I194" s="237" t="e">
        <f ca="1">VLOOKUP(B186,INDIRECT($F$11),10+(K194-1)*4,0)</f>
        <v>#REF!</v>
      </c>
      <c r="J194" s="237" t="e">
        <f ca="1">INDEX($N$2:$N$12,MATCH(I194,$M$2:$M$12,0))</f>
        <v>#REF!</v>
      </c>
      <c r="K194" s="48">
        <v>1</v>
      </c>
    </row>
    <row r="195" spans="1:11" x14ac:dyDescent="0.15">
      <c r="A195" s="229"/>
      <c r="B195" s="230"/>
      <c r="C195" s="234"/>
      <c r="D195" s="235"/>
      <c r="E195" s="235"/>
      <c r="F195" s="235"/>
      <c r="G195" s="236"/>
      <c r="H195" s="238"/>
      <c r="I195" s="238"/>
      <c r="J195" s="238"/>
      <c r="K195" s="48"/>
    </row>
    <row r="196" spans="1:11" x14ac:dyDescent="0.15">
      <c r="A196" s="227" t="e">
        <f ca="1">VLOOKUP(C186,INDIRECT($F$11),7+(K196-1)*4,0)</f>
        <v>#REF!</v>
      </c>
      <c r="B196" s="228"/>
      <c r="C196" s="231" t="e">
        <f ca="1">VLOOKUP(D186,INDIRECT($F$11),7+(K196-1)*4,0)</f>
        <v>#REF!</v>
      </c>
      <c r="D196" s="232"/>
      <c r="E196" s="232"/>
      <c r="F196" s="232"/>
      <c r="G196" s="233"/>
      <c r="H196" s="237" t="e">
        <f ca="1">VLOOKUP(E186,INDIRECT($F$11),7+(K196-1)*4,0)</f>
        <v>#REF!</v>
      </c>
      <c r="I196" s="237" t="e">
        <f ca="1">VLOOKUP(B186,INDIRECT($F$11),10+(K196-1)*4,0)</f>
        <v>#REF!</v>
      </c>
      <c r="J196" s="237" t="e">
        <f ca="1">INDEX($N$2:$N$12,MATCH(I196,$M$2:$M$12,0))</f>
        <v>#REF!</v>
      </c>
      <c r="K196" s="48">
        <v>2</v>
      </c>
    </row>
    <row r="197" spans="1:11" x14ac:dyDescent="0.15">
      <c r="A197" s="229"/>
      <c r="B197" s="230"/>
      <c r="C197" s="234"/>
      <c r="D197" s="235"/>
      <c r="E197" s="235"/>
      <c r="F197" s="235"/>
      <c r="G197" s="236"/>
      <c r="H197" s="238"/>
      <c r="I197" s="238"/>
      <c r="J197" s="238"/>
      <c r="K197" s="48"/>
    </row>
    <row r="198" spans="1:11" x14ac:dyDescent="0.15">
      <c r="A198" s="227" t="e">
        <f ca="1">VLOOKUP(C186,INDIRECT($F$11),7+(K198-1)*4,0)</f>
        <v>#REF!</v>
      </c>
      <c r="B198" s="228"/>
      <c r="C198" s="231" t="e">
        <f ca="1">VLOOKUP(D186,INDIRECT($F$11),7+(K198-1)*4,0)</f>
        <v>#REF!</v>
      </c>
      <c r="D198" s="232"/>
      <c r="E198" s="232"/>
      <c r="F198" s="232"/>
      <c r="G198" s="233"/>
      <c r="H198" s="237" t="e">
        <f ca="1">VLOOKUP(E186,INDIRECT($F$11),7+(K198-1)*4,0)</f>
        <v>#REF!</v>
      </c>
      <c r="I198" s="237" t="e">
        <f ca="1">VLOOKUP(B186,INDIRECT($F$11),10+(K198-1)*4,0)</f>
        <v>#REF!</v>
      </c>
      <c r="J198" s="237" t="e">
        <f ca="1">INDEX($N$2:$N$12,MATCH(I198,$M$2:$M$12,0))</f>
        <v>#REF!</v>
      </c>
      <c r="K198" s="48">
        <v>3</v>
      </c>
    </row>
    <row r="199" spans="1:11" x14ac:dyDescent="0.15">
      <c r="A199" s="229"/>
      <c r="B199" s="230"/>
      <c r="C199" s="234"/>
      <c r="D199" s="235"/>
      <c r="E199" s="235"/>
      <c r="F199" s="235"/>
      <c r="G199" s="236"/>
      <c r="H199" s="238"/>
      <c r="I199" s="238"/>
      <c r="J199" s="238"/>
      <c r="K199" s="48"/>
    </row>
    <row r="200" spans="1:11" x14ac:dyDescent="0.15">
      <c r="A200" s="227" t="e">
        <f ca="1">VLOOKUP(C186,INDIRECT($F$11),7+(K200-1)*4,0)</f>
        <v>#REF!</v>
      </c>
      <c r="B200" s="228"/>
      <c r="C200" s="231" t="e">
        <f ca="1">VLOOKUP(D186,INDIRECT($F$11),7+(K200-1)*4,0)</f>
        <v>#REF!</v>
      </c>
      <c r="D200" s="232"/>
      <c r="E200" s="232"/>
      <c r="F200" s="232"/>
      <c r="G200" s="233"/>
      <c r="H200" s="237" t="e">
        <f ca="1">VLOOKUP(E186,INDIRECT($F$11),7+(K200-1)*4,0)</f>
        <v>#REF!</v>
      </c>
      <c r="I200" s="237" t="e">
        <f ca="1">VLOOKUP(B186,INDIRECT($F$11),10+(K200-1)*4,0)</f>
        <v>#REF!</v>
      </c>
      <c r="J200" s="237" t="e">
        <f ca="1">INDEX($N$2:$N$12,MATCH(I200,$M$2:$M$12,0))</f>
        <v>#REF!</v>
      </c>
      <c r="K200" s="48">
        <v>4</v>
      </c>
    </row>
    <row r="201" spans="1:11" x14ac:dyDescent="0.15">
      <c r="A201" s="229"/>
      <c r="B201" s="230"/>
      <c r="C201" s="234"/>
      <c r="D201" s="235"/>
      <c r="E201" s="235"/>
      <c r="F201" s="235"/>
      <c r="G201" s="236"/>
      <c r="H201" s="238"/>
      <c r="I201" s="238"/>
      <c r="J201" s="238"/>
      <c r="K201" s="48"/>
    </row>
    <row r="202" spans="1:11" x14ac:dyDescent="0.15">
      <c r="A202" s="227" t="e">
        <f ca="1">VLOOKUP(C186,INDIRECT($F$11),7+(K202-1)*4,0)</f>
        <v>#REF!</v>
      </c>
      <c r="B202" s="228"/>
      <c r="C202" s="231" t="e">
        <f ca="1">VLOOKUP(D186,INDIRECT($F$11),7+(K202-1)*4,0)</f>
        <v>#REF!</v>
      </c>
      <c r="D202" s="232"/>
      <c r="E202" s="232"/>
      <c r="F202" s="232"/>
      <c r="G202" s="233"/>
      <c r="H202" s="237" t="e">
        <f ca="1">VLOOKUP(E186,INDIRECT($F$11),7+(K202-1)*4,0)</f>
        <v>#REF!</v>
      </c>
      <c r="I202" s="237" t="e">
        <f ca="1">VLOOKUP(B186,INDIRECT($F$11),10+(K202-1)*4,0)</f>
        <v>#REF!</v>
      </c>
      <c r="J202" s="237" t="e">
        <f ca="1">INDEX($N$2:$N$12,MATCH(I202,$M$2:$M$12,0))</f>
        <v>#REF!</v>
      </c>
      <c r="K202" s="48">
        <v>5</v>
      </c>
    </row>
    <row r="203" spans="1:11" x14ac:dyDescent="0.15">
      <c r="A203" s="229"/>
      <c r="B203" s="230"/>
      <c r="C203" s="234"/>
      <c r="D203" s="235"/>
      <c r="E203" s="235"/>
      <c r="F203" s="235"/>
      <c r="G203" s="236"/>
      <c r="H203" s="238"/>
      <c r="I203" s="238"/>
      <c r="J203" s="238"/>
      <c r="K203" s="48"/>
    </row>
    <row r="204" spans="1:11" x14ac:dyDescent="0.15">
      <c r="A204" s="227" t="e">
        <f ca="1">VLOOKUP(C186,INDIRECT($F$11),7+(K204-1)*4,0)</f>
        <v>#REF!</v>
      </c>
      <c r="B204" s="228"/>
      <c r="C204" s="231" t="e">
        <f ca="1">VLOOKUP(D186,INDIRECT($F$11),7+(K204-1)*4,0)</f>
        <v>#REF!</v>
      </c>
      <c r="D204" s="232"/>
      <c r="E204" s="232"/>
      <c r="F204" s="232"/>
      <c r="G204" s="233"/>
      <c r="H204" s="237" t="e">
        <f ca="1">VLOOKUP(E186,INDIRECT($F$11),7+(K204-1)*4,0)</f>
        <v>#REF!</v>
      </c>
      <c r="I204" s="237" t="e">
        <f ca="1">VLOOKUP(B186,INDIRECT($F$11),10+(K204-1)*4,0)</f>
        <v>#REF!</v>
      </c>
      <c r="J204" s="237" t="e">
        <f ca="1">INDEX($N$2:$N$12,MATCH(I204,$M$2:$M$12,0))</f>
        <v>#REF!</v>
      </c>
      <c r="K204" s="48">
        <v>6</v>
      </c>
    </row>
    <row r="205" spans="1:11" x14ac:dyDescent="0.15">
      <c r="A205" s="229"/>
      <c r="B205" s="230"/>
      <c r="C205" s="234"/>
      <c r="D205" s="235"/>
      <c r="E205" s="235"/>
      <c r="F205" s="235"/>
      <c r="G205" s="236"/>
      <c r="H205" s="238"/>
      <c r="I205" s="238"/>
      <c r="J205" s="238"/>
      <c r="K205" s="48"/>
    </row>
    <row r="206" spans="1:11" ht="13" customHeight="1" x14ac:dyDescent="0.15">
      <c r="A206" s="227" t="e">
        <f ca="1">VLOOKUP(C186,INDIRECT($F$11),7+(K206-1)*4,0)</f>
        <v>#REF!</v>
      </c>
      <c r="B206" s="228"/>
      <c r="C206" s="231" t="e">
        <f ca="1">VLOOKUP(D186,INDIRECT($F$11),7+(K206-1)*4,0)</f>
        <v>#REF!</v>
      </c>
      <c r="D206" s="232"/>
      <c r="E206" s="232"/>
      <c r="F206" s="232"/>
      <c r="G206" s="233"/>
      <c r="H206" s="237" t="e">
        <f ca="1">VLOOKUP(E186,INDIRECT($F$11),7+(K206-1)*4,0)</f>
        <v>#REF!</v>
      </c>
      <c r="I206" s="237" t="e">
        <f ca="1">VLOOKUP(B186,INDIRECT($F$11),10+(K206-1)*4-1,0)</f>
        <v>#REF!</v>
      </c>
      <c r="J206" s="237" t="e">
        <f ca="1">INDEX($N$2:$N$12,MATCH(I206,$M$2:$M$12,0))</f>
        <v>#REF!</v>
      </c>
      <c r="K206" s="48">
        <v>7</v>
      </c>
    </row>
    <row r="207" spans="1:11" ht="13" customHeight="1" x14ac:dyDescent="0.15">
      <c r="A207" s="249"/>
      <c r="B207" s="250"/>
      <c r="C207" s="251"/>
      <c r="D207" s="252"/>
      <c r="E207" s="252"/>
      <c r="F207" s="252"/>
      <c r="G207" s="253"/>
      <c r="H207" s="254"/>
      <c r="I207" s="254"/>
      <c r="J207" s="238"/>
      <c r="K207" s="48"/>
    </row>
    <row r="208" spans="1:11" ht="13" customHeight="1" x14ac:dyDescent="0.15">
      <c r="A208" s="227" t="e">
        <f ca="1">VLOOKUP(C186,INDIRECT($F$11),7+(K208-1)*4-1,0)</f>
        <v>#REF!</v>
      </c>
      <c r="B208" s="228"/>
      <c r="C208" s="231" t="e">
        <f ca="1">VLOOKUP(D186,INDIRECT($F$11),7+(K208-1)*4-1,0)</f>
        <v>#REF!</v>
      </c>
      <c r="D208" s="232"/>
      <c r="E208" s="232"/>
      <c r="F208" s="232"/>
      <c r="G208" s="233"/>
      <c r="H208" s="237" t="e">
        <f ca="1">VLOOKUP(E186,INDIRECT($F$11),7+(K208-1)*4-1,0)</f>
        <v>#REF!</v>
      </c>
      <c r="I208" s="237" t="e">
        <f ca="1">VLOOKUP(B186,INDIRECT($F$11),10+(K208-1)*4-1,0)</f>
        <v>#REF!</v>
      </c>
      <c r="J208" s="237" t="e">
        <f ca="1">INDEX($N$2:$N$12,MATCH(I208,$M$2:$M$12,0))</f>
        <v>#REF!</v>
      </c>
      <c r="K208" s="48">
        <v>8</v>
      </c>
    </row>
    <row r="209" spans="1:11" ht="13" customHeight="1" x14ac:dyDescent="0.15">
      <c r="A209" s="249"/>
      <c r="B209" s="250"/>
      <c r="C209" s="251"/>
      <c r="D209" s="252"/>
      <c r="E209" s="252"/>
      <c r="F209" s="252"/>
      <c r="G209" s="253"/>
      <c r="H209" s="254"/>
      <c r="I209" s="254"/>
      <c r="J209" s="238"/>
      <c r="K209" s="48"/>
    </row>
    <row r="210" spans="1:11" ht="13" customHeight="1" x14ac:dyDescent="0.15">
      <c r="A210" s="227" t="e">
        <f ca="1">VLOOKUP(C186,INDIRECT($F$11),7+(K210-1)*4-1,0)</f>
        <v>#REF!</v>
      </c>
      <c r="B210" s="228"/>
      <c r="C210" s="231" t="e">
        <f ca="1">VLOOKUP(D186,INDIRECT($F$11),7+(K210-1)*4-1,0)</f>
        <v>#REF!</v>
      </c>
      <c r="D210" s="232"/>
      <c r="E210" s="232"/>
      <c r="F210" s="232"/>
      <c r="G210" s="233"/>
      <c r="H210" s="237" t="e">
        <f ca="1">VLOOKUP(E186,INDIRECT($F$11),7+(K210-1)*4-1,0)</f>
        <v>#REF!</v>
      </c>
      <c r="I210" s="237" t="e">
        <f ca="1">VLOOKUP(B186,INDIRECT($F$11),10+(K210-1)*4-1,0)</f>
        <v>#REF!</v>
      </c>
      <c r="J210" s="237" t="e">
        <f ca="1">INDEX($N$2:$N$12,MATCH(I210,$M$2:$M$12,0))</f>
        <v>#REF!</v>
      </c>
      <c r="K210" s="48">
        <v>9</v>
      </c>
    </row>
    <row r="211" spans="1:11" ht="13" customHeight="1" x14ac:dyDescent="0.15">
      <c r="A211" s="249"/>
      <c r="B211" s="250"/>
      <c r="C211" s="251"/>
      <c r="D211" s="252"/>
      <c r="E211" s="252"/>
      <c r="F211" s="252"/>
      <c r="G211" s="253"/>
      <c r="H211" s="254"/>
      <c r="I211" s="254"/>
      <c r="J211" s="238"/>
      <c r="K211" s="48"/>
    </row>
    <row r="212" spans="1:11" x14ac:dyDescent="0.15">
      <c r="A212" s="239" t="s">
        <v>104</v>
      </c>
      <c r="B212" s="239"/>
      <c r="C212" s="239"/>
      <c r="D212" s="239"/>
      <c r="E212" s="239"/>
      <c r="F212" s="239"/>
      <c r="G212" s="239"/>
      <c r="H212" s="239" t="e">
        <f ca="1">SUM(H194:H211)</f>
        <v>#REF!</v>
      </c>
      <c r="I212" s="239" t="s">
        <v>86</v>
      </c>
      <c r="J212" s="240" t="e">
        <f ca="1">SUMPRODUCT(J194:J211,H194:H211)</f>
        <v>#REF!</v>
      </c>
      <c r="K212" s="44"/>
    </row>
    <row r="213" spans="1:11" x14ac:dyDescent="0.15">
      <c r="A213" s="239"/>
      <c r="B213" s="239"/>
      <c r="C213" s="239"/>
      <c r="D213" s="239"/>
      <c r="E213" s="239"/>
      <c r="F213" s="239"/>
      <c r="G213" s="239"/>
      <c r="H213" s="239"/>
      <c r="I213" s="239"/>
      <c r="J213" s="241"/>
      <c r="K213" s="44"/>
    </row>
    <row r="214" spans="1:11" ht="16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4"/>
    </row>
    <row r="215" spans="1:11" x14ac:dyDescent="0.15">
      <c r="A215" s="244" t="s">
        <v>92</v>
      </c>
      <c r="B215" s="244"/>
      <c r="C215" s="245" t="e">
        <f ca="1">VLOOKUP(B186,INDIRECT($F$11),11+(K210-1)*4+2,0)</f>
        <v>#REF!</v>
      </c>
      <c r="D215" s="244" t="s">
        <v>90</v>
      </c>
      <c r="E215" s="244"/>
      <c r="F215" s="246" t="e">
        <f ca="1">VLOOKUP(B186,INDIRECT($F$11),11+(K210-1)*4,0)</f>
        <v>#REF!</v>
      </c>
      <c r="G215" s="244" t="s">
        <v>91</v>
      </c>
      <c r="H215" s="244"/>
      <c r="I215" s="246" t="e">
        <f ca="1">VLOOKUP(B186,INDIRECT($F$11),11+(K210-1)*4+1,0)</f>
        <v>#REF!</v>
      </c>
      <c r="J215" s="246"/>
      <c r="K215" s="44"/>
    </row>
    <row r="216" spans="1:11" x14ac:dyDescent="0.15">
      <c r="A216" s="244"/>
      <c r="B216" s="244"/>
      <c r="C216" s="245"/>
      <c r="D216" s="244"/>
      <c r="E216" s="244"/>
      <c r="F216" s="246"/>
      <c r="G216" s="244"/>
      <c r="H216" s="244"/>
      <c r="I216" s="246"/>
      <c r="J216" s="246"/>
      <c r="K216" s="44"/>
    </row>
    <row r="217" spans="1:11" x14ac:dyDescent="0.15">
      <c r="A217" s="242" t="s">
        <v>88</v>
      </c>
      <c r="B217" s="226" t="e">
        <f ca="1">VLOOKUP(B186,INDIRECT($F$11),11+(K210-1)*4+3,0)</f>
        <v>#REF!</v>
      </c>
      <c r="C217" s="226"/>
      <c r="D217" s="242" t="s">
        <v>89</v>
      </c>
      <c r="E217" s="242"/>
      <c r="F217" s="243" t="e">
        <f ca="1">IF(VLOOKUP(B186,INDIRECT($F$11),11+(K210-1)*4+4,0)=0,"",VLOOKUP(B186,INDIRECT($F$11),11+(K210-1)*4+4,0))</f>
        <v>#REF!</v>
      </c>
      <c r="G217" s="243"/>
      <c r="H217" s="243"/>
      <c r="I217" s="243"/>
      <c r="J217" s="243"/>
      <c r="K217" s="44"/>
    </row>
    <row r="218" spans="1:11" x14ac:dyDescent="0.15">
      <c r="A218" s="242"/>
      <c r="B218" s="226"/>
      <c r="C218" s="226"/>
      <c r="D218" s="242"/>
      <c r="E218" s="242"/>
      <c r="F218" s="243"/>
      <c r="G218" s="243"/>
      <c r="H218" s="243"/>
      <c r="I218" s="243"/>
      <c r="J218" s="243"/>
      <c r="K218" s="44"/>
    </row>
    <row r="219" spans="1:11" x14ac:dyDescent="0.15">
      <c r="A219" s="242"/>
      <c r="B219" s="226"/>
      <c r="C219" s="226"/>
      <c r="D219" s="242"/>
      <c r="E219" s="242"/>
      <c r="F219" s="243"/>
      <c r="G219" s="243"/>
      <c r="H219" s="243"/>
      <c r="I219" s="243"/>
      <c r="J219" s="243"/>
      <c r="K219" s="44"/>
    </row>
  </sheetData>
  <mergeCells count="437">
    <mergeCell ref="A1:J1"/>
    <mergeCell ref="A2:J3"/>
    <mergeCell ref="A4:J4"/>
    <mergeCell ref="B5:I6"/>
    <mergeCell ref="B7:I10"/>
    <mergeCell ref="A12:B13"/>
    <mergeCell ref="C12:E13"/>
    <mergeCell ref="F12:H13"/>
    <mergeCell ref="I12:J13"/>
    <mergeCell ref="A14:B15"/>
    <mergeCell ref="C14:E15"/>
    <mergeCell ref="F14:H15"/>
    <mergeCell ref="I14:J15"/>
    <mergeCell ref="A16:B18"/>
    <mergeCell ref="C16:G18"/>
    <mergeCell ref="H16:H18"/>
    <mergeCell ref="I16:I18"/>
    <mergeCell ref="J16:J18"/>
    <mergeCell ref="A19:B20"/>
    <mergeCell ref="C19:G20"/>
    <mergeCell ref="H19:H20"/>
    <mergeCell ref="I19:I20"/>
    <mergeCell ref="J19:J20"/>
    <mergeCell ref="A21:B22"/>
    <mergeCell ref="C21:G22"/>
    <mergeCell ref="H21:H22"/>
    <mergeCell ref="I21:I22"/>
    <mergeCell ref="J21:J22"/>
    <mergeCell ref="A23:B24"/>
    <mergeCell ref="C23:G24"/>
    <mergeCell ref="H23:H24"/>
    <mergeCell ref="I23:I24"/>
    <mergeCell ref="J23:J24"/>
    <mergeCell ref="A25:B26"/>
    <mergeCell ref="C25:G26"/>
    <mergeCell ref="H25:H26"/>
    <mergeCell ref="I25:I26"/>
    <mergeCell ref="J25:J26"/>
    <mergeCell ref="A27:B28"/>
    <mergeCell ref="C27:G28"/>
    <mergeCell ref="H27:H28"/>
    <mergeCell ref="I27:I28"/>
    <mergeCell ref="J27:J28"/>
    <mergeCell ref="A29:B30"/>
    <mergeCell ref="C29:G30"/>
    <mergeCell ref="H29:H30"/>
    <mergeCell ref="I29:I30"/>
    <mergeCell ref="J29:J30"/>
    <mergeCell ref="A35:B36"/>
    <mergeCell ref="C35:G36"/>
    <mergeCell ref="H35:H36"/>
    <mergeCell ref="I35:I36"/>
    <mergeCell ref="J35:J36"/>
    <mergeCell ref="A31:B32"/>
    <mergeCell ref="C31:G32"/>
    <mergeCell ref="H31:H32"/>
    <mergeCell ref="I31:I32"/>
    <mergeCell ref="J31:J32"/>
    <mergeCell ref="A33:B34"/>
    <mergeCell ref="C33:G34"/>
    <mergeCell ref="H33:H34"/>
    <mergeCell ref="I33:I34"/>
    <mergeCell ref="J33:J34"/>
    <mergeCell ref="A42:A44"/>
    <mergeCell ref="B42:C44"/>
    <mergeCell ref="D42:E44"/>
    <mergeCell ref="F42:J44"/>
    <mergeCell ref="A47:B48"/>
    <mergeCell ref="C47:E48"/>
    <mergeCell ref="F47:H48"/>
    <mergeCell ref="I47:J48"/>
    <mergeCell ref="A37:G38"/>
    <mergeCell ref="H37:H38"/>
    <mergeCell ref="I37:I38"/>
    <mergeCell ref="J37:J38"/>
    <mergeCell ref="A40:B41"/>
    <mergeCell ref="C40:C41"/>
    <mergeCell ref="D40:E41"/>
    <mergeCell ref="F40:F41"/>
    <mergeCell ref="G40:H41"/>
    <mergeCell ref="I40:J41"/>
    <mergeCell ref="A49:B50"/>
    <mergeCell ref="C49:E50"/>
    <mergeCell ref="F49:H50"/>
    <mergeCell ref="I49:J50"/>
    <mergeCell ref="A51:B53"/>
    <mergeCell ref="C51:G53"/>
    <mergeCell ref="H51:H53"/>
    <mergeCell ref="I51:I53"/>
    <mergeCell ref="J51:J53"/>
    <mergeCell ref="A54:B55"/>
    <mergeCell ref="C54:G55"/>
    <mergeCell ref="H54:H55"/>
    <mergeCell ref="I54:I55"/>
    <mergeCell ref="J54:J55"/>
    <mergeCell ref="A56:B57"/>
    <mergeCell ref="C56:G57"/>
    <mergeCell ref="H56:H57"/>
    <mergeCell ref="I56:I57"/>
    <mergeCell ref="J56:J57"/>
    <mergeCell ref="A58:B59"/>
    <mergeCell ref="C58:G59"/>
    <mergeCell ref="H58:H59"/>
    <mergeCell ref="I58:I59"/>
    <mergeCell ref="J58:J59"/>
    <mergeCell ref="A60:B61"/>
    <mergeCell ref="C60:G61"/>
    <mergeCell ref="H60:H61"/>
    <mergeCell ref="I60:I61"/>
    <mergeCell ref="J60:J61"/>
    <mergeCell ref="A62:B63"/>
    <mergeCell ref="C62:G63"/>
    <mergeCell ref="H62:H63"/>
    <mergeCell ref="I62:I63"/>
    <mergeCell ref="J62:J63"/>
    <mergeCell ref="A64:B65"/>
    <mergeCell ref="C64:G65"/>
    <mergeCell ref="H64:H65"/>
    <mergeCell ref="I64:I65"/>
    <mergeCell ref="J64:J65"/>
    <mergeCell ref="A66:B67"/>
    <mergeCell ref="C66:G67"/>
    <mergeCell ref="H66:H67"/>
    <mergeCell ref="I66:I67"/>
    <mergeCell ref="J66:J67"/>
    <mergeCell ref="A68:B69"/>
    <mergeCell ref="C68:G69"/>
    <mergeCell ref="H68:H69"/>
    <mergeCell ref="I68:I69"/>
    <mergeCell ref="J68:J69"/>
    <mergeCell ref="A70:B71"/>
    <mergeCell ref="C70:G71"/>
    <mergeCell ref="H70:H71"/>
    <mergeCell ref="I70:I71"/>
    <mergeCell ref="J70:J71"/>
    <mergeCell ref="A72:G73"/>
    <mergeCell ref="H72:H73"/>
    <mergeCell ref="I72:I73"/>
    <mergeCell ref="J72:J73"/>
    <mergeCell ref="A77:A79"/>
    <mergeCell ref="B77:C79"/>
    <mergeCell ref="D77:E79"/>
    <mergeCell ref="F77:J79"/>
    <mergeCell ref="A82:B83"/>
    <mergeCell ref="C82:E83"/>
    <mergeCell ref="F82:H83"/>
    <mergeCell ref="I82:J83"/>
    <mergeCell ref="A75:B76"/>
    <mergeCell ref="C75:C76"/>
    <mergeCell ref="D75:E76"/>
    <mergeCell ref="F75:F76"/>
    <mergeCell ref="G75:H76"/>
    <mergeCell ref="I75:J76"/>
    <mergeCell ref="A84:B85"/>
    <mergeCell ref="C84:E85"/>
    <mergeCell ref="F84:H85"/>
    <mergeCell ref="I84:J85"/>
    <mergeCell ref="A86:B88"/>
    <mergeCell ref="C86:G88"/>
    <mergeCell ref="H86:H88"/>
    <mergeCell ref="I86:I88"/>
    <mergeCell ref="J86:J88"/>
    <mergeCell ref="A89:B90"/>
    <mergeCell ref="C89:G90"/>
    <mergeCell ref="H89:H90"/>
    <mergeCell ref="I89:I90"/>
    <mergeCell ref="J89:J90"/>
    <mergeCell ref="A91:B92"/>
    <mergeCell ref="C91:G92"/>
    <mergeCell ref="H91:H92"/>
    <mergeCell ref="I91:I92"/>
    <mergeCell ref="J91:J92"/>
    <mergeCell ref="A93:B94"/>
    <mergeCell ref="C93:G94"/>
    <mergeCell ref="H93:H94"/>
    <mergeCell ref="I93:I94"/>
    <mergeCell ref="J93:J94"/>
    <mergeCell ref="A95:B96"/>
    <mergeCell ref="C95:G96"/>
    <mergeCell ref="H95:H96"/>
    <mergeCell ref="I95:I96"/>
    <mergeCell ref="J95:J96"/>
    <mergeCell ref="A97:B98"/>
    <mergeCell ref="C97:G98"/>
    <mergeCell ref="H97:H98"/>
    <mergeCell ref="I97:I98"/>
    <mergeCell ref="J97:J98"/>
    <mergeCell ref="A99:B100"/>
    <mergeCell ref="C99:G100"/>
    <mergeCell ref="H99:H100"/>
    <mergeCell ref="I99:I100"/>
    <mergeCell ref="J99:J100"/>
    <mergeCell ref="A101:B102"/>
    <mergeCell ref="C101:G102"/>
    <mergeCell ref="H101:H102"/>
    <mergeCell ref="I101:I102"/>
    <mergeCell ref="J101:J102"/>
    <mergeCell ref="A103:B104"/>
    <mergeCell ref="C103:G104"/>
    <mergeCell ref="H103:H104"/>
    <mergeCell ref="I103:I104"/>
    <mergeCell ref="J103:J104"/>
    <mergeCell ref="A105:B106"/>
    <mergeCell ref="C105:G106"/>
    <mergeCell ref="H105:H106"/>
    <mergeCell ref="I105:I106"/>
    <mergeCell ref="J105:J106"/>
    <mergeCell ref="A107:G108"/>
    <mergeCell ref="H107:H108"/>
    <mergeCell ref="I107:I108"/>
    <mergeCell ref="J107:J108"/>
    <mergeCell ref="A112:A114"/>
    <mergeCell ref="B112:C114"/>
    <mergeCell ref="D112:E114"/>
    <mergeCell ref="F112:J114"/>
    <mergeCell ref="A117:B118"/>
    <mergeCell ref="C117:E118"/>
    <mergeCell ref="F117:H118"/>
    <mergeCell ref="I117:J118"/>
    <mergeCell ref="A110:B111"/>
    <mergeCell ref="C110:C111"/>
    <mergeCell ref="D110:E111"/>
    <mergeCell ref="F110:F111"/>
    <mergeCell ref="G110:H111"/>
    <mergeCell ref="I110:J111"/>
    <mergeCell ref="A119:B120"/>
    <mergeCell ref="C119:E120"/>
    <mergeCell ref="F119:H120"/>
    <mergeCell ref="I119:J120"/>
    <mergeCell ref="A121:B123"/>
    <mergeCell ref="C121:G123"/>
    <mergeCell ref="H121:H123"/>
    <mergeCell ref="I121:I123"/>
    <mergeCell ref="J121:J123"/>
    <mergeCell ref="A124:B125"/>
    <mergeCell ref="C124:G125"/>
    <mergeCell ref="H124:H125"/>
    <mergeCell ref="I124:I125"/>
    <mergeCell ref="J124:J125"/>
    <mergeCell ref="A126:B127"/>
    <mergeCell ref="C126:G127"/>
    <mergeCell ref="H126:H127"/>
    <mergeCell ref="I126:I127"/>
    <mergeCell ref="J126:J127"/>
    <mergeCell ref="A128:B129"/>
    <mergeCell ref="C128:G129"/>
    <mergeCell ref="H128:H129"/>
    <mergeCell ref="I128:I129"/>
    <mergeCell ref="J128:J129"/>
    <mergeCell ref="A130:B131"/>
    <mergeCell ref="C130:G131"/>
    <mergeCell ref="H130:H131"/>
    <mergeCell ref="I130:I131"/>
    <mergeCell ref="J130:J131"/>
    <mergeCell ref="A132:B133"/>
    <mergeCell ref="C132:G133"/>
    <mergeCell ref="H132:H133"/>
    <mergeCell ref="I132:I133"/>
    <mergeCell ref="J132:J133"/>
    <mergeCell ref="A134:B135"/>
    <mergeCell ref="C134:G135"/>
    <mergeCell ref="H134:H135"/>
    <mergeCell ref="I134:I135"/>
    <mergeCell ref="J134:J135"/>
    <mergeCell ref="A136:B137"/>
    <mergeCell ref="C136:G137"/>
    <mergeCell ref="H136:H137"/>
    <mergeCell ref="I136:I137"/>
    <mergeCell ref="J136:J137"/>
    <mergeCell ref="A138:B139"/>
    <mergeCell ref="C138:G139"/>
    <mergeCell ref="H138:H139"/>
    <mergeCell ref="I138:I139"/>
    <mergeCell ref="J138:J139"/>
    <mergeCell ref="A140:B141"/>
    <mergeCell ref="C140:G141"/>
    <mergeCell ref="H140:H141"/>
    <mergeCell ref="I140:I141"/>
    <mergeCell ref="J140:J141"/>
    <mergeCell ref="A142:G143"/>
    <mergeCell ref="H142:H143"/>
    <mergeCell ref="I142:I143"/>
    <mergeCell ref="J142:J143"/>
    <mergeCell ref="A147:A149"/>
    <mergeCell ref="B147:C149"/>
    <mergeCell ref="D147:E149"/>
    <mergeCell ref="F147:J149"/>
    <mergeCell ref="A152:B153"/>
    <mergeCell ref="C152:E153"/>
    <mergeCell ref="F152:H153"/>
    <mergeCell ref="I152:J153"/>
    <mergeCell ref="A145:B146"/>
    <mergeCell ref="C145:C146"/>
    <mergeCell ref="D145:E146"/>
    <mergeCell ref="F145:F146"/>
    <mergeCell ref="G145:H146"/>
    <mergeCell ref="I145:J146"/>
    <mergeCell ref="A154:B155"/>
    <mergeCell ref="C154:E155"/>
    <mergeCell ref="F154:H155"/>
    <mergeCell ref="I154:J155"/>
    <mergeCell ref="A156:B158"/>
    <mergeCell ref="C156:G158"/>
    <mergeCell ref="H156:H158"/>
    <mergeCell ref="I156:I158"/>
    <mergeCell ref="J156:J158"/>
    <mergeCell ref="A159:B160"/>
    <mergeCell ref="C159:G160"/>
    <mergeCell ref="H159:H160"/>
    <mergeCell ref="I159:I160"/>
    <mergeCell ref="J159:J160"/>
    <mergeCell ref="A161:B162"/>
    <mergeCell ref="C161:G162"/>
    <mergeCell ref="H161:H162"/>
    <mergeCell ref="I161:I162"/>
    <mergeCell ref="J161:J162"/>
    <mergeCell ref="A163:B164"/>
    <mergeCell ref="C163:G164"/>
    <mergeCell ref="H163:H164"/>
    <mergeCell ref="I163:I164"/>
    <mergeCell ref="J163:J164"/>
    <mergeCell ref="A165:B166"/>
    <mergeCell ref="C165:G166"/>
    <mergeCell ref="H165:H166"/>
    <mergeCell ref="I165:I166"/>
    <mergeCell ref="J165:J166"/>
    <mergeCell ref="A167:B168"/>
    <mergeCell ref="C167:G168"/>
    <mergeCell ref="H167:H168"/>
    <mergeCell ref="I167:I168"/>
    <mergeCell ref="J167:J168"/>
    <mergeCell ref="A169:B170"/>
    <mergeCell ref="C169:G170"/>
    <mergeCell ref="H169:H170"/>
    <mergeCell ref="I169:I170"/>
    <mergeCell ref="J169:J170"/>
    <mergeCell ref="A171:B172"/>
    <mergeCell ref="C171:G172"/>
    <mergeCell ref="H171:H172"/>
    <mergeCell ref="I171:I172"/>
    <mergeCell ref="J171:J172"/>
    <mergeCell ref="A173:B174"/>
    <mergeCell ref="C173:G174"/>
    <mergeCell ref="H173:H174"/>
    <mergeCell ref="I173:I174"/>
    <mergeCell ref="J173:J174"/>
    <mergeCell ref="A175:B176"/>
    <mergeCell ref="C175:G176"/>
    <mergeCell ref="H175:H176"/>
    <mergeCell ref="I175:I176"/>
    <mergeCell ref="J175:J176"/>
    <mergeCell ref="A177:G178"/>
    <mergeCell ref="H177:H178"/>
    <mergeCell ref="I177:I178"/>
    <mergeCell ref="J177:J178"/>
    <mergeCell ref="A182:A184"/>
    <mergeCell ref="B182:C184"/>
    <mergeCell ref="D182:E184"/>
    <mergeCell ref="F182:J184"/>
    <mergeCell ref="A187:B188"/>
    <mergeCell ref="C187:E188"/>
    <mergeCell ref="F187:H188"/>
    <mergeCell ref="I187:J188"/>
    <mergeCell ref="A180:B181"/>
    <mergeCell ref="C180:C181"/>
    <mergeCell ref="D180:E181"/>
    <mergeCell ref="F180:F181"/>
    <mergeCell ref="G180:H181"/>
    <mergeCell ref="I180:J181"/>
    <mergeCell ref="A189:B190"/>
    <mergeCell ref="C189:E190"/>
    <mergeCell ref="F189:H190"/>
    <mergeCell ref="I189:J190"/>
    <mergeCell ref="A191:B193"/>
    <mergeCell ref="C191:G193"/>
    <mergeCell ref="H191:H193"/>
    <mergeCell ref="I191:I193"/>
    <mergeCell ref="J191:J193"/>
    <mergeCell ref="A194:B195"/>
    <mergeCell ref="C194:G195"/>
    <mergeCell ref="H194:H195"/>
    <mergeCell ref="I194:I195"/>
    <mergeCell ref="J194:J195"/>
    <mergeCell ref="A196:B197"/>
    <mergeCell ref="C196:G197"/>
    <mergeCell ref="H196:H197"/>
    <mergeCell ref="I196:I197"/>
    <mergeCell ref="J196:J197"/>
    <mergeCell ref="A198:B199"/>
    <mergeCell ref="C198:G199"/>
    <mergeCell ref="H198:H199"/>
    <mergeCell ref="I198:I199"/>
    <mergeCell ref="J198:J199"/>
    <mergeCell ref="A200:B201"/>
    <mergeCell ref="C200:G201"/>
    <mergeCell ref="H200:H201"/>
    <mergeCell ref="I200:I201"/>
    <mergeCell ref="J200:J201"/>
    <mergeCell ref="A202:B203"/>
    <mergeCell ref="C202:G203"/>
    <mergeCell ref="H202:H203"/>
    <mergeCell ref="I202:I203"/>
    <mergeCell ref="J202:J203"/>
    <mergeCell ref="A204:B205"/>
    <mergeCell ref="C204:G205"/>
    <mergeCell ref="H204:H205"/>
    <mergeCell ref="I204:I205"/>
    <mergeCell ref="J204:J205"/>
    <mergeCell ref="A206:B207"/>
    <mergeCell ref="C206:G207"/>
    <mergeCell ref="H206:H207"/>
    <mergeCell ref="I206:I207"/>
    <mergeCell ref="J206:J207"/>
    <mergeCell ref="A208:B209"/>
    <mergeCell ref="C208:G209"/>
    <mergeCell ref="H208:H209"/>
    <mergeCell ref="I208:I209"/>
    <mergeCell ref="J208:J209"/>
    <mergeCell ref="A210:B211"/>
    <mergeCell ref="C210:G211"/>
    <mergeCell ref="H210:H211"/>
    <mergeCell ref="I210:I211"/>
    <mergeCell ref="J210:J211"/>
    <mergeCell ref="A212:G213"/>
    <mergeCell ref="H212:H213"/>
    <mergeCell ref="I212:I213"/>
    <mergeCell ref="J212:J213"/>
    <mergeCell ref="A217:A219"/>
    <mergeCell ref="B217:C219"/>
    <mergeCell ref="D217:E219"/>
    <mergeCell ref="F217:J219"/>
    <mergeCell ref="A215:B216"/>
    <mergeCell ref="C215:C216"/>
    <mergeCell ref="D215:E216"/>
    <mergeCell ref="F215:F216"/>
    <mergeCell ref="G215:H216"/>
    <mergeCell ref="I215:J216"/>
  </mergeCells>
  <conditionalFormatting sqref="I1:I44">
    <cfRule type="containsText" dxfId="27" priority="16" operator="containsText" text="Dt">
      <formula>NOT(ISERROR(SEARCH("Dt",I1)))</formula>
    </cfRule>
    <cfRule type="containsText" dxfId="26" priority="17" operator="containsText" text="Ab">
      <formula>NOT(ISERROR(SEARCH("Ab",I1)))</formula>
    </cfRule>
    <cfRule type="containsText" dxfId="25" priority="18" operator="containsText" text="F">
      <formula>NOT(ISERROR(SEARCH("F",I1)))</formula>
    </cfRule>
  </conditionalFormatting>
  <conditionalFormatting sqref="I46:I79">
    <cfRule type="containsText" dxfId="24" priority="13" operator="containsText" text="Dt">
      <formula>NOT(ISERROR(SEARCH("Dt",I46)))</formula>
    </cfRule>
    <cfRule type="containsText" dxfId="23" priority="14" operator="containsText" text="Ab">
      <formula>NOT(ISERROR(SEARCH("Ab",I46)))</formula>
    </cfRule>
    <cfRule type="containsText" dxfId="22" priority="15" operator="containsText" text="F">
      <formula>NOT(ISERROR(SEARCH("F",I46)))</formula>
    </cfRule>
  </conditionalFormatting>
  <conditionalFormatting sqref="I81:I114">
    <cfRule type="containsText" dxfId="21" priority="10" operator="containsText" text="Dt">
      <formula>NOT(ISERROR(SEARCH("Dt",I81)))</formula>
    </cfRule>
    <cfRule type="containsText" dxfId="20" priority="11" operator="containsText" text="Ab">
      <formula>NOT(ISERROR(SEARCH("Ab",I81)))</formula>
    </cfRule>
    <cfRule type="containsText" dxfId="19" priority="12" operator="containsText" text="F">
      <formula>NOT(ISERROR(SEARCH("F",I81)))</formula>
    </cfRule>
  </conditionalFormatting>
  <conditionalFormatting sqref="I116:I149">
    <cfRule type="containsText" dxfId="18" priority="7" operator="containsText" text="Dt">
      <formula>NOT(ISERROR(SEARCH("Dt",I116)))</formula>
    </cfRule>
    <cfRule type="containsText" dxfId="17" priority="8" operator="containsText" text="Ab">
      <formula>NOT(ISERROR(SEARCH("Ab",I116)))</formula>
    </cfRule>
    <cfRule type="containsText" dxfId="16" priority="9" operator="containsText" text="F">
      <formula>NOT(ISERROR(SEARCH("F",I116)))</formula>
    </cfRule>
  </conditionalFormatting>
  <conditionalFormatting sqref="I151:I184">
    <cfRule type="containsText" dxfId="15" priority="4" operator="containsText" text="Dt">
      <formula>NOT(ISERROR(SEARCH("Dt",I151)))</formula>
    </cfRule>
    <cfRule type="containsText" dxfId="14" priority="5" operator="containsText" text="Ab">
      <formula>NOT(ISERROR(SEARCH("Ab",I151)))</formula>
    </cfRule>
    <cfRule type="containsText" dxfId="13" priority="6" operator="containsText" text="F">
      <formula>NOT(ISERROR(SEARCH("F",I151)))</formula>
    </cfRule>
  </conditionalFormatting>
  <conditionalFormatting sqref="I186:I219">
    <cfRule type="containsText" dxfId="12" priority="1" operator="containsText" text="Dt">
      <formula>NOT(ISERROR(SEARCH("Dt",I186)))</formula>
    </cfRule>
    <cfRule type="containsText" dxfId="11" priority="2" operator="containsText" text="Ab">
      <formula>NOT(ISERROR(SEARCH("Ab",I186)))</formula>
    </cfRule>
    <cfRule type="containsText" dxfId="10" priority="3" operator="containsText" text="F">
      <formula>NOT(ISERROR(SEARCH("F",I186)))</formula>
    </cfRule>
  </conditionalFormatting>
  <printOptions horizontalCentered="1"/>
  <pageMargins left="0.28999999999999998" right="0.75" top="1.0374015750000001" bottom="1.8796296296296295" header="0.25" footer="0.98425196850393704"/>
  <pageSetup paperSize="9" scale="98" orientation="portrait" r:id="rId1"/>
  <headerFooter>
    <oddHeader>&amp;C&amp;G&amp;R&amp;"Times New Roman,Bold"&amp;12&amp;U&amp;K000000Sl. No.: M. Tech/TE/2025-27/10&amp;P</oddHeader>
    <oddFooter xml:space="preserve">&amp;L&amp;"Times New Roman,Bold"&amp;12Prepared by                          Checked by
03.02.2026&amp;C&amp;"Times New Roman,Bold"&amp;12                                        Examination Controller
&amp;R&amp;"Times New Roman,Bold"&amp;12Director
</oddFooter>
  </headerFooter>
  <rowBreaks count="5" manualBreakCount="5">
    <brk id="45" max="16383" man="1"/>
    <brk id="80" max="16383" man="1"/>
    <brk id="115" max="16383" man="1"/>
    <brk id="150" max="16383" man="1"/>
    <brk id="185" max="16383" man="1"/>
  </rowBreaks>
  <colBreaks count="1" manualBreakCount="1">
    <brk id="10" max="104857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CSE</vt:lpstr>
      <vt:lpstr>Production</vt:lpstr>
      <vt:lpstr>Geotechnology</vt:lpstr>
      <vt:lpstr>PowerSystems</vt:lpstr>
      <vt:lpstr>BT</vt:lpstr>
      <vt:lpstr>Marksheets_BT</vt:lpstr>
      <vt:lpstr>Grade Sheets BT</vt:lpstr>
      <vt:lpstr>Marksheets_All</vt:lpstr>
      <vt:lpstr>Data_Consolidated</vt:lpstr>
      <vt:lpstr>Grade Sheets All</vt:lpstr>
      <vt:lpstr>BT_I</vt:lpstr>
      <vt:lpstr>CSE_I</vt:lpstr>
      <vt:lpstr>GT_I</vt:lpstr>
      <vt:lpstr>PE_I</vt:lpstr>
      <vt:lpstr>Marksheets_All!Print_Area</vt:lpstr>
      <vt:lpstr>Marksheets_BT!Print_Area</vt:lpstr>
      <vt:lpstr>Production!Print_Area</vt:lpstr>
      <vt:lpstr>'Grade Sheets All'!Print_Titles</vt:lpstr>
      <vt:lpstr>'Grade Sheets BT'!Print_Titles</vt:lpstr>
      <vt:lpstr>Marksheets_All!Print_Titles</vt:lpstr>
      <vt:lpstr>Marksheets_BT!Print_Titles</vt:lpstr>
      <vt:lpstr>PS_I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2176</cp:lastModifiedBy>
  <cp:lastPrinted>2026-04-24T05:52:12Z</cp:lastPrinted>
  <dcterms:created xsi:type="dcterms:W3CDTF">1996-10-14T23:33:28Z</dcterms:created>
  <dcterms:modified xsi:type="dcterms:W3CDTF">2026-04-24T05:52:19Z</dcterms:modified>
</cp:coreProperties>
</file>