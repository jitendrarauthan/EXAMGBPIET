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8A694C44-7AAC-8745-AD1B-2568D698E8FF}" xr6:coauthVersionLast="47" xr6:coauthVersionMax="47" xr10:uidLastSave="{00000000-0000-0000-0000-000000000000}"/>
  <bookViews>
    <workbookView xWindow="0" yWindow="660" windowWidth="29400" windowHeight="16860" activeTab="2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SEM_I!$A$1:$AY$44</definedName>
    <definedName name="II">#REF!</definedName>
    <definedName name="_xlnm.Print_Area" localSheetId="1">TC_I!$A$1:$AP$846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28" i="22" l="1"/>
  <c r="O829" i="22"/>
  <c r="O830" i="22"/>
  <c r="O850" i="22"/>
  <c r="O851" i="22"/>
  <c r="O852" i="22"/>
  <c r="O806" i="22"/>
  <c r="O807" i="22" s="1"/>
  <c r="O808" i="22" s="1"/>
  <c r="O784" i="22"/>
  <c r="O785" i="22" s="1"/>
  <c r="O786" i="22" s="1"/>
  <c r="O762" i="22"/>
  <c r="O763" i="22" s="1"/>
  <c r="O764" i="22" s="1"/>
  <c r="O740" i="22"/>
  <c r="O741" i="22" s="1"/>
  <c r="O742" i="22" s="1"/>
  <c r="O718" i="22"/>
  <c r="O719" i="22" s="1"/>
  <c r="O720" i="22" s="1"/>
  <c r="O696" i="22"/>
  <c r="O697" i="22" s="1"/>
  <c r="O698" i="22" s="1"/>
  <c r="O674" i="22"/>
  <c r="O675" i="22" s="1"/>
  <c r="O676" i="22" s="1"/>
  <c r="O652" i="22"/>
  <c r="O653" i="22" s="1"/>
  <c r="O654" i="22" s="1"/>
  <c r="O630" i="22"/>
  <c r="O631" i="22" s="1"/>
  <c r="O632" i="22" s="1"/>
  <c r="O609" i="22"/>
  <c r="O610" i="22" s="1"/>
  <c r="O608" i="22"/>
  <c r="O586" i="22"/>
  <c r="O587" i="22" s="1"/>
  <c r="O588" i="22" s="1"/>
  <c r="O564" i="22"/>
  <c r="O565" i="22" s="1"/>
  <c r="O566" i="22" s="1"/>
  <c r="O542" i="22"/>
  <c r="O543" i="22" s="1"/>
  <c r="O544" i="22" s="1"/>
  <c r="O520" i="22"/>
  <c r="O521" i="22" s="1"/>
  <c r="O522" i="22" s="1"/>
  <c r="O498" i="22"/>
  <c r="O499" i="22" s="1"/>
  <c r="O500" i="22" s="1"/>
  <c r="O476" i="22"/>
  <c r="O477" i="22" s="1"/>
  <c r="O478" i="22" s="1"/>
  <c r="O454" i="22"/>
  <c r="O455" i="22" s="1"/>
  <c r="O456" i="22" s="1"/>
  <c r="O432" i="22"/>
  <c r="O433" i="22" s="1"/>
  <c r="O434" i="22" s="1"/>
  <c r="O410" i="22"/>
  <c r="O411" i="22" s="1"/>
  <c r="O412" i="22" s="1"/>
  <c r="O388" i="22"/>
  <c r="O389" i="22" s="1"/>
  <c r="O390" i="22" s="1"/>
  <c r="O366" i="22"/>
  <c r="O367" i="22" s="1"/>
  <c r="O368" i="22" s="1"/>
  <c r="O344" i="22"/>
  <c r="O345" i="22" s="1"/>
  <c r="O346" i="22" s="1"/>
  <c r="O324" i="22"/>
  <c r="O323" i="22"/>
  <c r="O322" i="22"/>
  <c r="O300" i="22"/>
  <c r="O301" i="22" s="1"/>
  <c r="O302" i="22" s="1"/>
  <c r="O278" i="22"/>
  <c r="O279" i="22" s="1"/>
  <c r="O280" i="22" s="1"/>
  <c r="O256" i="22"/>
  <c r="O257" i="22" s="1"/>
  <c r="O258" i="22" s="1"/>
  <c r="O234" i="22"/>
  <c r="O235" i="22" s="1"/>
  <c r="O236" i="22" s="1"/>
  <c r="O212" i="22"/>
  <c r="O213" i="22" s="1"/>
  <c r="O214" i="22" s="1"/>
  <c r="O190" i="22"/>
  <c r="O191" i="22" s="1"/>
  <c r="O192" i="22" s="1"/>
  <c r="O170" i="22"/>
  <c r="O169" i="22"/>
  <c r="O168" i="22"/>
  <c r="O146" i="22"/>
  <c r="O147" i="22" s="1"/>
  <c r="O148" i="22" s="1"/>
  <c r="O124" i="22"/>
  <c r="O125" i="22" s="1"/>
  <c r="O126" i="22" s="1"/>
  <c r="O102" i="22"/>
  <c r="O103" i="22" s="1"/>
  <c r="O104" i="22" s="1"/>
  <c r="O80" i="22"/>
  <c r="O81" i="22" s="1"/>
  <c r="O82" i="22" s="1"/>
  <c r="O58" i="22"/>
  <c r="O59" i="22" s="1"/>
  <c r="O60" i="22" s="1"/>
  <c r="O36" i="22"/>
  <c r="O37" i="22" s="1"/>
  <c r="O38" i="22" s="1"/>
  <c r="S4" i="22"/>
  <c r="W848" i="22"/>
  <c r="W826" i="22"/>
  <c r="W804" i="22"/>
  <c r="W782" i="22"/>
  <c r="W760" i="22"/>
  <c r="W738" i="22"/>
  <c r="W716" i="22"/>
  <c r="W694" i="22"/>
  <c r="W672" i="22"/>
  <c r="W650" i="22"/>
  <c r="W628" i="22"/>
  <c r="BC33" i="1"/>
  <c r="BD33" i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C34" i="1"/>
  <c r="BC35" i="1" s="1"/>
  <c r="BC36" i="1" s="1"/>
  <c r="BC37" i="1" s="1"/>
  <c r="BC38" i="1" s="1"/>
  <c r="BC39" i="1" s="1"/>
  <c r="BC40" i="1" s="1"/>
  <c r="BC41" i="1" s="1"/>
  <c r="BC42" i="1" s="1"/>
  <c r="BC43" i="1" s="1"/>
  <c r="W540" i="22"/>
  <c r="W518" i="22"/>
  <c r="W496" i="22"/>
  <c r="W474" i="22"/>
  <c r="W452" i="22"/>
  <c r="W430" i="22"/>
  <c r="W408" i="22"/>
  <c r="W386" i="22"/>
  <c r="W364" i="22"/>
  <c r="W342" i="22"/>
  <c r="W320" i="22"/>
  <c r="W298" i="22"/>
  <c r="W276" i="22"/>
  <c r="W254" i="22"/>
  <c r="W232" i="22"/>
  <c r="W210" i="22"/>
  <c r="W188" i="22"/>
  <c r="W166" i="22"/>
  <c r="W144" i="22"/>
  <c r="W122" i="22"/>
  <c r="W100" i="22"/>
  <c r="W78" i="22"/>
  <c r="W56" i="22"/>
  <c r="W34" i="22"/>
  <c r="O743" i="22" a="1"/>
  <c r="O721" i="22" a="1"/>
  <c r="O809" i="22" a="1"/>
  <c r="O149" i="22" a="1"/>
  <c r="O611" i="22" a="1"/>
  <c r="O83" i="22" a="1"/>
  <c r="O787" i="22" a="1"/>
  <c r="O435" i="22" a="1"/>
  <c r="O567" i="22" a="1"/>
  <c r="O765" i="22" a="1"/>
  <c r="O699" i="22" a="1"/>
  <c r="O281" i="22" a="1"/>
  <c r="O479" i="22" a="1"/>
  <c r="O501" i="22" a="1"/>
  <c r="O237" i="22" a="1"/>
  <c r="O545" i="22" a="1"/>
  <c r="O347" i="22" a="1"/>
  <c r="O105" i="22" a="1"/>
  <c r="O325" i="22" a="1"/>
  <c r="O413" i="22" a="1"/>
  <c r="O589" i="22" a="1"/>
  <c r="O303" i="22" a="1"/>
  <c r="O457" i="22" a="1"/>
  <c r="O127" i="22" a="1"/>
  <c r="O677" i="22" a="1"/>
  <c r="O215" i="22" a="1"/>
  <c r="O17" i="22" a="1"/>
  <c r="O259" i="22" a="1"/>
  <c r="O171" i="22" a="1"/>
  <c r="O523" i="22" a="1"/>
  <c r="O633" i="22" a="1"/>
  <c r="O369" i="22" a="1"/>
  <c r="O391" i="22" a="1"/>
  <c r="O61" i="22" a="1"/>
  <c r="O39" i="22" a="1"/>
  <c r="O655" i="22" a="1"/>
  <c r="O193" i="22" a="1"/>
  <c r="O809" i="22" l="1"/>
  <c r="O810" i="22" s="1"/>
  <c r="O811" i="22" s="1"/>
  <c r="O812" i="22" s="1"/>
  <c r="O813" i="22" s="1"/>
  <c r="O814" i="22" s="1"/>
  <c r="O815" i="22" s="1"/>
  <c r="O816" i="22" s="1"/>
  <c r="O817" i="22" s="1"/>
  <c r="O787" i="22"/>
  <c r="O788" i="22" s="1"/>
  <c r="O789" i="22" s="1"/>
  <c r="O790" i="22" s="1"/>
  <c r="O791" i="22" s="1"/>
  <c r="O792" i="22" s="1"/>
  <c r="O793" i="22" s="1"/>
  <c r="O794" i="22" s="1"/>
  <c r="O795" i="22" s="1"/>
  <c r="O765" i="22"/>
  <c r="O766" i="22" s="1"/>
  <c r="O767" i="22" s="1"/>
  <c r="O768" i="22" s="1"/>
  <c r="O769" i="22" s="1"/>
  <c r="O770" i="22" s="1"/>
  <c r="O771" i="22" s="1"/>
  <c r="O772" i="22" s="1"/>
  <c r="O773" i="22" s="1"/>
  <c r="O743" i="22"/>
  <c r="O744" i="22" s="1"/>
  <c r="O745" i="22" s="1"/>
  <c r="O746" i="22" s="1"/>
  <c r="O747" i="22" s="1"/>
  <c r="O748" i="22" s="1"/>
  <c r="O749" i="22" s="1"/>
  <c r="O750" i="22" s="1"/>
  <c r="O751" i="22" s="1"/>
  <c r="O721" i="22"/>
  <c r="O722" i="22" s="1"/>
  <c r="O723" i="22" s="1"/>
  <c r="O724" i="22" s="1"/>
  <c r="O725" i="22" s="1"/>
  <c r="O726" i="22" s="1"/>
  <c r="O727" i="22" s="1"/>
  <c r="O728" i="22" s="1"/>
  <c r="O729" i="22" s="1"/>
  <c r="O699" i="22"/>
  <c r="O700" i="22" s="1"/>
  <c r="O701" i="22" s="1"/>
  <c r="O702" i="22" s="1"/>
  <c r="O703" i="22" s="1"/>
  <c r="O704" i="22" s="1"/>
  <c r="O705" i="22" s="1"/>
  <c r="O706" i="22" s="1"/>
  <c r="O707" i="22" s="1"/>
  <c r="O677" i="22"/>
  <c r="O678" i="22" s="1"/>
  <c r="O679" i="22" s="1"/>
  <c r="O680" i="22" s="1"/>
  <c r="O681" i="22" s="1"/>
  <c r="O682" i="22" s="1"/>
  <c r="O683" i="22" s="1"/>
  <c r="O684" i="22" s="1"/>
  <c r="O685" i="22" s="1"/>
  <c r="O655" i="22"/>
  <c r="O656" i="22" s="1"/>
  <c r="O657" i="22" s="1"/>
  <c r="O658" i="22" s="1"/>
  <c r="O659" i="22" s="1"/>
  <c r="O660" i="22" s="1"/>
  <c r="O661" i="22" s="1"/>
  <c r="O662" i="22" s="1"/>
  <c r="O663" i="22" s="1"/>
  <c r="O633" i="22"/>
  <c r="O634" i="22" s="1"/>
  <c r="O635" i="22" s="1"/>
  <c r="O636" i="22" s="1"/>
  <c r="O637" i="22" s="1"/>
  <c r="O638" i="22" s="1"/>
  <c r="O639" i="22" s="1"/>
  <c r="O640" i="22" s="1"/>
  <c r="O641" i="22" s="1"/>
  <c r="O611" i="22"/>
  <c r="O612" i="22" s="1"/>
  <c r="O613" i="22" s="1"/>
  <c r="O614" i="22" s="1"/>
  <c r="O615" i="22" s="1"/>
  <c r="O616" i="22" s="1"/>
  <c r="O617" i="22" s="1"/>
  <c r="O618" i="22" s="1"/>
  <c r="O619" i="22" s="1"/>
  <c r="O589" i="22"/>
  <c r="O590" i="22" s="1"/>
  <c r="O591" i="22" s="1"/>
  <c r="O592" i="22" s="1"/>
  <c r="O593" i="22" s="1"/>
  <c r="O594" i="22" s="1"/>
  <c r="O595" i="22" s="1"/>
  <c r="O596" i="22" s="1"/>
  <c r="O597" i="22" s="1"/>
  <c r="O567" i="22"/>
  <c r="O568" i="22" s="1"/>
  <c r="O569" i="22" s="1"/>
  <c r="O570" i="22" s="1"/>
  <c r="O571" i="22" s="1"/>
  <c r="O572" i="22" s="1"/>
  <c r="O573" i="22" s="1"/>
  <c r="O574" i="22" s="1"/>
  <c r="O575" i="22" s="1"/>
  <c r="O545" i="22"/>
  <c r="O546" i="22" s="1"/>
  <c r="O547" i="22" s="1"/>
  <c r="O548" i="22" s="1"/>
  <c r="O549" i="22" s="1"/>
  <c r="O550" i="22" s="1"/>
  <c r="O551" i="22" s="1"/>
  <c r="O552" i="22" s="1"/>
  <c r="O553" i="22" s="1"/>
  <c r="O523" i="22"/>
  <c r="O524" i="22" s="1"/>
  <c r="O525" i="22" s="1"/>
  <c r="O526" i="22" s="1"/>
  <c r="O527" i="22" s="1"/>
  <c r="O528" i="22" s="1"/>
  <c r="O529" i="22" s="1"/>
  <c r="O530" i="22" s="1"/>
  <c r="O531" i="22" s="1"/>
  <c r="O501" i="22"/>
  <c r="O502" i="22" s="1"/>
  <c r="O503" i="22" s="1"/>
  <c r="O504" i="22" s="1"/>
  <c r="O505" i="22" s="1"/>
  <c r="O506" i="22" s="1"/>
  <c r="O507" i="22" s="1"/>
  <c r="O508" i="22" s="1"/>
  <c r="O509" i="22" s="1"/>
  <c r="O479" i="22"/>
  <c r="O480" i="22" s="1"/>
  <c r="O481" i="22" s="1"/>
  <c r="O482" i="22" s="1"/>
  <c r="O483" i="22" s="1"/>
  <c r="O484" i="22" s="1"/>
  <c r="O485" i="22" s="1"/>
  <c r="O486" i="22" s="1"/>
  <c r="O487" i="22" s="1"/>
  <c r="O457" i="22"/>
  <c r="O458" i="22" s="1"/>
  <c r="O459" i="22" s="1"/>
  <c r="O460" i="22" s="1"/>
  <c r="O461" i="22" s="1"/>
  <c r="O462" i="22" s="1"/>
  <c r="O463" i="22" s="1"/>
  <c r="O464" i="22" s="1"/>
  <c r="O465" i="22" s="1"/>
  <c r="O435" i="22"/>
  <c r="O436" i="22" s="1"/>
  <c r="O437" i="22" s="1"/>
  <c r="O438" i="22" s="1"/>
  <c r="O439" i="22" s="1"/>
  <c r="O440" i="22" s="1"/>
  <c r="O441" i="22" s="1"/>
  <c r="O442" i="22" s="1"/>
  <c r="O443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391" i="22"/>
  <c r="O392" i="22" s="1"/>
  <c r="O393" i="22" s="1"/>
  <c r="O394" i="22" s="1"/>
  <c r="O395" i="22" s="1"/>
  <c r="O396" i="22" s="1"/>
  <c r="O397" i="22" s="1"/>
  <c r="O398" i="22" s="1"/>
  <c r="O399" i="22" s="1"/>
  <c r="O369" i="22"/>
  <c r="O370" i="22" s="1"/>
  <c r="O371" i="22" s="1"/>
  <c r="O372" i="22" s="1"/>
  <c r="O373" i="22" s="1"/>
  <c r="O374" i="22" s="1"/>
  <c r="O375" i="22" s="1"/>
  <c r="O376" i="22" s="1"/>
  <c r="O377" i="22" s="1"/>
  <c r="O347" i="22"/>
  <c r="O348" i="22" s="1"/>
  <c r="O349" i="22" s="1"/>
  <c r="O350" i="22" s="1"/>
  <c r="O351" i="22" s="1"/>
  <c r="O352" i="22" s="1"/>
  <c r="O353" i="22" s="1"/>
  <c r="O354" i="22" s="1"/>
  <c r="O355" i="22" s="1"/>
  <c r="O325" i="22"/>
  <c r="O326" i="22" s="1"/>
  <c r="O327" i="22" s="1"/>
  <c r="O328" i="22" s="1"/>
  <c r="O329" i="22" s="1"/>
  <c r="O330" i="22" s="1"/>
  <c r="O331" i="22" s="1"/>
  <c r="O332" i="22" s="1"/>
  <c r="O333" i="22" s="1"/>
  <c r="O303" i="22"/>
  <c r="O304" i="22" s="1"/>
  <c r="O305" i="22" s="1"/>
  <c r="O306" i="22" s="1"/>
  <c r="O307" i="22" s="1"/>
  <c r="O308" i="22" s="1"/>
  <c r="O309" i="22" s="1"/>
  <c r="O310" i="22" s="1"/>
  <c r="O311" i="22" s="1"/>
  <c r="O281" i="22"/>
  <c r="O282" i="22" s="1"/>
  <c r="O283" i="22" s="1"/>
  <c r="O284" i="22" s="1"/>
  <c r="O285" i="22" s="1"/>
  <c r="O286" i="22" s="1"/>
  <c r="O287" i="22" s="1"/>
  <c r="O288" i="22" s="1"/>
  <c r="O289" i="22" s="1"/>
  <c r="O259" i="22"/>
  <c r="O260" i="22" s="1"/>
  <c r="O261" i="22" s="1"/>
  <c r="O262" i="22" s="1"/>
  <c r="O263" i="22" s="1"/>
  <c r="O264" i="22" s="1"/>
  <c r="O265" i="22" s="1"/>
  <c r="O266" i="22" s="1"/>
  <c r="O267" i="22" s="1"/>
  <c r="O237" i="22"/>
  <c r="O238" i="22" s="1"/>
  <c r="O239" i="22" s="1"/>
  <c r="O240" i="22" s="1"/>
  <c r="O241" i="22" s="1"/>
  <c r="O242" i="22" s="1"/>
  <c r="O243" i="22" s="1"/>
  <c r="O244" i="22" s="1"/>
  <c r="O245" i="22" s="1"/>
  <c r="O215" i="22"/>
  <c r="O216" i="22" s="1"/>
  <c r="O217" i="22" s="1"/>
  <c r="O218" i="22" s="1"/>
  <c r="O219" i="22" s="1"/>
  <c r="O220" i="22" s="1"/>
  <c r="O221" i="22" s="1"/>
  <c r="O222" i="22" s="1"/>
  <c r="O223" i="22" s="1"/>
  <c r="O193" i="22"/>
  <c r="O194" i="22" s="1"/>
  <c r="O195" i="22" s="1"/>
  <c r="O196" i="22" s="1"/>
  <c r="O197" i="22" s="1"/>
  <c r="O198" i="22" s="1"/>
  <c r="O199" i="22" s="1"/>
  <c r="O200" i="22" s="1"/>
  <c r="O201" i="22" s="1"/>
  <c r="O171" i="22"/>
  <c r="O172" i="22" s="1"/>
  <c r="O173" i="22" s="1"/>
  <c r="O174" i="22" s="1"/>
  <c r="O175" i="22" s="1"/>
  <c r="O176" i="22" s="1"/>
  <c r="O177" i="22" s="1"/>
  <c r="O178" i="22" s="1"/>
  <c r="O179" i="22" s="1"/>
  <c r="O149" i="22"/>
  <c r="O150" i="22" s="1"/>
  <c r="O151" i="22" s="1"/>
  <c r="O152" i="22" s="1"/>
  <c r="O153" i="22" s="1"/>
  <c r="O154" i="22" s="1"/>
  <c r="O155" i="22" s="1"/>
  <c r="O156" i="22" s="1"/>
  <c r="O157" i="22" s="1"/>
  <c r="O127" i="22"/>
  <c r="O128" i="22" s="1"/>
  <c r="O129" i="22" s="1"/>
  <c r="O130" i="22" s="1"/>
  <c r="O131" i="22" s="1"/>
  <c r="O132" i="22" s="1"/>
  <c r="O133" i="22" s="1"/>
  <c r="O134" i="22" s="1"/>
  <c r="O135" i="22" s="1"/>
  <c r="O105" i="22"/>
  <c r="O106" i="22" s="1"/>
  <c r="O107" i="22" s="1"/>
  <c r="O108" i="22" s="1"/>
  <c r="O109" i="22" s="1"/>
  <c r="O110" i="22" s="1"/>
  <c r="O111" i="22" s="1"/>
  <c r="O112" i="22" s="1"/>
  <c r="O113" i="22" s="1"/>
  <c r="O83" i="22"/>
  <c r="O84" i="22" s="1"/>
  <c r="O85" i="22" s="1"/>
  <c r="O86" i="22" s="1"/>
  <c r="O87" i="22" s="1"/>
  <c r="O88" i="22" s="1"/>
  <c r="O89" i="22" s="1"/>
  <c r="O90" i="22" s="1"/>
  <c r="O91" i="22" s="1"/>
  <c r="O61" i="22"/>
  <c r="O62" i="22" s="1"/>
  <c r="O63" i="22" s="1"/>
  <c r="O64" i="22" s="1"/>
  <c r="O65" i="22" s="1"/>
  <c r="O66" i="22" s="1"/>
  <c r="O67" i="22" s="1"/>
  <c r="O68" i="22" s="1"/>
  <c r="O69" i="22" s="1"/>
  <c r="O39" i="22"/>
  <c r="O40" i="22" s="1"/>
  <c r="O41" i="22" s="1"/>
  <c r="O42" i="22" s="1"/>
  <c r="O43" i="22" s="1"/>
  <c r="O44" i="22" s="1"/>
  <c r="O45" i="22" s="1"/>
  <c r="O46" i="22" s="1"/>
  <c r="O47" i="22" s="1"/>
  <c r="O17" i="22"/>
  <c r="O18" i="22" l="1"/>
  <c r="A596" i="23" l="1"/>
  <c r="A574" i="23"/>
  <c r="A552" i="23"/>
  <c r="A530" i="23"/>
  <c r="A508" i="23"/>
  <c r="A486" i="23"/>
  <c r="A464" i="23"/>
  <c r="A442" i="23"/>
  <c r="A420" i="23"/>
  <c r="A398" i="23"/>
  <c r="A376" i="23"/>
  <c r="A354" i="23"/>
  <c r="A332" i="23"/>
  <c r="A310" i="23"/>
  <c r="A288" i="23"/>
  <c r="A266" i="23"/>
  <c r="A244" i="23"/>
  <c r="A222" i="23"/>
  <c r="A200" i="23"/>
  <c r="A178" i="23"/>
  <c r="A156" i="23"/>
  <c r="A134" i="23"/>
  <c r="A112" i="23"/>
  <c r="A94" i="23"/>
  <c r="A116" i="23" s="1"/>
  <c r="A138" i="23" s="1"/>
  <c r="A160" i="23" s="1"/>
  <c r="A182" i="23" s="1"/>
  <c r="A204" i="23" s="1"/>
  <c r="A226" i="23" s="1"/>
  <c r="A248" i="23" s="1"/>
  <c r="A270" i="23" s="1"/>
  <c r="A292" i="23" s="1"/>
  <c r="A314" i="23" s="1"/>
  <c r="A336" i="23" s="1"/>
  <c r="A358" i="23" s="1"/>
  <c r="A380" i="23" s="1"/>
  <c r="A402" i="23" s="1"/>
  <c r="A424" i="23" s="1"/>
  <c r="A446" i="23" s="1"/>
  <c r="A468" i="23" s="1"/>
  <c r="A490" i="23" s="1"/>
  <c r="A512" i="23" s="1"/>
  <c r="A534" i="23" s="1"/>
  <c r="A556" i="23" s="1"/>
  <c r="A578" i="23" s="1"/>
  <c r="A600" i="23" s="1"/>
  <c r="A90" i="23"/>
  <c r="A72" i="23"/>
  <c r="A71" i="23"/>
  <c r="A93" i="23" s="1"/>
  <c r="A115" i="23" s="1"/>
  <c r="A137" i="23" s="1"/>
  <c r="A159" i="23" s="1"/>
  <c r="A181" i="23" s="1"/>
  <c r="A203" i="23" s="1"/>
  <c r="A225" i="23" s="1"/>
  <c r="A247" i="23" s="1"/>
  <c r="A269" i="23" s="1"/>
  <c r="A291" i="23" s="1"/>
  <c r="A313" i="23" s="1"/>
  <c r="A335" i="23" s="1"/>
  <c r="A357" i="23" s="1"/>
  <c r="A379" i="23" s="1"/>
  <c r="A401" i="23" s="1"/>
  <c r="A423" i="23" s="1"/>
  <c r="A445" i="23" s="1"/>
  <c r="A467" i="23" s="1"/>
  <c r="A489" i="23" s="1"/>
  <c r="A511" i="23" s="1"/>
  <c r="A533" i="23" s="1"/>
  <c r="A555" i="23" s="1"/>
  <c r="A577" i="23" s="1"/>
  <c r="A599" i="23" s="1"/>
  <c r="A68" i="23"/>
  <c r="A50" i="23"/>
  <c r="A49" i="23"/>
  <c r="A46" i="23"/>
  <c r="A24" i="23"/>
  <c r="Q13" i="22"/>
  <c r="U13" i="22"/>
  <c r="S13" i="22"/>
  <c r="T13" i="22"/>
  <c r="E30" i="22" l="1"/>
  <c r="E52" i="22" s="1"/>
  <c r="E74" i="22" s="1"/>
  <c r="E96" i="22" s="1"/>
  <c r="E118" i="22" s="1"/>
  <c r="E140" i="22" s="1"/>
  <c r="E162" i="22" s="1"/>
  <c r="E184" i="22" s="1"/>
  <c r="E206" i="22" s="1"/>
  <c r="E228" i="22" s="1"/>
  <c r="E250" i="22" s="1"/>
  <c r="E272" i="22" s="1"/>
  <c r="E294" i="22" s="1"/>
  <c r="E316" i="22" s="1"/>
  <c r="E338" i="22" s="1"/>
  <c r="E360" i="22" s="1"/>
  <c r="E382" i="22" s="1"/>
  <c r="E404" i="22" s="1"/>
  <c r="E426" i="22" s="1"/>
  <c r="E448" i="22" s="1"/>
  <c r="E470" i="22" s="1"/>
  <c r="E492" i="22" s="1"/>
  <c r="E514" i="22" s="1"/>
  <c r="E536" i="22" s="1"/>
  <c r="E558" i="22" s="1"/>
  <c r="E580" i="22" s="1"/>
  <c r="D30" i="22"/>
  <c r="D52" i="22" s="1"/>
  <c r="D74" i="22" s="1"/>
  <c r="D96" i="22" s="1"/>
  <c r="D118" i="22" s="1"/>
  <c r="D140" i="22" s="1"/>
  <c r="D162" i="22" s="1"/>
  <c r="D184" i="22" s="1"/>
  <c r="D206" i="22" s="1"/>
  <c r="D228" i="22" s="1"/>
  <c r="D250" i="22" s="1"/>
  <c r="D272" i="22" s="1"/>
  <c r="D294" i="22" s="1"/>
  <c r="D316" i="22" s="1"/>
  <c r="D338" i="22" s="1"/>
  <c r="D360" i="22" s="1"/>
  <c r="D382" i="22" s="1"/>
  <c r="D404" i="22" s="1"/>
  <c r="D426" i="22" s="1"/>
  <c r="D448" i="22" s="1"/>
  <c r="D470" i="22" s="1"/>
  <c r="D492" i="22" s="1"/>
  <c r="D514" i="22" s="1"/>
  <c r="D536" i="22" s="1"/>
  <c r="D558" i="22" s="1"/>
  <c r="D580" i="22" s="1"/>
  <c r="C30" i="22"/>
  <c r="C52" i="22" s="1"/>
  <c r="C74" i="22" s="1"/>
  <c r="C96" i="22" s="1"/>
  <c r="C118" i="22" s="1"/>
  <c r="C140" i="22" s="1"/>
  <c r="C162" i="22" s="1"/>
  <c r="C184" i="22" s="1"/>
  <c r="C206" i="22" s="1"/>
  <c r="C228" i="22" s="1"/>
  <c r="C250" i="22" s="1"/>
  <c r="C272" i="22" s="1"/>
  <c r="C294" i="22" s="1"/>
  <c r="C316" i="22" s="1"/>
  <c r="C338" i="22" s="1"/>
  <c r="C360" i="22" s="1"/>
  <c r="C382" i="22" s="1"/>
  <c r="C404" i="22" s="1"/>
  <c r="C426" i="22" s="1"/>
  <c r="C448" i="22" s="1"/>
  <c r="C470" i="22" s="1"/>
  <c r="C492" i="22" s="1"/>
  <c r="C514" i="22" s="1"/>
  <c r="C536" i="22" s="1"/>
  <c r="C558" i="22" s="1"/>
  <c r="C580" i="22" s="1"/>
  <c r="B30" i="22"/>
  <c r="A30" i="22"/>
  <c r="A52" i="22" s="1"/>
  <c r="A74" i="22" s="1"/>
  <c r="A96" i="22" s="1"/>
  <c r="A118" i="22" s="1"/>
  <c r="A140" i="22" s="1"/>
  <c r="A162" i="22" s="1"/>
  <c r="A184" i="22" s="1"/>
  <c r="A206" i="22" s="1"/>
  <c r="A228" i="22" s="1"/>
  <c r="A250" i="22" s="1"/>
  <c r="A272" i="22" s="1"/>
  <c r="A294" i="22" s="1"/>
  <c r="A316" i="22" s="1"/>
  <c r="A338" i="22" s="1"/>
  <c r="A360" i="22" s="1"/>
  <c r="A382" i="22" s="1"/>
  <c r="A404" i="22" s="1"/>
  <c r="A426" i="22" s="1"/>
  <c r="A448" i="22" s="1"/>
  <c r="A470" i="22" s="1"/>
  <c r="A492" i="22" s="1"/>
  <c r="A514" i="22" s="1"/>
  <c r="A536" i="22" s="1"/>
  <c r="A558" i="22" s="1"/>
  <c r="A580" i="22" s="1"/>
  <c r="W562" i="22"/>
  <c r="W584" i="22"/>
  <c r="W13" i="22"/>
  <c r="E31" i="22"/>
  <c r="I31" i="22"/>
  <c r="M31" i="22"/>
  <c r="B52" i="22" l="1"/>
  <c r="F30" i="22"/>
  <c r="D49" i="22" l="1"/>
  <c r="F33" i="22"/>
  <c r="G49" i="22"/>
  <c r="I33" i="22"/>
  <c r="D31" i="22"/>
  <c r="K49" i="22"/>
  <c r="G31" i="22"/>
  <c r="A48" i="22"/>
  <c r="M33" i="22"/>
  <c r="G47" i="22"/>
  <c r="B33" i="22"/>
  <c r="N33" i="22"/>
  <c r="X47" i="22"/>
  <c r="G33" i="22"/>
  <c r="A31" i="22"/>
  <c r="A49" i="22"/>
  <c r="K33" i="22"/>
  <c r="K31" i="22"/>
  <c r="I49" i="22"/>
  <c r="A33" i="22"/>
  <c r="M49" i="22"/>
  <c r="B74" i="22"/>
  <c r="S38" i="22"/>
  <c r="S36" i="22"/>
  <c r="U44" i="22"/>
  <c r="U40" i="22"/>
  <c r="Q35" i="22"/>
  <c r="T45" i="22"/>
  <c r="S39" i="22"/>
  <c r="Q40" i="22"/>
  <c r="U47" i="22"/>
  <c r="Q39" i="22"/>
  <c r="Q42" i="22"/>
  <c r="T47" i="22"/>
  <c r="T39" i="22"/>
  <c r="U43" i="22"/>
  <c r="Q45" i="22"/>
  <c r="U42" i="22"/>
  <c r="U37" i="22"/>
  <c r="U35" i="22"/>
  <c r="Q41" i="22"/>
  <c r="F52" i="22"/>
  <c r="T44" i="22"/>
  <c r="U45" i="22"/>
  <c r="S35" i="22"/>
  <c r="Q38" i="22"/>
  <c r="T43" i="22"/>
  <c r="U46" i="22"/>
  <c r="Q46" i="22"/>
  <c r="Q36" i="22"/>
  <c r="Q37" i="22"/>
  <c r="Q43" i="22"/>
  <c r="T41" i="22"/>
  <c r="I53" i="22"/>
  <c r="M53" i="22"/>
  <c r="S43" i="22"/>
  <c r="Q47" i="22"/>
  <c r="B53" i="22"/>
  <c r="S40" i="22"/>
  <c r="U39" i="22"/>
  <c r="S45" i="22"/>
  <c r="S44" i="22"/>
  <c r="T46" i="22"/>
  <c r="T35" i="22"/>
  <c r="S42" i="22"/>
  <c r="U38" i="22"/>
  <c r="Q44" i="22"/>
  <c r="S37" i="22"/>
  <c r="U41" i="22"/>
  <c r="T40" i="22"/>
  <c r="U36" i="22"/>
  <c r="T37" i="22"/>
  <c r="T36" i="22"/>
  <c r="S41" i="22"/>
  <c r="S47" i="22"/>
  <c r="T42" i="22"/>
  <c r="T38" i="22"/>
  <c r="S46" i="22"/>
  <c r="G69" i="22" l="1"/>
  <c r="X69" i="22"/>
  <c r="B96" i="22"/>
  <c r="U62" i="22"/>
  <c r="W39" i="22"/>
  <c r="Q60" i="22"/>
  <c r="W46" i="22"/>
  <c r="T66" i="22"/>
  <c r="Q67" i="22"/>
  <c r="T68" i="22"/>
  <c r="T59" i="22"/>
  <c r="T61" i="22"/>
  <c r="Q58" i="22"/>
  <c r="Q69" i="22"/>
  <c r="S68" i="22"/>
  <c r="Q68" i="22"/>
  <c r="S67" i="22"/>
  <c r="U63" i="22"/>
  <c r="Q61" i="22"/>
  <c r="W38" i="22"/>
  <c r="W40" i="22"/>
  <c r="Q65" i="22"/>
  <c r="U58" i="22"/>
  <c r="T58" i="22"/>
  <c r="T62" i="22"/>
  <c r="W36" i="22"/>
  <c r="W43" i="22"/>
  <c r="Q57" i="22"/>
  <c r="W37" i="22"/>
  <c r="W35" i="22"/>
  <c r="F74" i="22"/>
  <c r="S61" i="22"/>
  <c r="Q59" i="22"/>
  <c r="S62" i="22"/>
  <c r="U67" i="22"/>
  <c r="S63" i="22"/>
  <c r="W44" i="22"/>
  <c r="W42" i="22"/>
  <c r="Q63" i="22"/>
  <c r="Q66" i="22"/>
  <c r="T69" i="22"/>
  <c r="S69" i="22"/>
  <c r="S58" i="22"/>
  <c r="S65" i="22"/>
  <c r="W41" i="22"/>
  <c r="T65" i="22"/>
  <c r="M75" i="22"/>
  <c r="S64" i="22"/>
  <c r="Q64" i="22"/>
  <c r="U60" i="22"/>
  <c r="I75" i="22"/>
  <c r="T63" i="22"/>
  <c r="U59" i="22"/>
  <c r="S66" i="22"/>
  <c r="S60" i="22"/>
  <c r="T67" i="22"/>
  <c r="U57" i="22"/>
  <c r="S59" i="22"/>
  <c r="U68" i="22"/>
  <c r="U66" i="22"/>
  <c r="S57" i="22"/>
  <c r="Q62" i="22"/>
  <c r="U65" i="22"/>
  <c r="T60" i="22"/>
  <c r="T64" i="22"/>
  <c r="U64" i="22"/>
  <c r="U69" i="22"/>
  <c r="U61" i="22"/>
  <c r="W45" i="22"/>
  <c r="T57" i="22"/>
  <c r="W48" i="22" l="1"/>
  <c r="X91" i="22"/>
  <c r="G91" i="22"/>
  <c r="B118" i="22"/>
  <c r="P44" i="22"/>
  <c r="T79" i="22"/>
  <c r="S84" i="22"/>
  <c r="U89" i="22"/>
  <c r="U83" i="22"/>
  <c r="P37" i="22"/>
  <c r="Q80" i="22"/>
  <c r="Q86" i="22"/>
  <c r="U90" i="22"/>
  <c r="T82" i="22"/>
  <c r="Q84" i="22"/>
  <c r="W59" i="22"/>
  <c r="T81" i="22"/>
  <c r="S86" i="22"/>
  <c r="U81" i="22"/>
  <c r="Q79" i="22"/>
  <c r="W65" i="22"/>
  <c r="W64" i="22"/>
  <c r="T87" i="22"/>
  <c r="T90" i="22"/>
  <c r="U86" i="22"/>
  <c r="U82" i="22"/>
  <c r="E97" i="22"/>
  <c r="U80" i="22"/>
  <c r="W61" i="22"/>
  <c r="T91" i="22"/>
  <c r="W63" i="22"/>
  <c r="S85" i="22"/>
  <c r="S88" i="22"/>
  <c r="U84" i="22"/>
  <c r="W60" i="22"/>
  <c r="Q90" i="22"/>
  <c r="T83" i="22"/>
  <c r="S89" i="22"/>
  <c r="Q91" i="22"/>
  <c r="Q83" i="22"/>
  <c r="S79" i="22"/>
  <c r="Q89" i="22"/>
  <c r="P40" i="22"/>
  <c r="P38" i="22"/>
  <c r="I97" i="22"/>
  <c r="T86" i="22"/>
  <c r="S91" i="22"/>
  <c r="T80" i="22"/>
  <c r="Q81" i="22"/>
  <c r="P42" i="22"/>
  <c r="U87" i="22"/>
  <c r="T84" i="22"/>
  <c r="P45" i="22"/>
  <c r="P43" i="22"/>
  <c r="T88" i="22"/>
  <c r="P41" i="22"/>
  <c r="Q85" i="22"/>
  <c r="P39" i="22"/>
  <c r="S90" i="22"/>
  <c r="W68" i="22"/>
  <c r="P36" i="22"/>
  <c r="W58" i="22"/>
  <c r="P47" i="22"/>
  <c r="W62" i="22"/>
  <c r="U79" i="22"/>
  <c r="U88" i="22"/>
  <c r="S80" i="22"/>
  <c r="S81" i="22"/>
  <c r="Q82" i="22"/>
  <c r="S82" i="22"/>
  <c r="P35" i="22"/>
  <c r="Q88" i="22"/>
  <c r="S83" i="22"/>
  <c r="T85" i="22"/>
  <c r="U91" i="22"/>
  <c r="W67" i="22"/>
  <c r="P46" i="22"/>
  <c r="S87" i="22"/>
  <c r="U85" i="22"/>
  <c r="Q87" i="22"/>
  <c r="W57" i="22"/>
  <c r="W66" i="22"/>
  <c r="T89" i="22"/>
  <c r="R44" i="22" l="1"/>
  <c r="M44" i="22" s="1"/>
  <c r="N44" i="22" s="1"/>
  <c r="R42" i="22"/>
  <c r="M42" i="22" s="1"/>
  <c r="N42" i="22" s="1"/>
  <c r="R37" i="22"/>
  <c r="M37" i="22" s="1"/>
  <c r="N37" i="22" s="1"/>
  <c r="R38" i="22"/>
  <c r="M38" i="22" s="1"/>
  <c r="N38" i="22" s="1"/>
  <c r="R40" i="22"/>
  <c r="M40" i="22" s="1"/>
  <c r="N40" i="22" s="1"/>
  <c r="R39" i="22"/>
  <c r="M39" i="22" s="1"/>
  <c r="N39" i="22" s="1"/>
  <c r="R46" i="22"/>
  <c r="M46" i="22" s="1"/>
  <c r="N46" i="22" s="1"/>
  <c r="R36" i="22"/>
  <c r="M36" i="22" s="1"/>
  <c r="N36" i="22" s="1"/>
  <c r="R43" i="22"/>
  <c r="M43" i="22" s="1"/>
  <c r="N43" i="22" s="1"/>
  <c r="R45" i="22"/>
  <c r="M45" i="22" s="1"/>
  <c r="N45" i="22" s="1"/>
  <c r="R35" i="22"/>
  <c r="M35" i="22" s="1"/>
  <c r="N35" i="22" s="1"/>
  <c r="R41" i="22"/>
  <c r="M41" i="22" s="1"/>
  <c r="N41" i="22" s="1"/>
  <c r="R47" i="22"/>
  <c r="W70" i="22"/>
  <c r="B140" i="22"/>
  <c r="F36" i="22"/>
  <c r="F57" i="22"/>
  <c r="B63" i="22"/>
  <c r="F39" i="22"/>
  <c r="P59" i="22"/>
  <c r="W87" i="22"/>
  <c r="F89" i="22"/>
  <c r="A88" i="22"/>
  <c r="B40" i="22"/>
  <c r="P60" i="22"/>
  <c r="E53" i="22"/>
  <c r="F82" i="22"/>
  <c r="F61" i="22"/>
  <c r="B65" i="22"/>
  <c r="B97" i="22"/>
  <c r="F65" i="22"/>
  <c r="F83" i="22"/>
  <c r="M97" i="22"/>
  <c r="B64" i="22"/>
  <c r="A45" i="22"/>
  <c r="B57" i="22"/>
  <c r="P61" i="22"/>
  <c r="W88" i="22"/>
  <c r="A59" i="22"/>
  <c r="B88" i="22"/>
  <c r="I119" i="22"/>
  <c r="F84" i="22"/>
  <c r="W79" i="22"/>
  <c r="F81" i="22"/>
  <c r="F64" i="22"/>
  <c r="C51" i="23"/>
  <c r="P66" i="22"/>
  <c r="E141" i="22"/>
  <c r="B41" i="22"/>
  <c r="A91" i="22"/>
  <c r="A79" i="22"/>
  <c r="B87" i="22"/>
  <c r="P68" i="22"/>
  <c r="A84" i="22"/>
  <c r="F118" i="22"/>
  <c r="F40" i="22"/>
  <c r="A41" i="22"/>
  <c r="P58" i="22"/>
  <c r="A57" i="22"/>
  <c r="F59" i="22"/>
  <c r="F60" i="22"/>
  <c r="P64" i="22"/>
  <c r="F45" i="22"/>
  <c r="B85" i="22"/>
  <c r="A42" i="22"/>
  <c r="F68" i="22"/>
  <c r="B90" i="22"/>
  <c r="B38" i="22"/>
  <c r="A63" i="22"/>
  <c r="B42" i="22"/>
  <c r="A85" i="22"/>
  <c r="A82" i="22"/>
  <c r="B59" i="22"/>
  <c r="B84" i="22"/>
  <c r="B43" i="22"/>
  <c r="F140" i="22"/>
  <c r="F69" i="22"/>
  <c r="W84" i="22"/>
  <c r="F58" i="22"/>
  <c r="P65" i="22"/>
  <c r="B47" i="22"/>
  <c r="F37" i="22"/>
  <c r="F87" i="22"/>
  <c r="A40" i="22"/>
  <c r="M119" i="22"/>
  <c r="W89" i="22"/>
  <c r="B89" i="22"/>
  <c r="B81" i="22"/>
  <c r="F88" i="22"/>
  <c r="A83" i="22"/>
  <c r="A44" i="22"/>
  <c r="B68" i="22"/>
  <c r="B69" i="22"/>
  <c r="A47" i="22"/>
  <c r="P67" i="22"/>
  <c r="F86" i="22"/>
  <c r="B75" i="22"/>
  <c r="W85" i="22"/>
  <c r="A67" i="22"/>
  <c r="A58" i="22"/>
  <c r="A62" i="22"/>
  <c r="A86" i="22"/>
  <c r="F66" i="22"/>
  <c r="W86" i="22"/>
  <c r="B35" i="22"/>
  <c r="A68" i="22"/>
  <c r="F80" i="22"/>
  <c r="F47" i="22"/>
  <c r="B119" i="22"/>
  <c r="B67" i="22"/>
  <c r="B45" i="22"/>
  <c r="E75" i="22"/>
  <c r="F62" i="22"/>
  <c r="A80" i="22"/>
  <c r="A61" i="22"/>
  <c r="W81" i="22"/>
  <c r="F43" i="22"/>
  <c r="I74" i="23"/>
  <c r="A35" i="22"/>
  <c r="F96" i="22"/>
  <c r="F67" i="22"/>
  <c r="B141" i="22"/>
  <c r="P63" i="22"/>
  <c r="F90" i="22"/>
  <c r="A90" i="22"/>
  <c r="F42" i="22"/>
  <c r="F38" i="22"/>
  <c r="F85" i="22"/>
  <c r="B91" i="22"/>
  <c r="B80" i="22"/>
  <c r="A60" i="22"/>
  <c r="B31" i="22"/>
  <c r="F63" i="22"/>
  <c r="B62" i="22"/>
  <c r="B83" i="22"/>
  <c r="A43" i="22"/>
  <c r="B39" i="22"/>
  <c r="A39" i="22"/>
  <c r="P62" i="22"/>
  <c r="I73" i="23"/>
  <c r="I51" i="23"/>
  <c r="F44" i="22"/>
  <c r="B37" i="22"/>
  <c r="B86" i="22"/>
  <c r="A89" i="22"/>
  <c r="W90" i="22"/>
  <c r="A64" i="22"/>
  <c r="F91" i="22"/>
  <c r="B82" i="22"/>
  <c r="W82" i="22"/>
  <c r="B36" i="22"/>
  <c r="P69" i="22"/>
  <c r="P57" i="22"/>
  <c r="A66" i="22"/>
  <c r="E119" i="22"/>
  <c r="F79" i="22"/>
  <c r="C96" i="23"/>
  <c r="B46" i="22"/>
  <c r="A69" i="22"/>
  <c r="M141" i="22"/>
  <c r="F46" i="22"/>
  <c r="A65" i="22"/>
  <c r="A81" i="22"/>
  <c r="A87" i="22"/>
  <c r="F41" i="22"/>
  <c r="W83" i="22"/>
  <c r="I52" i="23"/>
  <c r="W80" i="22"/>
  <c r="A46" i="22"/>
  <c r="B60" i="22"/>
  <c r="A36" i="22"/>
  <c r="B66" i="22"/>
  <c r="A38" i="22"/>
  <c r="B79" i="22"/>
  <c r="A37" i="22"/>
  <c r="B58" i="22"/>
  <c r="B61" i="22"/>
  <c r="I95" i="23"/>
  <c r="F35" i="22"/>
  <c r="R60" i="22" l="1"/>
  <c r="M60" i="22" s="1"/>
  <c r="N60" i="22" s="1"/>
  <c r="R67" i="22"/>
  <c r="M67" i="22" s="1"/>
  <c r="N67" i="22" s="1"/>
  <c r="R59" i="22"/>
  <c r="M59" i="22" s="1"/>
  <c r="N59" i="22" s="1"/>
  <c r="R64" i="22"/>
  <c r="M64" i="22" s="1"/>
  <c r="N64" i="22" s="1"/>
  <c r="R58" i="22"/>
  <c r="M58" i="22" s="1"/>
  <c r="N58" i="22" s="1"/>
  <c r="R65" i="22"/>
  <c r="M65" i="22" s="1"/>
  <c r="N65" i="22" s="1"/>
  <c r="R61" i="22"/>
  <c r="M61" i="22" s="1"/>
  <c r="N61" i="22" s="1"/>
  <c r="R68" i="22"/>
  <c r="M68" i="22" s="1"/>
  <c r="N68" i="22" s="1"/>
  <c r="R57" i="22"/>
  <c r="M57" i="22" s="1"/>
  <c r="N57" i="22" s="1"/>
  <c r="R62" i="22"/>
  <c r="M62" i="22" s="1"/>
  <c r="N62" i="22" s="1"/>
  <c r="R63" i="22"/>
  <c r="M63" i="22" s="1"/>
  <c r="N63" i="22" s="1"/>
  <c r="R66" i="22"/>
  <c r="M66" i="22" s="1"/>
  <c r="N66" i="22" s="1"/>
  <c r="R69" i="22"/>
  <c r="W92" i="22"/>
  <c r="G135" i="22"/>
  <c r="X135" i="22"/>
  <c r="B162" i="22"/>
  <c r="G62" i="22"/>
  <c r="K43" i="22"/>
  <c r="G43" i="22"/>
  <c r="I58" i="22"/>
  <c r="I91" i="22"/>
  <c r="I45" i="22"/>
  <c r="G67" i="22"/>
  <c r="K67" i="22"/>
  <c r="I62" i="22"/>
  <c r="I79" i="22"/>
  <c r="I89" i="22"/>
  <c r="I42" i="22"/>
  <c r="I59" i="22"/>
  <c r="I68" i="22"/>
  <c r="I86" i="22"/>
  <c r="K45" i="22"/>
  <c r="G45" i="22"/>
  <c r="I70" i="22"/>
  <c r="F70" i="22"/>
  <c r="G70" i="22"/>
  <c r="I87" i="22"/>
  <c r="I40" i="22"/>
  <c r="I67" i="22"/>
  <c r="K38" i="22"/>
  <c r="G38" i="22"/>
  <c r="G65" i="22"/>
  <c r="F92" i="22"/>
  <c r="I92" i="22"/>
  <c r="I66" i="22"/>
  <c r="G40" i="22"/>
  <c r="K40" i="22"/>
  <c r="G35" i="22"/>
  <c r="G68" i="22"/>
  <c r="I35" i="22"/>
  <c r="I57" i="22"/>
  <c r="I85" i="22"/>
  <c r="I81" i="22"/>
  <c r="G61" i="22"/>
  <c r="I37" i="22"/>
  <c r="K41" i="22"/>
  <c r="G41" i="22"/>
  <c r="G58" i="22"/>
  <c r="G44" i="22"/>
  <c r="K44" i="22"/>
  <c r="G59" i="22"/>
  <c r="K42" i="22"/>
  <c r="G42" i="22"/>
  <c r="K36" i="22"/>
  <c r="G36" i="22"/>
  <c r="K60" i="22"/>
  <c r="G60" i="22"/>
  <c r="I60" i="22"/>
  <c r="I90" i="22"/>
  <c r="I83" i="22"/>
  <c r="I80" i="22"/>
  <c r="I84" i="22"/>
  <c r="G63" i="22"/>
  <c r="G57" i="22"/>
  <c r="F48" i="22"/>
  <c r="I48" i="22"/>
  <c r="G48" i="22"/>
  <c r="G39" i="22"/>
  <c r="K39" i="22"/>
  <c r="I41" i="22"/>
  <c r="I88" i="22"/>
  <c r="I69" i="22"/>
  <c r="G66" i="22"/>
  <c r="I63" i="22"/>
  <c r="I47" i="22"/>
  <c r="X157" i="22"/>
  <c r="G157" i="22"/>
  <c r="I65" i="22"/>
  <c r="I39" i="22"/>
  <c r="I46" i="22"/>
  <c r="I43" i="22"/>
  <c r="I36" i="22"/>
  <c r="I44" i="22"/>
  <c r="I38" i="22"/>
  <c r="I82" i="22"/>
  <c r="I64" i="22"/>
  <c r="G64" i="22"/>
  <c r="X113" i="22"/>
  <c r="G113" i="22"/>
  <c r="K46" i="22"/>
  <c r="G46" i="22"/>
  <c r="I61" i="22"/>
  <c r="G37" i="22"/>
  <c r="P89" i="22"/>
  <c r="P81" i="22"/>
  <c r="P85" i="22"/>
  <c r="P79" i="22"/>
  <c r="P82" i="22"/>
  <c r="P88" i="22"/>
  <c r="P86" i="22"/>
  <c r="P87" i="22"/>
  <c r="P84" i="22"/>
  <c r="P80" i="22"/>
  <c r="P83" i="22"/>
  <c r="P90" i="22"/>
  <c r="P91" i="22"/>
  <c r="K66" i="22" l="1"/>
  <c r="K58" i="22"/>
  <c r="K65" i="22"/>
  <c r="R88" i="22"/>
  <c r="G88" i="22"/>
  <c r="R90" i="22"/>
  <c r="G90" i="22"/>
  <c r="R81" i="22"/>
  <c r="G81" i="22"/>
  <c r="R82" i="22"/>
  <c r="G82" i="22"/>
  <c r="R80" i="22"/>
  <c r="G80" i="22"/>
  <c r="R87" i="22"/>
  <c r="G87" i="22"/>
  <c r="R86" i="22"/>
  <c r="G86" i="22"/>
  <c r="R85" i="22"/>
  <c r="G85" i="22"/>
  <c r="R89" i="22"/>
  <c r="G89" i="22"/>
  <c r="R84" i="22"/>
  <c r="M84" i="22" s="1"/>
  <c r="N84" i="22" s="1"/>
  <c r="G84" i="22"/>
  <c r="R83" i="22"/>
  <c r="G83" i="22"/>
  <c r="R79" i="22"/>
  <c r="G92" i="22"/>
  <c r="G79" i="22"/>
  <c r="K68" i="22"/>
  <c r="K64" i="22"/>
  <c r="K61" i="22"/>
  <c r="X82" i="22"/>
  <c r="X86" i="22"/>
  <c r="X80" i="22"/>
  <c r="X61" i="22"/>
  <c r="X84" i="22"/>
  <c r="X35" i="22"/>
  <c r="X65" i="22"/>
  <c r="X68" i="22"/>
  <c r="X58" i="22"/>
  <c r="X88" i="22"/>
  <c r="X43" i="22"/>
  <c r="X37" i="22"/>
  <c r="X62" i="22"/>
  <c r="X41" i="22"/>
  <c r="X90" i="22"/>
  <c r="X44" i="22"/>
  <c r="X39" i="22"/>
  <c r="X38" i="22"/>
  <c r="X81" i="22"/>
  <c r="X46" i="22"/>
  <c r="X36" i="22"/>
  <c r="X89" i="22"/>
  <c r="X64" i="22"/>
  <c r="X87" i="22"/>
  <c r="X42" i="22"/>
  <c r="X60" i="22"/>
  <c r="X57" i="22"/>
  <c r="X63" i="22"/>
  <c r="B184" i="22"/>
  <c r="V37" i="22"/>
  <c r="X66" i="22"/>
  <c r="X85" i="22"/>
  <c r="X83" i="22"/>
  <c r="X40" i="22"/>
  <c r="X79" i="22"/>
  <c r="X67" i="22"/>
  <c r="X45" i="22"/>
  <c r="X59" i="22"/>
  <c r="K59" i="22"/>
  <c r="K62" i="22"/>
  <c r="K63" i="22"/>
  <c r="K57" i="22"/>
  <c r="K70" i="22"/>
  <c r="K37" i="22"/>
  <c r="K48" i="22"/>
  <c r="K35" i="22"/>
  <c r="M89" i="22" l="1"/>
  <c r="N89" i="22" s="1"/>
  <c r="K89" i="22"/>
  <c r="M85" i="22"/>
  <c r="N85" i="22" s="1"/>
  <c r="V85" i="22" s="1"/>
  <c r="K85" i="22"/>
  <c r="M81" i="22"/>
  <c r="N81" i="22" s="1"/>
  <c r="V81" i="22" s="1"/>
  <c r="K81" i="22"/>
  <c r="M80" i="22"/>
  <c r="N80" i="22" s="1"/>
  <c r="V80" i="22" s="1"/>
  <c r="K80" i="22"/>
  <c r="K92" i="22"/>
  <c r="M79" i="22"/>
  <c r="N79" i="22" s="1"/>
  <c r="K79" i="22"/>
  <c r="M86" i="22"/>
  <c r="N86" i="22" s="1"/>
  <c r="K86" i="22"/>
  <c r="M90" i="22"/>
  <c r="N90" i="22" s="1"/>
  <c r="K90" i="22"/>
  <c r="M82" i="22"/>
  <c r="N82" i="22" s="1"/>
  <c r="K82" i="22"/>
  <c r="K84" i="22"/>
  <c r="M83" i="22"/>
  <c r="N83" i="22" s="1"/>
  <c r="V83" i="22" s="1"/>
  <c r="K83" i="22"/>
  <c r="M87" i="22"/>
  <c r="N87" i="22" s="1"/>
  <c r="K87" i="22"/>
  <c r="M88" i="22"/>
  <c r="N88" i="22" s="1"/>
  <c r="V88" i="22" s="1"/>
  <c r="K88" i="22"/>
  <c r="B206" i="22"/>
  <c r="V43" i="22"/>
  <c r="V44" i="22"/>
  <c r="V35" i="22"/>
  <c r="V41" i="22"/>
  <c r="V40" i="22"/>
  <c r="V58" i="22"/>
  <c r="V45" i="22"/>
  <c r="V39" i="22"/>
  <c r="V36" i="22"/>
  <c r="V61" i="22"/>
  <c r="V38" i="22"/>
  <c r="V42" i="22"/>
  <c r="V65" i="22"/>
  <c r="V48" i="22" l="1"/>
  <c r="B49" i="22" s="1" a="1"/>
  <c r="B49" i="22" s="1"/>
  <c r="B228" i="22"/>
  <c r="X48" i="22"/>
  <c r="M47" i="22"/>
  <c r="V64" i="22"/>
  <c r="V86" i="22"/>
  <c r="X70" i="22"/>
  <c r="V84" i="22"/>
  <c r="L49" i="22"/>
  <c r="M48" i="22"/>
  <c r="V67" i="22"/>
  <c r="V89" i="22"/>
  <c r="V66" i="22"/>
  <c r="V57" i="22"/>
  <c r="V63" i="22"/>
  <c r="V62" i="22"/>
  <c r="V87" i="22"/>
  <c r="V59" i="22"/>
  <c r="X92" i="22"/>
  <c r="V79" i="22"/>
  <c r="AV7" i="1"/>
  <c r="AW7" i="1"/>
  <c r="B250" i="22" l="1"/>
  <c r="H49" i="22"/>
  <c r="K47" i="22"/>
  <c r="M69" i="22"/>
  <c r="K69" i="22"/>
  <c r="B272" i="22" l="1"/>
  <c r="E49" i="22"/>
  <c r="B294" i="22" l="1"/>
  <c r="B316" i="22" l="1"/>
  <c r="B338" i="22" l="1"/>
  <c r="B360" i="22" l="1"/>
  <c r="B382" i="22" l="1"/>
  <c r="B404" i="22" l="1"/>
  <c r="B426" i="22" l="1"/>
  <c r="B448" i="22" l="1"/>
  <c r="W606" i="22"/>
  <c r="E602" i="22"/>
  <c r="E624" i="22" s="1"/>
  <c r="E646" i="22" s="1"/>
  <c r="E668" i="22" s="1"/>
  <c r="E690" i="22" s="1"/>
  <c r="E712" i="22" s="1"/>
  <c r="E734" i="22" s="1"/>
  <c r="E756" i="22" s="1"/>
  <c r="E778" i="22" s="1"/>
  <c r="E800" i="22" s="1"/>
  <c r="E822" i="22" s="1"/>
  <c r="E844" i="22" s="1"/>
  <c r="D602" i="22"/>
  <c r="D624" i="22" s="1"/>
  <c r="D646" i="22" s="1"/>
  <c r="D668" i="22" s="1"/>
  <c r="D690" i="22" s="1"/>
  <c r="D712" i="22" s="1"/>
  <c r="D734" i="22" s="1"/>
  <c r="D756" i="22" s="1"/>
  <c r="D778" i="22" s="1"/>
  <c r="D800" i="22" s="1"/>
  <c r="D822" i="22" s="1"/>
  <c r="D844" i="22" s="1"/>
  <c r="C602" i="22"/>
  <c r="C624" i="22" s="1"/>
  <c r="C646" i="22" s="1"/>
  <c r="C668" i="22" s="1"/>
  <c r="C690" i="22" s="1"/>
  <c r="C712" i="22" s="1"/>
  <c r="C734" i="22" s="1"/>
  <c r="C756" i="22" s="1"/>
  <c r="C778" i="22" s="1"/>
  <c r="C800" i="22" s="1"/>
  <c r="C822" i="22" s="1"/>
  <c r="C844" i="22" s="1"/>
  <c r="A602" i="22"/>
  <c r="A624" i="22" s="1"/>
  <c r="A646" i="22" s="1"/>
  <c r="A668" i="22" s="1"/>
  <c r="A690" i="22" s="1"/>
  <c r="A712" i="22" s="1"/>
  <c r="A734" i="22" s="1"/>
  <c r="A756" i="22" s="1"/>
  <c r="A778" i="22" s="1"/>
  <c r="A800" i="22" s="1"/>
  <c r="A822" i="22" s="1"/>
  <c r="A844" i="22" s="1"/>
  <c r="B470" i="22" l="1"/>
  <c r="O14" i="22"/>
  <c r="O15" i="22" l="1"/>
  <c r="B492" i="22"/>
  <c r="O16" i="22" l="1"/>
  <c r="B514" i="22"/>
  <c r="AW3" i="1"/>
  <c r="R91" i="22" l="1"/>
  <c r="B536" i="22"/>
  <c r="AD47" i="22"/>
  <c r="AC47" i="22"/>
  <c r="AD46" i="22"/>
  <c r="AC46" i="22"/>
  <c r="Z44" i="22"/>
  <c r="Z42" i="22"/>
  <c r="G25" i="22"/>
  <c r="M91" i="22" l="1"/>
  <c r="K91" i="22"/>
  <c r="B558" i="22"/>
  <c r="A70" i="22"/>
  <c r="I13" i="22"/>
  <c r="G55" i="22"/>
  <c r="B55" i="22"/>
  <c r="N55" i="22"/>
  <c r="K71" i="22"/>
  <c r="M55" i="22"/>
  <c r="G53" i="22"/>
  <c r="I71" i="22"/>
  <c r="K55" i="22"/>
  <c r="D53" i="22"/>
  <c r="G71" i="22"/>
  <c r="I55" i="22"/>
  <c r="A53" i="22"/>
  <c r="F55" i="22"/>
  <c r="A55" i="22"/>
  <c r="M71" i="22"/>
  <c r="A71" i="22"/>
  <c r="K53" i="22"/>
  <c r="D71" i="22"/>
  <c r="U131" i="22"/>
  <c r="M273" i="22"/>
  <c r="E273" i="22"/>
  <c r="C58" i="23"/>
  <c r="S133" i="22"/>
  <c r="F152" i="22"/>
  <c r="U133" i="22"/>
  <c r="A62" i="23"/>
  <c r="T129" i="22"/>
  <c r="U157" i="22"/>
  <c r="B125" i="22"/>
  <c r="J77" i="23"/>
  <c r="B163" i="22"/>
  <c r="B148" i="22"/>
  <c r="C83" i="23"/>
  <c r="U146" i="22"/>
  <c r="B102" i="22"/>
  <c r="U125" i="22"/>
  <c r="T124" i="22"/>
  <c r="H66" i="23"/>
  <c r="Q113" i="22"/>
  <c r="A149" i="22"/>
  <c r="T152" i="22"/>
  <c r="H84" i="23"/>
  <c r="B154" i="22"/>
  <c r="A63" i="23"/>
  <c r="J62" i="23"/>
  <c r="T150" i="22"/>
  <c r="A147" i="22"/>
  <c r="B339" i="22"/>
  <c r="B130" i="22"/>
  <c r="S130" i="22"/>
  <c r="M317" i="22"/>
  <c r="Q152" i="22"/>
  <c r="H62" i="23"/>
  <c r="S107" i="22"/>
  <c r="C118" i="23"/>
  <c r="F129" i="22"/>
  <c r="H76" i="23"/>
  <c r="H60" i="23"/>
  <c r="T134" i="22"/>
  <c r="A135" i="22"/>
  <c r="U111" i="22"/>
  <c r="Q131" i="22"/>
  <c r="F206" i="22"/>
  <c r="T130" i="22"/>
  <c r="U108" i="22"/>
  <c r="B295" i="22"/>
  <c r="B147" i="22"/>
  <c r="I85" i="23"/>
  <c r="I54" i="23"/>
  <c r="B153" i="22"/>
  <c r="B133" i="22"/>
  <c r="S149" i="22"/>
  <c r="U155" i="22"/>
  <c r="A86" i="23"/>
  <c r="M383" i="22"/>
  <c r="I86" i="23"/>
  <c r="A101" i="22"/>
  <c r="A131" i="22"/>
  <c r="F338" i="22"/>
  <c r="A64" i="23"/>
  <c r="I273" i="22"/>
  <c r="F156" i="22"/>
  <c r="T153" i="22"/>
  <c r="Q146" i="22"/>
  <c r="C82" i="23"/>
  <c r="U126" i="22"/>
  <c r="B383" i="22"/>
  <c r="J84" i="23"/>
  <c r="C63" i="23"/>
  <c r="U150" i="22"/>
  <c r="A56" i="23"/>
  <c r="T110" i="22"/>
  <c r="A57" i="23"/>
  <c r="S153" i="22"/>
  <c r="S148" i="22"/>
  <c r="S126" i="22"/>
  <c r="S154" i="22"/>
  <c r="Q130" i="22"/>
  <c r="U145" i="22"/>
  <c r="Q153" i="22"/>
  <c r="I76" i="23"/>
  <c r="J58" i="23"/>
  <c r="M251" i="22"/>
  <c r="I77" i="23"/>
  <c r="I207" i="22"/>
  <c r="Q148" i="22"/>
  <c r="E229" i="22"/>
  <c r="U154" i="22"/>
  <c r="H82" i="23"/>
  <c r="F147" i="22"/>
  <c r="I295" i="22"/>
  <c r="B405" i="22"/>
  <c r="C62" i="23"/>
  <c r="Q110" i="22"/>
  <c r="F108" i="22"/>
  <c r="B131" i="22"/>
  <c r="F123" i="22"/>
  <c r="A134" i="22"/>
  <c r="U106" i="22"/>
  <c r="F272" i="22"/>
  <c r="H65" i="23"/>
  <c r="A65" i="23"/>
  <c r="F148" i="22"/>
  <c r="B207" i="22"/>
  <c r="B111" i="22"/>
  <c r="Q103" i="22"/>
  <c r="C78" i="23"/>
  <c r="A110" i="22"/>
  <c r="U151" i="22"/>
  <c r="B155" i="22"/>
  <c r="B151" i="22"/>
  <c r="B317" i="22"/>
  <c r="H64" i="23"/>
  <c r="I163" i="22"/>
  <c r="I405" i="22"/>
  <c r="J78" i="23"/>
  <c r="C55" i="23"/>
  <c r="S111" i="22"/>
  <c r="C65" i="23"/>
  <c r="F294" i="22"/>
  <c r="F106" i="22"/>
  <c r="B152" i="22"/>
  <c r="M427" i="22"/>
  <c r="B126" i="22"/>
  <c r="Q123" i="22"/>
  <c r="J80" i="23"/>
  <c r="U132" i="22"/>
  <c r="U123" i="22"/>
  <c r="U110" i="22"/>
  <c r="S131" i="22"/>
  <c r="E163" i="22"/>
  <c r="C73" i="23"/>
  <c r="T113" i="22"/>
  <c r="T106" i="22"/>
  <c r="B128" i="22"/>
  <c r="S123" i="22"/>
  <c r="F131" i="22"/>
  <c r="B107" i="22"/>
  <c r="S125" i="22"/>
  <c r="A108" i="22"/>
  <c r="B156" i="22"/>
  <c r="A152" i="22"/>
  <c r="T107" i="22"/>
  <c r="U105" i="22"/>
  <c r="S151" i="22"/>
  <c r="H59" i="23"/>
  <c r="I96" i="23"/>
  <c r="I80" i="23"/>
  <c r="F134" i="22"/>
  <c r="Q128" i="22"/>
  <c r="S109" i="22"/>
  <c r="I61" i="23"/>
  <c r="T105" i="22"/>
  <c r="B106" i="22"/>
  <c r="A82" i="23"/>
  <c r="F151" i="22"/>
  <c r="Q135" i="22"/>
  <c r="H56" i="23"/>
  <c r="I84" i="23"/>
  <c r="Q102" i="22"/>
  <c r="B157" i="22"/>
  <c r="F145" i="22"/>
  <c r="H79" i="23"/>
  <c r="F102" i="22"/>
  <c r="I78" i="23"/>
  <c r="A103" i="22"/>
  <c r="T125" i="22"/>
  <c r="B127" i="22"/>
  <c r="Q157" i="22"/>
  <c r="F104" i="22"/>
  <c r="S147" i="22"/>
  <c r="J61" i="23"/>
  <c r="I361" i="22"/>
  <c r="H88" i="23"/>
  <c r="S145" i="22"/>
  <c r="S127" i="22"/>
  <c r="C74" i="23"/>
  <c r="F162" i="22"/>
  <c r="C117" i="23"/>
  <c r="A54" i="23"/>
  <c r="C79" i="23"/>
  <c r="F316" i="22"/>
  <c r="Q151" i="22"/>
  <c r="Q109" i="22"/>
  <c r="S146" i="22"/>
  <c r="B149" i="22"/>
  <c r="F157" i="22"/>
  <c r="A111" i="22"/>
  <c r="C85" i="23"/>
  <c r="C61" i="23"/>
  <c r="Q126" i="22"/>
  <c r="B109" i="22"/>
  <c r="C95" i="23"/>
  <c r="B104" i="22"/>
  <c r="B150" i="22"/>
  <c r="J85" i="23"/>
  <c r="I81" i="23"/>
  <c r="I117" i="23"/>
  <c r="Q134" i="22"/>
  <c r="U107" i="22"/>
  <c r="C86" i="23"/>
  <c r="A150" i="22"/>
  <c r="H78" i="23"/>
  <c r="U101" i="22"/>
  <c r="A79" i="23"/>
  <c r="E251" i="22"/>
  <c r="I60" i="23"/>
  <c r="F126" i="22"/>
  <c r="T128" i="22"/>
  <c r="I272" i="23"/>
  <c r="T127" i="22"/>
  <c r="I140" i="23"/>
  <c r="A156" i="22"/>
  <c r="B229" i="22"/>
  <c r="H85" i="23"/>
  <c r="F103" i="22"/>
  <c r="S105" i="22"/>
  <c r="C77" i="23"/>
  <c r="A154" i="22"/>
  <c r="U112" i="22"/>
  <c r="F113" i="22"/>
  <c r="S135" i="22"/>
  <c r="C81" i="23"/>
  <c r="Q101" i="22"/>
  <c r="H77" i="23"/>
  <c r="T123" i="22"/>
  <c r="A124" i="22"/>
  <c r="B103" i="22"/>
  <c r="I229" i="22"/>
  <c r="M229" i="22"/>
  <c r="A76" i="23"/>
  <c r="T111" i="22"/>
  <c r="F250" i="22"/>
  <c r="Q112" i="22"/>
  <c r="A130" i="22"/>
  <c r="A78" i="23"/>
  <c r="I83" i="23"/>
  <c r="S103" i="22"/>
  <c r="J64" i="23"/>
  <c r="M185" i="22"/>
  <c r="T148" i="22"/>
  <c r="F153" i="22"/>
  <c r="H86" i="23"/>
  <c r="H87" i="23"/>
  <c r="F149" i="22"/>
  <c r="J55" i="23"/>
  <c r="Q127" i="22"/>
  <c r="E405" i="22"/>
  <c r="I118" i="23"/>
  <c r="A80" i="23"/>
  <c r="M163" i="22"/>
  <c r="C52" i="23"/>
  <c r="E185" i="22"/>
  <c r="U147" i="22"/>
  <c r="Q105" i="22"/>
  <c r="F426" i="22"/>
  <c r="A81" i="23"/>
  <c r="E383" i="22"/>
  <c r="S132" i="22"/>
  <c r="J76" i="23"/>
  <c r="B251" i="22"/>
  <c r="J63" i="23"/>
  <c r="T147" i="22"/>
  <c r="T156" i="22"/>
  <c r="U103" i="22"/>
  <c r="F111" i="22"/>
  <c r="J87" i="23"/>
  <c r="U102" i="22"/>
  <c r="A85" i="23"/>
  <c r="M361" i="22"/>
  <c r="I427" i="22"/>
  <c r="B112" i="22"/>
  <c r="I58" i="23"/>
  <c r="A61" i="23"/>
  <c r="T135" i="22"/>
  <c r="E317" i="22"/>
  <c r="S106" i="22"/>
  <c r="A66" i="23"/>
  <c r="U129" i="22"/>
  <c r="F112" i="22"/>
  <c r="F150" i="22"/>
  <c r="I141" i="22"/>
  <c r="I56" i="23"/>
  <c r="A77" i="23"/>
  <c r="I87" i="23"/>
  <c r="T145" i="22"/>
  <c r="S102" i="22"/>
  <c r="F107" i="22"/>
  <c r="I185" i="22"/>
  <c r="B123" i="22"/>
  <c r="A128" i="22"/>
  <c r="U148" i="22"/>
  <c r="S113" i="22"/>
  <c r="F133" i="22"/>
  <c r="Q132" i="22"/>
  <c r="H80" i="23"/>
  <c r="A133" i="22"/>
  <c r="E361" i="22"/>
  <c r="C84" i="23"/>
  <c r="F184" i="22"/>
  <c r="S104" i="22"/>
  <c r="T133" i="22"/>
  <c r="J82" i="23"/>
  <c r="U130" i="22"/>
  <c r="A104" i="22"/>
  <c r="F132" i="22"/>
  <c r="B134" i="22"/>
  <c r="H81" i="23"/>
  <c r="F404" i="22"/>
  <c r="T109" i="22"/>
  <c r="I55" i="23"/>
  <c r="I317" i="22"/>
  <c r="M405" i="22"/>
  <c r="C54" i="23"/>
  <c r="Q133" i="22"/>
  <c r="T131" i="22"/>
  <c r="C140" i="23"/>
  <c r="T155" i="22"/>
  <c r="Q156" i="22"/>
  <c r="T149" i="22"/>
  <c r="I82" i="23"/>
  <c r="A125" i="22"/>
  <c r="E339" i="22"/>
  <c r="J54" i="23"/>
  <c r="H54" i="23"/>
  <c r="U135" i="22"/>
  <c r="F155" i="22"/>
  <c r="J56" i="23"/>
  <c r="B101" i="22"/>
  <c r="Q111" i="22"/>
  <c r="B185" i="22"/>
  <c r="C183" i="23" s="1"/>
  <c r="Q149" i="22"/>
  <c r="U113" i="22"/>
  <c r="C76" i="23"/>
  <c r="I339" i="22"/>
  <c r="F146" i="22"/>
  <c r="H143" i="23" s="1"/>
  <c r="A106" i="22"/>
  <c r="A103" i="23" s="1"/>
  <c r="J83" i="23"/>
  <c r="A129" i="22"/>
  <c r="E207" i="22"/>
  <c r="C206" i="23" s="1"/>
  <c r="H61" i="23"/>
  <c r="A58" i="23"/>
  <c r="S152" i="22"/>
  <c r="B427" i="22"/>
  <c r="C66" i="23"/>
  <c r="A88" i="23"/>
  <c r="S112" i="22"/>
  <c r="A102" i="22"/>
  <c r="Q147" i="22"/>
  <c r="A112" i="22"/>
  <c r="A59" i="23"/>
  <c r="F382" i="22"/>
  <c r="A132" i="22"/>
  <c r="A107" i="22"/>
  <c r="U152" i="22"/>
  <c r="T101" i="22"/>
  <c r="J86" i="23"/>
  <c r="Q108" i="22"/>
  <c r="S156" i="22"/>
  <c r="S128" i="22"/>
  <c r="T132" i="22"/>
  <c r="F124" i="22"/>
  <c r="A157" i="22"/>
  <c r="C59" i="23"/>
  <c r="B146" i="22"/>
  <c r="H58" i="23"/>
  <c r="B145" i="22"/>
  <c r="F101" i="22"/>
  <c r="T126" i="22"/>
  <c r="C250" i="23"/>
  <c r="C64" i="23"/>
  <c r="H142" i="23"/>
  <c r="B273" i="22"/>
  <c r="E427" i="22"/>
  <c r="I63" i="23"/>
  <c r="S157" i="22"/>
  <c r="H63" i="23"/>
  <c r="F130" i="22"/>
  <c r="H57" i="23"/>
  <c r="A126" i="22"/>
  <c r="C57" i="23"/>
  <c r="I64" i="23"/>
  <c r="C88" i="23"/>
  <c r="T102" i="22"/>
  <c r="S108" i="22"/>
  <c r="M207" i="22"/>
  <c r="S110" i="22"/>
  <c r="F127" i="22"/>
  <c r="J81" i="23"/>
  <c r="A148" i="22"/>
  <c r="I59" i="23"/>
  <c r="T146" i="22"/>
  <c r="A123" i="22"/>
  <c r="J59" i="23"/>
  <c r="F125" i="22"/>
  <c r="B124" i="22"/>
  <c r="H55" i="23"/>
  <c r="S150" i="22"/>
  <c r="F154" i="22"/>
  <c r="H151" i="23" s="1"/>
  <c r="S101" i="22"/>
  <c r="U127" i="22"/>
  <c r="F110" i="22"/>
  <c r="A113" i="22"/>
  <c r="Q124" i="22"/>
  <c r="U149" i="22"/>
  <c r="A83" i="23"/>
  <c r="M295" i="22"/>
  <c r="B361" i="22"/>
  <c r="U134" i="22"/>
  <c r="A55" i="23"/>
  <c r="C139" i="23"/>
  <c r="A145" i="22"/>
  <c r="T112" i="22"/>
  <c r="A60" i="23"/>
  <c r="U109" i="22"/>
  <c r="F109" i="22"/>
  <c r="C87" i="23"/>
  <c r="A105" i="22"/>
  <c r="F228" i="22"/>
  <c r="U128" i="22"/>
  <c r="F128" i="22"/>
  <c r="F105" i="22"/>
  <c r="H102" i="23" s="1"/>
  <c r="U153" i="22"/>
  <c r="U124" i="22"/>
  <c r="Q145" i="22"/>
  <c r="J60" i="23"/>
  <c r="B113" i="22"/>
  <c r="F360" i="22"/>
  <c r="B105" i="22"/>
  <c r="S129" i="22"/>
  <c r="A84" i="23"/>
  <c r="A151" i="22"/>
  <c r="U156" i="22"/>
  <c r="B108" i="22"/>
  <c r="S155" i="22"/>
  <c r="W155" i="22" s="1"/>
  <c r="E295" i="22"/>
  <c r="Q125" i="22"/>
  <c r="W110" i="22"/>
  <c r="A109" i="22"/>
  <c r="C60" i="23"/>
  <c r="I66" i="23"/>
  <c r="Q155" i="22"/>
  <c r="H83" i="23"/>
  <c r="U104" i="22"/>
  <c r="Q154" i="22"/>
  <c r="T151" i="22"/>
  <c r="S124" i="22"/>
  <c r="T103" i="22"/>
  <c r="B135" i="22"/>
  <c r="A87" i="23"/>
  <c r="I251" i="22"/>
  <c r="I62" i="23"/>
  <c r="T157" i="22"/>
  <c r="Q104" i="22"/>
  <c r="C56" i="23"/>
  <c r="Q106" i="22"/>
  <c r="A153" i="22"/>
  <c r="S134" i="22"/>
  <c r="B132" i="22"/>
  <c r="C80" i="23"/>
  <c r="Q150" i="22"/>
  <c r="A146" i="22"/>
  <c r="B129" i="22"/>
  <c r="T154" i="22"/>
  <c r="Q107" i="22"/>
  <c r="J65" i="23"/>
  <c r="I383" i="22"/>
  <c r="W131" i="22"/>
  <c r="M339" i="22"/>
  <c r="A155" i="22"/>
  <c r="Q129" i="22"/>
  <c r="F135" i="22"/>
  <c r="T108" i="22"/>
  <c r="B110" i="22"/>
  <c r="A127" i="22"/>
  <c r="T104" i="22"/>
  <c r="I65" i="23"/>
  <c r="H98" i="23"/>
  <c r="I129" i="22" l="1"/>
  <c r="X131" i="22"/>
  <c r="I107" i="22"/>
  <c r="I150" i="22"/>
  <c r="I106" i="22"/>
  <c r="I104" i="22"/>
  <c r="I154" i="22"/>
  <c r="I155" i="22"/>
  <c r="X110" i="22"/>
  <c r="I125" i="22"/>
  <c r="X155" i="22"/>
  <c r="G377" i="22"/>
  <c r="X377" i="22"/>
  <c r="I145" i="22"/>
  <c r="X245" i="22"/>
  <c r="G245" i="22"/>
  <c r="I124" i="22"/>
  <c r="I114" i="22"/>
  <c r="F114" i="22"/>
  <c r="I108" i="22"/>
  <c r="G399" i="22"/>
  <c r="X399" i="22"/>
  <c r="I147" i="22"/>
  <c r="I149" i="22"/>
  <c r="I111" i="22"/>
  <c r="H67" i="23"/>
  <c r="I156" i="22"/>
  <c r="I133" i="22"/>
  <c r="X421" i="22"/>
  <c r="G421" i="22"/>
  <c r="X201" i="22"/>
  <c r="G201" i="22"/>
  <c r="I132" i="22"/>
  <c r="X443" i="22"/>
  <c r="G443" i="22"/>
  <c r="I105" i="22"/>
  <c r="I127" i="22"/>
  <c r="I112" i="22"/>
  <c r="G267" i="22"/>
  <c r="X267" i="22"/>
  <c r="I101" i="22"/>
  <c r="I134" i="22"/>
  <c r="I126" i="22"/>
  <c r="I109" i="22"/>
  <c r="I151" i="22"/>
  <c r="G333" i="22"/>
  <c r="X333" i="22"/>
  <c r="X179" i="22"/>
  <c r="G179" i="22"/>
  <c r="I157" i="22"/>
  <c r="F158" i="22"/>
  <c r="I158" i="22"/>
  <c r="I102" i="22"/>
  <c r="I135" i="22"/>
  <c r="I128" i="22"/>
  <c r="I123" i="22"/>
  <c r="X311" i="22"/>
  <c r="G311" i="22"/>
  <c r="I103" i="22"/>
  <c r="G289" i="22"/>
  <c r="X289" i="22"/>
  <c r="F136" i="22"/>
  <c r="I136" i="22"/>
  <c r="I110" i="22"/>
  <c r="I148" i="22"/>
  <c r="I153" i="22"/>
  <c r="I130" i="22"/>
  <c r="I146" i="22"/>
  <c r="G355" i="22"/>
  <c r="X355" i="22"/>
  <c r="G223" i="22"/>
  <c r="X223" i="22"/>
  <c r="I131" i="22"/>
  <c r="H89" i="23"/>
  <c r="I152" i="22"/>
  <c r="I113" i="22"/>
  <c r="X13" i="22"/>
  <c r="B580" i="22"/>
  <c r="F77" i="22"/>
  <c r="M77" i="22"/>
  <c r="M99" i="22" s="1"/>
  <c r="M121" i="22" s="1"/>
  <c r="M143" i="22" s="1"/>
  <c r="M165" i="22" s="1"/>
  <c r="M187" i="22" s="1"/>
  <c r="M209" i="22" s="1"/>
  <c r="M231" i="22" s="1"/>
  <c r="M253" i="22" s="1"/>
  <c r="M275" i="22" s="1"/>
  <c r="M297" i="22" s="1"/>
  <c r="M319" i="22" s="1"/>
  <c r="M341" i="22" s="1"/>
  <c r="M363" i="22" s="1"/>
  <c r="M385" i="22" s="1"/>
  <c r="M407" i="22" s="1"/>
  <c r="M429" i="22" s="1"/>
  <c r="K93" i="22"/>
  <c r="K115" i="22" s="1"/>
  <c r="K137" i="22" s="1"/>
  <c r="K159" i="22" s="1"/>
  <c r="K181" i="22" s="1"/>
  <c r="K203" i="22" s="1"/>
  <c r="K225" i="22" s="1"/>
  <c r="K247" i="22" s="1"/>
  <c r="K269" i="22" s="1"/>
  <c r="K291" i="22" s="1"/>
  <c r="K313" i="22" s="1"/>
  <c r="K335" i="22" s="1"/>
  <c r="K357" i="22" s="1"/>
  <c r="K379" i="22" s="1"/>
  <c r="K401" i="22" s="1"/>
  <c r="K423" i="22" s="1"/>
  <c r="K445" i="22" s="1"/>
  <c r="A75" i="22"/>
  <c r="A97" i="22" s="1"/>
  <c r="A119" i="22" s="1"/>
  <c r="A141" i="22" s="1"/>
  <c r="A163" i="22" s="1"/>
  <c r="A185" i="22" s="1"/>
  <c r="A207" i="22" s="1"/>
  <c r="A229" i="22" s="1"/>
  <c r="A251" i="22" s="1"/>
  <c r="A273" i="22" s="1"/>
  <c r="A295" i="22" s="1"/>
  <c r="A317" i="22" s="1"/>
  <c r="A339" i="22" s="1"/>
  <c r="A361" i="22" s="1"/>
  <c r="A383" i="22" s="1"/>
  <c r="A405" i="22" s="1"/>
  <c r="A427" i="22" s="1"/>
  <c r="N77" i="22"/>
  <c r="N99" i="22" s="1"/>
  <c r="N121" i="22" s="1"/>
  <c r="N143" i="22" s="1"/>
  <c r="N165" i="22" s="1"/>
  <c r="N187" i="22" s="1"/>
  <c r="N209" i="22" s="1"/>
  <c r="N231" i="22" s="1"/>
  <c r="N253" i="22" s="1"/>
  <c r="N275" i="22" s="1"/>
  <c r="N297" i="22" s="1"/>
  <c r="N319" i="22" s="1"/>
  <c r="N341" i="22" s="1"/>
  <c r="N363" i="22" s="1"/>
  <c r="N385" i="22" s="1"/>
  <c r="N407" i="22" s="1"/>
  <c r="N429" i="22" s="1"/>
  <c r="D93" i="22"/>
  <c r="D115" i="22" s="1"/>
  <c r="D137" i="22" s="1"/>
  <c r="D159" i="22" s="1"/>
  <c r="D181" i="22" s="1"/>
  <c r="D203" i="22" s="1"/>
  <c r="D225" i="22" s="1"/>
  <c r="D247" i="22" s="1"/>
  <c r="D269" i="22" s="1"/>
  <c r="D291" i="22" s="1"/>
  <c r="D313" i="22" s="1"/>
  <c r="D335" i="22" s="1"/>
  <c r="D357" i="22" s="1"/>
  <c r="D379" i="22" s="1"/>
  <c r="D401" i="22" s="1"/>
  <c r="D423" i="22" s="1"/>
  <c r="D445" i="22" s="1"/>
  <c r="G93" i="22"/>
  <c r="G115" i="22" s="1"/>
  <c r="G137" i="22" s="1"/>
  <c r="G159" i="22" s="1"/>
  <c r="G181" i="22" s="1"/>
  <c r="G203" i="22" s="1"/>
  <c r="G225" i="22" s="1"/>
  <c r="G247" i="22" s="1"/>
  <c r="G269" i="22" s="1"/>
  <c r="G291" i="22" s="1"/>
  <c r="G313" i="22" s="1"/>
  <c r="G335" i="22" s="1"/>
  <c r="G357" i="22" s="1"/>
  <c r="G379" i="22" s="1"/>
  <c r="G401" i="22" s="1"/>
  <c r="G423" i="22" s="1"/>
  <c r="G445" i="22" s="1"/>
  <c r="B77" i="22"/>
  <c r="B99" i="22" s="1"/>
  <c r="B121" i="22" s="1"/>
  <c r="B143" i="22" s="1"/>
  <c r="B165" i="22" s="1"/>
  <c r="B187" i="22" s="1"/>
  <c r="B209" i="22" s="1"/>
  <c r="B231" i="22" s="1"/>
  <c r="B253" i="22" s="1"/>
  <c r="B275" i="22" s="1"/>
  <c r="B297" i="22" s="1"/>
  <c r="B319" i="22" s="1"/>
  <c r="B341" i="22" s="1"/>
  <c r="B363" i="22" s="1"/>
  <c r="B385" i="22" s="1"/>
  <c r="B407" i="22" s="1"/>
  <c r="B429" i="22" s="1"/>
  <c r="K75" i="22"/>
  <c r="K97" i="22" s="1"/>
  <c r="K119" i="22" s="1"/>
  <c r="K141" i="22" s="1"/>
  <c r="K163" i="22" s="1"/>
  <c r="K185" i="22" s="1"/>
  <c r="K207" i="22" s="1"/>
  <c r="K229" i="22" s="1"/>
  <c r="K251" i="22" s="1"/>
  <c r="K273" i="22" s="1"/>
  <c r="K295" i="22" s="1"/>
  <c r="K317" i="22" s="1"/>
  <c r="K339" i="22" s="1"/>
  <c r="K361" i="22" s="1"/>
  <c r="K383" i="22" s="1"/>
  <c r="K405" i="22" s="1"/>
  <c r="K427" i="22" s="1"/>
  <c r="D75" i="22"/>
  <c r="D97" i="22" s="1"/>
  <c r="D119" i="22" s="1"/>
  <c r="D141" i="22" s="1"/>
  <c r="D163" i="22" s="1"/>
  <c r="D185" i="22" s="1"/>
  <c r="D207" i="22" s="1"/>
  <c r="D229" i="22" s="1"/>
  <c r="D251" i="22" s="1"/>
  <c r="D273" i="22" s="1"/>
  <c r="D295" i="22" s="1"/>
  <c r="D317" i="22" s="1"/>
  <c r="D339" i="22" s="1"/>
  <c r="D361" i="22" s="1"/>
  <c r="D383" i="22" s="1"/>
  <c r="D405" i="22" s="1"/>
  <c r="D427" i="22" s="1"/>
  <c r="G77" i="22"/>
  <c r="G99" i="22" s="1"/>
  <c r="G121" i="22" s="1"/>
  <c r="G143" i="22" s="1"/>
  <c r="G165" i="22" s="1"/>
  <c r="G187" i="22" s="1"/>
  <c r="G209" i="22" s="1"/>
  <c r="G231" i="22" s="1"/>
  <c r="G253" i="22" s="1"/>
  <c r="G275" i="22" s="1"/>
  <c r="G297" i="22" s="1"/>
  <c r="G319" i="22" s="1"/>
  <c r="G341" i="22" s="1"/>
  <c r="G363" i="22" s="1"/>
  <c r="G385" i="22" s="1"/>
  <c r="G407" i="22" s="1"/>
  <c r="G429" i="22" s="1"/>
  <c r="A93" i="22"/>
  <c r="A115" i="22" s="1"/>
  <c r="A137" i="22" s="1"/>
  <c r="A159" i="22" s="1"/>
  <c r="A181" i="22" s="1"/>
  <c r="A203" i="22" s="1"/>
  <c r="A225" i="22" s="1"/>
  <c r="A247" i="22" s="1"/>
  <c r="A269" i="22" s="1"/>
  <c r="A291" i="22" s="1"/>
  <c r="A313" i="22" s="1"/>
  <c r="A335" i="22" s="1"/>
  <c r="A357" i="22" s="1"/>
  <c r="A379" i="22" s="1"/>
  <c r="A401" i="22" s="1"/>
  <c r="A423" i="22" s="1"/>
  <c r="A445" i="22" s="1"/>
  <c r="I77" i="22"/>
  <c r="I99" i="22" s="1"/>
  <c r="I121" i="22" s="1"/>
  <c r="I143" i="22" s="1"/>
  <c r="I165" i="22" s="1"/>
  <c r="I187" i="22" s="1"/>
  <c r="I209" i="22" s="1"/>
  <c r="I231" i="22" s="1"/>
  <c r="I253" i="22" s="1"/>
  <c r="I275" i="22" s="1"/>
  <c r="I297" i="22" s="1"/>
  <c r="I319" i="22" s="1"/>
  <c r="I341" i="22" s="1"/>
  <c r="I363" i="22" s="1"/>
  <c r="I385" i="22" s="1"/>
  <c r="I407" i="22" s="1"/>
  <c r="I429" i="22" s="1"/>
  <c r="K77" i="22"/>
  <c r="K99" i="22" s="1"/>
  <c r="K121" i="22" s="1"/>
  <c r="K143" i="22" s="1"/>
  <c r="K165" i="22" s="1"/>
  <c r="K187" i="22" s="1"/>
  <c r="K209" i="22" s="1"/>
  <c r="K231" i="22" s="1"/>
  <c r="K253" i="22" s="1"/>
  <c r="K275" i="22" s="1"/>
  <c r="K297" i="22" s="1"/>
  <c r="K319" i="22" s="1"/>
  <c r="K341" i="22" s="1"/>
  <c r="K363" i="22" s="1"/>
  <c r="K385" i="22" s="1"/>
  <c r="K407" i="22" s="1"/>
  <c r="K429" i="22" s="1"/>
  <c r="I93" i="22"/>
  <c r="I115" i="22" s="1"/>
  <c r="I137" i="22" s="1"/>
  <c r="I159" i="22" s="1"/>
  <c r="I181" i="22" s="1"/>
  <c r="I203" i="22" s="1"/>
  <c r="I225" i="22" s="1"/>
  <c r="I247" i="22" s="1"/>
  <c r="I269" i="22" s="1"/>
  <c r="I291" i="22" s="1"/>
  <c r="I313" i="22" s="1"/>
  <c r="I335" i="22" s="1"/>
  <c r="I357" i="22" s="1"/>
  <c r="I379" i="22" s="1"/>
  <c r="I401" i="22" s="1"/>
  <c r="I423" i="22" s="1"/>
  <c r="I445" i="22" s="1"/>
  <c r="A92" i="22"/>
  <c r="A114" i="22" s="1"/>
  <c r="A136" i="22" s="1"/>
  <c r="A158" i="22" s="1"/>
  <c r="A180" i="22" s="1"/>
  <c r="A202" i="22" s="1"/>
  <c r="A224" i="22" s="1"/>
  <c r="A246" i="22" s="1"/>
  <c r="A268" i="22" s="1"/>
  <c r="A290" i="22" s="1"/>
  <c r="A312" i="22" s="1"/>
  <c r="A334" i="22" s="1"/>
  <c r="A356" i="22" s="1"/>
  <c r="A378" i="22" s="1"/>
  <c r="A400" i="22" s="1"/>
  <c r="A422" i="22" s="1"/>
  <c r="A444" i="22" s="1"/>
  <c r="M93" i="22"/>
  <c r="M115" i="22" s="1"/>
  <c r="M137" i="22" s="1"/>
  <c r="M159" i="22" s="1"/>
  <c r="M181" i="22" s="1"/>
  <c r="M203" i="22" s="1"/>
  <c r="M225" i="22" s="1"/>
  <c r="M247" i="22" s="1"/>
  <c r="M269" i="22" s="1"/>
  <c r="M291" i="22" s="1"/>
  <c r="M313" i="22" s="1"/>
  <c r="M335" i="22" s="1"/>
  <c r="M357" i="22" s="1"/>
  <c r="M379" i="22" s="1"/>
  <c r="M401" i="22" s="1"/>
  <c r="M423" i="22" s="1"/>
  <c r="M445" i="22" s="1"/>
  <c r="A77" i="22"/>
  <c r="A99" i="22" s="1"/>
  <c r="A121" i="22" s="1"/>
  <c r="A143" i="22" s="1"/>
  <c r="A165" i="22" s="1"/>
  <c r="A187" i="22" s="1"/>
  <c r="A209" i="22" s="1"/>
  <c r="A231" i="22" s="1"/>
  <c r="A253" i="22" s="1"/>
  <c r="A275" i="22" s="1"/>
  <c r="A297" i="22" s="1"/>
  <c r="A319" i="22" s="1"/>
  <c r="A341" i="22" s="1"/>
  <c r="A363" i="22" s="1"/>
  <c r="A385" i="22" s="1"/>
  <c r="A407" i="22" s="1"/>
  <c r="A429" i="22" s="1"/>
  <c r="G75" i="22"/>
  <c r="G97" i="22" s="1"/>
  <c r="G119" i="22" s="1"/>
  <c r="G141" i="22" s="1"/>
  <c r="G163" i="22" s="1"/>
  <c r="G185" i="22" s="1"/>
  <c r="G207" i="22" s="1"/>
  <c r="G229" i="22" s="1"/>
  <c r="G251" i="22" s="1"/>
  <c r="G273" i="22" s="1"/>
  <c r="G295" i="22" s="1"/>
  <c r="G317" i="22" s="1"/>
  <c r="G339" i="22" s="1"/>
  <c r="G361" i="22" s="1"/>
  <c r="G383" i="22" s="1"/>
  <c r="G405" i="22" s="1"/>
  <c r="G427" i="22" s="1"/>
  <c r="F99" i="22" l="1"/>
  <c r="V60" i="22"/>
  <c r="V70" i="22" s="1"/>
  <c r="B71" i="22" s="1" a="1"/>
  <c r="B71" i="22" s="1"/>
  <c r="M70" i="22"/>
  <c r="L71" i="22"/>
  <c r="B602" i="22"/>
  <c r="B624" i="22" s="1"/>
  <c r="BD7" i="1"/>
  <c r="BD8" i="1" s="1"/>
  <c r="BC7" i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P374" i="22"/>
  <c r="B305" i="22"/>
  <c r="F392" i="22"/>
  <c r="B410" i="22"/>
  <c r="A306" i="22"/>
  <c r="I228" i="23"/>
  <c r="T369" i="22"/>
  <c r="B373" i="22"/>
  <c r="F267" i="22"/>
  <c r="U344" i="22"/>
  <c r="S388" i="22"/>
  <c r="S390" i="22"/>
  <c r="S368" i="22"/>
  <c r="U412" i="22"/>
  <c r="A354" i="22"/>
  <c r="A126" i="23"/>
  <c r="S260" i="22"/>
  <c r="A371" i="22"/>
  <c r="C149" i="23"/>
  <c r="Q412" i="22"/>
  <c r="Q387" i="22"/>
  <c r="B416" i="22"/>
  <c r="I315" i="23"/>
  <c r="F368" i="22"/>
  <c r="B350" i="22"/>
  <c r="A213" i="22"/>
  <c r="C142" i="23"/>
  <c r="A237" i="22"/>
  <c r="P365" i="22"/>
  <c r="W156" i="22"/>
  <c r="W112" i="22"/>
  <c r="A147" i="23"/>
  <c r="B409" i="22"/>
  <c r="S398" i="22"/>
  <c r="C108" i="23"/>
  <c r="A193" i="22"/>
  <c r="F299" i="22"/>
  <c r="W111" i="22"/>
  <c r="T413" i="22"/>
  <c r="T411" i="22"/>
  <c r="A190" i="22"/>
  <c r="B418" i="22"/>
  <c r="U301" i="22"/>
  <c r="S196" i="22"/>
  <c r="W108" i="22"/>
  <c r="W105" i="22"/>
  <c r="F409" i="22"/>
  <c r="F373" i="22"/>
  <c r="A174" i="22"/>
  <c r="H132" i="23"/>
  <c r="H146" i="23"/>
  <c r="P370" i="22"/>
  <c r="T417" i="22"/>
  <c r="U349" i="22"/>
  <c r="T376" i="22"/>
  <c r="T307" i="22"/>
  <c r="P376" i="22"/>
  <c r="T409" i="22"/>
  <c r="S420" i="22"/>
  <c r="S377" i="22"/>
  <c r="A128" i="23"/>
  <c r="B302" i="22"/>
  <c r="F369" i="22"/>
  <c r="A300" i="22"/>
  <c r="S307" i="22"/>
  <c r="A346" i="22"/>
  <c r="T346" i="22"/>
  <c r="W375" i="22"/>
  <c r="T443" i="22"/>
  <c r="F278" i="22"/>
  <c r="Q300" i="22"/>
  <c r="A349" i="22"/>
  <c r="T283" i="22"/>
  <c r="B174" i="22"/>
  <c r="A399" i="22"/>
  <c r="Q259" i="22"/>
  <c r="I381" i="23"/>
  <c r="Q308" i="22"/>
  <c r="B353" i="22"/>
  <c r="T303" i="22"/>
  <c r="F306" i="22"/>
  <c r="T391" i="22"/>
  <c r="T196" i="22"/>
  <c r="A108" i="23"/>
  <c r="F376" i="22"/>
  <c r="T350" i="22"/>
  <c r="C161" i="23"/>
  <c r="H147" i="23"/>
  <c r="T212" i="22"/>
  <c r="S345" i="22"/>
  <c r="B352" i="22"/>
  <c r="Q372" i="22"/>
  <c r="U299" i="22"/>
  <c r="A149" i="23"/>
  <c r="B368" i="22"/>
  <c r="A127" i="23"/>
  <c r="I360" i="23"/>
  <c r="I184" i="23"/>
  <c r="A109" i="23"/>
  <c r="H150" i="23"/>
  <c r="S200" i="22"/>
  <c r="B281" i="22"/>
  <c r="U287" i="22"/>
  <c r="Q413" i="22"/>
  <c r="U352" i="22"/>
  <c r="S259" i="22"/>
  <c r="H109" i="23"/>
  <c r="B349" i="22"/>
  <c r="A107" i="23"/>
  <c r="A102" i="23"/>
  <c r="U309" i="22"/>
  <c r="S414" i="22"/>
  <c r="H154" i="23"/>
  <c r="T355" i="22"/>
  <c r="B351" i="22"/>
  <c r="W102" i="22"/>
  <c r="P368" i="22"/>
  <c r="A302" i="22"/>
  <c r="F197" i="22"/>
  <c r="S409" i="22"/>
  <c r="A152" i="23"/>
  <c r="U172" i="22"/>
  <c r="C102" i="23"/>
  <c r="U373" i="22"/>
  <c r="A411" i="22"/>
  <c r="T306" i="22"/>
  <c r="B322" i="22"/>
  <c r="U436" i="22"/>
  <c r="S433" i="22"/>
  <c r="C403" i="23"/>
  <c r="B189" i="22"/>
  <c r="S283" i="22"/>
  <c r="T277" i="22"/>
  <c r="U354" i="22"/>
  <c r="W126" i="22"/>
  <c r="B411" i="22"/>
  <c r="T260" i="22"/>
  <c r="H107" i="23"/>
  <c r="C153" i="23"/>
  <c r="U421" i="22"/>
  <c r="B277" i="22"/>
  <c r="B415" i="22"/>
  <c r="F264" i="22"/>
  <c r="A376" i="22"/>
  <c r="T372" i="22"/>
  <c r="U289" i="22"/>
  <c r="C249" i="23"/>
  <c r="H99" i="23"/>
  <c r="B261" i="22"/>
  <c r="H149" i="23"/>
  <c r="W152" i="22"/>
  <c r="S393" i="22"/>
  <c r="B345" i="22"/>
  <c r="P366" i="22"/>
  <c r="A122" i="23"/>
  <c r="S192" i="22"/>
  <c r="F370" i="22"/>
  <c r="T418" i="22"/>
  <c r="C271" i="23"/>
  <c r="S191" i="22"/>
  <c r="U303" i="22"/>
  <c r="F223" i="22"/>
  <c r="U398" i="22"/>
  <c r="C125" i="23"/>
  <c r="W150" i="22"/>
  <c r="B365" i="22"/>
  <c r="C382" i="23"/>
  <c r="W104" i="22"/>
  <c r="S412" i="22"/>
  <c r="S353" i="22"/>
  <c r="U350" i="22"/>
  <c r="S376" i="22"/>
  <c r="Q234" i="22"/>
  <c r="C124" i="23"/>
  <c r="U393" i="22"/>
  <c r="A375" i="22"/>
  <c r="C425" i="23"/>
  <c r="U173" i="22"/>
  <c r="F286" i="22"/>
  <c r="U179" i="22"/>
  <c r="Q415" i="22"/>
  <c r="U168" i="22"/>
  <c r="B279" i="22"/>
  <c r="F175" i="22"/>
  <c r="S410" i="22"/>
  <c r="T173" i="22"/>
  <c r="S258" i="22"/>
  <c r="F287" i="22"/>
  <c r="F201" i="22"/>
  <c r="Q262" i="22"/>
  <c r="T189" i="22"/>
  <c r="W149" i="22"/>
  <c r="B266" i="22"/>
  <c r="Q213" i="22"/>
  <c r="S326" i="22"/>
  <c r="U409" i="22"/>
  <c r="S322" i="22"/>
  <c r="I337" i="23"/>
  <c r="F347" i="22"/>
  <c r="F410" i="22"/>
  <c r="P367" i="22"/>
  <c r="F304" i="22"/>
  <c r="F371" i="22"/>
  <c r="A366" i="22"/>
  <c r="B262" i="22"/>
  <c r="F390" i="22"/>
  <c r="U353" i="22"/>
  <c r="S365" i="22"/>
  <c r="T279" i="22"/>
  <c r="B344" i="22"/>
  <c r="C144" i="23"/>
  <c r="T368" i="22"/>
  <c r="U371" i="22"/>
  <c r="U343" i="22"/>
  <c r="A344" i="22"/>
  <c r="S280" i="22"/>
  <c r="B288" i="22"/>
  <c r="C98" i="23"/>
  <c r="F352" i="22"/>
  <c r="Q264" i="22"/>
  <c r="Q371" i="22"/>
  <c r="T194" i="22"/>
  <c r="A305" i="22"/>
  <c r="B396" i="22"/>
  <c r="A177" i="22"/>
  <c r="A174" i="23" s="1"/>
  <c r="C109" i="23"/>
  <c r="B370" i="22"/>
  <c r="W133" i="22"/>
  <c r="B267" i="22"/>
  <c r="P375" i="22"/>
  <c r="A370" i="22"/>
  <c r="A99" i="23"/>
  <c r="Q353" i="22"/>
  <c r="H129" i="23"/>
  <c r="Q352" i="22"/>
  <c r="F346" i="22"/>
  <c r="C121" i="23"/>
  <c r="T366" i="22"/>
  <c r="P373" i="22"/>
  <c r="S220" i="22"/>
  <c r="I162" i="23"/>
  <c r="Q367" i="22"/>
  <c r="U310" i="22"/>
  <c r="B355" i="22"/>
  <c r="F262" i="22"/>
  <c r="T421" i="22"/>
  <c r="A343" i="22"/>
  <c r="F355" i="22"/>
  <c r="C99" i="23"/>
  <c r="Q218" i="22"/>
  <c r="Q374" i="22"/>
  <c r="F375" i="22"/>
  <c r="B328" i="22"/>
  <c r="H110" i="23"/>
  <c r="F178" i="22"/>
  <c r="C228" i="23"/>
  <c r="B256" i="22"/>
  <c r="W134" i="22"/>
  <c r="H125" i="23"/>
  <c r="U347" i="22"/>
  <c r="B196" i="22"/>
  <c r="F419" i="22"/>
  <c r="A299" i="22"/>
  <c r="F199" i="22"/>
  <c r="A321" i="22"/>
  <c r="U432" i="22"/>
  <c r="S321" i="22"/>
  <c r="Q328" i="22"/>
  <c r="Q311" i="22"/>
  <c r="C272" i="23"/>
  <c r="A261" i="22"/>
  <c r="F190" i="22"/>
  <c r="A222" i="22"/>
  <c r="F302" i="22"/>
  <c r="A110" i="23"/>
  <c r="S396" i="22"/>
  <c r="A374" i="22"/>
  <c r="Q345" i="22"/>
  <c r="A351" i="22"/>
  <c r="T265" i="22"/>
  <c r="H145" i="23"/>
  <c r="A124" i="23"/>
  <c r="B324" i="22"/>
  <c r="U197" i="22"/>
  <c r="F415" i="22"/>
  <c r="C126" i="23"/>
  <c r="H103" i="23"/>
  <c r="A131" i="23"/>
  <c r="F421" i="22"/>
  <c r="P372" i="22"/>
  <c r="A365" i="22"/>
  <c r="Q331" i="22"/>
  <c r="U419" i="22"/>
  <c r="U223" i="22"/>
  <c r="A241" i="22"/>
  <c r="T200" i="22"/>
  <c r="F325" i="22"/>
  <c r="A98" i="23"/>
  <c r="B372" i="22"/>
  <c r="S346" i="22"/>
  <c r="Q375" i="22"/>
  <c r="T289" i="22"/>
  <c r="W148" i="22"/>
  <c r="U278" i="22"/>
  <c r="T365" i="22"/>
  <c r="U420" i="22"/>
  <c r="S267" i="22"/>
  <c r="I382" i="23"/>
  <c r="W107" i="22"/>
  <c r="U394" i="22"/>
  <c r="S419" i="22"/>
  <c r="U281" i="22"/>
  <c r="C101" i="23"/>
  <c r="B412" i="22"/>
  <c r="T354" i="22"/>
  <c r="T216" i="22"/>
  <c r="B176" i="22"/>
  <c r="T345" i="22"/>
  <c r="H124" i="23"/>
  <c r="C315" i="23"/>
  <c r="F350" i="22"/>
  <c r="W154" i="22"/>
  <c r="B219" i="22"/>
  <c r="C337" i="23"/>
  <c r="B280" i="22"/>
  <c r="I316" i="23"/>
  <c r="S173" i="22"/>
  <c r="A396" i="22"/>
  <c r="U367" i="22"/>
  <c r="B374" i="22"/>
  <c r="A287" i="22"/>
  <c r="Q223" i="22"/>
  <c r="Q168" i="22"/>
  <c r="S286" i="22"/>
  <c r="Q431" i="22"/>
  <c r="A347" i="22"/>
  <c r="W101" i="22"/>
  <c r="F289" i="22"/>
  <c r="U190" i="22"/>
  <c r="F195" i="22"/>
  <c r="U395" i="22"/>
  <c r="F261" i="22"/>
  <c r="A125" i="23"/>
  <c r="T285" i="22"/>
  <c r="A132" i="23"/>
  <c r="H100" i="23"/>
  <c r="U193" i="22"/>
  <c r="H131" i="23"/>
  <c r="F343" i="22"/>
  <c r="W127" i="22"/>
  <c r="T415" i="22"/>
  <c r="S374" i="22"/>
  <c r="A258" i="22"/>
  <c r="F348" i="22"/>
  <c r="T286" i="22"/>
  <c r="U351" i="22"/>
  <c r="F323" i="22"/>
  <c r="A101" i="23"/>
  <c r="U377" i="22"/>
  <c r="P369" i="22"/>
  <c r="C122" i="23"/>
  <c r="U198" i="22"/>
  <c r="Q377" i="22"/>
  <c r="A267" i="22"/>
  <c r="U237" i="22"/>
  <c r="B309" i="22"/>
  <c r="F374" i="22"/>
  <c r="S351" i="22"/>
  <c r="B193" i="22"/>
  <c r="U201" i="22"/>
  <c r="C151" i="23"/>
  <c r="U368" i="22"/>
  <c r="Q215" i="22"/>
  <c r="C131" i="23"/>
  <c r="B235" i="22"/>
  <c r="F417" i="22"/>
  <c r="S306" i="22"/>
  <c r="B329" i="22"/>
  <c r="S375" i="22"/>
  <c r="U215" i="22"/>
  <c r="Q303" i="22"/>
  <c r="T375" i="22"/>
  <c r="C128" i="23"/>
  <c r="Q365" i="22"/>
  <c r="F416" i="22"/>
  <c r="H120" i="23"/>
  <c r="W124" i="22"/>
  <c r="B377" i="22"/>
  <c r="C374" i="23" s="1"/>
  <c r="Q373" i="22"/>
  <c r="B348" i="22"/>
  <c r="C106" i="23"/>
  <c r="U189" i="22"/>
  <c r="Q222" i="22"/>
  <c r="T414" i="22"/>
  <c r="F326" i="22"/>
  <c r="F216" i="22"/>
  <c r="U326" i="22"/>
  <c r="Q409" i="22"/>
  <c r="Q177" i="22"/>
  <c r="F437" i="22"/>
  <c r="B299" i="22"/>
  <c r="Q414" i="22"/>
  <c r="S352" i="22"/>
  <c r="B395" i="22"/>
  <c r="W146" i="22"/>
  <c r="Q421" i="22"/>
  <c r="F285" i="22"/>
  <c r="S302" i="22"/>
  <c r="Q432" i="22"/>
  <c r="F311" i="22"/>
  <c r="Q304" i="22"/>
  <c r="F414" i="22"/>
  <c r="F258" i="22"/>
  <c r="Q417" i="22"/>
  <c r="U258" i="22"/>
  <c r="U285" i="22"/>
  <c r="U217" i="22"/>
  <c r="Q221" i="22"/>
  <c r="B191" i="22"/>
  <c r="C110" i="23"/>
  <c r="A106" i="23"/>
  <c r="C338" i="23"/>
  <c r="U333" i="22"/>
  <c r="W153" i="22"/>
  <c r="C129" i="23"/>
  <c r="Q330" i="22"/>
  <c r="T171" i="22"/>
  <c r="C100" i="23"/>
  <c r="S416" i="22"/>
  <c r="A417" i="22"/>
  <c r="B420" i="22"/>
  <c r="Q370" i="22"/>
  <c r="S399" i="22"/>
  <c r="A410" i="22"/>
  <c r="F242" i="22"/>
  <c r="S394" i="22"/>
  <c r="Q169" i="22"/>
  <c r="U365" i="22"/>
  <c r="C107" i="23"/>
  <c r="S343" i="22"/>
  <c r="F310" i="22"/>
  <c r="Q309" i="22"/>
  <c r="H152" i="23"/>
  <c r="F391" i="22"/>
  <c r="F377" i="22"/>
  <c r="Q197" i="22"/>
  <c r="I293" i="23"/>
  <c r="A278" i="22"/>
  <c r="B306" i="22"/>
  <c r="U305" i="22"/>
  <c r="Q366" i="22"/>
  <c r="T410" i="22"/>
  <c r="I227" i="23"/>
  <c r="S194" i="22"/>
  <c r="C143" i="23"/>
  <c r="Q243" i="22"/>
  <c r="S171" i="22"/>
  <c r="S443" i="22"/>
  <c r="C359" i="23"/>
  <c r="S395" i="22"/>
  <c r="F418" i="22"/>
  <c r="U280" i="22"/>
  <c r="W280" i="22" s="1"/>
  <c r="A265" i="22"/>
  <c r="T301" i="22"/>
  <c r="Q349" i="22"/>
  <c r="B471" i="22"/>
  <c r="F443" i="22"/>
  <c r="U345" i="22"/>
  <c r="C184" i="23"/>
  <c r="C150" i="23"/>
  <c r="I359" i="23"/>
  <c r="Q255" i="22"/>
  <c r="S234" i="22"/>
  <c r="S211" i="22"/>
  <c r="U263" i="22"/>
  <c r="A421" i="22"/>
  <c r="S190" i="22"/>
  <c r="A416" i="22"/>
  <c r="T266" i="22"/>
  <c r="W145" i="22"/>
  <c r="A150" i="23"/>
  <c r="S373" i="22"/>
  <c r="S257" i="22"/>
  <c r="A145" i="23"/>
  <c r="A143" i="23"/>
  <c r="I338" i="23"/>
  <c r="A195" i="22"/>
  <c r="F398" i="22"/>
  <c r="B258" i="22"/>
  <c r="T191" i="22"/>
  <c r="H122" i="23"/>
  <c r="H148" i="23"/>
  <c r="B195" i="22"/>
  <c r="T211" i="22"/>
  <c r="B284" i="22"/>
  <c r="Q351" i="22"/>
  <c r="F307" i="22"/>
  <c r="T263" i="22"/>
  <c r="B367" i="22"/>
  <c r="Q411" i="22"/>
  <c r="U175" i="22"/>
  <c r="C130" i="23"/>
  <c r="A121" i="23"/>
  <c r="T344" i="22"/>
  <c r="A323" i="22"/>
  <c r="T308" i="22"/>
  <c r="W106" i="22"/>
  <c r="C147" i="23"/>
  <c r="B259" i="22"/>
  <c r="S413" i="22"/>
  <c r="U417" i="22"/>
  <c r="B238" i="22"/>
  <c r="U235" i="22"/>
  <c r="B175" i="22"/>
  <c r="A130" i="23"/>
  <c r="Q306" i="22"/>
  <c r="T257" i="22"/>
  <c r="F211" i="22"/>
  <c r="U266" i="22"/>
  <c r="F172" i="22"/>
  <c r="Q355" i="22"/>
  <c r="A194" i="22"/>
  <c r="T388" i="22"/>
  <c r="U300" i="22"/>
  <c r="T238" i="22"/>
  <c r="F256" i="22"/>
  <c r="T199" i="22"/>
  <c r="B240" i="22"/>
  <c r="A104" i="23"/>
  <c r="S178" i="22"/>
  <c r="A303" i="22"/>
  <c r="C154" i="23"/>
  <c r="B417" i="22"/>
  <c r="S421" i="22"/>
  <c r="H128" i="23"/>
  <c r="F305" i="22"/>
  <c r="U369" i="22"/>
  <c r="U178" i="22"/>
  <c r="P371" i="22"/>
  <c r="U330" i="22"/>
  <c r="A198" i="22"/>
  <c r="B387" i="22"/>
  <c r="Q420" i="22"/>
  <c r="U196" i="22"/>
  <c r="F300" i="22"/>
  <c r="T352" i="22"/>
  <c r="B255" i="22"/>
  <c r="A373" i="22"/>
  <c r="T218" i="22"/>
  <c r="I250" i="23"/>
  <c r="T309" i="22"/>
  <c r="A171" i="23"/>
  <c r="U370" i="22"/>
  <c r="A144" i="23"/>
  <c r="T305" i="22"/>
  <c r="T235" i="22"/>
  <c r="F168" i="22"/>
  <c r="B311" i="22"/>
  <c r="S348" i="22"/>
  <c r="T349" i="22"/>
  <c r="A289" i="22"/>
  <c r="H127" i="23"/>
  <c r="S331" i="22"/>
  <c r="Q418" i="22"/>
  <c r="A413" i="22"/>
  <c r="Q289" i="22"/>
  <c r="B220" i="22"/>
  <c r="S201" i="22"/>
  <c r="T442" i="22"/>
  <c r="A255" i="23"/>
  <c r="H175" i="23"/>
  <c r="A288" i="22"/>
  <c r="T399" i="22"/>
  <c r="B245" i="22"/>
  <c r="Q279" i="22"/>
  <c r="C235" i="23"/>
  <c r="Q261" i="22"/>
  <c r="Q199" i="22"/>
  <c r="B221" i="22"/>
  <c r="S279" i="22"/>
  <c r="Q256" i="22"/>
  <c r="Q200" i="22"/>
  <c r="F330" i="22"/>
  <c r="T323" i="22"/>
  <c r="C365" i="23"/>
  <c r="Q434" i="22"/>
  <c r="A263" i="22"/>
  <c r="Q321" i="22"/>
  <c r="F284" i="22"/>
  <c r="F277" i="22"/>
  <c r="B389" i="22"/>
  <c r="T343" i="22"/>
  <c r="H105" i="23"/>
  <c r="A331" i="22"/>
  <c r="Q393" i="22"/>
  <c r="T242" i="22"/>
  <c r="Q286" i="22"/>
  <c r="S392" i="22"/>
  <c r="S329" i="22"/>
  <c r="S308" i="22"/>
  <c r="B308" i="22"/>
  <c r="A279" i="22"/>
  <c r="T201" i="22"/>
  <c r="B371" i="22"/>
  <c r="S300" i="22"/>
  <c r="B366" i="22"/>
  <c r="T219" i="22"/>
  <c r="Q368" i="22"/>
  <c r="Q391" i="22"/>
  <c r="B449" i="22"/>
  <c r="F413" i="22"/>
  <c r="Q299" i="22"/>
  <c r="A286" i="22"/>
  <c r="Q323" i="22"/>
  <c r="S397" i="22"/>
  <c r="Q305" i="22"/>
  <c r="I403" i="23"/>
  <c r="S327" i="22"/>
  <c r="A216" i="22"/>
  <c r="Q239" i="22"/>
  <c r="A201" i="22"/>
  <c r="T437" i="22"/>
  <c r="A368" i="22"/>
  <c r="A282" i="22"/>
  <c r="S330" i="22"/>
  <c r="A329" i="22"/>
  <c r="S242" i="22"/>
  <c r="B437" i="22"/>
  <c r="A178" i="22"/>
  <c r="C305" i="23"/>
  <c r="Q281" i="22"/>
  <c r="H347" i="23"/>
  <c r="U387" i="22"/>
  <c r="F345" i="22"/>
  <c r="Q220" i="22"/>
  <c r="F281" i="22"/>
  <c r="U328" i="22"/>
  <c r="B239" i="22"/>
  <c r="A326" i="22"/>
  <c r="T324" i="22"/>
  <c r="S189" i="22"/>
  <c r="Q214" i="22"/>
  <c r="S349" i="22"/>
  <c r="U191" i="22"/>
  <c r="U261" i="22"/>
  <c r="A235" i="22"/>
  <c r="C281" i="23"/>
  <c r="B439" i="22"/>
  <c r="A223" i="22"/>
  <c r="U284" i="22"/>
  <c r="Q322" i="22"/>
  <c r="U219" i="22"/>
  <c r="A105" i="23"/>
  <c r="A418" i="22"/>
  <c r="T321" i="22"/>
  <c r="S168" i="22"/>
  <c r="Q390" i="22"/>
  <c r="T197" i="22"/>
  <c r="T259" i="22"/>
  <c r="C123" i="23"/>
  <c r="Q280" i="22"/>
  <c r="C148" i="23"/>
  <c r="U375" i="22"/>
  <c r="U260" i="22"/>
  <c r="F220" i="22"/>
  <c r="F393" i="22"/>
  <c r="W151" i="22"/>
  <c r="T302" i="22"/>
  <c r="T256" i="22"/>
  <c r="U306" i="22"/>
  <c r="F367" i="22"/>
  <c r="U283" i="22"/>
  <c r="S305" i="22"/>
  <c r="B285" i="22"/>
  <c r="U324" i="22"/>
  <c r="A415" i="23"/>
  <c r="B223" i="22"/>
  <c r="C220" i="23" s="1"/>
  <c r="S323" i="22"/>
  <c r="F365" i="22"/>
  <c r="U374" i="22"/>
  <c r="B307" i="22"/>
  <c r="A355" i="22"/>
  <c r="U302" i="22"/>
  <c r="Q302" i="22"/>
  <c r="A244" i="22"/>
  <c r="A241" i="23" s="1"/>
  <c r="S256" i="22"/>
  <c r="B331" i="22"/>
  <c r="C328" i="23" s="1"/>
  <c r="C409" i="23"/>
  <c r="U14" i="22"/>
  <c r="U220" i="22"/>
  <c r="S333" i="22"/>
  <c r="A236" i="22"/>
  <c r="Q236" i="22"/>
  <c r="U438" i="22"/>
  <c r="T311" i="22"/>
  <c r="I425" i="23"/>
  <c r="C216" i="23"/>
  <c r="F366" i="22"/>
  <c r="Q14" i="22"/>
  <c r="W409" i="22"/>
  <c r="Q189" i="22"/>
  <c r="T353" i="22"/>
  <c r="T195" i="22"/>
  <c r="Q278" i="22"/>
  <c r="T419" i="22"/>
  <c r="T267" i="22"/>
  <c r="C276" i="23"/>
  <c r="F218" i="22"/>
  <c r="S438" i="22"/>
  <c r="B325" i="22"/>
  <c r="T440" i="22"/>
  <c r="T245" i="22"/>
  <c r="U416" i="22"/>
  <c r="C381" i="23"/>
  <c r="Q193" i="22"/>
  <c r="A220" i="22"/>
  <c r="U262" i="22"/>
  <c r="A148" i="23"/>
  <c r="W130" i="22"/>
  <c r="U321" i="22"/>
  <c r="U311" i="22"/>
  <c r="B391" i="22"/>
  <c r="A151" i="23"/>
  <c r="A129" i="23"/>
  <c r="I271" i="23"/>
  <c r="T175" i="22"/>
  <c r="A189" i="22"/>
  <c r="A146" i="23"/>
  <c r="Q410" i="22"/>
  <c r="H106" i="23"/>
  <c r="U391" i="22"/>
  <c r="S218" i="22"/>
  <c r="T221" i="22"/>
  <c r="C146" i="23"/>
  <c r="A412" i="22"/>
  <c r="C404" i="23"/>
  <c r="U413" i="22"/>
  <c r="Q346" i="22"/>
  <c r="S175" i="22"/>
  <c r="C127" i="23"/>
  <c r="U267" i="22"/>
  <c r="Q216" i="22"/>
  <c r="Q176" i="22"/>
  <c r="C348" i="23"/>
  <c r="Q267" i="22"/>
  <c r="Q198" i="22"/>
  <c r="S439" i="22"/>
  <c r="U259" i="22"/>
  <c r="B201" i="22"/>
  <c r="A266" i="22"/>
  <c r="A239" i="22"/>
  <c r="U396" i="22"/>
  <c r="A175" i="22"/>
  <c r="S266" i="22"/>
  <c r="F301" i="22"/>
  <c r="S177" i="22"/>
  <c r="F395" i="22"/>
  <c r="A197" i="22"/>
  <c r="B303" i="22"/>
  <c r="A256" i="22"/>
  <c r="A420" i="22"/>
  <c r="T310" i="22"/>
  <c r="S369" i="22"/>
  <c r="U240" i="22"/>
  <c r="A211" i="22"/>
  <c r="A372" i="22"/>
  <c r="B369" i="22"/>
  <c r="F435" i="22"/>
  <c r="A173" i="22"/>
  <c r="A170" i="23" s="1"/>
  <c r="B343" i="22"/>
  <c r="C316" i="23"/>
  <c r="S262" i="22"/>
  <c r="B399" i="22"/>
  <c r="C103" i="23"/>
  <c r="T373" i="22"/>
  <c r="B414" i="22"/>
  <c r="S328" i="22"/>
  <c r="F399" i="22"/>
  <c r="F191" i="22"/>
  <c r="A310" i="22"/>
  <c r="S198" i="22"/>
  <c r="S418" i="22"/>
  <c r="T420" i="22"/>
  <c r="S239" i="22"/>
  <c r="I205" i="23"/>
  <c r="T374" i="22"/>
  <c r="Q344" i="22"/>
  <c r="A123" i="23"/>
  <c r="S193" i="22"/>
  <c r="A419" i="22"/>
  <c r="U348" i="22"/>
  <c r="S199" i="22"/>
  <c r="U194" i="22"/>
  <c r="B376" i="22"/>
  <c r="F260" i="22"/>
  <c r="Q287" i="22"/>
  <c r="A301" i="22"/>
  <c r="B398" i="22"/>
  <c r="T370" i="22"/>
  <c r="S411" i="22"/>
  <c r="T287" i="22"/>
  <c r="S366" i="22"/>
  <c r="S415" i="22"/>
  <c r="A100" i="23"/>
  <c r="H108" i="23"/>
  <c r="Q191" i="22"/>
  <c r="W109" i="22"/>
  <c r="Q307" i="22"/>
  <c r="F255" i="22"/>
  <c r="F309" i="22"/>
  <c r="T326" i="22"/>
  <c r="Q194" i="22"/>
  <c r="F266" i="22"/>
  <c r="Q350" i="22"/>
  <c r="A322" i="22"/>
  <c r="T389" i="22"/>
  <c r="U211" i="22"/>
  <c r="T243" i="22"/>
  <c r="U174" i="22"/>
  <c r="T255" i="22"/>
  <c r="C392" i="23"/>
  <c r="A284" i="23"/>
  <c r="F263" i="22"/>
  <c r="W128" i="22"/>
  <c r="F354" i="22"/>
  <c r="W175" i="22"/>
  <c r="B436" i="22"/>
  <c r="A169" i="22"/>
  <c r="A309" i="22"/>
  <c r="C411" i="23"/>
  <c r="Q326" i="22"/>
  <c r="U418" i="22"/>
  <c r="B300" i="22"/>
  <c r="S238" i="22"/>
  <c r="F411" i="22"/>
  <c r="C145" i="23"/>
  <c r="F394" i="22"/>
  <c r="T347" i="22"/>
  <c r="U399" i="22"/>
  <c r="T387" i="22"/>
  <c r="U304" i="22"/>
  <c r="A367" i="22"/>
  <c r="C152" i="23"/>
  <c r="A348" i="22"/>
  <c r="U355" i="22"/>
  <c r="W103" i="22"/>
  <c r="I249" i="23"/>
  <c r="U376" i="22"/>
  <c r="Q178" i="22"/>
  <c r="U167" i="22"/>
  <c r="Q416" i="22"/>
  <c r="I139" i="23"/>
  <c r="B216" i="22"/>
  <c r="T367" i="22"/>
  <c r="U307" i="22"/>
  <c r="A259" i="22"/>
  <c r="Q192" i="22"/>
  <c r="A398" i="22"/>
  <c r="U372" i="22"/>
  <c r="Q397" i="22"/>
  <c r="S301" i="22"/>
  <c r="B168" i="22"/>
  <c r="C340" i="23"/>
  <c r="B433" i="22"/>
  <c r="A283" i="22"/>
  <c r="Q327" i="22"/>
  <c r="A285" i="22"/>
  <c r="W125" i="22"/>
  <c r="S213" i="22"/>
  <c r="T220" i="22"/>
  <c r="F196" i="22"/>
  <c r="W394" i="22"/>
  <c r="B211" i="22"/>
  <c r="T239" i="22"/>
  <c r="Q288" i="22"/>
  <c r="T377" i="22"/>
  <c r="S391" i="22"/>
  <c r="H123" i="23"/>
  <c r="U390" i="22"/>
  <c r="C293" i="23"/>
  <c r="B215" i="22"/>
  <c r="U257" i="22"/>
  <c r="T14" i="22"/>
  <c r="A390" i="22"/>
  <c r="F257" i="22"/>
  <c r="B301" i="22"/>
  <c r="U233" i="22"/>
  <c r="S347" i="22"/>
  <c r="B330" i="22"/>
  <c r="F265" i="22"/>
  <c r="B347" i="22"/>
  <c r="B170" i="22"/>
  <c r="C349" i="23"/>
  <c r="C360" i="23"/>
  <c r="A388" i="22"/>
  <c r="T412" i="22"/>
  <c r="B192" i="22"/>
  <c r="A168" i="22"/>
  <c r="S437" i="22"/>
  <c r="T332" i="22"/>
  <c r="S287" i="22"/>
  <c r="F280" i="22"/>
  <c r="Q348" i="22"/>
  <c r="S304" i="22"/>
  <c r="H121" i="23"/>
  <c r="W129" i="22"/>
  <c r="A307" i="22"/>
  <c r="B217" i="22"/>
  <c r="C214" i="23" s="1"/>
  <c r="F324" i="22"/>
  <c r="T278" i="22"/>
  <c r="A120" i="23"/>
  <c r="Q310" i="22"/>
  <c r="C104" i="23"/>
  <c r="Q347" i="22"/>
  <c r="C162" i="23"/>
  <c r="Q260" i="22"/>
  <c r="B393" i="22"/>
  <c r="T213" i="22"/>
  <c r="Q173" i="22"/>
  <c r="S417" i="22"/>
  <c r="A409" i="22"/>
  <c r="C227" i="23"/>
  <c r="Q398" i="22"/>
  <c r="A167" i="22"/>
  <c r="U346" i="22"/>
  <c r="C120" i="23"/>
  <c r="F217" i="22"/>
  <c r="A257" i="22"/>
  <c r="W147" i="22"/>
  <c r="U169" i="22"/>
  <c r="B304" i="22"/>
  <c r="T392" i="22"/>
  <c r="A352" i="23"/>
  <c r="A319" i="23"/>
  <c r="A170" i="22"/>
  <c r="A351" i="23"/>
  <c r="B310" i="22"/>
  <c r="Q284" i="22"/>
  <c r="S284" i="22"/>
  <c r="B442" i="22"/>
  <c r="H284" i="23"/>
  <c r="S277" i="22"/>
  <c r="Q396" i="22"/>
  <c r="B171" i="22"/>
  <c r="H345" i="23"/>
  <c r="B222" i="22"/>
  <c r="A345" i="22"/>
  <c r="W123" i="22"/>
  <c r="A196" i="22"/>
  <c r="F303" i="22"/>
  <c r="A277" i="22"/>
  <c r="B432" i="22"/>
  <c r="I183" i="23"/>
  <c r="S350" i="22"/>
  <c r="W350" i="22" s="1"/>
  <c r="B286" i="22"/>
  <c r="C283" i="23" s="1"/>
  <c r="U192" i="22"/>
  <c r="S332" i="22"/>
  <c r="Q369" i="22"/>
  <c r="S214" i="22"/>
  <c r="A171" i="22"/>
  <c r="C132" i="23"/>
  <c r="S344" i="22"/>
  <c r="A395" i="22"/>
  <c r="A369" i="22"/>
  <c r="A199" i="22"/>
  <c r="Q419" i="22"/>
  <c r="B200" i="22"/>
  <c r="B419" i="22"/>
  <c r="B441" i="22"/>
  <c r="U170" i="22"/>
  <c r="T299" i="22"/>
  <c r="U216" i="22"/>
  <c r="I404" i="23"/>
  <c r="U236" i="22"/>
  <c r="S278" i="22"/>
  <c r="C105" i="23"/>
  <c r="F283" i="22"/>
  <c r="H280" i="23" s="1"/>
  <c r="B172" i="22"/>
  <c r="A214" i="22"/>
  <c r="H130" i="23"/>
  <c r="T331" i="22"/>
  <c r="C352" i="23"/>
  <c r="W132" i="22"/>
  <c r="B327" i="22"/>
  <c r="T281" i="22"/>
  <c r="B282" i="22"/>
  <c r="T176" i="22"/>
  <c r="Q354" i="22"/>
  <c r="U255" i="22"/>
  <c r="H101" i="23"/>
  <c r="A394" i="22"/>
  <c r="F259" i="22"/>
  <c r="T300" i="22"/>
  <c r="A234" i="22"/>
  <c r="F322" i="22"/>
  <c r="S442" i="22"/>
  <c r="Q219" i="22"/>
  <c r="A327" i="22"/>
  <c r="S371" i="22"/>
  <c r="A200" i="22"/>
  <c r="B233" i="22"/>
  <c r="U389" i="22"/>
  <c r="B438" i="22"/>
  <c r="A245" i="22"/>
  <c r="T393" i="22"/>
  <c r="B218" i="22"/>
  <c r="Q195" i="22"/>
  <c r="F193" i="22"/>
  <c r="F240" i="22"/>
  <c r="S324" i="22"/>
  <c r="S299" i="22"/>
  <c r="H411" i="23"/>
  <c r="S197" i="22"/>
  <c r="U218" i="22"/>
  <c r="Q277" i="22"/>
  <c r="T416" i="22"/>
  <c r="T325" i="22"/>
  <c r="I294" i="23"/>
  <c r="S219" i="22"/>
  <c r="Q333" i="22"/>
  <c r="S311" i="22"/>
  <c r="Q241" i="22"/>
  <c r="W373" i="22"/>
  <c r="H365" i="23"/>
  <c r="H282" i="23"/>
  <c r="A368" i="23"/>
  <c r="H104" i="23"/>
  <c r="T198" i="22"/>
  <c r="U176" i="22"/>
  <c r="T261" i="22"/>
  <c r="A304" i="23"/>
  <c r="F239" i="22"/>
  <c r="F169" i="22"/>
  <c r="B213" i="22"/>
  <c r="W301" i="22"/>
  <c r="A262" i="23"/>
  <c r="B421" i="22"/>
  <c r="U415" i="22"/>
  <c r="H208" i="23"/>
  <c r="E493" i="22"/>
  <c r="H322" i="23"/>
  <c r="Q170" i="22"/>
  <c r="S289" i="22"/>
  <c r="C363" i="23"/>
  <c r="U15" i="22"/>
  <c r="A264" i="22"/>
  <c r="A396" i="23"/>
  <c r="B178" i="22"/>
  <c r="C230" i="23"/>
  <c r="T395" i="22"/>
  <c r="F241" i="22"/>
  <c r="F332" i="22"/>
  <c r="W390" i="22"/>
  <c r="U329" i="22"/>
  <c r="T333" i="22"/>
  <c r="B354" i="22"/>
  <c r="S212" i="22"/>
  <c r="S387" i="22"/>
  <c r="W260" i="22"/>
  <c r="A165" i="23"/>
  <c r="A284" i="22"/>
  <c r="B392" i="22"/>
  <c r="U440" i="22"/>
  <c r="B388" i="22"/>
  <c r="C406" i="23"/>
  <c r="U234" i="22"/>
  <c r="F237" i="22"/>
  <c r="S440" i="22"/>
  <c r="F349" i="22"/>
  <c r="U212" i="22"/>
  <c r="F214" i="22"/>
  <c r="Q376" i="22"/>
  <c r="A415" i="22"/>
  <c r="F219" i="22"/>
  <c r="T433" i="22"/>
  <c r="H388" i="23"/>
  <c r="U414" i="22"/>
  <c r="B390" i="22"/>
  <c r="Q257" i="22"/>
  <c r="B332" i="22"/>
  <c r="A154" i="23"/>
  <c r="H274" i="23"/>
  <c r="W419" i="22"/>
  <c r="U222" i="22"/>
  <c r="T169" i="22"/>
  <c r="U245" i="22"/>
  <c r="C367" i="23"/>
  <c r="C389" i="23"/>
  <c r="S235" i="22"/>
  <c r="C416" i="23"/>
  <c r="T431" i="22"/>
  <c r="T190" i="22"/>
  <c r="H321" i="23"/>
  <c r="A262" i="22"/>
  <c r="B260" i="22"/>
  <c r="C469" i="23"/>
  <c r="C322" i="23"/>
  <c r="T330" i="22"/>
  <c r="A410" i="23"/>
  <c r="A328" i="23"/>
  <c r="W347" i="22"/>
  <c r="H217" i="23"/>
  <c r="A242" i="23"/>
  <c r="F233" i="22"/>
  <c r="A213" i="23"/>
  <c r="C368" i="23"/>
  <c r="F235" i="22"/>
  <c r="C278" i="23"/>
  <c r="F470" i="22"/>
  <c r="H256" i="23"/>
  <c r="A167" i="23"/>
  <c r="C172" i="23"/>
  <c r="B257" i="22"/>
  <c r="B413" i="22"/>
  <c r="F387" i="22"/>
  <c r="S255" i="22"/>
  <c r="F192" i="22"/>
  <c r="Q179" i="22"/>
  <c r="T351" i="22"/>
  <c r="A414" i="22"/>
  <c r="W306" i="22"/>
  <c r="U366" i="22"/>
  <c r="H213" i="23"/>
  <c r="Q285" i="22"/>
  <c r="A407" i="23"/>
  <c r="W367" i="22"/>
  <c r="S309" i="22"/>
  <c r="C430" i="23"/>
  <c r="S240" i="22"/>
  <c r="U277" i="22"/>
  <c r="T394" i="22"/>
  <c r="A311" i="22"/>
  <c r="A441" i="22"/>
  <c r="W420" i="22"/>
  <c r="I449" i="22"/>
  <c r="C190" i="23"/>
  <c r="S264" i="22"/>
  <c r="Q245" i="22"/>
  <c r="S16" i="22"/>
  <c r="Q329" i="22"/>
  <c r="S167" i="22"/>
  <c r="H296" i="23"/>
  <c r="Q16" i="22"/>
  <c r="H346" i="23"/>
  <c r="Q196" i="22"/>
  <c r="C188" i="23"/>
  <c r="C412" i="23"/>
  <c r="A308" i="22"/>
  <c r="C438" i="23"/>
  <c r="H352" i="23"/>
  <c r="U435" i="22"/>
  <c r="A281" i="22"/>
  <c r="C426" i="23"/>
  <c r="W391" i="22"/>
  <c r="H371" i="23"/>
  <c r="H297" i="23"/>
  <c r="A435" i="22"/>
  <c r="H264" i="23"/>
  <c r="F441" i="22"/>
  <c r="B177" i="22"/>
  <c r="T280" i="22"/>
  <c r="H153" i="23"/>
  <c r="U264" i="22"/>
  <c r="W348" i="22"/>
  <c r="B375" i="22"/>
  <c r="Q240" i="22"/>
  <c r="U241" i="22"/>
  <c r="A432" i="22"/>
  <c r="A429" i="23" s="1"/>
  <c r="U323" i="22"/>
  <c r="B287" i="22"/>
  <c r="A324" i="22"/>
  <c r="C324" i="23"/>
  <c r="U243" i="22"/>
  <c r="A240" i="22"/>
  <c r="T168" i="22"/>
  <c r="Q392" i="22"/>
  <c r="F331" i="22"/>
  <c r="A233" i="22"/>
  <c r="F351" i="22"/>
  <c r="E449" i="22"/>
  <c r="C448" i="23" s="1"/>
  <c r="C408" i="23"/>
  <c r="F420" i="22"/>
  <c r="U327" i="22"/>
  <c r="B179" i="22"/>
  <c r="A364" i="23"/>
  <c r="H389" i="23"/>
  <c r="A321" i="23"/>
  <c r="W351" i="22"/>
  <c r="T434" i="22"/>
  <c r="U442" i="22"/>
  <c r="Q441" i="22"/>
  <c r="F212" i="22"/>
  <c r="Q443" i="22"/>
  <c r="C171" i="23"/>
  <c r="Q343" i="22"/>
  <c r="H283" i="23"/>
  <c r="C173" i="23"/>
  <c r="F412" i="22"/>
  <c r="F396" i="22"/>
  <c r="Q190" i="22"/>
  <c r="B167" i="22"/>
  <c r="F397" i="22"/>
  <c r="A320" i="23"/>
  <c r="A283" i="23"/>
  <c r="U239" i="22"/>
  <c r="S372" i="22"/>
  <c r="T222" i="22"/>
  <c r="T288" i="22"/>
  <c r="S261" i="22"/>
  <c r="F308" i="22"/>
  <c r="F174" i="22"/>
  <c r="A436" i="22"/>
  <c r="C393" i="23"/>
  <c r="T435" i="22"/>
  <c r="Q433" i="22"/>
  <c r="A192" i="22"/>
  <c r="S441" i="22"/>
  <c r="W418" i="22"/>
  <c r="C433" i="23"/>
  <c r="H343" i="23"/>
  <c r="A330" i="22"/>
  <c r="F243" i="22"/>
  <c r="Q389" i="22"/>
  <c r="Q388" i="22"/>
  <c r="A253" i="23"/>
  <c r="S176" i="22"/>
  <c r="S221" i="22"/>
  <c r="U411" i="22"/>
  <c r="A340" i="23"/>
  <c r="B242" i="22"/>
  <c r="T304" i="22"/>
  <c r="S244" i="22"/>
  <c r="C307" i="23"/>
  <c r="C208" i="23"/>
  <c r="Q258" i="22"/>
  <c r="U177" i="22"/>
  <c r="U265" i="22"/>
  <c r="W307" i="22"/>
  <c r="S169" i="22"/>
  <c r="H165" i="23"/>
  <c r="H323" i="23"/>
  <c r="B241" i="22"/>
  <c r="W411" i="22"/>
  <c r="W352" i="22"/>
  <c r="B394" i="22"/>
  <c r="Q167" i="22"/>
  <c r="H373" i="23"/>
  <c r="W349" i="22"/>
  <c r="H192" i="23"/>
  <c r="A387" i="23"/>
  <c r="A393" i="23"/>
  <c r="C407" i="23"/>
  <c r="C285" i="23"/>
  <c r="W371" i="22"/>
  <c r="U441" i="22"/>
  <c r="C350" i="23"/>
  <c r="A217" i="22"/>
  <c r="B326" i="22"/>
  <c r="Q436" i="22"/>
  <c r="H214" i="23"/>
  <c r="H166" i="23"/>
  <c r="A175" i="23"/>
  <c r="H327" i="23"/>
  <c r="F442" i="22"/>
  <c r="U388" i="22"/>
  <c r="A197" i="23"/>
  <c r="A233" i="23"/>
  <c r="S288" i="22"/>
  <c r="B443" i="22"/>
  <c r="H301" i="23"/>
  <c r="F321" i="22"/>
  <c r="F353" i="22"/>
  <c r="H391" i="23"/>
  <c r="B236" i="22"/>
  <c r="A391" i="22"/>
  <c r="S223" i="22"/>
  <c r="A439" i="22"/>
  <c r="A436" i="23" s="1"/>
  <c r="T436" i="22"/>
  <c r="W211" i="22"/>
  <c r="H286" i="23"/>
  <c r="I206" i="23"/>
  <c r="F372" i="22"/>
  <c r="F213" i="22"/>
  <c r="S174" i="22"/>
  <c r="Q332" i="22"/>
  <c r="U410" i="22"/>
  <c r="Q235" i="22"/>
  <c r="F173" i="22"/>
  <c r="S303" i="22"/>
  <c r="S354" i="22"/>
  <c r="A431" i="22"/>
  <c r="U199" i="22"/>
  <c r="W199" i="22" s="1"/>
  <c r="B346" i="22"/>
  <c r="C343" i="23" s="1"/>
  <c r="T322" i="22"/>
  <c r="A242" i="22"/>
  <c r="H319" i="23"/>
  <c r="S435" i="22"/>
  <c r="B434" i="22"/>
  <c r="T439" i="22"/>
  <c r="H344" i="23"/>
  <c r="S389" i="22"/>
  <c r="A192" i="23"/>
  <c r="W344" i="22"/>
  <c r="A238" i="23"/>
  <c r="C277" i="23"/>
  <c r="F200" i="22"/>
  <c r="F279" i="22"/>
  <c r="A306" i="23"/>
  <c r="A191" i="23"/>
  <c r="A275" i="23"/>
  <c r="Q325" i="22"/>
  <c r="F328" i="22"/>
  <c r="H236" i="23"/>
  <c r="A353" i="22"/>
  <c r="U439" i="22"/>
  <c r="U433" i="22"/>
  <c r="A363" i="23"/>
  <c r="T234" i="22"/>
  <c r="W343" i="22"/>
  <c r="C254" i="23"/>
  <c r="F215" i="22"/>
  <c r="A219" i="22"/>
  <c r="A417" i="23"/>
  <c r="C414" i="23"/>
  <c r="S14" i="22"/>
  <c r="Q238" i="22"/>
  <c r="U322" i="22"/>
  <c r="C274" i="23"/>
  <c r="Q265" i="22"/>
  <c r="B263" i="22"/>
  <c r="C260" i="23" s="1"/>
  <c r="H252" i="23"/>
  <c r="A377" i="22"/>
  <c r="T328" i="22"/>
  <c r="A142" i="23"/>
  <c r="C205" i="23"/>
  <c r="T174" i="22"/>
  <c r="W345" i="22"/>
  <c r="C212" i="23"/>
  <c r="A397" i="22"/>
  <c r="F438" i="22"/>
  <c r="A411" i="23"/>
  <c r="F436" i="22"/>
  <c r="H234" i="23"/>
  <c r="B197" i="22"/>
  <c r="U392" i="22"/>
  <c r="B333" i="22"/>
  <c r="Q435" i="22"/>
  <c r="S355" i="22"/>
  <c r="W191" i="22"/>
  <c r="C239" i="23"/>
  <c r="T371" i="22"/>
  <c r="T264" i="22"/>
  <c r="A392" i="22"/>
  <c r="A389" i="23" s="1"/>
  <c r="B264" i="22"/>
  <c r="H126" i="23"/>
  <c r="U325" i="22"/>
  <c r="A332" i="22"/>
  <c r="F432" i="22"/>
  <c r="F189" i="22"/>
  <c r="F440" i="22"/>
  <c r="C417" i="23"/>
  <c r="A437" i="22"/>
  <c r="B212" i="22"/>
  <c r="C344" i="23"/>
  <c r="S281" i="22"/>
  <c r="W255" i="22"/>
  <c r="U200" i="22"/>
  <c r="C308" i="23"/>
  <c r="U279" i="22"/>
  <c r="C302" i="23"/>
  <c r="T233" i="22"/>
  <c r="M471" i="22"/>
  <c r="W305" i="22"/>
  <c r="M493" i="22"/>
  <c r="C347" i="23"/>
  <c r="Q217" i="22"/>
  <c r="H416" i="23"/>
  <c r="C169" i="23"/>
  <c r="F344" i="22"/>
  <c r="A286" i="23"/>
  <c r="C258" i="23"/>
  <c r="A212" i="22"/>
  <c r="A393" i="22"/>
  <c r="A390" i="23" s="1"/>
  <c r="S217" i="22"/>
  <c r="W217" i="22" s="1"/>
  <c r="U256" i="22"/>
  <c r="S179" i="22"/>
  <c r="A352" i="22"/>
  <c r="H220" i="23"/>
  <c r="T193" i="22"/>
  <c r="W412" i="22"/>
  <c r="Q244" i="22"/>
  <c r="C439" i="23"/>
  <c r="H369" i="23"/>
  <c r="S282" i="22"/>
  <c r="H188" i="23"/>
  <c r="F433" i="22"/>
  <c r="H239" i="23"/>
  <c r="S195" i="22"/>
  <c r="Q174" i="22"/>
  <c r="C218" i="23"/>
  <c r="B169" i="22"/>
  <c r="H303" i="23"/>
  <c r="T397" i="22"/>
  <c r="T192" i="22"/>
  <c r="A276" i="23"/>
  <c r="C369" i="23"/>
  <c r="F177" i="22"/>
  <c r="Q242" i="22"/>
  <c r="A198" i="23"/>
  <c r="A387" i="22"/>
  <c r="C193" i="23"/>
  <c r="A344" i="23"/>
  <c r="H418" i="23"/>
  <c r="C413" i="23"/>
  <c r="H263" i="23"/>
  <c r="H144" i="23"/>
  <c r="C164" i="23"/>
  <c r="Q175" i="22"/>
  <c r="S216" i="22"/>
  <c r="Q233" i="22"/>
  <c r="C284" i="23"/>
  <c r="F431" i="22"/>
  <c r="H349" i="23"/>
  <c r="C264" i="23"/>
  <c r="A194" i="23"/>
  <c r="T16" i="22"/>
  <c r="A211" i="23"/>
  <c r="S15" i="22"/>
  <c r="F171" i="22"/>
  <c r="H237" i="23"/>
  <c r="U242" i="22"/>
  <c r="C436" i="23"/>
  <c r="W303" i="22"/>
  <c r="B283" i="22"/>
  <c r="A221" i="22"/>
  <c r="T223" i="22"/>
  <c r="I161" i="23"/>
  <c r="W416" i="22"/>
  <c r="F288" i="22"/>
  <c r="W324" i="22"/>
  <c r="S215" i="22"/>
  <c r="Q211" i="22"/>
  <c r="A218" i="22"/>
  <c r="U195" i="22"/>
  <c r="C385" i="23"/>
  <c r="Q266" i="22"/>
  <c r="B243" i="22"/>
  <c r="C415" i="23"/>
  <c r="W369" i="22"/>
  <c r="A328" i="22"/>
  <c r="Q263" i="22"/>
  <c r="W299" i="22"/>
  <c r="A365" i="23"/>
  <c r="M9" i="22"/>
  <c r="W372" i="22"/>
  <c r="C370" i="23"/>
  <c r="C174" i="23"/>
  <c r="F194" i="22"/>
  <c r="A325" i="23"/>
  <c r="U443" i="22"/>
  <c r="H307" i="23"/>
  <c r="C304" i="23"/>
  <c r="A302" i="23"/>
  <c r="W262" i="22"/>
  <c r="S263" i="22"/>
  <c r="A243" i="22"/>
  <c r="A440" i="22"/>
  <c r="S17" i="22"/>
  <c r="F282" i="22"/>
  <c r="H216" i="23"/>
  <c r="W353" i="22"/>
  <c r="C325" i="23"/>
  <c r="H393" i="23"/>
  <c r="F198" i="22"/>
  <c r="W417" i="22"/>
  <c r="U282" i="22"/>
  <c r="A349" i="23"/>
  <c r="T217" i="22"/>
  <c r="Q171" i="22"/>
  <c r="B194" i="22"/>
  <c r="A263" i="23"/>
  <c r="W283" i="22"/>
  <c r="U286" i="22"/>
  <c r="C345" i="23"/>
  <c r="A237" i="23"/>
  <c r="A434" i="22"/>
  <c r="H257" i="23"/>
  <c r="Q442" i="22"/>
  <c r="H328" i="23"/>
  <c r="C299" i="23"/>
  <c r="A391" i="23"/>
  <c r="U171" i="22"/>
  <c r="Q283" i="22"/>
  <c r="A153" i="23"/>
  <c r="A231" i="23"/>
  <c r="H187" i="23"/>
  <c r="U434" i="22"/>
  <c r="C261" i="23"/>
  <c r="A238" i="22"/>
  <c r="C237" i="23"/>
  <c r="A258" i="23"/>
  <c r="C326" i="23"/>
  <c r="W376" i="22"/>
  <c r="A373" i="23"/>
  <c r="A385" i="23"/>
  <c r="H342" i="23"/>
  <c r="A341" i="23"/>
  <c r="A367" i="23"/>
  <c r="W278" i="22"/>
  <c r="T258" i="22"/>
  <c r="U17" i="22"/>
  <c r="E515" i="22"/>
  <c r="B199" i="22"/>
  <c r="C297" i="23"/>
  <c r="C257" i="23"/>
  <c r="W365" i="22"/>
  <c r="W235" i="22"/>
  <c r="W392" i="22"/>
  <c r="U331" i="22"/>
  <c r="F536" i="22"/>
  <c r="W440" i="22"/>
  <c r="C329" i="23"/>
  <c r="C321" i="23"/>
  <c r="A342" i="23"/>
  <c r="U213" i="22"/>
  <c r="A172" i="23"/>
  <c r="T348" i="22"/>
  <c r="H440" i="23"/>
  <c r="S370" i="22"/>
  <c r="F439" i="22"/>
  <c r="B198" i="22"/>
  <c r="C191" i="23"/>
  <c r="Q437" i="22"/>
  <c r="H232" i="23"/>
  <c r="H320" i="23"/>
  <c r="S367" i="22"/>
  <c r="C197" i="23"/>
  <c r="H258" i="23"/>
  <c r="A208" i="23"/>
  <c r="T284" i="22"/>
  <c r="W438" i="22"/>
  <c r="H395" i="23"/>
  <c r="C209" i="23"/>
  <c r="H318" i="23"/>
  <c r="C240" i="23"/>
  <c r="A298" i="23"/>
  <c r="W374" i="22"/>
  <c r="A196" i="23"/>
  <c r="A304" i="22"/>
  <c r="H396" i="23"/>
  <c r="A186" i="23"/>
  <c r="H366" i="23"/>
  <c r="W266" i="22"/>
  <c r="A168" i="23"/>
  <c r="A329" i="23"/>
  <c r="C166" i="23"/>
  <c r="H437" i="23"/>
  <c r="A254" i="23"/>
  <c r="A164" i="23"/>
  <c r="H364" i="23"/>
  <c r="C366" i="23"/>
  <c r="W176" i="22"/>
  <c r="W189" i="22"/>
  <c r="C167" i="23"/>
  <c r="C387" i="23"/>
  <c r="W323" i="22"/>
  <c r="W284" i="22"/>
  <c r="H374" i="23"/>
  <c r="A14" i="22"/>
  <c r="H198" i="23"/>
  <c r="A274" i="23"/>
  <c r="H409" i="23"/>
  <c r="C346" i="23"/>
  <c r="A348" i="23"/>
  <c r="H304" i="23"/>
  <c r="B173" i="22"/>
  <c r="F434" i="22"/>
  <c r="H414" i="23"/>
  <c r="A389" i="22"/>
  <c r="W354" i="22"/>
  <c r="T237" i="22"/>
  <c r="A333" i="22"/>
  <c r="U214" i="22"/>
  <c r="W214" i="22" s="1"/>
  <c r="A362" i="23"/>
  <c r="A166" i="23"/>
  <c r="U288" i="22"/>
  <c r="A191" i="22"/>
  <c r="C384" i="23"/>
  <c r="B440" i="22"/>
  <c r="B323" i="22"/>
  <c r="C320" i="23" s="1"/>
  <c r="A256" i="23"/>
  <c r="H413" i="23"/>
  <c r="W168" i="22"/>
  <c r="W410" i="22"/>
  <c r="I88" i="23"/>
  <c r="A215" i="22"/>
  <c r="H189" i="23"/>
  <c r="F167" i="22"/>
  <c r="I493" i="22"/>
  <c r="A371" i="23"/>
  <c r="H300" i="23"/>
  <c r="H439" i="23"/>
  <c r="C165" i="23"/>
  <c r="H255" i="23"/>
  <c r="A232" i="23"/>
  <c r="C351" i="23"/>
  <c r="C255" i="23"/>
  <c r="H230" i="23"/>
  <c r="A279" i="23"/>
  <c r="H261" i="23"/>
  <c r="W330" i="22"/>
  <c r="H367" i="23"/>
  <c r="H195" i="23"/>
  <c r="H329" i="23"/>
  <c r="H279" i="23"/>
  <c r="H436" i="23"/>
  <c r="C418" i="23"/>
  <c r="W309" i="22"/>
  <c r="C253" i="23"/>
  <c r="B237" i="22"/>
  <c r="C234" i="23" s="1"/>
  <c r="Q439" i="22"/>
  <c r="S431" i="22"/>
  <c r="Q212" i="22"/>
  <c r="F222" i="22"/>
  <c r="M449" i="22"/>
  <c r="I448" i="23" s="1"/>
  <c r="A409" i="23"/>
  <c r="H240" i="23"/>
  <c r="F236" i="22"/>
  <c r="H233" i="23" s="1"/>
  <c r="H306" i="23"/>
  <c r="C263" i="23"/>
  <c r="A438" i="22"/>
  <c r="C390" i="23"/>
  <c r="C294" i="23"/>
  <c r="H190" i="23"/>
  <c r="A433" i="22"/>
  <c r="A176" i="22"/>
  <c r="T432" i="22"/>
  <c r="A327" i="23"/>
  <c r="T214" i="22"/>
  <c r="W327" i="22"/>
  <c r="A443" i="22"/>
  <c r="W195" i="22"/>
  <c r="W261" i="22"/>
  <c r="F13" i="22"/>
  <c r="C252" i="23"/>
  <c r="I492" i="23"/>
  <c r="W193" i="22"/>
  <c r="B13" i="22"/>
  <c r="U221" i="22"/>
  <c r="C373" i="23"/>
  <c r="C296" i="23"/>
  <c r="T240" i="22"/>
  <c r="Q324" i="22"/>
  <c r="A172" i="22"/>
  <c r="A169" i="23" s="1"/>
  <c r="I471" i="22"/>
  <c r="B190" i="22"/>
  <c r="T329" i="22"/>
  <c r="A236" i="23"/>
  <c r="S432" i="22"/>
  <c r="Q172" i="22"/>
  <c r="C447" i="23"/>
  <c r="Q201" i="22"/>
  <c r="B493" i="22"/>
  <c r="C388" i="23"/>
  <c r="T17" i="22"/>
  <c r="H276" i="23"/>
  <c r="W439" i="22"/>
  <c r="B44" i="22"/>
  <c r="H174" i="23"/>
  <c r="W287" i="22"/>
  <c r="H412" i="23"/>
  <c r="I469" i="23"/>
  <c r="H415" i="23"/>
  <c r="F514" i="22"/>
  <c r="A318" i="23"/>
  <c r="B9" i="22"/>
  <c r="T178" i="22"/>
  <c r="C213" i="23"/>
  <c r="A190" i="23"/>
  <c r="U308" i="22"/>
  <c r="A374" i="23"/>
  <c r="A305" i="23"/>
  <c r="U16" i="22"/>
  <c r="H428" i="23"/>
  <c r="I515" i="22"/>
  <c r="W213" i="22"/>
  <c r="A394" i="23"/>
  <c r="B234" i="22"/>
  <c r="C236" i="23"/>
  <c r="W17" i="22"/>
  <c r="W234" i="22"/>
  <c r="C306" i="23"/>
  <c r="S170" i="22"/>
  <c r="H363" i="23"/>
  <c r="T215" i="22"/>
  <c r="A406" i="23"/>
  <c r="H32" i="23"/>
  <c r="H171" i="23"/>
  <c r="H362" i="23"/>
  <c r="B278" i="22"/>
  <c r="C275" i="23" s="1"/>
  <c r="B214" i="22"/>
  <c r="C211" i="23" s="1"/>
  <c r="A442" i="22"/>
  <c r="U397" i="22"/>
  <c r="W397" i="22" s="1"/>
  <c r="A219" i="23"/>
  <c r="Q438" i="22"/>
  <c r="A297" i="23"/>
  <c r="F448" i="22"/>
  <c r="C300" i="23"/>
  <c r="F221" i="22"/>
  <c r="S310" i="22"/>
  <c r="A350" i="22"/>
  <c r="H253" i="23"/>
  <c r="S245" i="22"/>
  <c r="F329" i="22"/>
  <c r="C341" i="23"/>
  <c r="B321" i="22"/>
  <c r="Q394" i="22"/>
  <c r="H406" i="23"/>
  <c r="H298" i="23"/>
  <c r="W279" i="22"/>
  <c r="H368" i="23"/>
  <c r="A438" i="23"/>
  <c r="C364" i="23"/>
  <c r="H433" i="23"/>
  <c r="A255" i="22"/>
  <c r="H341" i="23"/>
  <c r="T179" i="22"/>
  <c r="A345" i="23"/>
  <c r="A388" i="23"/>
  <c r="U238" i="22"/>
  <c r="C391" i="23"/>
  <c r="C491" i="23"/>
  <c r="F179" i="22"/>
  <c r="A343" i="23"/>
  <c r="I447" i="23"/>
  <c r="A307" i="23"/>
  <c r="S237" i="22"/>
  <c r="W239" i="22"/>
  <c r="A418" i="23"/>
  <c r="C327" i="23"/>
  <c r="T170" i="22"/>
  <c r="H340" i="23"/>
  <c r="C396" i="23"/>
  <c r="H254" i="23"/>
  <c r="T282" i="22"/>
  <c r="C303" i="23"/>
  <c r="A179" i="22"/>
  <c r="A176" i="23" s="1"/>
  <c r="F234" i="22"/>
  <c r="H231" i="23" s="1"/>
  <c r="T441" i="22"/>
  <c r="C342" i="23"/>
  <c r="C217" i="23"/>
  <c r="C175" i="23"/>
  <c r="A187" i="23"/>
  <c r="T390" i="22"/>
  <c r="B265" i="22"/>
  <c r="W173" i="22"/>
  <c r="H351" i="23"/>
  <c r="W415" i="22"/>
  <c r="W396" i="22"/>
  <c r="A234" i="23"/>
  <c r="W237" i="22"/>
  <c r="C395" i="23"/>
  <c r="H407" i="23"/>
  <c r="F170" i="22"/>
  <c r="H370" i="23"/>
  <c r="H387" i="23"/>
  <c r="A326" i="23"/>
  <c r="A350" i="23"/>
  <c r="T167" i="22"/>
  <c r="H262" i="23"/>
  <c r="H259" i="23"/>
  <c r="B435" i="22"/>
  <c r="H302" i="23"/>
  <c r="Q17" i="22"/>
  <c r="A431" i="23"/>
  <c r="A369" i="23"/>
  <c r="F388" i="22"/>
  <c r="A372" i="23"/>
  <c r="W366" i="22"/>
  <c r="U431" i="22"/>
  <c r="A260" i="22"/>
  <c r="S285" i="22"/>
  <c r="F492" i="22"/>
  <c r="T396" i="22"/>
  <c r="H211" i="23"/>
  <c r="C189" i="23"/>
  <c r="C371" i="23"/>
  <c r="Q301" i="22"/>
  <c r="H348" i="23"/>
  <c r="S243" i="22"/>
  <c r="A325" i="22"/>
  <c r="A408" i="23"/>
  <c r="A433" i="23"/>
  <c r="C301" i="23"/>
  <c r="Q440" i="22"/>
  <c r="C232" i="23"/>
  <c r="C282" i="23"/>
  <c r="T244" i="22"/>
  <c r="H390" i="23"/>
  <c r="F238" i="22"/>
  <c r="C298" i="23"/>
  <c r="A300" i="23"/>
  <c r="A303" i="23"/>
  <c r="A392" i="23"/>
  <c r="W167" i="22"/>
  <c r="S436" i="22"/>
  <c r="F327" i="22"/>
  <c r="H194" i="23"/>
  <c r="A323" i="23"/>
  <c r="C372" i="23"/>
  <c r="C195" i="23"/>
  <c r="H197" i="23"/>
  <c r="H168" i="23"/>
  <c r="C434" i="23"/>
  <c r="Q237" i="22"/>
  <c r="S222" i="22"/>
  <c r="H392" i="23"/>
  <c r="I426" i="23"/>
  <c r="I470" i="23"/>
  <c r="C492" i="23"/>
  <c r="A240" i="23"/>
  <c r="I57" i="23"/>
  <c r="A13" i="22"/>
  <c r="W282" i="22"/>
  <c r="A281" i="23"/>
  <c r="H308" i="23"/>
  <c r="W432" i="22"/>
  <c r="A239" i="23"/>
  <c r="T236" i="22"/>
  <c r="W221" i="22"/>
  <c r="U18" i="22"/>
  <c r="H434" i="23"/>
  <c r="B397" i="22"/>
  <c r="B515" i="22"/>
  <c r="A220" i="23"/>
  <c r="A370" i="23"/>
  <c r="H429" i="23"/>
  <c r="W219" i="22"/>
  <c r="C196" i="23"/>
  <c r="A188" i="23"/>
  <c r="I559" i="22"/>
  <c r="S236" i="22"/>
  <c r="T262" i="22"/>
  <c r="S325" i="22"/>
  <c r="A216" i="23"/>
  <c r="H218" i="23"/>
  <c r="C429" i="23"/>
  <c r="H275" i="23"/>
  <c r="A33" i="23"/>
  <c r="W258" i="22"/>
  <c r="W321" i="22"/>
  <c r="Q15" i="22"/>
  <c r="C176" i="23"/>
  <c r="A215" i="23"/>
  <c r="A217" i="23"/>
  <c r="H326" i="23"/>
  <c r="W310" i="22"/>
  <c r="C187" i="23"/>
  <c r="C168" i="23"/>
  <c r="C259" i="23"/>
  <c r="C219" i="23"/>
  <c r="U437" i="22"/>
  <c r="H169" i="23"/>
  <c r="W395" i="22"/>
  <c r="H372" i="23"/>
  <c r="A252" i="23"/>
  <c r="I513" i="23"/>
  <c r="S172" i="22"/>
  <c r="B431" i="22"/>
  <c r="H215" i="23"/>
  <c r="I30" i="23"/>
  <c r="A386" i="23"/>
  <c r="W302" i="22"/>
  <c r="A435" i="23"/>
  <c r="W256" i="22"/>
  <c r="C30" i="23"/>
  <c r="C435" i="23"/>
  <c r="H235" i="23"/>
  <c r="C238" i="23"/>
  <c r="H212" i="23"/>
  <c r="W240" i="22"/>
  <c r="F176" i="22"/>
  <c r="B14" i="22"/>
  <c r="W198" i="22"/>
  <c r="C215" i="23"/>
  <c r="W194" i="22"/>
  <c r="C33" i="23"/>
  <c r="T18" i="22"/>
  <c r="A413" i="23"/>
  <c r="A366" i="23"/>
  <c r="W264" i="22"/>
  <c r="H33" i="23"/>
  <c r="A230" i="23"/>
  <c r="T398" i="22"/>
  <c r="H173" i="23"/>
  <c r="H167" i="23"/>
  <c r="C186" i="23"/>
  <c r="H435" i="23"/>
  <c r="B537" i="22"/>
  <c r="C535" i="23" s="1"/>
  <c r="T15" i="22"/>
  <c r="A278" i="23"/>
  <c r="B289" i="22"/>
  <c r="A282" i="23"/>
  <c r="W389" i="22"/>
  <c r="A259" i="23"/>
  <c r="C319" i="23"/>
  <c r="C362" i="23"/>
  <c r="W398" i="22"/>
  <c r="H172" i="23"/>
  <c r="W190" i="22"/>
  <c r="C210" i="23"/>
  <c r="U244" i="22"/>
  <c r="I9" i="22"/>
  <c r="C233" i="23"/>
  <c r="W431" i="22"/>
  <c r="W346" i="22"/>
  <c r="H299" i="23"/>
  <c r="I537" i="22"/>
  <c r="I535" i="23" s="1"/>
  <c r="I491" i="23"/>
  <c r="F245" i="22"/>
  <c r="H242" i="23" s="1"/>
  <c r="B559" i="22"/>
  <c r="H385" i="23"/>
  <c r="W370" i="22"/>
  <c r="A296" i="23"/>
  <c r="A195" i="23"/>
  <c r="Q282" i="22"/>
  <c r="C279" i="23"/>
  <c r="A32" i="23"/>
  <c r="A428" i="23"/>
  <c r="W328" i="22"/>
  <c r="Q18" i="22"/>
  <c r="W435" i="22"/>
  <c r="W436" i="22"/>
  <c r="T241" i="22"/>
  <c r="H278" i="23"/>
  <c r="C192" i="23"/>
  <c r="A280" i="22"/>
  <c r="H209" i="23"/>
  <c r="A280" i="23"/>
  <c r="A346" i="23"/>
  <c r="C32" i="23"/>
  <c r="W242" i="22"/>
  <c r="H219" i="23"/>
  <c r="T177" i="22"/>
  <c r="A299" i="23"/>
  <c r="W308" i="22"/>
  <c r="W329" i="22"/>
  <c r="W178" i="22"/>
  <c r="S233" i="22"/>
  <c r="W233" i="22" s="1"/>
  <c r="T327" i="22"/>
  <c r="W263" i="22"/>
  <c r="H431" i="23"/>
  <c r="S434" i="22"/>
  <c r="W434" i="22" s="1"/>
  <c r="A414" i="23"/>
  <c r="F389" i="22"/>
  <c r="C410" i="23"/>
  <c r="E471" i="22"/>
  <c r="W197" i="22"/>
  <c r="W169" i="22"/>
  <c r="B244" i="22"/>
  <c r="C286" i="23"/>
  <c r="W170" i="22"/>
  <c r="E559" i="22"/>
  <c r="C440" i="23"/>
  <c r="W14" i="22"/>
  <c r="A264" i="23"/>
  <c r="W200" i="22"/>
  <c r="M515" i="22"/>
  <c r="Q399" i="22"/>
  <c r="A189" i="23"/>
  <c r="A257" i="23"/>
  <c r="H210" i="23"/>
  <c r="T438" i="22"/>
  <c r="W196" i="22"/>
  <c r="S18" i="22"/>
  <c r="C514" i="23"/>
  <c r="A193" i="23"/>
  <c r="C428" i="23"/>
  <c r="W174" i="22"/>
  <c r="J57" i="23"/>
  <c r="A285" i="23"/>
  <c r="E9" i="22"/>
  <c r="H325" i="23"/>
  <c r="W286" i="22"/>
  <c r="F244" i="22"/>
  <c r="H241" i="23" s="1"/>
  <c r="C318" i="23"/>
  <c r="T172" i="22"/>
  <c r="E537" i="22"/>
  <c r="C536" i="23" s="1"/>
  <c r="F14" i="22"/>
  <c r="Q395" i="22"/>
  <c r="C170" i="23"/>
  <c r="H350" i="23"/>
  <c r="U332" i="22"/>
  <c r="H196" i="23"/>
  <c r="W18" i="22"/>
  <c r="A173" i="23"/>
  <c r="W325" i="22"/>
  <c r="W171" i="22"/>
  <c r="F558" i="22"/>
  <c r="W212" i="22"/>
  <c r="W437" i="22"/>
  <c r="W15" i="22"/>
  <c r="W326" i="22"/>
  <c r="A395" i="23"/>
  <c r="W277" i="22"/>
  <c r="A434" i="23"/>
  <c r="S241" i="22"/>
  <c r="S265" i="22"/>
  <c r="W265" i="22" s="1"/>
  <c r="F333" i="22"/>
  <c r="H330" i="23" s="1"/>
  <c r="H164" i="23"/>
  <c r="W368" i="22"/>
  <c r="A384" i="23"/>
  <c r="A430" i="23"/>
  <c r="H432" i="23"/>
  <c r="C256" i="23"/>
  <c r="H193" i="23"/>
  <c r="I29" i="23"/>
  <c r="M537" i="22"/>
  <c r="I536" i="23" s="1"/>
  <c r="I514" i="23"/>
  <c r="C394" i="23"/>
  <c r="C431" i="23"/>
  <c r="W442" i="22"/>
  <c r="H176" i="23"/>
  <c r="W441" i="22"/>
  <c r="W322" i="22"/>
  <c r="W332" i="22"/>
  <c r="W244" i="22"/>
  <c r="A412" i="23"/>
  <c r="W300" i="22"/>
  <c r="W222" i="22"/>
  <c r="C29" i="23"/>
  <c r="C241" i="23"/>
  <c r="C432" i="23"/>
  <c r="H191" i="23"/>
  <c r="M559" i="22"/>
  <c r="C198" i="23"/>
  <c r="W216" i="22"/>
  <c r="C231" i="23"/>
  <c r="W241" i="22"/>
  <c r="W16" i="22"/>
  <c r="A308" i="23"/>
  <c r="A432" i="23"/>
  <c r="W414" i="22"/>
  <c r="A277" i="23"/>
  <c r="H305" i="23"/>
  <c r="A235" i="23"/>
  <c r="W331" i="22"/>
  <c r="W218" i="22"/>
  <c r="C11" i="23"/>
  <c r="A347" i="23"/>
  <c r="W220" i="22"/>
  <c r="A301" i="23"/>
  <c r="W288" i="22"/>
  <c r="H285" i="23"/>
  <c r="W238" i="22"/>
  <c r="H324" i="23"/>
  <c r="H260" i="23"/>
  <c r="C194" i="23"/>
  <c r="C470" i="23"/>
  <c r="F624" i="22"/>
  <c r="H11" i="23"/>
  <c r="C10" i="23"/>
  <c r="H170" i="23"/>
  <c r="B625" i="22"/>
  <c r="C330" i="23"/>
  <c r="C558" i="23"/>
  <c r="AV8" i="1"/>
  <c r="M625" i="22"/>
  <c r="E625" i="22"/>
  <c r="A324" i="23"/>
  <c r="F580" i="22"/>
  <c r="I625" i="22"/>
  <c r="M581" i="22"/>
  <c r="B581" i="22"/>
  <c r="A11" i="23"/>
  <c r="A212" i="23"/>
  <c r="A214" i="23"/>
  <c r="H277" i="23"/>
  <c r="I558" i="23"/>
  <c r="W177" i="22"/>
  <c r="C557" i="23"/>
  <c r="I79" i="23"/>
  <c r="C69" i="23"/>
  <c r="A10" i="23"/>
  <c r="E581" i="22"/>
  <c r="I557" i="23"/>
  <c r="AW8" i="1"/>
  <c r="H10" i="23"/>
  <c r="W387" i="22"/>
  <c r="W285" i="22"/>
  <c r="I581" i="22"/>
  <c r="H410" i="23"/>
  <c r="W281" i="22"/>
  <c r="W259" i="22"/>
  <c r="A209" i="23"/>
  <c r="H384" i="23"/>
  <c r="H186" i="23"/>
  <c r="H199" i="23" l="1"/>
  <c r="X216" i="22"/>
  <c r="X222" i="22"/>
  <c r="X300" i="22"/>
  <c r="X244" i="22"/>
  <c r="X332" i="22"/>
  <c r="X322" i="22"/>
  <c r="X441" i="22"/>
  <c r="X442" i="22"/>
  <c r="X368" i="22"/>
  <c r="X265" i="22"/>
  <c r="X277" i="22"/>
  <c r="X326" i="22"/>
  <c r="X437" i="22"/>
  <c r="X212" i="22"/>
  <c r="G575" i="22"/>
  <c r="X575" i="22"/>
  <c r="X171" i="22"/>
  <c r="X325" i="22"/>
  <c r="I395" i="22"/>
  <c r="X286" i="22"/>
  <c r="J67" i="23"/>
  <c r="X174" i="22"/>
  <c r="X196" i="22"/>
  <c r="I399" i="22"/>
  <c r="X200" i="22"/>
  <c r="X14" i="22"/>
  <c r="X170" i="22"/>
  <c r="X169" i="22"/>
  <c r="X197" i="22"/>
  <c r="X434" i="22"/>
  <c r="X263" i="22"/>
  <c r="X233" i="22"/>
  <c r="X178" i="22"/>
  <c r="X329" i="22"/>
  <c r="X308" i="22"/>
  <c r="X242" i="22"/>
  <c r="X436" i="22"/>
  <c r="X435" i="22"/>
  <c r="X328" i="22"/>
  <c r="I282" i="22"/>
  <c r="X370" i="22"/>
  <c r="X346" i="22"/>
  <c r="X431" i="22"/>
  <c r="X190" i="22"/>
  <c r="X398" i="22"/>
  <c r="X389" i="22"/>
  <c r="X264" i="22"/>
  <c r="X194" i="22"/>
  <c r="X198" i="22"/>
  <c r="X240" i="22"/>
  <c r="X256" i="22"/>
  <c r="X302" i="22"/>
  <c r="X395" i="22"/>
  <c r="X310" i="22"/>
  <c r="X321" i="22"/>
  <c r="X258" i="22"/>
  <c r="X219" i="22"/>
  <c r="X221" i="22"/>
  <c r="X432" i="22"/>
  <c r="X282" i="22"/>
  <c r="I237" i="22"/>
  <c r="X167" i="22"/>
  <c r="I440" i="22"/>
  <c r="I301" i="22"/>
  <c r="X509" i="22"/>
  <c r="G509" i="22"/>
  <c r="X366" i="22"/>
  <c r="X237" i="22"/>
  <c r="X396" i="22"/>
  <c r="X415" i="22"/>
  <c r="X173" i="22"/>
  <c r="H353" i="23"/>
  <c r="X239" i="22"/>
  <c r="X279" i="22"/>
  <c r="I394" i="22"/>
  <c r="X465" i="22"/>
  <c r="A466" i="22"/>
  <c r="A488" i="22" s="1"/>
  <c r="A510" i="22" s="1"/>
  <c r="A532" i="22" s="1"/>
  <c r="A554" i="22" s="1"/>
  <c r="A576" i="22" s="1"/>
  <c r="A451" i="22"/>
  <c r="A473" i="22" s="1"/>
  <c r="A495" i="22" s="1"/>
  <c r="A517" i="22" s="1"/>
  <c r="A539" i="22" s="1"/>
  <c r="A561" i="22" s="1"/>
  <c r="G465" i="22"/>
  <c r="N451" i="22"/>
  <c r="N473" i="22" s="1"/>
  <c r="N495" i="22" s="1"/>
  <c r="N517" i="22" s="1"/>
  <c r="N539" i="22" s="1"/>
  <c r="N561" i="22" s="1"/>
  <c r="D449" i="22"/>
  <c r="D471" i="22" s="1"/>
  <c r="D493" i="22" s="1"/>
  <c r="D515" i="22" s="1"/>
  <c r="D537" i="22" s="1"/>
  <c r="D559" i="22" s="1"/>
  <c r="I451" i="22"/>
  <c r="I473" i="22" s="1"/>
  <c r="I495" i="22" s="1"/>
  <c r="I517" i="22" s="1"/>
  <c r="I539" i="22" s="1"/>
  <c r="I561" i="22" s="1"/>
  <c r="G467" i="22"/>
  <c r="G489" i="22" s="1"/>
  <c r="G511" i="22" s="1"/>
  <c r="G533" i="22" s="1"/>
  <c r="G555" i="22" s="1"/>
  <c r="G577" i="22" s="1"/>
  <c r="M451" i="22"/>
  <c r="M473" i="22" s="1"/>
  <c r="M495" i="22" s="1"/>
  <c r="M517" i="22" s="1"/>
  <c r="M539" i="22" s="1"/>
  <c r="M561" i="22" s="1"/>
  <c r="A467" i="22"/>
  <c r="A489" i="22" s="1"/>
  <c r="A511" i="22" s="1"/>
  <c r="A533" i="22" s="1"/>
  <c r="A555" i="22" s="1"/>
  <c r="A577" i="22" s="1"/>
  <c r="B451" i="22"/>
  <c r="B473" i="22" s="1"/>
  <c r="B495" i="22" s="1"/>
  <c r="B517" i="22" s="1"/>
  <c r="B539" i="22" s="1"/>
  <c r="B561" i="22" s="1"/>
  <c r="G451" i="22"/>
  <c r="G473" i="22" s="1"/>
  <c r="G495" i="22" s="1"/>
  <c r="G517" i="22" s="1"/>
  <c r="G539" i="22" s="1"/>
  <c r="G561" i="22" s="1"/>
  <c r="G583" i="22" s="1"/>
  <c r="G449" i="22"/>
  <c r="G471" i="22" s="1"/>
  <c r="G493" i="22" s="1"/>
  <c r="G515" i="22" s="1"/>
  <c r="G537" i="22" s="1"/>
  <c r="G559" i="22" s="1"/>
  <c r="M467" i="22"/>
  <c r="M489" i="22" s="1"/>
  <c r="M511" i="22" s="1"/>
  <c r="M533" i="22" s="1"/>
  <c r="M555" i="22" s="1"/>
  <c r="M577" i="22" s="1"/>
  <c r="M599" i="22" s="1"/>
  <c r="K449" i="22"/>
  <c r="K471" i="22" s="1"/>
  <c r="K493" i="22" s="1"/>
  <c r="K515" i="22" s="1"/>
  <c r="K537" i="22" s="1"/>
  <c r="K559" i="22" s="1"/>
  <c r="D467" i="22"/>
  <c r="D489" i="22" s="1"/>
  <c r="D511" i="22" s="1"/>
  <c r="D533" i="22" s="1"/>
  <c r="D555" i="22" s="1"/>
  <c r="D577" i="22" s="1"/>
  <c r="I467" i="22"/>
  <c r="I489" i="22" s="1"/>
  <c r="I511" i="22" s="1"/>
  <c r="I533" i="22" s="1"/>
  <c r="I555" i="22" s="1"/>
  <c r="I577" i="22" s="1"/>
  <c r="I599" i="22" s="1"/>
  <c r="K451" i="22"/>
  <c r="K473" i="22" s="1"/>
  <c r="K495" i="22" s="1"/>
  <c r="K517" i="22" s="1"/>
  <c r="K539" i="22" s="1"/>
  <c r="K561" i="22" s="1"/>
  <c r="A449" i="22"/>
  <c r="A471" i="22" s="1"/>
  <c r="A493" i="22" s="1"/>
  <c r="A515" i="22" s="1"/>
  <c r="A537" i="22" s="1"/>
  <c r="A559" i="22" s="1"/>
  <c r="K467" i="22"/>
  <c r="K489" i="22" s="1"/>
  <c r="K511" i="22" s="1"/>
  <c r="K533" i="22" s="1"/>
  <c r="K555" i="22" s="1"/>
  <c r="K577" i="22" s="1"/>
  <c r="I438" i="22"/>
  <c r="X397" i="22"/>
  <c r="H375" i="23"/>
  <c r="X234" i="22"/>
  <c r="X213" i="22"/>
  <c r="G531" i="22"/>
  <c r="X531" i="22"/>
  <c r="X287" i="22"/>
  <c r="X439" i="22"/>
  <c r="I201" i="22"/>
  <c r="I172" i="22"/>
  <c r="I324" i="22"/>
  <c r="X193" i="22"/>
  <c r="X261" i="22"/>
  <c r="X195" i="22"/>
  <c r="X327" i="22"/>
  <c r="I212" i="22"/>
  <c r="I439" i="22"/>
  <c r="X309" i="22"/>
  <c r="X330" i="22"/>
  <c r="F180" i="22"/>
  <c r="I180" i="22"/>
  <c r="X410" i="22"/>
  <c r="X168" i="22"/>
  <c r="X214" i="22"/>
  <c r="X354" i="22"/>
  <c r="X284" i="22"/>
  <c r="X323" i="22"/>
  <c r="X189" i="22"/>
  <c r="X176" i="22"/>
  <c r="X266" i="22"/>
  <c r="X374" i="22"/>
  <c r="X438" i="22"/>
  <c r="I437" i="22"/>
  <c r="X440" i="22"/>
  <c r="G553" i="22"/>
  <c r="X553" i="22"/>
  <c r="X392" i="22"/>
  <c r="X235" i="22"/>
  <c r="X365" i="22"/>
  <c r="W378" i="22"/>
  <c r="X278" i="22"/>
  <c r="X376" i="22"/>
  <c r="I283" i="22"/>
  <c r="I442" i="22"/>
  <c r="X283" i="22"/>
  <c r="I171" i="22"/>
  <c r="X417" i="22"/>
  <c r="X353" i="22"/>
  <c r="X262" i="22"/>
  <c r="X372" i="22"/>
  <c r="X299" i="22"/>
  <c r="I263" i="22"/>
  <c r="X369" i="22"/>
  <c r="I266" i="22"/>
  <c r="I211" i="22"/>
  <c r="X324" i="22"/>
  <c r="X416" i="22"/>
  <c r="X303" i="22"/>
  <c r="F444" i="22"/>
  <c r="I444" i="22"/>
  <c r="I233" i="22"/>
  <c r="I175" i="22"/>
  <c r="H155" i="23"/>
  <c r="I242" i="22"/>
  <c r="I174" i="22"/>
  <c r="I244" i="22"/>
  <c r="X412" i="22"/>
  <c r="X217" i="22"/>
  <c r="I217" i="22"/>
  <c r="X305" i="22"/>
  <c r="X255" i="22"/>
  <c r="I202" i="22"/>
  <c r="F202" i="22"/>
  <c r="X191" i="22"/>
  <c r="I435" i="22"/>
  <c r="X345" i="22"/>
  <c r="I265" i="22"/>
  <c r="I238" i="22"/>
  <c r="X343" i="22"/>
  <c r="W356" i="22"/>
  <c r="I325" i="22"/>
  <c r="X344" i="22"/>
  <c r="X199" i="22"/>
  <c r="I235" i="22"/>
  <c r="I332" i="22"/>
  <c r="X211" i="22"/>
  <c r="I334" i="22"/>
  <c r="F334" i="22"/>
  <c r="I436" i="22"/>
  <c r="X371" i="22"/>
  <c r="X349" i="22"/>
  <c r="I167" i="22"/>
  <c r="X352" i="22"/>
  <c r="X411" i="22"/>
  <c r="X307" i="22"/>
  <c r="I258" i="22"/>
  <c r="I388" i="22"/>
  <c r="I389" i="22"/>
  <c r="X418" i="22"/>
  <c r="I433" i="22"/>
  <c r="I190" i="22"/>
  <c r="I343" i="22"/>
  <c r="I443" i="22"/>
  <c r="I441" i="22"/>
  <c r="X351" i="22"/>
  <c r="I392" i="22"/>
  <c r="I240" i="22"/>
  <c r="X348" i="22"/>
  <c r="X391" i="22"/>
  <c r="I196" i="22"/>
  <c r="I329" i="22"/>
  <c r="I245" i="22"/>
  <c r="X420" i="22"/>
  <c r="X367" i="22"/>
  <c r="I285" i="22"/>
  <c r="X306" i="22"/>
  <c r="I179" i="22"/>
  <c r="I400" i="22"/>
  <c r="F400" i="22"/>
  <c r="X487" i="22"/>
  <c r="G487" i="22"/>
  <c r="F246" i="22"/>
  <c r="I246" i="22"/>
  <c r="X347" i="22"/>
  <c r="X419" i="22"/>
  <c r="I257" i="22"/>
  <c r="I376" i="22"/>
  <c r="X260" i="22"/>
  <c r="X390" i="22"/>
  <c r="I170" i="22"/>
  <c r="H221" i="23"/>
  <c r="X301" i="22"/>
  <c r="X373" i="22"/>
  <c r="I241" i="22"/>
  <c r="I333" i="22"/>
  <c r="I277" i="22"/>
  <c r="I195" i="22"/>
  <c r="I219" i="22"/>
  <c r="I354" i="22"/>
  <c r="X132" i="22"/>
  <c r="I419" i="22"/>
  <c r="I369" i="22"/>
  <c r="X350" i="22"/>
  <c r="X123" i="22"/>
  <c r="W136" i="22"/>
  <c r="I396" i="22"/>
  <c r="I284" i="22"/>
  <c r="X147" i="22"/>
  <c r="I398" i="22"/>
  <c r="I173" i="22"/>
  <c r="I260" i="22"/>
  <c r="I347" i="22"/>
  <c r="I310" i="22"/>
  <c r="X129" i="22"/>
  <c r="I348" i="22"/>
  <c r="I288" i="22"/>
  <c r="X394" i="22"/>
  <c r="X125" i="22"/>
  <c r="I327" i="22"/>
  <c r="I397" i="22"/>
  <c r="I192" i="22"/>
  <c r="I416" i="22"/>
  <c r="I178" i="22"/>
  <c r="X103" i="22"/>
  <c r="I326" i="22"/>
  <c r="X175" i="22"/>
  <c r="X128" i="22"/>
  <c r="I350" i="22"/>
  <c r="I194" i="22"/>
  <c r="F268" i="22"/>
  <c r="I268" i="22"/>
  <c r="I307" i="22"/>
  <c r="X109" i="22"/>
  <c r="I191" i="22"/>
  <c r="I287" i="22"/>
  <c r="I344" i="22"/>
  <c r="I198" i="22"/>
  <c r="I267" i="22"/>
  <c r="I176" i="22"/>
  <c r="I216" i="22"/>
  <c r="I346" i="22"/>
  <c r="I410" i="22"/>
  <c r="X130" i="22"/>
  <c r="I193" i="22"/>
  <c r="I278" i="22"/>
  <c r="I189" i="22"/>
  <c r="X409" i="22"/>
  <c r="I14" i="22"/>
  <c r="I236" i="22"/>
  <c r="I302" i="22"/>
  <c r="G378" i="22"/>
  <c r="F378" i="22"/>
  <c r="I378" i="22"/>
  <c r="X151" i="22"/>
  <c r="I280" i="22"/>
  <c r="I390" i="22"/>
  <c r="I322" i="22"/>
  <c r="I214" i="22"/>
  <c r="I220" i="22"/>
  <c r="I281" i="22"/>
  <c r="I239" i="22"/>
  <c r="I305" i="22"/>
  <c r="I323" i="22"/>
  <c r="I299" i="22"/>
  <c r="I391" i="22"/>
  <c r="I368" i="22"/>
  <c r="I286" i="22"/>
  <c r="I393" i="22"/>
  <c r="I290" i="22"/>
  <c r="F290" i="22"/>
  <c r="I321" i="22"/>
  <c r="I434" i="22"/>
  <c r="I200" i="22"/>
  <c r="I256" i="22"/>
  <c r="I199" i="22"/>
  <c r="I261" i="22"/>
  <c r="I279" i="22"/>
  <c r="I289" i="22"/>
  <c r="I418" i="22"/>
  <c r="I420" i="22"/>
  <c r="G371" i="22"/>
  <c r="M371" i="22"/>
  <c r="N371" i="22" s="1"/>
  <c r="R371" i="22"/>
  <c r="K371" i="22" s="1"/>
  <c r="I355" i="22"/>
  <c r="F224" i="22"/>
  <c r="I224" i="22"/>
  <c r="I306" i="22"/>
  <c r="X106" i="22"/>
  <c r="I411" i="22"/>
  <c r="I351" i="22"/>
  <c r="X145" i="22"/>
  <c r="W158" i="22"/>
  <c r="I255" i="22"/>
  <c r="I349" i="22"/>
  <c r="X280" i="22"/>
  <c r="I243" i="22"/>
  <c r="I366" i="22"/>
  <c r="I197" i="22"/>
  <c r="I309" i="22"/>
  <c r="I169" i="22"/>
  <c r="I370" i="22"/>
  <c r="I330" i="22"/>
  <c r="X153" i="22"/>
  <c r="I221" i="22"/>
  <c r="I417" i="22"/>
  <c r="I304" i="22"/>
  <c r="I432" i="22"/>
  <c r="I421" i="22"/>
  <c r="X146" i="22"/>
  <c r="I414" i="22"/>
  <c r="I177" i="22"/>
  <c r="I409" i="22"/>
  <c r="I222" i="22"/>
  <c r="I373" i="22"/>
  <c r="X124" i="22"/>
  <c r="H133" i="23"/>
  <c r="I365" i="22"/>
  <c r="I303" i="22"/>
  <c r="I215" i="22"/>
  <c r="I377" i="22"/>
  <c r="R369" i="22"/>
  <c r="K369" i="22" s="1"/>
  <c r="M369" i="22"/>
  <c r="N369" i="22" s="1"/>
  <c r="G369" i="22"/>
  <c r="X127" i="22"/>
  <c r="F356" i="22"/>
  <c r="I356" i="22"/>
  <c r="W114" i="22"/>
  <c r="X101" i="22"/>
  <c r="I431" i="22"/>
  <c r="I168" i="22"/>
  <c r="I223" i="22"/>
  <c r="X154" i="22"/>
  <c r="X107" i="22"/>
  <c r="X148" i="22"/>
  <c r="I375" i="22"/>
  <c r="I331" i="22"/>
  <c r="G372" i="22"/>
  <c r="R372" i="22"/>
  <c r="K372" i="22" s="1"/>
  <c r="M372" i="22"/>
  <c r="N372" i="22" s="1"/>
  <c r="V372" i="22" s="1"/>
  <c r="I345" i="22"/>
  <c r="I311" i="22"/>
  <c r="I328" i="22"/>
  <c r="X134" i="22"/>
  <c r="I374" i="22"/>
  <c r="I218" i="22"/>
  <c r="I367" i="22"/>
  <c r="G373" i="22"/>
  <c r="R373" i="22"/>
  <c r="K373" i="22" s="1"/>
  <c r="M373" i="22"/>
  <c r="N373" i="22" s="1"/>
  <c r="V373" i="22" s="1"/>
  <c r="I352" i="22"/>
  <c r="I353" i="22"/>
  <c r="R375" i="22"/>
  <c r="K375" i="22" s="1"/>
  <c r="M375" i="22"/>
  <c r="G375" i="22"/>
  <c r="X133" i="22"/>
  <c r="I371" i="22"/>
  <c r="I264" i="22"/>
  <c r="G367" i="22"/>
  <c r="M367" i="22"/>
  <c r="N367" i="22" s="1"/>
  <c r="V367" i="22" s="1"/>
  <c r="R367" i="22"/>
  <c r="K367" i="22" s="1"/>
  <c r="I213" i="22"/>
  <c r="X149" i="22"/>
  <c r="I262" i="22"/>
  <c r="I415" i="22"/>
  <c r="I234" i="22"/>
  <c r="X104" i="22"/>
  <c r="X150" i="22"/>
  <c r="R366" i="22"/>
  <c r="K366" i="22" s="1"/>
  <c r="M366" i="22"/>
  <c r="N366" i="22" s="1"/>
  <c r="G366" i="22"/>
  <c r="X152" i="22"/>
  <c r="H111" i="23"/>
  <c r="X126" i="22"/>
  <c r="M368" i="22"/>
  <c r="N368" i="22" s="1"/>
  <c r="R368" i="22"/>
  <c r="K368" i="22" s="1"/>
  <c r="G368" i="22"/>
  <c r="X102" i="22"/>
  <c r="I413" i="22"/>
  <c r="I372" i="22"/>
  <c r="I308" i="22"/>
  <c r="I259" i="22"/>
  <c r="I300" i="22"/>
  <c r="X375" i="22"/>
  <c r="R376" i="22"/>
  <c r="K376" i="22" s="1"/>
  <c r="M376" i="22"/>
  <c r="N376" i="22" s="1"/>
  <c r="G376" i="22"/>
  <c r="G370" i="22"/>
  <c r="R370" i="22"/>
  <c r="K370" i="22" s="1"/>
  <c r="M370" i="22"/>
  <c r="N370" i="22" s="1"/>
  <c r="F422" i="22"/>
  <c r="I422" i="22"/>
  <c r="X105" i="22"/>
  <c r="X108" i="22"/>
  <c r="X111" i="22"/>
  <c r="I312" i="22"/>
  <c r="F312" i="22"/>
  <c r="X112" i="22"/>
  <c r="X156" i="22"/>
  <c r="G365" i="22"/>
  <c r="M365" i="22"/>
  <c r="N365" i="22" s="1"/>
  <c r="R365" i="22"/>
  <c r="K365" i="22" s="1"/>
  <c r="I387" i="22"/>
  <c r="I412" i="22"/>
  <c r="G374" i="22"/>
  <c r="M374" i="22"/>
  <c r="R374" i="22"/>
  <c r="K374" i="22" s="1"/>
  <c r="X259" i="22"/>
  <c r="X281" i="22"/>
  <c r="W290" i="22"/>
  <c r="H177" i="23"/>
  <c r="X285" i="22"/>
  <c r="X387" i="22"/>
  <c r="X331" i="22"/>
  <c r="W334" i="22"/>
  <c r="H265" i="23"/>
  <c r="X177" i="22"/>
  <c r="X288" i="22"/>
  <c r="X220" i="22"/>
  <c r="H331" i="23"/>
  <c r="X238" i="22"/>
  <c r="X218" i="22"/>
  <c r="H309" i="23"/>
  <c r="X414" i="22"/>
  <c r="X241" i="22"/>
  <c r="G641" i="22"/>
  <c r="X641" i="22"/>
  <c r="B646" i="22"/>
  <c r="H71" i="22"/>
  <c r="F121" i="22"/>
  <c r="E71" i="22"/>
  <c r="G597" i="22"/>
  <c r="X597" i="22"/>
  <c r="A583" i="22"/>
  <c r="A599" i="22"/>
  <c r="A581" i="22"/>
  <c r="D581" i="22"/>
  <c r="I583" i="22"/>
  <c r="K599" i="22"/>
  <c r="BD9" i="1"/>
  <c r="D599" i="22"/>
  <c r="K583" i="22"/>
  <c r="G599" i="22"/>
  <c r="G581" i="22"/>
  <c r="N583" i="22"/>
  <c r="B583" i="22"/>
  <c r="A598" i="22"/>
  <c r="K581" i="22"/>
  <c r="M583" i="22"/>
  <c r="W12" i="22"/>
  <c r="Q567" i="22"/>
  <c r="U570" i="22"/>
  <c r="T565" i="22"/>
  <c r="T575" i="22"/>
  <c r="T573" i="22"/>
  <c r="A571" i="22"/>
  <c r="F571" i="22"/>
  <c r="Q563" i="22"/>
  <c r="B563" i="22"/>
  <c r="Q497" i="22"/>
  <c r="T506" i="22"/>
  <c r="U500" i="22"/>
  <c r="T505" i="22"/>
  <c r="B498" i="22"/>
  <c r="Q498" i="22"/>
  <c r="T503" i="22"/>
  <c r="T509" i="22"/>
  <c r="T502" i="22"/>
  <c r="F461" i="22"/>
  <c r="U459" i="22"/>
  <c r="B463" i="22"/>
  <c r="S456" i="22"/>
  <c r="Q459" i="22"/>
  <c r="F462" i="22"/>
  <c r="S453" i="22"/>
  <c r="Q461" i="22"/>
  <c r="U458" i="22"/>
  <c r="Q520" i="22"/>
  <c r="Q531" i="22"/>
  <c r="S523" i="22"/>
  <c r="F526" i="22"/>
  <c r="A530" i="22"/>
  <c r="T527" i="22"/>
  <c r="U530" i="22"/>
  <c r="A529" i="22"/>
  <c r="A522" i="22"/>
  <c r="U547" i="22"/>
  <c r="S541" i="22"/>
  <c r="B544" i="22"/>
  <c r="C541" i="23" s="1"/>
  <c r="S543" i="22"/>
  <c r="B542" i="22"/>
  <c r="C539" i="23" s="1"/>
  <c r="U543" i="22"/>
  <c r="T542" i="22"/>
  <c r="B552" i="22"/>
  <c r="C549" i="23" s="1"/>
  <c r="U549" i="22"/>
  <c r="A437" i="23"/>
  <c r="S487" i="22"/>
  <c r="U485" i="22"/>
  <c r="U484" i="22"/>
  <c r="A487" i="22"/>
  <c r="A484" i="23" s="1"/>
  <c r="A482" i="22"/>
  <c r="T480" i="22"/>
  <c r="U480" i="22"/>
  <c r="B478" i="22"/>
  <c r="C475" i="23" s="1"/>
  <c r="A486" i="22"/>
  <c r="A483" i="23" s="1"/>
  <c r="W192" i="22"/>
  <c r="I366" i="23"/>
  <c r="I364" i="23"/>
  <c r="B568" i="22"/>
  <c r="F575" i="22"/>
  <c r="F570" i="22"/>
  <c r="A573" i="22"/>
  <c r="F572" i="22"/>
  <c r="B564" i="22"/>
  <c r="S569" i="22"/>
  <c r="T570" i="22"/>
  <c r="B567" i="22"/>
  <c r="H386" i="23"/>
  <c r="U499" i="22"/>
  <c r="B499" i="22"/>
  <c r="U501" i="22"/>
  <c r="A502" i="22"/>
  <c r="A505" i="22"/>
  <c r="T501" i="22"/>
  <c r="S499" i="22"/>
  <c r="Q509" i="22"/>
  <c r="S503" i="22"/>
  <c r="B461" i="22"/>
  <c r="T461" i="22"/>
  <c r="A453" i="22"/>
  <c r="A459" i="22"/>
  <c r="S462" i="22"/>
  <c r="A460" i="22"/>
  <c r="T460" i="22"/>
  <c r="F456" i="22"/>
  <c r="H453" i="23" s="1"/>
  <c r="A458" i="22"/>
  <c r="S530" i="22"/>
  <c r="B526" i="22"/>
  <c r="F530" i="22"/>
  <c r="F523" i="22"/>
  <c r="Q529" i="22"/>
  <c r="T531" i="22"/>
  <c r="A520" i="22"/>
  <c r="A523" i="22"/>
  <c r="B521" i="22"/>
  <c r="T543" i="22"/>
  <c r="S547" i="22"/>
  <c r="Q546" i="22"/>
  <c r="S544" i="22"/>
  <c r="T550" i="22"/>
  <c r="A550" i="22"/>
  <c r="A547" i="23" s="1"/>
  <c r="U552" i="22"/>
  <c r="U542" i="22"/>
  <c r="Q543" i="22"/>
  <c r="F483" i="22"/>
  <c r="H480" i="23" s="1"/>
  <c r="F486" i="22"/>
  <c r="H483" i="23" s="1"/>
  <c r="U475" i="22"/>
  <c r="B482" i="22"/>
  <c r="C479" i="23" s="1"/>
  <c r="A480" i="22"/>
  <c r="A477" i="23" s="1"/>
  <c r="Q475" i="22"/>
  <c r="Q482" i="22"/>
  <c r="B475" i="22"/>
  <c r="A485" i="22"/>
  <c r="A482" i="23" s="1"/>
  <c r="A477" i="22"/>
  <c r="A474" i="23" s="1"/>
  <c r="A261" i="23"/>
  <c r="A416" i="23"/>
  <c r="A566" i="22"/>
  <c r="T574" i="22"/>
  <c r="F565" i="22"/>
  <c r="Q570" i="22"/>
  <c r="T566" i="22"/>
  <c r="S574" i="22"/>
  <c r="S565" i="22"/>
  <c r="A563" i="22"/>
  <c r="A575" i="22"/>
  <c r="W236" i="22"/>
  <c r="B508" i="22"/>
  <c r="S507" i="22"/>
  <c r="B509" i="22"/>
  <c r="S500" i="22"/>
  <c r="F507" i="22"/>
  <c r="U502" i="22"/>
  <c r="S506" i="22"/>
  <c r="F508" i="22"/>
  <c r="A455" i="22"/>
  <c r="B454" i="22"/>
  <c r="S459" i="22"/>
  <c r="B457" i="22"/>
  <c r="C454" i="23" s="1"/>
  <c r="B455" i="22"/>
  <c r="Q465" i="22"/>
  <c r="A454" i="22"/>
  <c r="A451" i="23" s="1"/>
  <c r="U454" i="22"/>
  <c r="A463" i="22"/>
  <c r="A519" i="22"/>
  <c r="S519" i="22"/>
  <c r="B520" i="22"/>
  <c r="U526" i="22"/>
  <c r="U525" i="22"/>
  <c r="U522" i="22"/>
  <c r="S527" i="22"/>
  <c r="U520" i="22"/>
  <c r="S552" i="22"/>
  <c r="B548" i="22"/>
  <c r="C545" i="23" s="1"/>
  <c r="F542" i="22"/>
  <c r="H539" i="23" s="1"/>
  <c r="A544" i="22"/>
  <c r="A541" i="23" s="1"/>
  <c r="B551" i="22"/>
  <c r="C548" i="23" s="1"/>
  <c r="Q541" i="22"/>
  <c r="U545" i="22"/>
  <c r="Q550" i="22"/>
  <c r="T545" i="22"/>
  <c r="U477" i="22"/>
  <c r="A483" i="22"/>
  <c r="Q487" i="22"/>
  <c r="Q481" i="22"/>
  <c r="F487" i="22"/>
  <c r="H484" i="23" s="1"/>
  <c r="A481" i="22"/>
  <c r="A478" i="23" s="1"/>
  <c r="T482" i="22"/>
  <c r="F485" i="22"/>
  <c r="H482" i="23" s="1"/>
  <c r="U481" i="22"/>
  <c r="T478" i="22"/>
  <c r="H238" i="23"/>
  <c r="W413" i="22"/>
  <c r="C242" i="23"/>
  <c r="I368" i="23"/>
  <c r="I373" i="23"/>
  <c r="A460" i="23"/>
  <c r="P279" i="22"/>
  <c r="S639" i="22"/>
  <c r="S563" i="22"/>
  <c r="Q574" i="22"/>
  <c r="S573" i="22"/>
  <c r="Q566" i="22"/>
  <c r="U565" i="22"/>
  <c r="U569" i="22"/>
  <c r="S570" i="22"/>
  <c r="Q569" i="22"/>
  <c r="U574" i="22"/>
  <c r="W172" i="22"/>
  <c r="A322" i="23"/>
  <c r="F506" i="22"/>
  <c r="Q504" i="22"/>
  <c r="T499" i="22"/>
  <c r="U505" i="22"/>
  <c r="Q505" i="22"/>
  <c r="U504" i="22"/>
  <c r="U508" i="22"/>
  <c r="Q508" i="22"/>
  <c r="Q500" i="22"/>
  <c r="C262" i="23"/>
  <c r="Q456" i="22"/>
  <c r="B458" i="22"/>
  <c r="T457" i="22"/>
  <c r="S461" i="22"/>
  <c r="U463" i="22"/>
  <c r="T455" i="22"/>
  <c r="U453" i="22"/>
  <c r="S465" i="22"/>
  <c r="U465" i="22"/>
  <c r="B456" i="22"/>
  <c r="Q519" i="22"/>
  <c r="B529" i="22"/>
  <c r="B522" i="22"/>
  <c r="Q527" i="22"/>
  <c r="F525" i="22"/>
  <c r="A531" i="22"/>
  <c r="B530" i="22"/>
  <c r="T520" i="22"/>
  <c r="A528" i="22"/>
  <c r="U544" i="22"/>
  <c r="T551" i="22"/>
  <c r="F547" i="22"/>
  <c r="H544" i="23" s="1"/>
  <c r="U546" i="22"/>
  <c r="T553" i="22"/>
  <c r="S542" i="22"/>
  <c r="W542" i="22" s="1"/>
  <c r="A546" i="22"/>
  <c r="A543" i="23" s="1"/>
  <c r="S550" i="22"/>
  <c r="A547" i="22"/>
  <c r="A544" i="23" s="1"/>
  <c r="W547" i="22"/>
  <c r="P377" i="22"/>
  <c r="H430" i="23"/>
  <c r="P346" i="22"/>
  <c r="P349" i="22"/>
  <c r="P343" i="22"/>
  <c r="P353" i="22"/>
  <c r="P347" i="22"/>
  <c r="P348" i="22"/>
  <c r="P355" i="22"/>
  <c r="P354" i="22"/>
  <c r="P344" i="22"/>
  <c r="P345" i="22"/>
  <c r="P352" i="22"/>
  <c r="P350" i="22"/>
  <c r="P351" i="22"/>
  <c r="W388" i="22"/>
  <c r="S482" i="22"/>
  <c r="B477" i="22"/>
  <c r="C474" i="23" s="1"/>
  <c r="F484" i="22"/>
  <c r="H481" i="23" s="1"/>
  <c r="S484" i="22"/>
  <c r="B476" i="22"/>
  <c r="C473" i="23" s="1"/>
  <c r="B487" i="22"/>
  <c r="C484" i="23" s="1"/>
  <c r="S477" i="22"/>
  <c r="B565" i="22"/>
  <c r="B569" i="22"/>
  <c r="S567" i="22"/>
  <c r="U575" i="22"/>
  <c r="T563" i="22"/>
  <c r="S568" i="22"/>
  <c r="A567" i="22"/>
  <c r="B570" i="22"/>
  <c r="S564" i="22"/>
  <c r="W243" i="22"/>
  <c r="A501" i="22"/>
  <c r="U503" i="22"/>
  <c r="W503" i="22" s="1"/>
  <c r="U509" i="22"/>
  <c r="B497" i="22"/>
  <c r="S509" i="22"/>
  <c r="Q503" i="22"/>
  <c r="S498" i="22"/>
  <c r="B505" i="22"/>
  <c r="Q499" i="22"/>
  <c r="B459" i="22"/>
  <c r="A465" i="22"/>
  <c r="T454" i="22"/>
  <c r="T462" i="22"/>
  <c r="B462" i="22"/>
  <c r="F463" i="22"/>
  <c r="U462" i="22"/>
  <c r="W462" i="22" s="1"/>
  <c r="F458" i="22"/>
  <c r="F454" i="22"/>
  <c r="F457" i="22"/>
  <c r="A439" i="23"/>
  <c r="B531" i="22"/>
  <c r="S528" i="22"/>
  <c r="F519" i="22"/>
  <c r="B523" i="22"/>
  <c r="B525" i="22"/>
  <c r="A521" i="22"/>
  <c r="T519" i="22"/>
  <c r="S526" i="22"/>
  <c r="F529" i="22"/>
  <c r="A545" i="22"/>
  <c r="A542" i="23" s="1"/>
  <c r="U551" i="22"/>
  <c r="A549" i="22"/>
  <c r="A546" i="23" s="1"/>
  <c r="B541" i="22"/>
  <c r="C538" i="23" s="1"/>
  <c r="A541" i="22"/>
  <c r="A538" i="23" s="1"/>
  <c r="A548" i="22"/>
  <c r="A545" i="23" s="1"/>
  <c r="S551" i="22"/>
  <c r="T544" i="22"/>
  <c r="A218" i="23"/>
  <c r="U482" i="22"/>
  <c r="T481" i="22"/>
  <c r="F475" i="22"/>
  <c r="A484" i="22"/>
  <c r="A481" i="23" s="1"/>
  <c r="T476" i="22"/>
  <c r="F478" i="22"/>
  <c r="Q483" i="22"/>
  <c r="B484" i="22"/>
  <c r="C481" i="23" s="1"/>
  <c r="P125" i="22"/>
  <c r="P131" i="22"/>
  <c r="P129" i="22"/>
  <c r="P130" i="22"/>
  <c r="P134" i="22"/>
  <c r="P127" i="22"/>
  <c r="P132" i="22"/>
  <c r="P123" i="22"/>
  <c r="P124" i="22"/>
  <c r="P128" i="22"/>
  <c r="P133" i="22"/>
  <c r="P135" i="22"/>
  <c r="P126" i="22"/>
  <c r="P155" i="22"/>
  <c r="P156" i="22"/>
  <c r="P157" i="22"/>
  <c r="P145" i="22"/>
  <c r="P152" i="22"/>
  <c r="P154" i="22"/>
  <c r="P148" i="22"/>
  <c r="P146" i="22"/>
  <c r="P149" i="22"/>
  <c r="P150" i="22"/>
  <c r="P147" i="22"/>
  <c r="P153" i="22"/>
  <c r="P151" i="22"/>
  <c r="I369" i="23"/>
  <c r="I371" i="23"/>
  <c r="Q572" i="22"/>
  <c r="F563" i="22"/>
  <c r="B566" i="22"/>
  <c r="U567" i="22"/>
  <c r="T568" i="22"/>
  <c r="U564" i="22"/>
  <c r="S575" i="22"/>
  <c r="F566" i="22"/>
  <c r="U573" i="22"/>
  <c r="A508" i="22"/>
  <c r="A499" i="22"/>
  <c r="U497" i="22"/>
  <c r="B501" i="22"/>
  <c r="A503" i="22"/>
  <c r="A509" i="22"/>
  <c r="S497" i="22"/>
  <c r="Q507" i="22"/>
  <c r="A506" i="22"/>
  <c r="A462" i="22"/>
  <c r="U457" i="22"/>
  <c r="U460" i="22"/>
  <c r="S463" i="22"/>
  <c r="F464" i="22"/>
  <c r="S457" i="22"/>
  <c r="Q464" i="22"/>
  <c r="S455" i="22"/>
  <c r="W457" i="22"/>
  <c r="B460" i="22"/>
  <c r="T529" i="22"/>
  <c r="S529" i="22"/>
  <c r="U528" i="22"/>
  <c r="U529" i="22"/>
  <c r="T530" i="22"/>
  <c r="T524" i="22"/>
  <c r="U531" i="22"/>
  <c r="A527" i="22"/>
  <c r="B524" i="22"/>
  <c r="S553" i="22"/>
  <c r="T552" i="22"/>
  <c r="A551" i="22"/>
  <c r="A548" i="23" s="1"/>
  <c r="Q545" i="22"/>
  <c r="T548" i="22"/>
  <c r="Q548" i="22"/>
  <c r="W544" i="22"/>
  <c r="S549" i="22"/>
  <c r="W549" i="22" s="1"/>
  <c r="F550" i="22"/>
  <c r="H547" i="23" s="1"/>
  <c r="Q549" i="22"/>
  <c r="C280" i="23"/>
  <c r="C323" i="23"/>
  <c r="H394" i="23"/>
  <c r="S481" i="22"/>
  <c r="Q477" i="22"/>
  <c r="S476" i="22"/>
  <c r="S480" i="22"/>
  <c r="T485" i="22"/>
  <c r="F481" i="22"/>
  <c r="H478" i="23" s="1"/>
  <c r="Q480" i="22"/>
  <c r="S485" i="22"/>
  <c r="F480" i="22"/>
  <c r="A260" i="23"/>
  <c r="I362" i="23"/>
  <c r="B573" i="22"/>
  <c r="T567" i="22"/>
  <c r="F568" i="22"/>
  <c r="B574" i="22"/>
  <c r="U563" i="22"/>
  <c r="U571" i="22"/>
  <c r="Q573" i="22"/>
  <c r="Q575" i="22"/>
  <c r="F573" i="22"/>
  <c r="F502" i="22"/>
  <c r="B503" i="22"/>
  <c r="S504" i="22"/>
  <c r="B500" i="22"/>
  <c r="A498" i="22"/>
  <c r="F498" i="22"/>
  <c r="F499" i="22"/>
  <c r="T497" i="22"/>
  <c r="W504" i="22"/>
  <c r="F497" i="22"/>
  <c r="F459" i="22"/>
  <c r="T453" i="22"/>
  <c r="Q457" i="22"/>
  <c r="T459" i="22"/>
  <c r="U464" i="22"/>
  <c r="B453" i="22"/>
  <c r="S454" i="22"/>
  <c r="T458" i="22"/>
  <c r="B464" i="22"/>
  <c r="F527" i="22"/>
  <c r="F520" i="22"/>
  <c r="B519" i="22"/>
  <c r="F531" i="22"/>
  <c r="U527" i="22"/>
  <c r="Q530" i="22"/>
  <c r="T521" i="22"/>
  <c r="Q523" i="22"/>
  <c r="S522" i="22"/>
  <c r="C437" i="23"/>
  <c r="B549" i="22"/>
  <c r="C546" i="23" s="1"/>
  <c r="S546" i="22"/>
  <c r="W546" i="22" s="1"/>
  <c r="Q553" i="22"/>
  <c r="F552" i="22"/>
  <c r="H549" i="23" s="1"/>
  <c r="B546" i="22"/>
  <c r="C543" i="23" s="1"/>
  <c r="T541" i="22"/>
  <c r="B545" i="22"/>
  <c r="C542" i="23" s="1"/>
  <c r="W551" i="22"/>
  <c r="F551" i="22"/>
  <c r="H548" i="23" s="1"/>
  <c r="T547" i="22"/>
  <c r="B547" i="22"/>
  <c r="C544" i="23" s="1"/>
  <c r="Q478" i="22"/>
  <c r="T484" i="22"/>
  <c r="T477" i="22"/>
  <c r="Q484" i="22"/>
  <c r="B486" i="22"/>
  <c r="C483" i="23" s="1"/>
  <c r="U486" i="22"/>
  <c r="W482" i="22"/>
  <c r="U487" i="22"/>
  <c r="T487" i="22"/>
  <c r="W304" i="22"/>
  <c r="I363" i="23"/>
  <c r="A638" i="22"/>
  <c r="Q585" i="22"/>
  <c r="P278" i="22"/>
  <c r="B631" i="22"/>
  <c r="C580" i="23"/>
  <c r="W570" i="22"/>
  <c r="S585" i="22"/>
  <c r="Q588" i="22"/>
  <c r="B639" i="22"/>
  <c r="A456" i="23"/>
  <c r="T589" i="22"/>
  <c r="C579" i="23"/>
  <c r="U572" i="22"/>
  <c r="S571" i="22"/>
  <c r="A564" i="22"/>
  <c r="T569" i="22"/>
  <c r="U568" i="22"/>
  <c r="T564" i="22"/>
  <c r="F567" i="22"/>
  <c r="A565" i="22"/>
  <c r="Q565" i="22"/>
  <c r="C513" i="23"/>
  <c r="Q506" i="22"/>
  <c r="Q502" i="22"/>
  <c r="U498" i="22"/>
  <c r="A507" i="22"/>
  <c r="F504" i="22"/>
  <c r="T500" i="22"/>
  <c r="T498" i="22"/>
  <c r="B504" i="22"/>
  <c r="U507" i="22"/>
  <c r="S501" i="22"/>
  <c r="Q455" i="22"/>
  <c r="F465" i="22"/>
  <c r="F455" i="22"/>
  <c r="B465" i="22"/>
  <c r="C462" i="23" s="1"/>
  <c r="F453" i="22"/>
  <c r="Q463" i="22"/>
  <c r="A464" i="22"/>
  <c r="S460" i="22"/>
  <c r="T465" i="22"/>
  <c r="T463" i="22"/>
  <c r="Q526" i="22"/>
  <c r="F522" i="22"/>
  <c r="S525" i="22"/>
  <c r="W525" i="22" s="1"/>
  <c r="U523" i="22"/>
  <c r="W523" i="22" s="1"/>
  <c r="T522" i="22"/>
  <c r="T525" i="22"/>
  <c r="S531" i="22"/>
  <c r="S521" i="22"/>
  <c r="B527" i="22"/>
  <c r="A440" i="23"/>
  <c r="A552" i="22"/>
  <c r="A549" i="23" s="1"/>
  <c r="Q551" i="22"/>
  <c r="S545" i="22"/>
  <c r="W545" i="22" s="1"/>
  <c r="F546" i="22"/>
  <c r="H543" i="23" s="1"/>
  <c r="U541" i="22"/>
  <c r="W541" i="22" s="1"/>
  <c r="Q542" i="22"/>
  <c r="U548" i="22"/>
  <c r="W543" i="22"/>
  <c r="B550" i="22"/>
  <c r="C547" i="23" s="1"/>
  <c r="F545" i="22"/>
  <c r="H542" i="23" s="1"/>
  <c r="S548" i="22"/>
  <c r="Q476" i="22"/>
  <c r="T483" i="22"/>
  <c r="B479" i="22"/>
  <c r="C476" i="23" s="1"/>
  <c r="B485" i="22"/>
  <c r="C482" i="23" s="1"/>
  <c r="B481" i="22"/>
  <c r="Q486" i="22"/>
  <c r="F482" i="22"/>
  <c r="T475" i="22"/>
  <c r="S475" i="22"/>
  <c r="C386" i="23"/>
  <c r="I370" i="23"/>
  <c r="I367" i="23"/>
  <c r="A210" i="23"/>
  <c r="A570" i="22"/>
  <c r="S566" i="22"/>
  <c r="Q564" i="22"/>
  <c r="T571" i="22"/>
  <c r="U566" i="22"/>
  <c r="T572" i="22"/>
  <c r="B571" i="22"/>
  <c r="F569" i="22"/>
  <c r="F564" i="22"/>
  <c r="A568" i="22"/>
  <c r="S508" i="22"/>
  <c r="F501" i="22"/>
  <c r="F503" i="22"/>
  <c r="A497" i="22"/>
  <c r="A494" i="23" s="1"/>
  <c r="T508" i="22"/>
  <c r="A500" i="22"/>
  <c r="T504" i="22"/>
  <c r="A504" i="22"/>
  <c r="U506" i="22"/>
  <c r="S502" i="22"/>
  <c r="Q458" i="22"/>
  <c r="U455" i="22"/>
  <c r="T456" i="22"/>
  <c r="Q460" i="22"/>
  <c r="A457" i="22"/>
  <c r="W453" i="22"/>
  <c r="U456" i="22"/>
  <c r="T464" i="22"/>
  <c r="Q454" i="22"/>
  <c r="S524" i="22"/>
  <c r="Q524" i="22"/>
  <c r="Q528" i="22"/>
  <c r="Q522" i="22"/>
  <c r="T526" i="22"/>
  <c r="F524" i="22"/>
  <c r="A526" i="22"/>
  <c r="F528" i="22"/>
  <c r="U519" i="22"/>
  <c r="S520" i="22"/>
  <c r="W520" i="22" s="1"/>
  <c r="A330" i="23"/>
  <c r="T549" i="22"/>
  <c r="F549" i="22"/>
  <c r="H546" i="23" s="1"/>
  <c r="Q552" i="22"/>
  <c r="T546" i="22"/>
  <c r="F548" i="22"/>
  <c r="H545" i="23" s="1"/>
  <c r="F544" i="22"/>
  <c r="H541" i="23" s="1"/>
  <c r="B543" i="22"/>
  <c r="C540" i="23" s="1"/>
  <c r="Q544" i="22"/>
  <c r="U550" i="22"/>
  <c r="Q547" i="22"/>
  <c r="W548" i="22"/>
  <c r="W215" i="22"/>
  <c r="W433" i="22"/>
  <c r="H438" i="23"/>
  <c r="S486" i="22"/>
  <c r="W486" i="22" s="1"/>
  <c r="S478" i="22"/>
  <c r="T479" i="22"/>
  <c r="U483" i="22"/>
  <c r="A476" i="22"/>
  <c r="A473" i="23" s="1"/>
  <c r="S479" i="22"/>
  <c r="A475" i="22"/>
  <c r="A472" i="23" s="1"/>
  <c r="Q485" i="22"/>
  <c r="U478" i="22"/>
  <c r="W478" i="22" s="1"/>
  <c r="W480" i="22"/>
  <c r="W257" i="22"/>
  <c r="Q568" i="22"/>
  <c r="A574" i="22"/>
  <c r="S572" i="22"/>
  <c r="A572" i="22"/>
  <c r="B572" i="22"/>
  <c r="B575" i="22"/>
  <c r="Q571" i="22"/>
  <c r="A569" i="22"/>
  <c r="F574" i="22"/>
  <c r="B502" i="22"/>
  <c r="S505" i="22"/>
  <c r="F505" i="22"/>
  <c r="B506" i="22"/>
  <c r="F509" i="22"/>
  <c r="B507" i="22"/>
  <c r="T507" i="22"/>
  <c r="W508" i="22"/>
  <c r="Q501" i="22"/>
  <c r="F500" i="22"/>
  <c r="F460" i="22"/>
  <c r="S464" i="22"/>
  <c r="A456" i="22"/>
  <c r="Q462" i="22"/>
  <c r="Q453" i="22"/>
  <c r="S458" i="22"/>
  <c r="U461" i="22"/>
  <c r="A461" i="22"/>
  <c r="W455" i="22"/>
  <c r="U521" i="22"/>
  <c r="F521" i="22"/>
  <c r="A525" i="22"/>
  <c r="B528" i="22"/>
  <c r="U524" i="22"/>
  <c r="A524" i="22"/>
  <c r="T528" i="22"/>
  <c r="Q521" i="22"/>
  <c r="T523" i="22"/>
  <c r="Q525" i="22"/>
  <c r="A542" i="22"/>
  <c r="A539" i="23" s="1"/>
  <c r="A543" i="22"/>
  <c r="A540" i="23" s="1"/>
  <c r="B553" i="22"/>
  <c r="C550" i="23" s="1"/>
  <c r="U553" i="22"/>
  <c r="F543" i="22"/>
  <c r="H540" i="23" s="1"/>
  <c r="F541" i="22"/>
  <c r="F553" i="22"/>
  <c r="H550" i="23" s="1"/>
  <c r="A553" i="22"/>
  <c r="A550" i="23" s="1"/>
  <c r="W550" i="22"/>
  <c r="W552" i="22"/>
  <c r="H417" i="23"/>
  <c r="B483" i="22"/>
  <c r="C480" i="23" s="1"/>
  <c r="A479" i="22"/>
  <c r="A476" i="23" s="1"/>
  <c r="F479" i="22"/>
  <c r="Q479" i="22"/>
  <c r="B480" i="22"/>
  <c r="C477" i="23" s="1"/>
  <c r="A478" i="22"/>
  <c r="A475" i="23" s="1"/>
  <c r="F477" i="22"/>
  <c r="H474" i="23" s="1"/>
  <c r="U476" i="22"/>
  <c r="W476" i="22" s="1"/>
  <c r="T486" i="22"/>
  <c r="W481" i="22"/>
  <c r="H408" i="23"/>
  <c r="P102" i="22"/>
  <c r="P110" i="22"/>
  <c r="P103" i="22"/>
  <c r="P112" i="22"/>
  <c r="P104" i="22"/>
  <c r="P108" i="22"/>
  <c r="P101" i="22"/>
  <c r="P111" i="22"/>
  <c r="P109" i="22"/>
  <c r="P106" i="22"/>
  <c r="P113" i="22"/>
  <c r="P107" i="22"/>
  <c r="P105" i="22"/>
  <c r="F476" i="22"/>
  <c r="H473" i="23" s="1"/>
  <c r="B636" i="22"/>
  <c r="C500" i="23"/>
  <c r="P280" i="22"/>
  <c r="F632" i="22"/>
  <c r="A500" i="23"/>
  <c r="T593" i="22"/>
  <c r="W574" i="22"/>
  <c r="F586" i="22"/>
  <c r="A639" i="22"/>
  <c r="U592" i="22"/>
  <c r="S632" i="22"/>
  <c r="P326" i="22"/>
  <c r="P328" i="22"/>
  <c r="C569" i="23"/>
  <c r="T631" i="22"/>
  <c r="A503" i="23"/>
  <c r="U591" i="22"/>
  <c r="Q636" i="22"/>
  <c r="W459" i="22"/>
  <c r="S629" i="22"/>
  <c r="J367" i="23"/>
  <c r="T637" i="22"/>
  <c r="C504" i="23"/>
  <c r="B640" i="22"/>
  <c r="C502" i="23"/>
  <c r="A569" i="23"/>
  <c r="A629" i="22"/>
  <c r="C452" i="23"/>
  <c r="B590" i="22"/>
  <c r="W566" i="22"/>
  <c r="F589" i="22"/>
  <c r="S589" i="22"/>
  <c r="J79" i="23"/>
  <c r="B588" i="22"/>
  <c r="W573" i="22"/>
  <c r="A594" i="22"/>
  <c r="F633" i="22"/>
  <c r="F631" i="22"/>
  <c r="U639" i="22"/>
  <c r="P331" i="22"/>
  <c r="P333" i="22"/>
  <c r="F596" i="22"/>
  <c r="H498" i="23"/>
  <c r="J368" i="23"/>
  <c r="J366" i="23"/>
  <c r="S590" i="22"/>
  <c r="H566" i="23"/>
  <c r="H568" i="23"/>
  <c r="H563" i="23"/>
  <c r="B589" i="22"/>
  <c r="C571" i="23"/>
  <c r="Q594" i="22"/>
  <c r="B633" i="22"/>
  <c r="H500" i="23"/>
  <c r="P289" i="22"/>
  <c r="B586" i="22"/>
  <c r="A592" i="22"/>
  <c r="A586" i="22"/>
  <c r="S633" i="22"/>
  <c r="C498" i="23"/>
  <c r="Q639" i="22"/>
  <c r="U594" i="22"/>
  <c r="A631" i="22"/>
  <c r="A506" i="23"/>
  <c r="Q638" i="22"/>
  <c r="F641" i="22"/>
  <c r="W497" i="22"/>
  <c r="A589" i="22"/>
  <c r="I579" i="23"/>
  <c r="C461" i="23"/>
  <c r="B629" i="22"/>
  <c r="P281" i="22"/>
  <c r="T636" i="22"/>
  <c r="H502" i="23"/>
  <c r="M647" i="22"/>
  <c r="A568" i="23"/>
  <c r="S636" i="22"/>
  <c r="W502" i="22"/>
  <c r="A587" i="22"/>
  <c r="S640" i="22"/>
  <c r="P322" i="22"/>
  <c r="P330" i="22"/>
  <c r="H458" i="23"/>
  <c r="B593" i="22"/>
  <c r="A636" i="22"/>
  <c r="F646" i="22"/>
  <c r="T591" i="22"/>
  <c r="C7" i="23"/>
  <c r="B641" i="22"/>
  <c r="A450" i="23"/>
  <c r="J363" i="23"/>
  <c r="A640" i="22"/>
  <c r="Q633" i="22"/>
  <c r="W454" i="22"/>
  <c r="H496" i="23"/>
  <c r="T635" i="22"/>
  <c r="W461" i="22"/>
  <c r="A590" i="22"/>
  <c r="S637" i="22"/>
  <c r="T595" i="22"/>
  <c r="W563" i="22"/>
  <c r="AX7" i="1"/>
  <c r="S586" i="22"/>
  <c r="U585" i="22"/>
  <c r="S595" i="22"/>
  <c r="C566" i="23"/>
  <c r="A567" i="23"/>
  <c r="Q632" i="22"/>
  <c r="C458" i="23"/>
  <c r="E603" i="22"/>
  <c r="Q590" i="22"/>
  <c r="Q591" i="22"/>
  <c r="Q637" i="22"/>
  <c r="C497" i="23"/>
  <c r="S631" i="22"/>
  <c r="W456" i="22"/>
  <c r="B637" i="22"/>
  <c r="H477" i="23"/>
  <c r="H567" i="23"/>
  <c r="F602" i="22"/>
  <c r="F636" i="22"/>
  <c r="H495" i="23"/>
  <c r="F591" i="22"/>
  <c r="C565" i="23"/>
  <c r="Q593" i="22"/>
  <c r="A595" i="22"/>
  <c r="F594" i="22"/>
  <c r="W571" i="22"/>
  <c r="A566" i="23"/>
  <c r="AX8" i="1"/>
  <c r="U635" i="22"/>
  <c r="A462" i="23"/>
  <c r="H569" i="23"/>
  <c r="P285" i="22"/>
  <c r="Q586" i="22"/>
  <c r="U589" i="22"/>
  <c r="Q635" i="22"/>
  <c r="H501" i="23"/>
  <c r="B70" i="23"/>
  <c r="E647" i="22"/>
  <c r="U637" i="22"/>
  <c r="H451" i="23"/>
  <c r="P321" i="22"/>
  <c r="A496" i="23"/>
  <c r="H571" i="23"/>
  <c r="Q640" i="22"/>
  <c r="C501" i="23"/>
  <c r="S588" i="22"/>
  <c r="I647" i="22"/>
  <c r="B585" i="22"/>
  <c r="U640" i="22"/>
  <c r="H503" i="23"/>
  <c r="A633" i="22"/>
  <c r="U631" i="22"/>
  <c r="A593" i="22"/>
  <c r="A572" i="23"/>
  <c r="T594" i="22"/>
  <c r="Q629" i="22"/>
  <c r="A501" i="23"/>
  <c r="B596" i="22"/>
  <c r="Q595" i="22"/>
  <c r="W530" i="22"/>
  <c r="B603" i="22"/>
  <c r="B634" i="22"/>
  <c r="A564" i="23"/>
  <c r="I7" i="23"/>
  <c r="A597" i="22"/>
  <c r="S641" i="22"/>
  <c r="T585" i="22"/>
  <c r="C572" i="23"/>
  <c r="U596" i="22"/>
  <c r="C503" i="23"/>
  <c r="H281" i="23"/>
  <c r="I372" i="23"/>
  <c r="C494" i="23"/>
  <c r="P283" i="22"/>
  <c r="W568" i="22"/>
  <c r="A560" i="23"/>
  <c r="T629" i="22"/>
  <c r="U595" i="22"/>
  <c r="S591" i="22"/>
  <c r="T630" i="22"/>
  <c r="A504" i="23"/>
  <c r="P323" i="22"/>
  <c r="W463" i="22"/>
  <c r="H462" i="23"/>
  <c r="B630" i="22"/>
  <c r="F592" i="22"/>
  <c r="F69" i="23"/>
  <c r="A635" i="22"/>
  <c r="C506" i="23"/>
  <c r="C8" i="23"/>
  <c r="W506" i="22"/>
  <c r="C496" i="23"/>
  <c r="T638" i="22"/>
  <c r="H505" i="23"/>
  <c r="U641" i="22"/>
  <c r="A505" i="23"/>
  <c r="W569" i="22"/>
  <c r="H560" i="23"/>
  <c r="A634" i="22"/>
  <c r="C453" i="23"/>
  <c r="Q597" i="22"/>
  <c r="I580" i="23"/>
  <c r="F70" i="23"/>
  <c r="F595" i="22"/>
  <c r="C568" i="23"/>
  <c r="S635" i="22"/>
  <c r="H459" i="23"/>
  <c r="C562" i="23"/>
  <c r="U590" i="22"/>
  <c r="J373" i="23"/>
  <c r="P287" i="22"/>
  <c r="P282" i="22"/>
  <c r="A458" i="23"/>
  <c r="A461" i="23"/>
  <c r="S592" i="22"/>
  <c r="B587" i="22"/>
  <c r="T641" i="22"/>
  <c r="P325" i="22"/>
  <c r="A499" i="23"/>
  <c r="H476" i="23"/>
  <c r="H570" i="23"/>
  <c r="W572" i="22"/>
  <c r="U588" i="22"/>
  <c r="C560" i="23"/>
  <c r="U586" i="22"/>
  <c r="M603" i="22"/>
  <c r="U597" i="22"/>
  <c r="S593" i="22"/>
  <c r="A570" i="23"/>
  <c r="Q587" i="22"/>
  <c r="A632" i="22"/>
  <c r="A502" i="23"/>
  <c r="P277" i="22"/>
  <c r="B635" i="22"/>
  <c r="H504" i="23"/>
  <c r="Q596" i="22"/>
  <c r="C570" i="23"/>
  <c r="H497" i="23"/>
  <c r="B647" i="22"/>
  <c r="I8" i="23"/>
  <c r="S597" i="22"/>
  <c r="A630" i="22"/>
  <c r="W501" i="22"/>
  <c r="P329" i="22"/>
  <c r="W528" i="22"/>
  <c r="T587" i="22"/>
  <c r="F630" i="22"/>
  <c r="W524" i="22"/>
  <c r="C567" i="23"/>
  <c r="T597" i="22"/>
  <c r="F639" i="22"/>
  <c r="F640" i="22"/>
  <c r="C451" i="23"/>
  <c r="T632" i="22"/>
  <c r="W507" i="22"/>
  <c r="J370" i="23"/>
  <c r="C505" i="23"/>
  <c r="A565" i="23"/>
  <c r="A591" i="22"/>
  <c r="U593" i="22"/>
  <c r="T590" i="22"/>
  <c r="H564" i="23"/>
  <c r="A637" i="22"/>
  <c r="A497" i="23"/>
  <c r="A588" i="22"/>
  <c r="S587" i="22"/>
  <c r="U587" i="22"/>
  <c r="A596" i="22"/>
  <c r="A561" i="23"/>
  <c r="H562" i="23"/>
  <c r="B632" i="22"/>
  <c r="C450" i="23"/>
  <c r="P284" i="22"/>
  <c r="U634" i="22"/>
  <c r="H454" i="23"/>
  <c r="F634" i="22"/>
  <c r="H499" i="23"/>
  <c r="B591" i="22"/>
  <c r="C561" i="23"/>
  <c r="A562" i="23"/>
  <c r="F637" i="22"/>
  <c r="P324" i="22"/>
  <c r="B597" i="22"/>
  <c r="C563" i="23"/>
  <c r="T633" i="22"/>
  <c r="C460" i="23"/>
  <c r="Q630" i="22"/>
  <c r="A641" i="22"/>
  <c r="H523" i="23"/>
  <c r="F638" i="22"/>
  <c r="W567" i="22"/>
  <c r="C564" i="23"/>
  <c r="S483" i="22"/>
  <c r="W483" i="22" s="1"/>
  <c r="T639" i="22"/>
  <c r="H475" i="23"/>
  <c r="P286" i="22"/>
  <c r="F629" i="22"/>
  <c r="H506" i="23"/>
  <c r="A571" i="23"/>
  <c r="B595" i="22"/>
  <c r="Q592" i="22"/>
  <c r="U633" i="22"/>
  <c r="J362" i="23"/>
  <c r="W565" i="22"/>
  <c r="U638" i="22"/>
  <c r="P327" i="22"/>
  <c r="A498" i="23"/>
  <c r="J364" i="23"/>
  <c r="B592" i="22"/>
  <c r="T596" i="22"/>
  <c r="C499" i="23"/>
  <c r="B638" i="22"/>
  <c r="C459" i="23"/>
  <c r="Q641" i="22"/>
  <c r="U636" i="22"/>
  <c r="T640" i="22"/>
  <c r="U479" i="22"/>
  <c r="W479" i="22" s="1"/>
  <c r="W393" i="22"/>
  <c r="F635" i="22"/>
  <c r="A454" i="23"/>
  <c r="P288" i="22"/>
  <c r="S638" i="22"/>
  <c r="W500" i="22"/>
  <c r="I603" i="22"/>
  <c r="F593" i="22"/>
  <c r="S634" i="22"/>
  <c r="F588" i="22"/>
  <c r="H572" i="23"/>
  <c r="Q631" i="22"/>
  <c r="P332" i="22"/>
  <c r="H561" i="23"/>
  <c r="U632" i="22"/>
  <c r="A495" i="23"/>
  <c r="J369" i="23"/>
  <c r="Q589" i="22"/>
  <c r="S630" i="22"/>
  <c r="C495" i="23"/>
  <c r="T634" i="22"/>
  <c r="Q634" i="22"/>
  <c r="A459" i="23"/>
  <c r="U630" i="22"/>
  <c r="H452" i="23"/>
  <c r="F587" i="22"/>
  <c r="F585" i="22"/>
  <c r="H582" i="23" s="1"/>
  <c r="U629" i="22"/>
  <c r="W464" i="22"/>
  <c r="T592" i="22"/>
  <c r="F597" i="22"/>
  <c r="H565" i="23"/>
  <c r="T586" i="22"/>
  <c r="S594" i="22"/>
  <c r="B594" i="22"/>
  <c r="S596" i="22"/>
  <c r="T588" i="22"/>
  <c r="A585" i="22"/>
  <c r="W564" i="22"/>
  <c r="A563" i="23"/>
  <c r="F590" i="22"/>
  <c r="H516" i="23"/>
  <c r="H472" i="23"/>
  <c r="H494" i="23"/>
  <c r="H450" i="23"/>
  <c r="H538" i="23"/>
  <c r="X334" i="22" l="1"/>
  <c r="X114" i="22"/>
  <c r="X378" i="22"/>
  <c r="H551" i="23"/>
  <c r="X393" i="22"/>
  <c r="X483" i="22"/>
  <c r="H287" i="23"/>
  <c r="R105" i="22"/>
  <c r="K105" i="22" s="1"/>
  <c r="M105" i="22"/>
  <c r="G105" i="22"/>
  <c r="G107" i="22"/>
  <c r="R107" i="22"/>
  <c r="K107" i="22" s="1"/>
  <c r="R113" i="22"/>
  <c r="G106" i="22"/>
  <c r="R106" i="22"/>
  <c r="K106" i="22" s="1"/>
  <c r="R109" i="22"/>
  <c r="K109" i="22" s="1"/>
  <c r="G109" i="22"/>
  <c r="G111" i="22"/>
  <c r="R111" i="22"/>
  <c r="K111" i="22" s="1"/>
  <c r="R101" i="22"/>
  <c r="K101" i="22" s="1"/>
  <c r="G101" i="22"/>
  <c r="G114" i="22"/>
  <c r="R108" i="22"/>
  <c r="K108" i="22" s="1"/>
  <c r="G108" i="22"/>
  <c r="G104" i="22"/>
  <c r="R104" i="22"/>
  <c r="K104" i="22" s="1"/>
  <c r="R112" i="22"/>
  <c r="K112" i="22" s="1"/>
  <c r="G112" i="22"/>
  <c r="R103" i="22"/>
  <c r="K103" i="22" s="1"/>
  <c r="G103" i="22"/>
  <c r="G110" i="22"/>
  <c r="R110" i="22"/>
  <c r="K110" i="22" s="1"/>
  <c r="R102" i="22"/>
  <c r="K102" i="22" s="1"/>
  <c r="G102" i="22"/>
  <c r="H419" i="23"/>
  <c r="X481" i="22"/>
  <c r="X476" i="22"/>
  <c r="I479" i="22"/>
  <c r="X552" i="22"/>
  <c r="X550" i="22"/>
  <c r="F554" i="22"/>
  <c r="I554" i="22"/>
  <c r="I525" i="22"/>
  <c r="I521" i="22"/>
  <c r="X455" i="22"/>
  <c r="I453" i="22"/>
  <c r="I462" i="22"/>
  <c r="I501" i="22"/>
  <c r="X508" i="22"/>
  <c r="I571" i="22"/>
  <c r="I568" i="22"/>
  <c r="X257" i="22"/>
  <c r="X268" i="22" s="1"/>
  <c r="W268" i="22"/>
  <c r="X480" i="22"/>
  <c r="X478" i="22"/>
  <c r="I485" i="22"/>
  <c r="X486" i="22"/>
  <c r="X433" i="22"/>
  <c r="X444" i="22" s="1"/>
  <c r="W444" i="22"/>
  <c r="X215" i="22"/>
  <c r="W224" i="22"/>
  <c r="X548" i="22"/>
  <c r="I547" i="22"/>
  <c r="I544" i="22"/>
  <c r="I552" i="22"/>
  <c r="X520" i="22"/>
  <c r="I522" i="22"/>
  <c r="I528" i="22"/>
  <c r="I524" i="22"/>
  <c r="I454" i="22"/>
  <c r="X453" i="22"/>
  <c r="I460" i="22"/>
  <c r="I458" i="22"/>
  <c r="I564" i="22"/>
  <c r="I486" i="22"/>
  <c r="I476" i="22"/>
  <c r="X543" i="22"/>
  <c r="I542" i="22"/>
  <c r="W554" i="22"/>
  <c r="X541" i="22"/>
  <c r="X545" i="22"/>
  <c r="I551" i="22"/>
  <c r="X523" i="22"/>
  <c r="X525" i="22"/>
  <c r="I526" i="22"/>
  <c r="I463" i="22"/>
  <c r="F466" i="22"/>
  <c r="I466" i="22"/>
  <c r="I455" i="22"/>
  <c r="I502" i="22"/>
  <c r="I506" i="22"/>
  <c r="I565" i="22"/>
  <c r="X304" i="22"/>
  <c r="X312" i="22" s="1"/>
  <c r="W312" i="22"/>
  <c r="X482" i="22"/>
  <c r="I484" i="22"/>
  <c r="I478" i="22"/>
  <c r="X551" i="22"/>
  <c r="I553" i="22"/>
  <c r="X546" i="22"/>
  <c r="I523" i="22"/>
  <c r="I530" i="22"/>
  <c r="I457" i="22"/>
  <c r="I510" i="22"/>
  <c r="F510" i="22"/>
  <c r="X504" i="22"/>
  <c r="I575" i="22"/>
  <c r="I573" i="22"/>
  <c r="I480" i="22"/>
  <c r="I477" i="22"/>
  <c r="I549" i="22"/>
  <c r="X549" i="22"/>
  <c r="X544" i="22"/>
  <c r="I548" i="22"/>
  <c r="I545" i="22"/>
  <c r="X457" i="22"/>
  <c r="I464" i="22"/>
  <c r="I507" i="22"/>
  <c r="I576" i="22"/>
  <c r="F576" i="22"/>
  <c r="I572" i="22"/>
  <c r="G151" i="22"/>
  <c r="R151" i="22"/>
  <c r="K151" i="22" s="1"/>
  <c r="R153" i="22"/>
  <c r="K153" i="22" s="1"/>
  <c r="G153" i="22"/>
  <c r="R147" i="22"/>
  <c r="G147" i="22"/>
  <c r="R150" i="22"/>
  <c r="K150" i="22" s="1"/>
  <c r="G150" i="22"/>
  <c r="R149" i="22"/>
  <c r="K149" i="22" s="1"/>
  <c r="G149" i="22"/>
  <c r="R146" i="22"/>
  <c r="K146" i="22" s="1"/>
  <c r="G146" i="22"/>
  <c r="R148" i="22"/>
  <c r="K148" i="22" s="1"/>
  <c r="G148" i="22"/>
  <c r="M148" i="22"/>
  <c r="N148" i="22" s="1"/>
  <c r="G154" i="22"/>
  <c r="R154" i="22"/>
  <c r="K154" i="22" s="1"/>
  <c r="R152" i="22"/>
  <c r="K152" i="22" s="1"/>
  <c r="G152" i="22"/>
  <c r="R145" i="22"/>
  <c r="K145" i="22" s="1"/>
  <c r="G158" i="22"/>
  <c r="G145" i="22"/>
  <c r="R157" i="22"/>
  <c r="K157" i="22" s="1"/>
  <c r="R156" i="22"/>
  <c r="K156" i="22" s="1"/>
  <c r="G156" i="22"/>
  <c r="M155" i="22"/>
  <c r="G155" i="22"/>
  <c r="R155" i="22"/>
  <c r="K155" i="22" s="1"/>
  <c r="R126" i="22"/>
  <c r="K126" i="22" s="1"/>
  <c r="G126" i="22"/>
  <c r="R135" i="22"/>
  <c r="G133" i="22"/>
  <c r="R133" i="22"/>
  <c r="K133" i="22" s="1"/>
  <c r="R128" i="22"/>
  <c r="K128" i="22" s="1"/>
  <c r="G128" i="22"/>
  <c r="M124" i="22"/>
  <c r="N124" i="22" s="1"/>
  <c r="G124" i="22"/>
  <c r="R124" i="22"/>
  <c r="K124" i="22" s="1"/>
  <c r="R123" i="22"/>
  <c r="G123" i="22"/>
  <c r="G136" i="22"/>
  <c r="G132" i="22"/>
  <c r="R132" i="22"/>
  <c r="K132" i="22" s="1"/>
  <c r="R127" i="22"/>
  <c r="M127" i="22" s="1"/>
  <c r="G127" i="22"/>
  <c r="R134" i="22"/>
  <c r="K134" i="22" s="1"/>
  <c r="G134" i="22"/>
  <c r="G130" i="22"/>
  <c r="R130" i="22"/>
  <c r="K130" i="22" s="1"/>
  <c r="R129" i="22"/>
  <c r="K129" i="22" s="1"/>
  <c r="G129" i="22"/>
  <c r="R131" i="22"/>
  <c r="K131" i="22" s="1"/>
  <c r="G131" i="22"/>
  <c r="G125" i="22"/>
  <c r="R125" i="22"/>
  <c r="K125" i="22" s="1"/>
  <c r="I483" i="22"/>
  <c r="I488" i="22"/>
  <c r="F488" i="22"/>
  <c r="F532" i="22"/>
  <c r="I532" i="22"/>
  <c r="X462" i="22"/>
  <c r="I499" i="22"/>
  <c r="I503" i="22"/>
  <c r="X503" i="22"/>
  <c r="X243" i="22"/>
  <c r="X388" i="22"/>
  <c r="X400" i="22" s="1"/>
  <c r="W400" i="22"/>
  <c r="G351" i="22"/>
  <c r="R351" i="22"/>
  <c r="K351" i="22" s="1"/>
  <c r="R350" i="22"/>
  <c r="K350" i="22" s="1"/>
  <c r="G350" i="22"/>
  <c r="R352" i="22"/>
  <c r="K352" i="22" s="1"/>
  <c r="G352" i="22"/>
  <c r="G345" i="22"/>
  <c r="R345" i="22"/>
  <c r="K345" i="22" s="1"/>
  <c r="R344" i="22"/>
  <c r="M344" i="22" s="1"/>
  <c r="G344" i="22"/>
  <c r="R354" i="22"/>
  <c r="K354" i="22" s="1"/>
  <c r="G354" i="22"/>
  <c r="R355" i="22"/>
  <c r="M355" i="22" s="1"/>
  <c r="R348" i="22"/>
  <c r="K348" i="22" s="1"/>
  <c r="G348" i="22"/>
  <c r="R347" i="22"/>
  <c r="K347" i="22" s="1"/>
  <c r="G347" i="22"/>
  <c r="R353" i="22"/>
  <c r="K353" i="22" s="1"/>
  <c r="G353" i="22"/>
  <c r="R343" i="22"/>
  <c r="K343" i="22" s="1"/>
  <c r="G343" i="22"/>
  <c r="G356" i="22"/>
  <c r="R349" i="22"/>
  <c r="M349" i="22" s="1"/>
  <c r="G349" i="22"/>
  <c r="R346" i="22"/>
  <c r="K346" i="22" s="1"/>
  <c r="G346" i="22"/>
  <c r="H441" i="23"/>
  <c r="R377" i="22"/>
  <c r="K377" i="22" s="1"/>
  <c r="X547" i="22"/>
  <c r="X554" i="22" s="1"/>
  <c r="X542" i="22"/>
  <c r="I527" i="22"/>
  <c r="I519" i="22"/>
  <c r="I456" i="22"/>
  <c r="I500" i="22"/>
  <c r="I508" i="22"/>
  <c r="I505" i="22"/>
  <c r="I504" i="22"/>
  <c r="X172" i="22"/>
  <c r="X180" i="22" s="1"/>
  <c r="W180" i="22"/>
  <c r="I569" i="22"/>
  <c r="I566" i="22"/>
  <c r="I574" i="22"/>
  <c r="X413" i="22"/>
  <c r="W422" i="22"/>
  <c r="H243" i="23"/>
  <c r="I481" i="22"/>
  <c r="I487" i="22"/>
  <c r="I550" i="22"/>
  <c r="I541" i="22"/>
  <c r="I465" i="22"/>
  <c r="X236" i="22"/>
  <c r="W246" i="22"/>
  <c r="I570" i="22"/>
  <c r="I482" i="22"/>
  <c r="I475" i="22"/>
  <c r="I543" i="22"/>
  <c r="I546" i="22"/>
  <c r="I529" i="22"/>
  <c r="I509" i="22"/>
  <c r="H397" i="23"/>
  <c r="X192" i="22"/>
  <c r="X202" i="22" s="1"/>
  <c r="W202" i="22"/>
  <c r="I531" i="22"/>
  <c r="I520" i="22"/>
  <c r="I461" i="22"/>
  <c r="I459" i="22"/>
  <c r="I498" i="22"/>
  <c r="I497" i="22"/>
  <c r="I563" i="22"/>
  <c r="I567" i="22"/>
  <c r="X356" i="22"/>
  <c r="N375" i="22"/>
  <c r="K378" i="22"/>
  <c r="X158" i="22"/>
  <c r="X136" i="22"/>
  <c r="N374" i="22"/>
  <c r="X422" i="22"/>
  <c r="M351" i="22"/>
  <c r="N351" i="22" s="1"/>
  <c r="M107" i="22"/>
  <c r="M354" i="22"/>
  <c r="N354" i="22" s="1"/>
  <c r="K355" i="22"/>
  <c r="K349" i="22"/>
  <c r="M347" i="22"/>
  <c r="N347" i="22" s="1"/>
  <c r="V347" i="22" s="1"/>
  <c r="M146" i="22"/>
  <c r="N146" i="22" s="1"/>
  <c r="M149" i="22"/>
  <c r="X224" i="22"/>
  <c r="X464" i="22"/>
  <c r="H507" i="23"/>
  <c r="X497" i="22"/>
  <c r="I629" i="22"/>
  <c r="X461" i="22"/>
  <c r="I638" i="22"/>
  <c r="X507" i="22"/>
  <c r="X456" i="22"/>
  <c r="X454" i="22"/>
  <c r="I634" i="22"/>
  <c r="I633" i="22"/>
  <c r="X506" i="22"/>
  <c r="I641" i="22"/>
  <c r="I630" i="22"/>
  <c r="I637" i="22"/>
  <c r="X459" i="22"/>
  <c r="X479" i="22"/>
  <c r="I632" i="22"/>
  <c r="I639" i="22"/>
  <c r="I636" i="22"/>
  <c r="X524" i="22"/>
  <c r="X530" i="22"/>
  <c r="I640" i="22"/>
  <c r="X528" i="22"/>
  <c r="X463" i="22"/>
  <c r="R330" i="22"/>
  <c r="K330" i="22" s="1"/>
  <c r="G330" i="22"/>
  <c r="R333" i="22"/>
  <c r="M333" i="22" s="1"/>
  <c r="R328" i="22"/>
  <c r="K328" i="22" s="1"/>
  <c r="G328" i="22"/>
  <c r="R332" i="22"/>
  <c r="K332" i="22" s="1"/>
  <c r="G332" i="22"/>
  <c r="G327" i="22"/>
  <c r="R327" i="22"/>
  <c r="K327" i="22" s="1"/>
  <c r="R324" i="22"/>
  <c r="K324" i="22" s="1"/>
  <c r="G324" i="22"/>
  <c r="G329" i="22"/>
  <c r="R329" i="22"/>
  <c r="K329" i="22" s="1"/>
  <c r="R325" i="22"/>
  <c r="K325" i="22" s="1"/>
  <c r="G325" i="22"/>
  <c r="R323" i="22"/>
  <c r="K323" i="22" s="1"/>
  <c r="G323" i="22"/>
  <c r="R321" i="22"/>
  <c r="M321" i="22" s="1"/>
  <c r="G321" i="22"/>
  <c r="G334" i="22"/>
  <c r="G322" i="22"/>
  <c r="R322" i="22"/>
  <c r="K322" i="22" s="1"/>
  <c r="R331" i="22"/>
  <c r="K331" i="22" s="1"/>
  <c r="G331" i="22"/>
  <c r="R326" i="22"/>
  <c r="K326" i="22" s="1"/>
  <c r="G326" i="22"/>
  <c r="X501" i="22"/>
  <c r="I631" i="22"/>
  <c r="X502" i="22"/>
  <c r="I635" i="22"/>
  <c r="X500" i="22"/>
  <c r="I642" i="22"/>
  <c r="F642" i="22"/>
  <c r="G282" i="22"/>
  <c r="R282" i="22"/>
  <c r="K282" i="22" s="1"/>
  <c r="G283" i="22"/>
  <c r="R283" i="22"/>
  <c r="K283" i="22" s="1"/>
  <c r="R285" i="22"/>
  <c r="K285" i="22" s="1"/>
  <c r="G285" i="22"/>
  <c r="G281" i="22"/>
  <c r="R281" i="22"/>
  <c r="K281" i="22" s="1"/>
  <c r="R289" i="22"/>
  <c r="R278" i="22"/>
  <c r="K278" i="22" s="1"/>
  <c r="G278" i="22"/>
  <c r="G280" i="22"/>
  <c r="R280" i="22"/>
  <c r="K280" i="22" s="1"/>
  <c r="M280" i="22"/>
  <c r="N280" i="22" s="1"/>
  <c r="R288" i="22"/>
  <c r="K288" i="22" s="1"/>
  <c r="G288" i="22"/>
  <c r="G286" i="22"/>
  <c r="R286" i="22"/>
  <c r="K286" i="22" s="1"/>
  <c r="R279" i="22"/>
  <c r="K279" i="22" s="1"/>
  <c r="G279" i="22"/>
  <c r="R284" i="22"/>
  <c r="K284" i="22" s="1"/>
  <c r="G284" i="22"/>
  <c r="G290" i="22"/>
  <c r="G277" i="22"/>
  <c r="R277" i="22"/>
  <c r="M277" i="22" s="1"/>
  <c r="G287" i="22"/>
  <c r="R287" i="22"/>
  <c r="K287" i="22" s="1"/>
  <c r="M348" i="22"/>
  <c r="V370" i="22"/>
  <c r="V366" i="22"/>
  <c r="V371" i="22"/>
  <c r="V365" i="22"/>
  <c r="V369" i="22"/>
  <c r="X290" i="22"/>
  <c r="N321" i="22"/>
  <c r="K321" i="22"/>
  <c r="N155" i="22"/>
  <c r="N127" i="22"/>
  <c r="N105" i="22"/>
  <c r="X663" i="22"/>
  <c r="G663" i="22"/>
  <c r="B668" i="22"/>
  <c r="F143" i="22"/>
  <c r="J89" i="23"/>
  <c r="V82" i="22"/>
  <c r="V92" i="22" s="1"/>
  <c r="B93" i="22" s="1" a="1"/>
  <c r="B93" i="22" s="1"/>
  <c r="M92" i="22"/>
  <c r="L93" i="22"/>
  <c r="X572" i="22"/>
  <c r="X566" i="22"/>
  <c r="X569" i="22"/>
  <c r="X567" i="22"/>
  <c r="H573" i="23"/>
  <c r="X564" i="22"/>
  <c r="X573" i="22"/>
  <c r="X565" i="22"/>
  <c r="X570" i="22"/>
  <c r="I594" i="22"/>
  <c r="I588" i="22"/>
  <c r="I589" i="22"/>
  <c r="I590" i="22"/>
  <c r="I596" i="22"/>
  <c r="X563" i="22"/>
  <c r="W576" i="22"/>
  <c r="I591" i="22"/>
  <c r="X568" i="22"/>
  <c r="X574" i="22"/>
  <c r="F598" i="22"/>
  <c r="I598" i="22"/>
  <c r="I585" i="22"/>
  <c r="M621" i="22"/>
  <c r="M643" i="22" s="1"/>
  <c r="M665" i="22" s="1"/>
  <c r="K621" i="22"/>
  <c r="K643" i="22" s="1"/>
  <c r="K665" i="22" s="1"/>
  <c r="X619" i="22"/>
  <c r="D621" i="22"/>
  <c r="D643" i="22" s="1"/>
  <c r="D665" i="22" s="1"/>
  <c r="A621" i="22"/>
  <c r="A643" i="22" s="1"/>
  <c r="A665" i="22" s="1"/>
  <c r="M605" i="22"/>
  <c r="M627" i="22" s="1"/>
  <c r="M649" i="22" s="1"/>
  <c r="N605" i="22"/>
  <c r="N627" i="22" s="1"/>
  <c r="N649" i="22" s="1"/>
  <c r="K603" i="22"/>
  <c r="K625" i="22" s="1"/>
  <c r="K647" i="22" s="1"/>
  <c r="K605" i="22"/>
  <c r="K627" i="22" s="1"/>
  <c r="K649" i="22" s="1"/>
  <c r="A605" i="22"/>
  <c r="A627" i="22" s="1"/>
  <c r="A649" i="22" s="1"/>
  <c r="G621" i="22"/>
  <c r="G643" i="22" s="1"/>
  <c r="G665" i="22" s="1"/>
  <c r="G603" i="22"/>
  <c r="G625" i="22" s="1"/>
  <c r="G647" i="22" s="1"/>
  <c r="I605" i="22"/>
  <c r="I627" i="22" s="1"/>
  <c r="I649" i="22" s="1"/>
  <c r="A620" i="22"/>
  <c r="A642" i="22" s="1"/>
  <c r="A664" i="22" s="1"/>
  <c r="D603" i="22"/>
  <c r="D625" i="22" s="1"/>
  <c r="D647" i="22" s="1"/>
  <c r="G605" i="22"/>
  <c r="G627" i="22" s="1"/>
  <c r="G649" i="22" s="1"/>
  <c r="B605" i="22"/>
  <c r="B627" i="22" s="1"/>
  <c r="B649" i="22" s="1"/>
  <c r="A603" i="22"/>
  <c r="A625" i="22" s="1"/>
  <c r="A647" i="22" s="1"/>
  <c r="G619" i="22"/>
  <c r="I621" i="22"/>
  <c r="I643" i="22" s="1"/>
  <c r="I665" i="22" s="1"/>
  <c r="I595" i="22"/>
  <c r="I593" i="22"/>
  <c r="I597" i="22"/>
  <c r="X571" i="22"/>
  <c r="I586" i="22"/>
  <c r="I592" i="22"/>
  <c r="I587" i="22"/>
  <c r="BD10" i="1"/>
  <c r="AY8" i="1"/>
  <c r="A521" i="23"/>
  <c r="P441" i="22"/>
  <c r="P443" i="22"/>
  <c r="P432" i="22"/>
  <c r="P437" i="22"/>
  <c r="P431" i="22"/>
  <c r="P438" i="22"/>
  <c r="P435" i="22"/>
  <c r="P439" i="22"/>
  <c r="P433" i="22"/>
  <c r="P436" i="22"/>
  <c r="P442" i="22"/>
  <c r="P440" i="22"/>
  <c r="P434" i="22"/>
  <c r="W519" i="22"/>
  <c r="W460" i="22"/>
  <c r="C528" i="23"/>
  <c r="W484" i="22"/>
  <c r="I352" i="23"/>
  <c r="I346" i="23"/>
  <c r="C526" i="23"/>
  <c r="P173" i="22"/>
  <c r="P177" i="22"/>
  <c r="P168" i="22"/>
  <c r="P176" i="22"/>
  <c r="P169" i="22"/>
  <c r="P167" i="22"/>
  <c r="P178" i="22"/>
  <c r="P175" i="22"/>
  <c r="P171" i="22"/>
  <c r="P172" i="22"/>
  <c r="P170" i="22"/>
  <c r="P179" i="22"/>
  <c r="P174" i="22"/>
  <c r="A516" i="23"/>
  <c r="A517" i="23"/>
  <c r="J372" i="23"/>
  <c r="J371" i="23"/>
  <c r="I348" i="23"/>
  <c r="U661" i="22"/>
  <c r="T661" i="22"/>
  <c r="A584" i="23"/>
  <c r="A658" i="22"/>
  <c r="P564" i="22"/>
  <c r="S609" i="22"/>
  <c r="F652" i="22"/>
  <c r="S614" i="22"/>
  <c r="B655" i="22"/>
  <c r="C592" i="23"/>
  <c r="W585" i="22"/>
  <c r="C590" i="23"/>
  <c r="T663" i="22"/>
  <c r="A614" i="22"/>
  <c r="J152" i="23"/>
  <c r="T608" i="22"/>
  <c r="S660" i="22"/>
  <c r="Q618" i="22"/>
  <c r="M669" i="22"/>
  <c r="F613" i="22"/>
  <c r="Q652" i="22"/>
  <c r="Q660" i="22"/>
  <c r="Q662" i="22"/>
  <c r="B608" i="22"/>
  <c r="I104" i="23"/>
  <c r="J124" i="23"/>
  <c r="Q610" i="22"/>
  <c r="B654" i="22"/>
  <c r="P572" i="22"/>
  <c r="J143" i="23"/>
  <c r="B617" i="22"/>
  <c r="P569" i="22"/>
  <c r="S657" i="22"/>
  <c r="P570" i="22"/>
  <c r="J102" i="23"/>
  <c r="H586" i="23"/>
  <c r="F619" i="22"/>
  <c r="J121" i="23"/>
  <c r="C91" i="23"/>
  <c r="T655" i="22"/>
  <c r="F616" i="22"/>
  <c r="A663" i="22"/>
  <c r="P574" i="22"/>
  <c r="J348" i="23"/>
  <c r="B657" i="22"/>
  <c r="C525" i="23"/>
  <c r="W505" i="22"/>
  <c r="H525" i="23"/>
  <c r="H519" i="23"/>
  <c r="W522" i="22"/>
  <c r="H455" i="23"/>
  <c r="A480" i="23"/>
  <c r="P191" i="22"/>
  <c r="P195" i="22"/>
  <c r="P200" i="22"/>
  <c r="P193" i="22"/>
  <c r="P199" i="22"/>
  <c r="P189" i="22"/>
  <c r="P192" i="22"/>
  <c r="P201" i="22"/>
  <c r="P198" i="22"/>
  <c r="P194" i="22"/>
  <c r="P197" i="22"/>
  <c r="P190" i="22"/>
  <c r="P196" i="22"/>
  <c r="T617" i="22"/>
  <c r="W595" i="22"/>
  <c r="U609" i="22"/>
  <c r="Q656" i="22"/>
  <c r="S607" i="22"/>
  <c r="U612" i="22"/>
  <c r="B653" i="22"/>
  <c r="F668" i="22"/>
  <c r="J344" i="23"/>
  <c r="F660" i="22"/>
  <c r="A588" i="23"/>
  <c r="Q613" i="22"/>
  <c r="S658" i="22"/>
  <c r="S611" i="22"/>
  <c r="I102" i="23"/>
  <c r="A522" i="23"/>
  <c r="P221" i="22"/>
  <c r="P223" i="22"/>
  <c r="P215" i="22"/>
  <c r="P219" i="22"/>
  <c r="P217" i="22"/>
  <c r="P214" i="22"/>
  <c r="P212" i="22"/>
  <c r="P218" i="22"/>
  <c r="P216" i="22"/>
  <c r="P213" i="22"/>
  <c r="P222" i="22"/>
  <c r="P211" i="22"/>
  <c r="P220" i="22"/>
  <c r="A523" i="23"/>
  <c r="C455" i="23"/>
  <c r="A452" i="23"/>
  <c r="H520" i="23"/>
  <c r="A479" i="23"/>
  <c r="Q659" i="22"/>
  <c r="P567" i="22"/>
  <c r="T615" i="22"/>
  <c r="F618" i="22"/>
  <c r="F657" i="22"/>
  <c r="U615" i="22"/>
  <c r="T654" i="22"/>
  <c r="U608" i="22"/>
  <c r="W586" i="22"/>
  <c r="U658" i="22"/>
  <c r="W632" i="22"/>
  <c r="F609" i="22"/>
  <c r="H587" i="23"/>
  <c r="F656" i="22"/>
  <c r="AX31" i="1"/>
  <c r="S616" i="22"/>
  <c r="S651" i="22"/>
  <c r="P565" i="22"/>
  <c r="Q612" i="22"/>
  <c r="Q653" i="22"/>
  <c r="S619" i="22"/>
  <c r="A654" i="22"/>
  <c r="P575" i="22"/>
  <c r="T609" i="22"/>
  <c r="A661" i="22"/>
  <c r="B613" i="22"/>
  <c r="B661" i="22"/>
  <c r="A590" i="23"/>
  <c r="C584" i="23"/>
  <c r="E669" i="22"/>
  <c r="AW9" i="1"/>
  <c r="A612" i="22"/>
  <c r="H518" i="23"/>
  <c r="H521" i="23"/>
  <c r="W475" i="22"/>
  <c r="C521" i="23"/>
  <c r="H526" i="23"/>
  <c r="H460" i="23"/>
  <c r="H527" i="23"/>
  <c r="W485" i="22"/>
  <c r="T658" i="22"/>
  <c r="C588" i="23"/>
  <c r="A615" i="22"/>
  <c r="H479" i="23"/>
  <c r="P300" i="22"/>
  <c r="P310" i="22"/>
  <c r="P304" i="22"/>
  <c r="P306" i="22"/>
  <c r="P308" i="22"/>
  <c r="P303" i="22"/>
  <c r="P301" i="22"/>
  <c r="P299" i="22"/>
  <c r="P302" i="22"/>
  <c r="P311" i="22"/>
  <c r="P305" i="22"/>
  <c r="P307" i="22"/>
  <c r="P309" i="22"/>
  <c r="H528" i="23"/>
  <c r="A524" i="23"/>
  <c r="W526" i="22"/>
  <c r="C456" i="23"/>
  <c r="A525" i="23"/>
  <c r="P234" i="22"/>
  <c r="P242" i="22"/>
  <c r="P244" i="22"/>
  <c r="P238" i="22"/>
  <c r="P240" i="22"/>
  <c r="P239" i="22"/>
  <c r="P236" i="22"/>
  <c r="P235" i="22"/>
  <c r="P237" i="22"/>
  <c r="P241" i="22"/>
  <c r="P243" i="22"/>
  <c r="P245" i="22"/>
  <c r="P233" i="22"/>
  <c r="C523" i="23"/>
  <c r="A519" i="23"/>
  <c r="U655" i="22"/>
  <c r="T653" i="22"/>
  <c r="U613" i="22"/>
  <c r="A617" i="22"/>
  <c r="S662" i="22"/>
  <c r="N71" i="22"/>
  <c r="S659" i="22"/>
  <c r="P568" i="22"/>
  <c r="H585" i="23"/>
  <c r="W591" i="22"/>
  <c r="A591" i="23"/>
  <c r="U657" i="22"/>
  <c r="T613" i="22"/>
  <c r="P265" i="22"/>
  <c r="P260" i="22"/>
  <c r="P262" i="22"/>
  <c r="P266" i="22"/>
  <c r="P267" i="22"/>
  <c r="P263" i="22"/>
  <c r="P259" i="22"/>
  <c r="P256" i="22"/>
  <c r="P264" i="22"/>
  <c r="P261" i="22"/>
  <c r="P257" i="22"/>
  <c r="P255" i="22"/>
  <c r="P258" i="22"/>
  <c r="P544" i="22"/>
  <c r="P546" i="22"/>
  <c r="P549" i="22"/>
  <c r="P543" i="22"/>
  <c r="P541" i="22"/>
  <c r="P547" i="22"/>
  <c r="P548" i="22"/>
  <c r="P545" i="22"/>
  <c r="P552" i="22"/>
  <c r="P550" i="22"/>
  <c r="P551" i="22"/>
  <c r="P542" i="22"/>
  <c r="P553" i="22"/>
  <c r="C516" i="23"/>
  <c r="W529" i="22"/>
  <c r="A518" i="23"/>
  <c r="P388" i="22"/>
  <c r="P397" i="22"/>
  <c r="P398" i="22"/>
  <c r="P399" i="22"/>
  <c r="P391" i="22"/>
  <c r="P395" i="22"/>
  <c r="P393" i="22"/>
  <c r="P392" i="22"/>
  <c r="P390" i="22"/>
  <c r="P394" i="22"/>
  <c r="P389" i="22"/>
  <c r="P387" i="22"/>
  <c r="P396" i="22"/>
  <c r="C527" i="23"/>
  <c r="A455" i="23"/>
  <c r="A526" i="23"/>
  <c r="I143" i="23"/>
  <c r="U654" i="22"/>
  <c r="P573" i="22"/>
  <c r="F658" i="22"/>
  <c r="C586" i="23"/>
  <c r="C594" i="23"/>
  <c r="Q619" i="22"/>
  <c r="S663" i="22"/>
  <c r="T651" i="22"/>
  <c r="T616" i="22"/>
  <c r="Q607" i="22"/>
  <c r="B618" i="22"/>
  <c r="U652" i="22"/>
  <c r="H588" i="23"/>
  <c r="B619" i="22"/>
  <c r="S655" i="22"/>
  <c r="U618" i="22"/>
  <c r="U619" i="22"/>
  <c r="F663" i="22"/>
  <c r="P571" i="22"/>
  <c r="C593" i="23"/>
  <c r="A587" i="23"/>
  <c r="U656" i="22"/>
  <c r="S653" i="22"/>
  <c r="Q614" i="22"/>
  <c r="W629" i="22"/>
  <c r="S615" i="22"/>
  <c r="A608" i="22"/>
  <c r="A613" i="22"/>
  <c r="T610" i="22"/>
  <c r="A651" i="22"/>
  <c r="S613" i="22"/>
  <c r="A653" i="22"/>
  <c r="C478" i="23"/>
  <c r="H517" i="23"/>
  <c r="C457" i="23"/>
  <c r="I124" i="23"/>
  <c r="C522" i="23"/>
  <c r="W498" i="22"/>
  <c r="I341" i="23"/>
  <c r="A528" i="23"/>
  <c r="C472" i="23"/>
  <c r="A457" i="23"/>
  <c r="A527" i="23"/>
  <c r="I351" i="23"/>
  <c r="F662" i="22"/>
  <c r="I669" i="22"/>
  <c r="B663" i="22"/>
  <c r="U610" i="22"/>
  <c r="A611" i="22"/>
  <c r="A659" i="22"/>
  <c r="B615" i="22"/>
  <c r="B656" i="22"/>
  <c r="B611" i="22"/>
  <c r="W592" i="22"/>
  <c r="C582" i="23"/>
  <c r="U662" i="22"/>
  <c r="B614" i="22"/>
  <c r="F655" i="22"/>
  <c r="C587" i="23"/>
  <c r="H591" i="23"/>
  <c r="A610" i="22"/>
  <c r="U659" i="22"/>
  <c r="B616" i="22"/>
  <c r="W590" i="22"/>
  <c r="H590" i="23"/>
  <c r="W635" i="22"/>
  <c r="W633" i="22"/>
  <c r="A592" i="23"/>
  <c r="B658" i="22"/>
  <c r="A586" i="23"/>
  <c r="W589" i="22"/>
  <c r="T614" i="22"/>
  <c r="W596" i="22"/>
  <c r="B662" i="22"/>
  <c r="A453" i="23"/>
  <c r="C524" i="23"/>
  <c r="H524" i="23"/>
  <c r="I152" i="23"/>
  <c r="I121" i="23"/>
  <c r="C520" i="23"/>
  <c r="H522" i="23"/>
  <c r="P411" i="22"/>
  <c r="P414" i="22"/>
  <c r="P418" i="22"/>
  <c r="P412" i="22"/>
  <c r="P415" i="22"/>
  <c r="P413" i="22"/>
  <c r="P416" i="22"/>
  <c r="P421" i="22"/>
  <c r="P409" i="22"/>
  <c r="P419" i="22"/>
  <c r="P410" i="22"/>
  <c r="P417" i="22"/>
  <c r="P420" i="22"/>
  <c r="Q655" i="22"/>
  <c r="S661" i="22"/>
  <c r="B609" i="22"/>
  <c r="S612" i="22"/>
  <c r="T652" i="22"/>
  <c r="C591" i="23"/>
  <c r="Q661" i="22"/>
  <c r="A585" i="23"/>
  <c r="F612" i="22"/>
  <c r="F651" i="22"/>
  <c r="H593" i="23"/>
  <c r="Q617" i="22"/>
  <c r="S652" i="22"/>
  <c r="I318" i="23"/>
  <c r="W587" i="22"/>
  <c r="W630" i="22"/>
  <c r="W638" i="22"/>
  <c r="A589" i="23"/>
  <c r="J318" i="23"/>
  <c r="F615" i="22"/>
  <c r="B651" i="22"/>
  <c r="W637" i="22"/>
  <c r="Q657" i="22"/>
  <c r="I345" i="23"/>
  <c r="F617" i="22"/>
  <c r="J71" i="22"/>
  <c r="A656" i="22"/>
  <c r="T611" i="22"/>
  <c r="Q658" i="22"/>
  <c r="B612" i="22"/>
  <c r="H594" i="23"/>
  <c r="Q654" i="22"/>
  <c r="B659" i="22"/>
  <c r="W634" i="22"/>
  <c r="T657" i="22"/>
  <c r="Q609" i="22"/>
  <c r="H457" i="23"/>
  <c r="W521" i="22"/>
  <c r="W527" i="22"/>
  <c r="C518" i="23"/>
  <c r="W499" i="22"/>
  <c r="I344" i="23"/>
  <c r="Q651" i="22"/>
  <c r="A618" i="22"/>
  <c r="U653" i="22"/>
  <c r="AX9" i="1"/>
  <c r="S617" i="22"/>
  <c r="J351" i="23"/>
  <c r="T607" i="22"/>
  <c r="W636" i="22"/>
  <c r="U651" i="22"/>
  <c r="Q608" i="22"/>
  <c r="U614" i="22"/>
  <c r="F607" i="22"/>
  <c r="Q663" i="22"/>
  <c r="U616" i="22"/>
  <c r="A619" i="22"/>
  <c r="W588" i="22"/>
  <c r="I274" i="23"/>
  <c r="F661" i="22"/>
  <c r="T618" i="22"/>
  <c r="A660" i="22"/>
  <c r="H456" i="23"/>
  <c r="H461" i="23"/>
  <c r="W477" i="22"/>
  <c r="C519" i="23"/>
  <c r="C517" i="23"/>
  <c r="A520" i="23"/>
  <c r="W458" i="22"/>
  <c r="I146" i="23"/>
  <c r="T660" i="22"/>
  <c r="H584" i="23"/>
  <c r="T659" i="22"/>
  <c r="H583" i="23"/>
  <c r="S608" i="22"/>
  <c r="U663" i="22"/>
  <c r="T619" i="22"/>
  <c r="S656" i="22"/>
  <c r="W639" i="22"/>
  <c r="F611" i="22"/>
  <c r="S618" i="22"/>
  <c r="A662" i="22"/>
  <c r="W594" i="22"/>
  <c r="Q615" i="22"/>
  <c r="F608" i="22"/>
  <c r="F659" i="22"/>
  <c r="P566" i="22"/>
  <c r="A593" i="23"/>
  <c r="C589" i="23"/>
  <c r="U660" i="22"/>
  <c r="Q611" i="22"/>
  <c r="C585" i="23"/>
  <c r="S610" i="22"/>
  <c r="T656" i="22"/>
  <c r="F654" i="22"/>
  <c r="A582" i="23"/>
  <c r="Q616" i="22"/>
  <c r="F653" i="22"/>
  <c r="A616" i="22"/>
  <c r="F614" i="22"/>
  <c r="H592" i="23"/>
  <c r="H589" i="23"/>
  <c r="A607" i="22"/>
  <c r="A609" i="22"/>
  <c r="P563" i="22"/>
  <c r="I330" i="23"/>
  <c r="B652" i="22"/>
  <c r="C583" i="23"/>
  <c r="T612" i="22"/>
  <c r="A657" i="22"/>
  <c r="A652" i="22"/>
  <c r="AV9" i="1"/>
  <c r="W631" i="22"/>
  <c r="U607" i="22"/>
  <c r="A655" i="22"/>
  <c r="A583" i="23"/>
  <c r="U617" i="22"/>
  <c r="B607" i="22"/>
  <c r="U611" i="22"/>
  <c r="T662" i="22"/>
  <c r="W593" i="22"/>
  <c r="B610" i="22"/>
  <c r="A594" i="23"/>
  <c r="B660" i="22"/>
  <c r="W640" i="22"/>
  <c r="S654" i="22"/>
  <c r="B669" i="22"/>
  <c r="F610" i="22"/>
  <c r="M102" i="22" l="1"/>
  <c r="M104" i="22"/>
  <c r="K356" i="22"/>
  <c r="K136" i="22"/>
  <c r="K127" i="22"/>
  <c r="M132" i="22"/>
  <c r="M345" i="22"/>
  <c r="K344" i="22"/>
  <c r="M353" i="22"/>
  <c r="K333" i="22"/>
  <c r="X246" i="22"/>
  <c r="M131" i="22"/>
  <c r="M110" i="22"/>
  <c r="M109" i="22"/>
  <c r="M377" i="22"/>
  <c r="M133" i="22"/>
  <c r="N133" i="22" s="1"/>
  <c r="M152" i="22"/>
  <c r="M343" i="22"/>
  <c r="M103" i="22"/>
  <c r="M329" i="22"/>
  <c r="K114" i="22"/>
  <c r="M154" i="22"/>
  <c r="M112" i="22"/>
  <c r="M331" i="22"/>
  <c r="N331" i="22" s="1"/>
  <c r="M145" i="22"/>
  <c r="X458" i="22"/>
  <c r="W466" i="22"/>
  <c r="X477" i="22"/>
  <c r="X499" i="22"/>
  <c r="X527" i="22"/>
  <c r="X521" i="22"/>
  <c r="G420" i="22"/>
  <c r="R420" i="22"/>
  <c r="K420" i="22" s="1"/>
  <c r="M420" i="22"/>
  <c r="G417" i="22"/>
  <c r="R417" i="22"/>
  <c r="K417" i="22" s="1"/>
  <c r="G410" i="22"/>
  <c r="R410" i="22"/>
  <c r="K410" i="22" s="1"/>
  <c r="R419" i="22"/>
  <c r="K419" i="22" s="1"/>
  <c r="G419" i="22"/>
  <c r="G409" i="22"/>
  <c r="R409" i="22"/>
  <c r="M409" i="22" s="1"/>
  <c r="G422" i="22"/>
  <c r="R421" i="22"/>
  <c r="M421" i="22" s="1"/>
  <c r="R416" i="22"/>
  <c r="K416" i="22" s="1"/>
  <c r="G416" i="22"/>
  <c r="G413" i="22"/>
  <c r="R413" i="22"/>
  <c r="K413" i="22" s="1"/>
  <c r="G415" i="22"/>
  <c r="R415" i="22"/>
  <c r="K415" i="22" s="1"/>
  <c r="G412" i="22"/>
  <c r="R412" i="22"/>
  <c r="K412" i="22" s="1"/>
  <c r="R418" i="22"/>
  <c r="K418" i="22" s="1"/>
  <c r="G418" i="22"/>
  <c r="G414" i="22"/>
  <c r="R414" i="22"/>
  <c r="M414" i="22" s="1"/>
  <c r="G411" i="22"/>
  <c r="R411" i="22"/>
  <c r="M411" i="22" s="1"/>
  <c r="X498" i="22"/>
  <c r="W510" i="22"/>
  <c r="H529" i="23"/>
  <c r="G396" i="22"/>
  <c r="R396" i="22"/>
  <c r="K396" i="22" s="1"/>
  <c r="R387" i="22"/>
  <c r="G387" i="22"/>
  <c r="G400" i="22"/>
  <c r="R389" i="22"/>
  <c r="K389" i="22" s="1"/>
  <c r="G389" i="22"/>
  <c r="R394" i="22"/>
  <c r="K394" i="22" s="1"/>
  <c r="G394" i="22"/>
  <c r="R390" i="22"/>
  <c r="K390" i="22" s="1"/>
  <c r="G390" i="22"/>
  <c r="R392" i="22"/>
  <c r="K392" i="22" s="1"/>
  <c r="G392" i="22"/>
  <c r="G393" i="22"/>
  <c r="R393" i="22"/>
  <c r="K393" i="22" s="1"/>
  <c r="G395" i="22"/>
  <c r="R395" i="22"/>
  <c r="K395" i="22" s="1"/>
  <c r="R391" i="22"/>
  <c r="K391" i="22" s="1"/>
  <c r="G391" i="22"/>
  <c r="R399" i="22"/>
  <c r="M399" i="22" s="1"/>
  <c r="R398" i="22"/>
  <c r="K398" i="22" s="1"/>
  <c r="G398" i="22"/>
  <c r="G397" i="22"/>
  <c r="R397" i="22"/>
  <c r="K397" i="22" s="1"/>
  <c r="R388" i="22"/>
  <c r="K388" i="22" s="1"/>
  <c r="G388" i="22"/>
  <c r="X529" i="22"/>
  <c r="R553" i="22"/>
  <c r="G542" i="22"/>
  <c r="R542" i="22"/>
  <c r="K542" i="22" s="1"/>
  <c r="G551" i="22"/>
  <c r="R551" i="22"/>
  <c r="K551" i="22" s="1"/>
  <c r="R550" i="22"/>
  <c r="K550" i="22" s="1"/>
  <c r="G550" i="22"/>
  <c r="G552" i="22"/>
  <c r="R552" i="22"/>
  <c r="K552" i="22" s="1"/>
  <c r="R545" i="22"/>
  <c r="K545" i="22" s="1"/>
  <c r="G545" i="22"/>
  <c r="G548" i="22"/>
  <c r="R548" i="22"/>
  <c r="K548" i="22" s="1"/>
  <c r="R547" i="22"/>
  <c r="K547" i="22" s="1"/>
  <c r="G547" i="22"/>
  <c r="R541" i="22"/>
  <c r="M541" i="22" s="1"/>
  <c r="N541" i="22" s="1"/>
  <c r="G541" i="22"/>
  <c r="G554" i="22"/>
  <c r="R543" i="22"/>
  <c r="K543" i="22" s="1"/>
  <c r="G543" i="22"/>
  <c r="G549" i="22"/>
  <c r="R549" i="22"/>
  <c r="K549" i="22" s="1"/>
  <c r="G546" i="22"/>
  <c r="R546" i="22"/>
  <c r="K546" i="22" s="1"/>
  <c r="G544" i="22"/>
  <c r="R544" i="22"/>
  <c r="K544" i="22" s="1"/>
  <c r="R258" i="22"/>
  <c r="K258" i="22" s="1"/>
  <c r="G258" i="22"/>
  <c r="G255" i="22"/>
  <c r="G268" i="22"/>
  <c r="R255" i="22"/>
  <c r="G257" i="22"/>
  <c r="R257" i="22"/>
  <c r="K257" i="22" s="1"/>
  <c r="G261" i="22"/>
  <c r="R261" i="22"/>
  <c r="K261" i="22" s="1"/>
  <c r="R264" i="22"/>
  <c r="K264" i="22" s="1"/>
  <c r="G264" i="22"/>
  <c r="R256" i="22"/>
  <c r="K256" i="22" s="1"/>
  <c r="G256" i="22"/>
  <c r="R259" i="22"/>
  <c r="K259" i="22" s="1"/>
  <c r="G259" i="22"/>
  <c r="G263" i="22"/>
  <c r="R263" i="22"/>
  <c r="K263" i="22" s="1"/>
  <c r="R267" i="22"/>
  <c r="K267" i="22" s="1"/>
  <c r="R266" i="22"/>
  <c r="K266" i="22" s="1"/>
  <c r="G266" i="22"/>
  <c r="M266" i="22"/>
  <c r="N266" i="22" s="1"/>
  <c r="R262" i="22"/>
  <c r="K262" i="22" s="1"/>
  <c r="G262" i="22"/>
  <c r="G260" i="22"/>
  <c r="R260" i="22"/>
  <c r="R265" i="22"/>
  <c r="K265" i="22" s="1"/>
  <c r="G265" i="22"/>
  <c r="G233" i="22"/>
  <c r="R233" i="22"/>
  <c r="G246" i="22"/>
  <c r="R245" i="22"/>
  <c r="R243" i="22"/>
  <c r="K243" i="22" s="1"/>
  <c r="G243" i="22"/>
  <c r="R241" i="22"/>
  <c r="K241" i="22" s="1"/>
  <c r="G241" i="22"/>
  <c r="R237" i="22"/>
  <c r="K237" i="22" s="1"/>
  <c r="G237" i="22"/>
  <c r="R235" i="22"/>
  <c r="K235" i="22" s="1"/>
  <c r="G235" i="22"/>
  <c r="R236" i="22"/>
  <c r="K236" i="22" s="1"/>
  <c r="G236" i="22"/>
  <c r="R239" i="22"/>
  <c r="K239" i="22" s="1"/>
  <c r="G239" i="22"/>
  <c r="G240" i="22"/>
  <c r="R240" i="22"/>
  <c r="K240" i="22" s="1"/>
  <c r="R238" i="22"/>
  <c r="K238" i="22" s="1"/>
  <c r="G238" i="22"/>
  <c r="G244" i="22"/>
  <c r="R244" i="22"/>
  <c r="K244" i="22" s="1"/>
  <c r="G242" i="22"/>
  <c r="R242" i="22"/>
  <c r="K242" i="22" s="1"/>
  <c r="R234" i="22"/>
  <c r="K234" i="22" s="1"/>
  <c r="G234" i="22"/>
  <c r="X526" i="22"/>
  <c r="R309" i="22"/>
  <c r="K309" i="22" s="1"/>
  <c r="G309" i="22"/>
  <c r="R307" i="22"/>
  <c r="K307" i="22" s="1"/>
  <c r="G307" i="22"/>
  <c r="R305" i="22"/>
  <c r="K305" i="22" s="1"/>
  <c r="G305" i="22"/>
  <c r="R311" i="22"/>
  <c r="G302" i="22"/>
  <c r="R302" i="22"/>
  <c r="K302" i="22" s="1"/>
  <c r="G312" i="22"/>
  <c r="R299" i="22"/>
  <c r="G299" i="22"/>
  <c r="R301" i="22"/>
  <c r="K301" i="22" s="1"/>
  <c r="G301" i="22"/>
  <c r="M301" i="22"/>
  <c r="N301" i="22" s="1"/>
  <c r="V301" i="22" s="1"/>
  <c r="G303" i="22"/>
  <c r="R303" i="22"/>
  <c r="K303" i="22" s="1"/>
  <c r="R308" i="22"/>
  <c r="K308" i="22" s="1"/>
  <c r="G308" i="22"/>
  <c r="R306" i="22"/>
  <c r="K306" i="22" s="1"/>
  <c r="G306" i="22"/>
  <c r="M306" i="22"/>
  <c r="N306" i="22" s="1"/>
  <c r="R304" i="22"/>
  <c r="K304" i="22" s="1"/>
  <c r="G304" i="22"/>
  <c r="R310" i="22"/>
  <c r="K310" i="22" s="1"/>
  <c r="G310" i="22"/>
  <c r="R300" i="22"/>
  <c r="K300" i="22" s="1"/>
  <c r="G300" i="22"/>
  <c r="H485" i="23"/>
  <c r="X485" i="22"/>
  <c r="X475" i="22"/>
  <c r="W488" i="22"/>
  <c r="R220" i="22"/>
  <c r="K220" i="22" s="1"/>
  <c r="G220" i="22"/>
  <c r="M220" i="22"/>
  <c r="N220" i="22" s="1"/>
  <c r="G211" i="22"/>
  <c r="G224" i="22"/>
  <c r="R211" i="22"/>
  <c r="R222" i="22"/>
  <c r="K222" i="22" s="1"/>
  <c r="G222" i="22"/>
  <c r="R213" i="22"/>
  <c r="K213" i="22" s="1"/>
  <c r="G213" i="22"/>
  <c r="M213" i="22"/>
  <c r="G216" i="22"/>
  <c r="R216" i="22"/>
  <c r="K216" i="22" s="1"/>
  <c r="G218" i="22"/>
  <c r="R218" i="22"/>
  <c r="K218" i="22" s="1"/>
  <c r="R212" i="22"/>
  <c r="M212" i="22" s="1"/>
  <c r="G212" i="22"/>
  <c r="G214" i="22"/>
  <c r="R214" i="22"/>
  <c r="K214" i="22" s="1"/>
  <c r="G217" i="22"/>
  <c r="R217" i="22"/>
  <c r="K217" i="22" s="1"/>
  <c r="R219" i="22"/>
  <c r="K219" i="22" s="1"/>
  <c r="G219" i="22"/>
  <c r="G215" i="22"/>
  <c r="R215" i="22"/>
  <c r="K215" i="22" s="1"/>
  <c r="R223" i="22"/>
  <c r="R221" i="22"/>
  <c r="K221" i="22" s="1"/>
  <c r="G221" i="22"/>
  <c r="R196" i="22"/>
  <c r="G196" i="22"/>
  <c r="G190" i="22"/>
  <c r="R190" i="22"/>
  <c r="K190" i="22" s="1"/>
  <c r="R197" i="22"/>
  <c r="K197" i="22" s="1"/>
  <c r="G197" i="22"/>
  <c r="G194" i="22"/>
  <c r="R194" i="22"/>
  <c r="K194" i="22" s="1"/>
  <c r="G198" i="22"/>
  <c r="R198" i="22"/>
  <c r="K198" i="22" s="1"/>
  <c r="R201" i="22"/>
  <c r="R192" i="22"/>
  <c r="K192" i="22" s="1"/>
  <c r="G192" i="22"/>
  <c r="G189" i="22"/>
  <c r="R189" i="22"/>
  <c r="M189" i="22" s="1"/>
  <c r="G202" i="22"/>
  <c r="G199" i="22"/>
  <c r="R199" i="22"/>
  <c r="K199" i="22" s="1"/>
  <c r="G193" i="22"/>
  <c r="R193" i="22"/>
  <c r="K193" i="22" s="1"/>
  <c r="M193" i="22"/>
  <c r="G200" i="22"/>
  <c r="R200" i="22"/>
  <c r="K200" i="22" s="1"/>
  <c r="R195" i="22"/>
  <c r="K195" i="22" s="1"/>
  <c r="G195" i="22"/>
  <c r="R191" i="22"/>
  <c r="K191" i="22" s="1"/>
  <c r="G191" i="22"/>
  <c r="H463" i="23"/>
  <c r="X522" i="22"/>
  <c r="X505" i="22"/>
  <c r="G174" i="22"/>
  <c r="R174" i="22"/>
  <c r="K174" i="22" s="1"/>
  <c r="R179" i="22"/>
  <c r="G170" i="22"/>
  <c r="R170" i="22"/>
  <c r="K170" i="22" s="1"/>
  <c r="R172" i="22"/>
  <c r="K172" i="22" s="1"/>
  <c r="G172" i="22"/>
  <c r="R171" i="22"/>
  <c r="K171" i="22" s="1"/>
  <c r="M171" i="22"/>
  <c r="N171" i="22" s="1"/>
  <c r="G171" i="22"/>
  <c r="G175" i="22"/>
  <c r="R175" i="22"/>
  <c r="K175" i="22" s="1"/>
  <c r="G178" i="22"/>
  <c r="R178" i="22"/>
  <c r="K178" i="22" s="1"/>
  <c r="G180" i="22"/>
  <c r="G167" i="22"/>
  <c r="R167" i="22"/>
  <c r="M167" i="22" s="1"/>
  <c r="R169" i="22"/>
  <c r="K169" i="22" s="1"/>
  <c r="G169" i="22"/>
  <c r="G176" i="22"/>
  <c r="R176" i="22"/>
  <c r="K176" i="22" s="1"/>
  <c r="R168" i="22"/>
  <c r="K168" i="22" s="1"/>
  <c r="G168" i="22"/>
  <c r="R177" i="22"/>
  <c r="K177" i="22" s="1"/>
  <c r="G177" i="22"/>
  <c r="R173" i="22"/>
  <c r="K173" i="22" s="1"/>
  <c r="G173" i="22"/>
  <c r="X484" i="22"/>
  <c r="X460" i="22"/>
  <c r="X519" i="22"/>
  <c r="W532" i="22"/>
  <c r="R434" i="22"/>
  <c r="K434" i="22" s="1"/>
  <c r="G434" i="22"/>
  <c r="R440" i="22"/>
  <c r="K440" i="22" s="1"/>
  <c r="G440" i="22"/>
  <c r="R442" i="22"/>
  <c r="K442" i="22" s="1"/>
  <c r="G442" i="22"/>
  <c r="R436" i="22"/>
  <c r="K436" i="22" s="1"/>
  <c r="G436" i="22"/>
  <c r="M436" i="22"/>
  <c r="N436" i="22" s="1"/>
  <c r="G433" i="22"/>
  <c r="R433" i="22"/>
  <c r="K433" i="22" s="1"/>
  <c r="G439" i="22"/>
  <c r="R439" i="22"/>
  <c r="K439" i="22" s="1"/>
  <c r="R435" i="22"/>
  <c r="K435" i="22" s="1"/>
  <c r="G435" i="22"/>
  <c r="M435" i="22"/>
  <c r="G438" i="22"/>
  <c r="R438" i="22"/>
  <c r="K438" i="22" s="1"/>
  <c r="M438" i="22"/>
  <c r="N438" i="22" s="1"/>
  <c r="G431" i="22"/>
  <c r="G444" i="22"/>
  <c r="R431" i="22"/>
  <c r="M431" i="22" s="1"/>
  <c r="R437" i="22"/>
  <c r="K437" i="22" s="1"/>
  <c r="G437" i="22"/>
  <c r="G432" i="22"/>
  <c r="R432" i="22"/>
  <c r="K432" i="22" s="1"/>
  <c r="M432" i="22"/>
  <c r="N432" i="22" s="1"/>
  <c r="R443" i="22"/>
  <c r="G441" i="22"/>
  <c r="R441" i="22"/>
  <c r="K441" i="22" s="1"/>
  <c r="M346" i="22"/>
  <c r="N346" i="22" s="1"/>
  <c r="K158" i="22"/>
  <c r="M150" i="22"/>
  <c r="M126" i="22"/>
  <c r="M153" i="22"/>
  <c r="M106" i="22"/>
  <c r="M157" i="22"/>
  <c r="N102" i="22"/>
  <c r="N344" i="22"/>
  <c r="M128" i="22"/>
  <c r="M156" i="22"/>
  <c r="M151" i="22"/>
  <c r="M101" i="22"/>
  <c r="K113" i="22"/>
  <c r="M113" i="22"/>
  <c r="M129" i="22"/>
  <c r="N104" i="22"/>
  <c r="V104" i="22" s="1"/>
  <c r="M130" i="22"/>
  <c r="M111" i="22"/>
  <c r="M147" i="22"/>
  <c r="K147" i="22"/>
  <c r="M352" i="22"/>
  <c r="M328" i="22"/>
  <c r="V374" i="22"/>
  <c r="V375" i="22"/>
  <c r="N349" i="22"/>
  <c r="M350" i="22"/>
  <c r="M125" i="22"/>
  <c r="M134" i="22"/>
  <c r="M123" i="22"/>
  <c r="K123" i="22"/>
  <c r="K135" i="22"/>
  <c r="M135" i="22"/>
  <c r="M108" i="22"/>
  <c r="N107" i="22"/>
  <c r="K399" i="22"/>
  <c r="M330" i="22"/>
  <c r="M416" i="22"/>
  <c r="M327" i="22"/>
  <c r="M237" i="22"/>
  <c r="M394" i="22"/>
  <c r="M324" i="22"/>
  <c r="N324" i="22" s="1"/>
  <c r="M322" i="22"/>
  <c r="M285" i="22"/>
  <c r="M418" i="22"/>
  <c r="M326" i="22"/>
  <c r="N326" i="22" s="1"/>
  <c r="M287" i="22"/>
  <c r="M281" i="22"/>
  <c r="M267" i="22"/>
  <c r="N149" i="22"/>
  <c r="K334" i="22"/>
  <c r="M323" i="22"/>
  <c r="M240" i="22"/>
  <c r="M325" i="22"/>
  <c r="M172" i="22"/>
  <c r="N172" i="22" s="1"/>
  <c r="M264" i="22"/>
  <c r="N264" i="22" s="1"/>
  <c r="I662" i="22"/>
  <c r="W642" i="22"/>
  <c r="X629" i="22"/>
  <c r="X633" i="22"/>
  <c r="I660" i="22"/>
  <c r="I657" i="22"/>
  <c r="X640" i="22"/>
  <c r="X634" i="22"/>
  <c r="X637" i="22"/>
  <c r="X635" i="22"/>
  <c r="I653" i="22"/>
  <c r="I652" i="22"/>
  <c r="X638" i="22"/>
  <c r="I654" i="22"/>
  <c r="X630" i="22"/>
  <c r="I656" i="22"/>
  <c r="I658" i="22"/>
  <c r="X632" i="22"/>
  <c r="I663" i="22"/>
  <c r="F664" i="22"/>
  <c r="I664" i="22"/>
  <c r="X631" i="22"/>
  <c r="X639" i="22"/>
  <c r="I661" i="22"/>
  <c r="X636" i="22"/>
  <c r="I651" i="22"/>
  <c r="I655" i="22"/>
  <c r="I659" i="22"/>
  <c r="N277" i="22"/>
  <c r="N409" i="22"/>
  <c r="M170" i="22"/>
  <c r="N170" i="22" s="1"/>
  <c r="M278" i="22"/>
  <c r="M283" i="22"/>
  <c r="M419" i="22"/>
  <c r="M286" i="22"/>
  <c r="K277" i="22"/>
  <c r="K290" i="22"/>
  <c r="K180" i="22"/>
  <c r="K400" i="22"/>
  <c r="M289" i="22"/>
  <c r="K289" i="22"/>
  <c r="M282" i="22"/>
  <c r="M265" i="22"/>
  <c r="N348" i="22"/>
  <c r="M288" i="22"/>
  <c r="M412" i="22"/>
  <c r="N412" i="22" s="1"/>
  <c r="M332" i="22"/>
  <c r="N332" i="22" s="1"/>
  <c r="M284" i="22"/>
  <c r="K409" i="22"/>
  <c r="K422" i="22"/>
  <c r="M279" i="22"/>
  <c r="M413" i="22"/>
  <c r="M545" i="22"/>
  <c r="N545" i="22" s="1"/>
  <c r="M551" i="22"/>
  <c r="R571" i="22"/>
  <c r="K571" i="22" s="1"/>
  <c r="G571" i="22"/>
  <c r="R565" i="22"/>
  <c r="K565" i="22" s="1"/>
  <c r="G565" i="22"/>
  <c r="R566" i="22"/>
  <c r="K566" i="22" s="1"/>
  <c r="G566" i="22"/>
  <c r="G574" i="22"/>
  <c r="R574" i="22"/>
  <c r="K574" i="22" s="1"/>
  <c r="R568" i="22"/>
  <c r="K568" i="22" s="1"/>
  <c r="G568" i="22"/>
  <c r="R564" i="22"/>
  <c r="K564" i="22" s="1"/>
  <c r="G564" i="22"/>
  <c r="R567" i="22"/>
  <c r="K567" i="22" s="1"/>
  <c r="G567" i="22"/>
  <c r="G573" i="22"/>
  <c r="R573" i="22"/>
  <c r="K573" i="22" s="1"/>
  <c r="R563" i="22"/>
  <c r="M563" i="22" s="1"/>
  <c r="G563" i="22"/>
  <c r="G576" i="22"/>
  <c r="G570" i="22"/>
  <c r="R570" i="22"/>
  <c r="K570" i="22" s="1"/>
  <c r="G569" i="22"/>
  <c r="R569" i="22"/>
  <c r="K569" i="22" s="1"/>
  <c r="R572" i="22"/>
  <c r="K572" i="22" s="1"/>
  <c r="G572" i="22"/>
  <c r="M549" i="22"/>
  <c r="M552" i="22"/>
  <c r="N435" i="22"/>
  <c r="V351" i="22"/>
  <c r="N323" i="22"/>
  <c r="V321" i="22"/>
  <c r="V155" i="22"/>
  <c r="V146" i="22"/>
  <c r="V124" i="22"/>
  <c r="V127" i="22"/>
  <c r="V105" i="22"/>
  <c r="X685" i="22"/>
  <c r="G685" i="22"/>
  <c r="D687" i="22"/>
  <c r="I671" i="22"/>
  <c r="G669" i="22"/>
  <c r="K687" i="22"/>
  <c r="G687" i="22"/>
  <c r="M687" i="22"/>
  <c r="I687" i="22"/>
  <c r="B690" i="22"/>
  <c r="A671" i="22"/>
  <c r="K669" i="22"/>
  <c r="B671" i="22"/>
  <c r="N671" i="22"/>
  <c r="K671" i="22"/>
  <c r="A669" i="22"/>
  <c r="G671" i="22"/>
  <c r="M671" i="22"/>
  <c r="D669" i="22"/>
  <c r="A687" i="22"/>
  <c r="A686" i="22"/>
  <c r="H93" i="22"/>
  <c r="I619" i="22"/>
  <c r="I608" i="22"/>
  <c r="I615" i="22"/>
  <c r="I611" i="22"/>
  <c r="F620" i="22"/>
  <c r="I620" i="22"/>
  <c r="I609" i="22"/>
  <c r="I616" i="22"/>
  <c r="I613" i="22"/>
  <c r="I617" i="22"/>
  <c r="I614" i="22"/>
  <c r="I612" i="22"/>
  <c r="I607" i="22"/>
  <c r="I610" i="22"/>
  <c r="I618" i="22"/>
  <c r="F165" i="22"/>
  <c r="E93" i="22"/>
  <c r="X595" i="22"/>
  <c r="X587" i="22"/>
  <c r="X585" i="22"/>
  <c r="H595" i="23"/>
  <c r="X596" i="22"/>
  <c r="X592" i="22"/>
  <c r="X588" i="22"/>
  <c r="X586" i="22"/>
  <c r="W598" i="22"/>
  <c r="X591" i="22"/>
  <c r="X589" i="22"/>
  <c r="X590" i="22"/>
  <c r="X593" i="22"/>
  <c r="R575" i="22"/>
  <c r="X594" i="22"/>
  <c r="X576" i="22"/>
  <c r="BD11" i="1"/>
  <c r="M553" i="22"/>
  <c r="K553" i="22"/>
  <c r="AY9" i="1"/>
  <c r="I99" i="23"/>
  <c r="I101" i="23"/>
  <c r="I129" i="23"/>
  <c r="I342" i="23"/>
  <c r="I350" i="23"/>
  <c r="I130" i="23"/>
  <c r="I374" i="23"/>
  <c r="I340" i="23"/>
  <c r="I151" i="23"/>
  <c r="I328" i="23"/>
  <c r="I326" i="23"/>
  <c r="I109" i="23"/>
  <c r="I142" i="23"/>
  <c r="I128" i="23"/>
  <c r="I107" i="23"/>
  <c r="I149" i="23"/>
  <c r="I106" i="23"/>
  <c r="I100" i="23"/>
  <c r="P503" i="22"/>
  <c r="P499" i="22"/>
  <c r="P497" i="22"/>
  <c r="P509" i="22"/>
  <c r="P504" i="22"/>
  <c r="P501" i="22"/>
  <c r="P505" i="22"/>
  <c r="P507" i="22"/>
  <c r="P502" i="22"/>
  <c r="P506" i="22"/>
  <c r="P508" i="22"/>
  <c r="P498" i="22"/>
  <c r="P500" i="22"/>
  <c r="P519" i="22"/>
  <c r="P531" i="22"/>
  <c r="P529" i="22"/>
  <c r="P524" i="22"/>
  <c r="P525" i="22"/>
  <c r="P530" i="22"/>
  <c r="P527" i="22"/>
  <c r="P522" i="22"/>
  <c r="P523" i="22"/>
  <c r="P521" i="22"/>
  <c r="P520" i="22"/>
  <c r="P526" i="22"/>
  <c r="P528" i="22"/>
  <c r="I153" i="23"/>
  <c r="I105" i="23"/>
  <c r="I413" i="23"/>
  <c r="I284" i="23"/>
  <c r="B679" i="22"/>
  <c r="I329" i="23"/>
  <c r="J432" i="23"/>
  <c r="AX10" i="1"/>
  <c r="F91" i="23"/>
  <c r="W614" i="22"/>
  <c r="S682" i="22"/>
  <c r="A674" i="22"/>
  <c r="S675" i="22"/>
  <c r="A675" i="22"/>
  <c r="P634" i="22"/>
  <c r="P635" i="22"/>
  <c r="I145" i="23"/>
  <c r="F681" i="22"/>
  <c r="Q681" i="22"/>
  <c r="S679" i="22"/>
  <c r="Q683" i="22"/>
  <c r="J406" i="23"/>
  <c r="U684" i="22"/>
  <c r="J429" i="23"/>
  <c r="T680" i="22"/>
  <c r="Q677" i="22"/>
  <c r="U675" i="22"/>
  <c r="AX34" i="1"/>
  <c r="U679" i="22"/>
  <c r="I408" i="23"/>
  <c r="F684" i="22"/>
  <c r="Q684" i="22"/>
  <c r="W656" i="22"/>
  <c r="I285" i="23"/>
  <c r="Q679" i="22"/>
  <c r="S678" i="22"/>
  <c r="P637" i="22"/>
  <c r="J345" i="23"/>
  <c r="T684" i="22"/>
  <c r="I322" i="23"/>
  <c r="W609" i="22"/>
  <c r="S684" i="22"/>
  <c r="B675" i="22"/>
  <c r="AX32" i="1"/>
  <c r="I264" i="23"/>
  <c r="Q680" i="22"/>
  <c r="I279" i="23"/>
  <c r="I549" i="23"/>
  <c r="U682" i="22"/>
  <c r="P636" i="22"/>
  <c r="P641" i="22"/>
  <c r="I410" i="23"/>
  <c r="W616" i="22"/>
  <c r="P454" i="22"/>
  <c r="P460" i="22"/>
  <c r="P459" i="22"/>
  <c r="P461" i="22"/>
  <c r="P455" i="22"/>
  <c r="P456" i="22"/>
  <c r="P453" i="22"/>
  <c r="P462" i="22"/>
  <c r="P463" i="22"/>
  <c r="P465" i="22"/>
  <c r="P457" i="22"/>
  <c r="P464" i="22"/>
  <c r="P458" i="22"/>
  <c r="I406" i="23"/>
  <c r="I303" i="23"/>
  <c r="I210" i="23"/>
  <c r="I190" i="23"/>
  <c r="I432" i="23"/>
  <c r="I148" i="23"/>
  <c r="U678" i="22"/>
  <c r="J329" i="23"/>
  <c r="P596" i="22"/>
  <c r="T685" i="22"/>
  <c r="S683" i="22"/>
  <c r="Q675" i="22"/>
  <c r="I691" i="22"/>
  <c r="U685" i="22"/>
  <c r="W655" i="22"/>
  <c r="I103" i="23"/>
  <c r="I126" i="23"/>
  <c r="I127" i="23"/>
  <c r="I144" i="23"/>
  <c r="I122" i="23"/>
  <c r="J168" i="23"/>
  <c r="P591" i="22"/>
  <c r="I320" i="23"/>
  <c r="B678" i="22"/>
  <c r="Q678" i="22"/>
  <c r="W608" i="22"/>
  <c r="P586" i="22"/>
  <c r="B677" i="22"/>
  <c r="A683" i="22"/>
  <c r="T681" i="22"/>
  <c r="A678" i="22"/>
  <c r="W613" i="22"/>
  <c r="I298" i="23"/>
  <c r="I433" i="23"/>
  <c r="I123" i="23"/>
  <c r="I349" i="23"/>
  <c r="J346" i="23"/>
  <c r="I234" i="23"/>
  <c r="I319" i="23"/>
  <c r="I415" i="23"/>
  <c r="S676" i="22"/>
  <c r="P585" i="22"/>
  <c r="J303" i="23"/>
  <c r="A682" i="22"/>
  <c r="J169" i="23"/>
  <c r="S677" i="22"/>
  <c r="W615" i="22"/>
  <c r="M691" i="22"/>
  <c r="U680" i="22"/>
  <c r="T679" i="22"/>
  <c r="P633" i="22"/>
  <c r="I280" i="23"/>
  <c r="A680" i="22"/>
  <c r="B685" i="22"/>
  <c r="B680" i="22"/>
  <c r="Q674" i="22"/>
  <c r="J435" i="23"/>
  <c r="W618" i="22"/>
  <c r="F683" i="22"/>
  <c r="S674" i="22"/>
  <c r="P590" i="22"/>
  <c r="B92" i="23"/>
  <c r="I435" i="23"/>
  <c r="I278" i="23"/>
  <c r="I262" i="23"/>
  <c r="J263" i="23"/>
  <c r="B683" i="22"/>
  <c r="I391" i="23"/>
  <c r="I281" i="23"/>
  <c r="I417" i="23"/>
  <c r="I263" i="23"/>
  <c r="I217" i="23"/>
  <c r="I150" i="23"/>
  <c r="I98" i="23"/>
  <c r="J130" i="23"/>
  <c r="I347" i="23"/>
  <c r="I323" i="23"/>
  <c r="I237" i="23"/>
  <c r="A681" i="22"/>
  <c r="P594" i="22"/>
  <c r="J217" i="23"/>
  <c r="I275" i="23"/>
  <c r="J538" i="23"/>
  <c r="J274" i="23"/>
  <c r="B674" i="22"/>
  <c r="W612" i="22"/>
  <c r="W658" i="22"/>
  <c r="P589" i="22"/>
  <c r="F675" i="22"/>
  <c r="B682" i="22"/>
  <c r="P632" i="22"/>
  <c r="I286" i="23"/>
  <c r="T683" i="22"/>
  <c r="I418" i="23"/>
  <c r="S681" i="22"/>
  <c r="J146" i="23"/>
  <c r="U676" i="22"/>
  <c r="B691" i="22"/>
  <c r="F690" i="22"/>
  <c r="I276" i="23"/>
  <c r="W660" i="22"/>
  <c r="F677" i="22"/>
  <c r="P629" i="22"/>
  <c r="I396" i="23"/>
  <c r="I168" i="23"/>
  <c r="I164" i="23"/>
  <c r="I429" i="23"/>
  <c r="Q682" i="22"/>
  <c r="A685" i="22"/>
  <c r="P587" i="22"/>
  <c r="F678" i="22"/>
  <c r="A684" i="22"/>
  <c r="F92" i="23"/>
  <c r="U683" i="22"/>
  <c r="B676" i="22"/>
  <c r="W659" i="22"/>
  <c r="W662" i="22"/>
  <c r="I560" i="23"/>
  <c r="S680" i="22"/>
  <c r="P631" i="22"/>
  <c r="I546" i="23"/>
  <c r="F674" i="22"/>
  <c r="I186" i="23"/>
  <c r="I110" i="23"/>
  <c r="I325" i="23"/>
  <c r="I131" i="23"/>
  <c r="B684" i="22"/>
  <c r="W654" i="22"/>
  <c r="B673" i="22"/>
  <c r="A677" i="22"/>
  <c r="U677" i="22"/>
  <c r="J328" i="23"/>
  <c r="J433" i="23"/>
  <c r="P476" i="22"/>
  <c r="P484" i="22"/>
  <c r="P477" i="22"/>
  <c r="P480" i="22"/>
  <c r="P475" i="22"/>
  <c r="P478" i="22"/>
  <c r="P481" i="22"/>
  <c r="P485" i="22"/>
  <c r="P483" i="22"/>
  <c r="P487" i="22"/>
  <c r="P486" i="22"/>
  <c r="P479" i="22"/>
  <c r="P482" i="22"/>
  <c r="I209" i="23"/>
  <c r="I147" i="23"/>
  <c r="I154" i="23"/>
  <c r="J101" i="23"/>
  <c r="I108" i="23"/>
  <c r="I120" i="23"/>
  <c r="I261" i="23"/>
  <c r="A676" i="22"/>
  <c r="W651" i="22"/>
  <c r="W611" i="22"/>
  <c r="T674" i="22"/>
  <c r="W610" i="22"/>
  <c r="T675" i="22"/>
  <c r="W661" i="22"/>
  <c r="J320" i="23"/>
  <c r="J93" i="22"/>
  <c r="I542" i="23"/>
  <c r="S685" i="22"/>
  <c r="A679" i="22"/>
  <c r="P639" i="22"/>
  <c r="Q676" i="22"/>
  <c r="U681" i="22"/>
  <c r="U674" i="22"/>
  <c r="W607" i="22"/>
  <c r="W657" i="22"/>
  <c r="F673" i="22"/>
  <c r="T676" i="22"/>
  <c r="P588" i="22"/>
  <c r="P630" i="22"/>
  <c r="Q673" i="22"/>
  <c r="I538" i="23"/>
  <c r="J99" i="23"/>
  <c r="J341" i="23"/>
  <c r="I324" i="23"/>
  <c r="I327" i="23"/>
  <c r="I282" i="23"/>
  <c r="T682" i="22"/>
  <c r="W617" i="22"/>
  <c r="I69" i="23"/>
  <c r="I125" i="23"/>
  <c r="I132" i="23"/>
  <c r="J104" i="23"/>
  <c r="T673" i="22"/>
  <c r="I416" i="23"/>
  <c r="A673" i="22"/>
  <c r="P597" i="22"/>
  <c r="P593" i="22"/>
  <c r="F682" i="22"/>
  <c r="E691" i="22"/>
  <c r="J298" i="23"/>
  <c r="U673" i="22"/>
  <c r="F680" i="22"/>
  <c r="P640" i="22"/>
  <c r="P638" i="22"/>
  <c r="I411" i="23"/>
  <c r="P592" i="22"/>
  <c r="B681" i="22"/>
  <c r="J323" i="23"/>
  <c r="T677" i="22"/>
  <c r="J542" i="23"/>
  <c r="T678" i="22"/>
  <c r="F676" i="22"/>
  <c r="W652" i="22"/>
  <c r="J261" i="23"/>
  <c r="N93" i="22"/>
  <c r="W653" i="22"/>
  <c r="I550" i="23"/>
  <c r="F685" i="22"/>
  <c r="I169" i="23"/>
  <c r="Q685" i="22"/>
  <c r="F679" i="22"/>
  <c r="P595" i="22"/>
  <c r="I548" i="23"/>
  <c r="I283" i="23"/>
  <c r="S673" i="22"/>
  <c r="I428" i="23"/>
  <c r="M308" i="22" l="1"/>
  <c r="M200" i="22"/>
  <c r="M310" i="22"/>
  <c r="M258" i="22"/>
  <c r="N258" i="22" s="1"/>
  <c r="M388" i="22"/>
  <c r="N345" i="22"/>
  <c r="X466" i="22"/>
  <c r="N132" i="22"/>
  <c r="M239" i="22"/>
  <c r="M544" i="22"/>
  <c r="N544" i="22" s="1"/>
  <c r="M234" i="22"/>
  <c r="M546" i="22"/>
  <c r="M174" i="22"/>
  <c r="K421" i="22"/>
  <c r="M437" i="22"/>
  <c r="K246" i="22"/>
  <c r="M397" i="22"/>
  <c r="M259" i="22"/>
  <c r="M195" i="22"/>
  <c r="M194" i="22"/>
  <c r="M178" i="22"/>
  <c r="M198" i="22"/>
  <c r="X488" i="22"/>
  <c r="M304" i="22"/>
  <c r="M305" i="22"/>
  <c r="M256" i="22"/>
  <c r="N103" i="22"/>
  <c r="N109" i="22"/>
  <c r="K224" i="22"/>
  <c r="N152" i="22"/>
  <c r="N110" i="22"/>
  <c r="N131" i="22"/>
  <c r="M216" i="22"/>
  <c r="X510" i="22"/>
  <c r="N145" i="22"/>
  <c r="N112" i="22"/>
  <c r="M219" i="22"/>
  <c r="N219" i="22" s="1"/>
  <c r="M415" i="22"/>
  <c r="N415" i="22" s="1"/>
  <c r="N329" i="22"/>
  <c r="M391" i="22"/>
  <c r="M214" i="22"/>
  <c r="N214" i="22" s="1"/>
  <c r="M393" i="22"/>
  <c r="M417" i="22"/>
  <c r="M389" i="22"/>
  <c r="X532" i="22"/>
  <c r="M221" i="22"/>
  <c r="K268" i="22"/>
  <c r="M177" i="22"/>
  <c r="N177" i="22" s="1"/>
  <c r="M197" i="22"/>
  <c r="N197" i="22" s="1"/>
  <c r="N154" i="22"/>
  <c r="N343" i="22"/>
  <c r="M543" i="22"/>
  <c r="M168" i="22"/>
  <c r="M395" i="22"/>
  <c r="M434" i="22"/>
  <c r="N434" i="22" s="1"/>
  <c r="M215" i="22"/>
  <c r="N353" i="22"/>
  <c r="R482" i="22"/>
  <c r="K482" i="22" s="1"/>
  <c r="G482" i="22"/>
  <c r="R479" i="22"/>
  <c r="K479" i="22" s="1"/>
  <c r="G479" i="22"/>
  <c r="R486" i="22"/>
  <c r="K486" i="22" s="1"/>
  <c r="G486" i="22"/>
  <c r="R487" i="22"/>
  <c r="K487" i="22" s="1"/>
  <c r="R483" i="22"/>
  <c r="K483" i="22" s="1"/>
  <c r="G483" i="22"/>
  <c r="R485" i="22"/>
  <c r="K485" i="22" s="1"/>
  <c r="G485" i="22"/>
  <c r="M485" i="22"/>
  <c r="N485" i="22" s="1"/>
  <c r="R481" i="22"/>
  <c r="K481" i="22" s="1"/>
  <c r="G481" i="22"/>
  <c r="G478" i="22"/>
  <c r="R478" i="22"/>
  <c r="K478" i="22" s="1"/>
  <c r="R475" i="22"/>
  <c r="M475" i="22" s="1"/>
  <c r="G475" i="22"/>
  <c r="G488" i="22"/>
  <c r="R480" i="22"/>
  <c r="K480" i="22" s="1"/>
  <c r="G480" i="22"/>
  <c r="R477" i="22"/>
  <c r="K477" i="22" s="1"/>
  <c r="G477" i="22"/>
  <c r="R484" i="22"/>
  <c r="K484" i="22" s="1"/>
  <c r="G484" i="22"/>
  <c r="R476" i="22"/>
  <c r="K476" i="22" s="1"/>
  <c r="G476" i="22"/>
  <c r="X613" i="22"/>
  <c r="R458" i="22"/>
  <c r="K458" i="22" s="1"/>
  <c r="G458" i="22"/>
  <c r="G464" i="22"/>
  <c r="R464" i="22"/>
  <c r="K464" i="22" s="1"/>
  <c r="G457" i="22"/>
  <c r="R457" i="22"/>
  <c r="K457" i="22" s="1"/>
  <c r="R465" i="22"/>
  <c r="G463" i="22"/>
  <c r="R463" i="22"/>
  <c r="K463" i="22" s="1"/>
  <c r="G462" i="22"/>
  <c r="R462" i="22"/>
  <c r="K462" i="22" s="1"/>
  <c r="R453" i="22"/>
  <c r="M453" i="22" s="1"/>
  <c r="N453" i="22" s="1"/>
  <c r="G453" i="22"/>
  <c r="G466" i="22"/>
  <c r="G456" i="22"/>
  <c r="R456" i="22"/>
  <c r="K456" i="22" s="1"/>
  <c r="G455" i="22"/>
  <c r="R455" i="22"/>
  <c r="K455" i="22" s="1"/>
  <c r="M455" i="22"/>
  <c r="G461" i="22"/>
  <c r="R461" i="22"/>
  <c r="K461" i="22" s="1"/>
  <c r="R459" i="22"/>
  <c r="K459" i="22" s="1"/>
  <c r="G459" i="22"/>
  <c r="G460" i="22"/>
  <c r="R460" i="22"/>
  <c r="K460" i="22" s="1"/>
  <c r="G454" i="22"/>
  <c r="R454" i="22"/>
  <c r="K454" i="22" s="1"/>
  <c r="R528" i="22"/>
  <c r="K528" i="22" s="1"/>
  <c r="G528" i="22"/>
  <c r="R526" i="22"/>
  <c r="K526" i="22" s="1"/>
  <c r="G526" i="22"/>
  <c r="R520" i="22"/>
  <c r="K520" i="22" s="1"/>
  <c r="G520" i="22"/>
  <c r="R521" i="22"/>
  <c r="K521" i="22" s="1"/>
  <c r="G521" i="22"/>
  <c r="G523" i="22"/>
  <c r="R523" i="22"/>
  <c r="K523" i="22" s="1"/>
  <c r="G522" i="22"/>
  <c r="R522" i="22"/>
  <c r="K522" i="22" s="1"/>
  <c r="R527" i="22"/>
  <c r="K527" i="22" s="1"/>
  <c r="G527" i="22"/>
  <c r="G530" i="22"/>
  <c r="R530" i="22"/>
  <c r="K530" i="22" s="1"/>
  <c r="M530" i="22"/>
  <c r="G525" i="22"/>
  <c r="R525" i="22"/>
  <c r="K525" i="22" s="1"/>
  <c r="G524" i="22"/>
  <c r="R524" i="22"/>
  <c r="K524" i="22" s="1"/>
  <c r="G529" i="22"/>
  <c r="R529" i="22"/>
  <c r="K529" i="22" s="1"/>
  <c r="M529" i="22"/>
  <c r="R531" i="22"/>
  <c r="G519" i="22"/>
  <c r="R519" i="22"/>
  <c r="M519" i="22" s="1"/>
  <c r="G532" i="22"/>
  <c r="G500" i="22"/>
  <c r="R500" i="22"/>
  <c r="K500" i="22" s="1"/>
  <c r="G498" i="22"/>
  <c r="R498" i="22"/>
  <c r="K498" i="22" s="1"/>
  <c r="R508" i="22"/>
  <c r="K508" i="22" s="1"/>
  <c r="G508" i="22"/>
  <c r="M508" i="22"/>
  <c r="G506" i="22"/>
  <c r="R506" i="22"/>
  <c r="K506" i="22" s="1"/>
  <c r="G502" i="22"/>
  <c r="R502" i="22"/>
  <c r="K502" i="22" s="1"/>
  <c r="R507" i="22"/>
  <c r="K507" i="22" s="1"/>
  <c r="G507" i="22"/>
  <c r="R505" i="22"/>
  <c r="K505" i="22" s="1"/>
  <c r="G505" i="22"/>
  <c r="M505" i="22"/>
  <c r="G501" i="22"/>
  <c r="R501" i="22"/>
  <c r="K501" i="22" s="1"/>
  <c r="M501" i="22"/>
  <c r="N501" i="22" s="1"/>
  <c r="V501" i="22" s="1"/>
  <c r="R504" i="22"/>
  <c r="K504" i="22" s="1"/>
  <c r="G504" i="22"/>
  <c r="R509" i="22"/>
  <c r="R497" i="22"/>
  <c r="G497" i="22"/>
  <c r="G510" i="22"/>
  <c r="R499" i="22"/>
  <c r="K499" i="22" s="1"/>
  <c r="M499" i="22"/>
  <c r="G499" i="22"/>
  <c r="R503" i="22"/>
  <c r="K503" i="22" s="1"/>
  <c r="G503" i="22"/>
  <c r="N431" i="22"/>
  <c r="V431" i="22" s="1"/>
  <c r="K541" i="22"/>
  <c r="M236" i="22"/>
  <c r="N236" i="22" s="1"/>
  <c r="N128" i="22"/>
  <c r="M442" i="22"/>
  <c r="M307" i="22"/>
  <c r="M242" i="22"/>
  <c r="M263" i="22"/>
  <c r="M261" i="22"/>
  <c r="M169" i="22"/>
  <c r="V344" i="22"/>
  <c r="V102" i="22"/>
  <c r="M441" i="22"/>
  <c r="M439" i="22"/>
  <c r="M179" i="22"/>
  <c r="K179" i="22"/>
  <c r="K201" i="22"/>
  <c r="M201" i="22"/>
  <c r="M190" i="22"/>
  <c r="M223" i="22"/>
  <c r="K223" i="22"/>
  <c r="M299" i="22"/>
  <c r="K312" i="22"/>
  <c r="K299" i="22"/>
  <c r="K431" i="22"/>
  <c r="K444" i="22"/>
  <c r="N198" i="22"/>
  <c r="N310" i="22"/>
  <c r="M260" i="22"/>
  <c r="K260" i="22"/>
  <c r="N123" i="22"/>
  <c r="N111" i="22"/>
  <c r="N150" i="22"/>
  <c r="M440" i="22"/>
  <c r="M175" i="22"/>
  <c r="M199" i="22"/>
  <c r="M211" i="22"/>
  <c r="K211" i="22"/>
  <c r="M302" i="22"/>
  <c r="N302" i="22" s="1"/>
  <c r="M309" i="22"/>
  <c r="M243" i="22"/>
  <c r="M387" i="22"/>
  <c r="K387" i="22"/>
  <c r="N134" i="22"/>
  <c r="N328" i="22"/>
  <c r="M443" i="22"/>
  <c r="K443" i="22"/>
  <c r="M433" i="22"/>
  <c r="M173" i="22"/>
  <c r="N189" i="22"/>
  <c r="M303" i="22"/>
  <c r="N167" i="22"/>
  <c r="N200" i="22"/>
  <c r="M196" i="22"/>
  <c r="K196" i="22"/>
  <c r="K245" i="22"/>
  <c r="M245" i="22"/>
  <c r="M255" i="22"/>
  <c r="K255" i="22"/>
  <c r="M550" i="22"/>
  <c r="K167" i="22"/>
  <c r="K411" i="22"/>
  <c r="M262" i="22"/>
  <c r="N262" i="22" s="1"/>
  <c r="K212" i="22"/>
  <c r="M398" i="22"/>
  <c r="N350" i="22"/>
  <c r="V133" i="22"/>
  <c r="N101" i="22"/>
  <c r="N153" i="22"/>
  <c r="K189" i="22"/>
  <c r="K202" i="22"/>
  <c r="M311" i="22"/>
  <c r="K311" i="22"/>
  <c r="M235" i="22"/>
  <c r="M390" i="22"/>
  <c r="N390" i="22" s="1"/>
  <c r="N420" i="22"/>
  <c r="N212" i="22"/>
  <c r="V212" i="22" s="1"/>
  <c r="M548" i="22"/>
  <c r="M547" i="22"/>
  <c r="K414" i="22"/>
  <c r="M392" i="22"/>
  <c r="M244" i="22"/>
  <c r="N244" i="22" s="1"/>
  <c r="M218" i="22"/>
  <c r="V349" i="22"/>
  <c r="N352" i="22"/>
  <c r="N126" i="22"/>
  <c r="V126" i="22" s="1"/>
  <c r="N305" i="22"/>
  <c r="M238" i="22"/>
  <c r="M233" i="22"/>
  <c r="K233" i="22"/>
  <c r="N125" i="22"/>
  <c r="N147" i="22"/>
  <c r="N130" i="22"/>
  <c r="N129" i="22"/>
  <c r="N106" i="22"/>
  <c r="M542" i="22"/>
  <c r="N542" i="22" s="1"/>
  <c r="V542" i="22" s="1"/>
  <c r="M222" i="22"/>
  <c r="N195" i="22"/>
  <c r="V195" i="22" s="1"/>
  <c r="M176" i="22"/>
  <c r="N151" i="22"/>
  <c r="N193" i="22"/>
  <c r="N213" i="22"/>
  <c r="N308" i="22"/>
  <c r="V308" i="22" s="1"/>
  <c r="K554" i="22"/>
  <c r="M410" i="22"/>
  <c r="N410" i="22" s="1"/>
  <c r="M396" i="22"/>
  <c r="M257" i="22"/>
  <c r="N257" i="22" s="1"/>
  <c r="N108" i="22"/>
  <c r="N156" i="22"/>
  <c r="M191" i="22"/>
  <c r="M192" i="22"/>
  <c r="N192" i="22" s="1"/>
  <c r="M217" i="22"/>
  <c r="M300" i="22"/>
  <c r="M241" i="22"/>
  <c r="N237" i="22"/>
  <c r="M522" i="22"/>
  <c r="N522" i="22" s="1"/>
  <c r="N394" i="22"/>
  <c r="N330" i="22"/>
  <c r="N416" i="22"/>
  <c r="V107" i="22"/>
  <c r="M486" i="22"/>
  <c r="N486" i="22" s="1"/>
  <c r="N327" i="22"/>
  <c r="V327" i="22" s="1"/>
  <c r="M527" i="22"/>
  <c r="M507" i="22"/>
  <c r="N507" i="22" s="1"/>
  <c r="V507" i="22" s="1"/>
  <c r="N392" i="22"/>
  <c r="N240" i="22"/>
  <c r="N418" i="22"/>
  <c r="M524" i="22"/>
  <c r="N285" i="22"/>
  <c r="N395" i="22"/>
  <c r="N281" i="22"/>
  <c r="N322" i="22"/>
  <c r="M481" i="22"/>
  <c r="N287" i="22"/>
  <c r="K475" i="22"/>
  <c r="N325" i="22"/>
  <c r="V325" i="22" s="1"/>
  <c r="M478" i="22"/>
  <c r="N478" i="22" s="1"/>
  <c r="M482" i="22"/>
  <c r="M457" i="22"/>
  <c r="M521" i="22"/>
  <c r="V149" i="22"/>
  <c r="X655" i="22"/>
  <c r="X652" i="22"/>
  <c r="I685" i="22"/>
  <c r="I686" i="22"/>
  <c r="F686" i="22"/>
  <c r="I674" i="22"/>
  <c r="I675" i="22"/>
  <c r="I683" i="22"/>
  <c r="X616" i="22"/>
  <c r="X657" i="22"/>
  <c r="X660" i="22"/>
  <c r="X653" i="22"/>
  <c r="I681" i="22"/>
  <c r="I676" i="22"/>
  <c r="I682" i="22"/>
  <c r="R635" i="22"/>
  <c r="K635" i="22" s="1"/>
  <c r="G635" i="22"/>
  <c r="G638" i="22"/>
  <c r="R638" i="22"/>
  <c r="K638" i="22" s="1"/>
  <c r="R629" i="22"/>
  <c r="M629" i="22" s="1"/>
  <c r="N629" i="22" s="1"/>
  <c r="V629" i="22" s="1"/>
  <c r="G629" i="22"/>
  <c r="G642" i="22"/>
  <c r="R641" i="22"/>
  <c r="G639" i="22"/>
  <c r="R639" i="22"/>
  <c r="K639" i="22" s="1"/>
  <c r="R631" i="22"/>
  <c r="K631" i="22" s="1"/>
  <c r="G631" i="22"/>
  <c r="R637" i="22"/>
  <c r="K637" i="22" s="1"/>
  <c r="G637" i="22"/>
  <c r="R632" i="22"/>
  <c r="K632" i="22" s="1"/>
  <c r="G632" i="22"/>
  <c r="G633" i="22"/>
  <c r="R633" i="22"/>
  <c r="K633" i="22" s="1"/>
  <c r="R634" i="22"/>
  <c r="K634" i="22" s="1"/>
  <c r="G634" i="22"/>
  <c r="G640" i="22"/>
  <c r="R640" i="22"/>
  <c r="K640" i="22" s="1"/>
  <c r="G630" i="22"/>
  <c r="R630" i="22"/>
  <c r="K630" i="22" s="1"/>
  <c r="R636" i="22"/>
  <c r="K636" i="22" s="1"/>
  <c r="G636" i="22"/>
  <c r="I673" i="22"/>
  <c r="I677" i="22"/>
  <c r="I679" i="22"/>
  <c r="X662" i="22"/>
  <c r="X661" i="22"/>
  <c r="X659" i="22"/>
  <c r="X656" i="22"/>
  <c r="X658" i="22"/>
  <c r="I684" i="22"/>
  <c r="X610" i="22"/>
  <c r="I678" i="22"/>
  <c r="X654" i="22"/>
  <c r="X651" i="22"/>
  <c r="W664" i="22"/>
  <c r="X609" i="22"/>
  <c r="I680" i="22"/>
  <c r="M484" i="22"/>
  <c r="M456" i="22"/>
  <c r="N456" i="22" s="1"/>
  <c r="V409" i="22"/>
  <c r="K509" i="22"/>
  <c r="M509" i="22"/>
  <c r="K497" i="22"/>
  <c r="N411" i="22"/>
  <c r="N413" i="22"/>
  <c r="X642" i="22"/>
  <c r="N414" i="22"/>
  <c r="N283" i="22"/>
  <c r="M531" i="22"/>
  <c r="K531" i="22"/>
  <c r="N288" i="22"/>
  <c r="M454" i="22"/>
  <c r="N397" i="22"/>
  <c r="N286" i="22"/>
  <c r="N499" i="22"/>
  <c r="V499" i="22" s="1"/>
  <c r="M480" i="22"/>
  <c r="N480" i="22" s="1"/>
  <c r="V348" i="22"/>
  <c r="N284" i="22"/>
  <c r="N234" i="22"/>
  <c r="V277" i="22"/>
  <c r="N282" i="22"/>
  <c r="N419" i="22"/>
  <c r="N529" i="22"/>
  <c r="N279" i="22"/>
  <c r="N265" i="22"/>
  <c r="N278" i="22"/>
  <c r="N216" i="22"/>
  <c r="M523" i="22"/>
  <c r="M497" i="22"/>
  <c r="M566" i="22"/>
  <c r="N566" i="22" s="1"/>
  <c r="M564" i="22"/>
  <c r="N564" i="22" s="1"/>
  <c r="V564" i="22" s="1"/>
  <c r="M565" i="22"/>
  <c r="N565" i="22" s="1"/>
  <c r="M572" i="22"/>
  <c r="N572" i="22" s="1"/>
  <c r="M568" i="22"/>
  <c r="N568" i="22" s="1"/>
  <c r="G594" i="22"/>
  <c r="R594" i="22"/>
  <c r="K594" i="22" s="1"/>
  <c r="G587" i="22"/>
  <c r="R587" i="22"/>
  <c r="K587" i="22" s="1"/>
  <c r="R588" i="22"/>
  <c r="K588" i="22" s="1"/>
  <c r="G588" i="22"/>
  <c r="R592" i="22"/>
  <c r="K592" i="22" s="1"/>
  <c r="G592" i="22"/>
  <c r="R591" i="22"/>
  <c r="K591" i="22" s="1"/>
  <c r="G591" i="22"/>
  <c r="G596" i="22"/>
  <c r="R596" i="22"/>
  <c r="K596" i="22" s="1"/>
  <c r="G586" i="22"/>
  <c r="R586" i="22"/>
  <c r="K586" i="22" s="1"/>
  <c r="G593" i="22"/>
  <c r="R593" i="22"/>
  <c r="K593" i="22" s="1"/>
  <c r="R589" i="22"/>
  <c r="K589" i="22" s="1"/>
  <c r="G589" i="22"/>
  <c r="R595" i="22"/>
  <c r="K595" i="22" s="1"/>
  <c r="G595" i="22"/>
  <c r="R585" i="22"/>
  <c r="M585" i="22" s="1"/>
  <c r="G585" i="22"/>
  <c r="G598" i="22"/>
  <c r="R590" i="22"/>
  <c r="K590" i="22" s="1"/>
  <c r="G590" i="22"/>
  <c r="M569" i="22"/>
  <c r="M574" i="22"/>
  <c r="N551" i="22"/>
  <c r="V551" i="22" s="1"/>
  <c r="M573" i="22"/>
  <c r="M571" i="22"/>
  <c r="N563" i="22"/>
  <c r="K563" i="22"/>
  <c r="K576" i="22"/>
  <c r="N549" i="22"/>
  <c r="V549" i="22" s="1"/>
  <c r="M570" i="22"/>
  <c r="M567" i="22"/>
  <c r="V545" i="22"/>
  <c r="N552" i="22"/>
  <c r="N546" i="22"/>
  <c r="V541" i="22"/>
  <c r="V435" i="22"/>
  <c r="V436" i="22"/>
  <c r="V438" i="22"/>
  <c r="V432" i="22"/>
  <c r="V323" i="22"/>
  <c r="V331" i="22"/>
  <c r="V326" i="22"/>
  <c r="V306" i="22"/>
  <c r="V264" i="22"/>
  <c r="V220" i="22"/>
  <c r="V171" i="22"/>
  <c r="V172" i="22"/>
  <c r="X707" i="22"/>
  <c r="G707" i="22"/>
  <c r="M709" i="22"/>
  <c r="N693" i="22"/>
  <c r="B712" i="22"/>
  <c r="A691" i="22"/>
  <c r="G709" i="22"/>
  <c r="I709" i="22"/>
  <c r="M693" i="22"/>
  <c r="G693" i="22"/>
  <c r="G691" i="22"/>
  <c r="B693" i="22"/>
  <c r="A708" i="22"/>
  <c r="K691" i="22"/>
  <c r="D709" i="22"/>
  <c r="K709" i="22"/>
  <c r="I693" i="22"/>
  <c r="A709" i="22"/>
  <c r="A693" i="22"/>
  <c r="K693" i="22"/>
  <c r="D691" i="22"/>
  <c r="X607" i="22"/>
  <c r="W620" i="22"/>
  <c r="X618" i="22"/>
  <c r="X615" i="22"/>
  <c r="X614" i="22"/>
  <c r="X608" i="22"/>
  <c r="X617" i="22"/>
  <c r="X612" i="22"/>
  <c r="X611" i="22"/>
  <c r="F187" i="22"/>
  <c r="X598" i="22"/>
  <c r="R597" i="22"/>
  <c r="BD12" i="1"/>
  <c r="M575" i="22"/>
  <c r="K575" i="22"/>
  <c r="I305" i="23"/>
  <c r="I231" i="23"/>
  <c r="I197" i="23"/>
  <c r="I543" i="23"/>
  <c r="I307" i="23"/>
  <c r="I171" i="23"/>
  <c r="I385" i="23"/>
  <c r="I434" i="23"/>
  <c r="I191" i="23"/>
  <c r="J342" i="23"/>
  <c r="I394" i="23"/>
  <c r="J129" i="23"/>
  <c r="I256" i="23"/>
  <c r="I236" i="23"/>
  <c r="I192" i="23"/>
  <c r="I175" i="23"/>
  <c r="I213" i="23"/>
  <c r="J151" i="23"/>
  <c r="I195" i="23"/>
  <c r="J326" i="23"/>
  <c r="I218" i="23"/>
  <c r="J340" i="23"/>
  <c r="J350" i="23"/>
  <c r="I301" i="23"/>
  <c r="J142" i="23"/>
  <c r="I540" i="23"/>
  <c r="I302" i="23"/>
  <c r="J100" i="23"/>
  <c r="J109" i="23"/>
  <c r="I388" i="23"/>
  <c r="I165" i="23"/>
  <c r="I253" i="23"/>
  <c r="J149" i="23"/>
  <c r="I392" i="23"/>
  <c r="J107" i="23"/>
  <c r="I390" i="23"/>
  <c r="I212" i="23"/>
  <c r="J128" i="23"/>
  <c r="I216" i="23"/>
  <c r="I414" i="23"/>
  <c r="I412" i="23"/>
  <c r="I386" i="23"/>
  <c r="I174" i="23"/>
  <c r="J106" i="23"/>
  <c r="I194" i="23"/>
  <c r="I472" i="23"/>
  <c r="J194" i="23"/>
  <c r="I208" i="23"/>
  <c r="J197" i="23"/>
  <c r="I241" i="23"/>
  <c r="I173" i="23"/>
  <c r="J496" i="23"/>
  <c r="J549" i="23"/>
  <c r="J213" i="23"/>
  <c r="W682" i="22"/>
  <c r="S701" i="22"/>
  <c r="T705" i="22"/>
  <c r="P608" i="22"/>
  <c r="S699" i="22"/>
  <c r="J394" i="23"/>
  <c r="B713" i="22"/>
  <c r="I304" i="23"/>
  <c r="J108" i="23"/>
  <c r="I232" i="23"/>
  <c r="I215" i="23"/>
  <c r="J123" i="23"/>
  <c r="J126" i="23"/>
  <c r="J190" i="23"/>
  <c r="F697" i="22"/>
  <c r="AX11" i="1"/>
  <c r="F699" i="22"/>
  <c r="W684" i="22"/>
  <c r="I481" i="23"/>
  <c r="P617" i="22"/>
  <c r="J428" i="23"/>
  <c r="I239" i="23"/>
  <c r="I198" i="23"/>
  <c r="I193" i="23"/>
  <c r="I259" i="23"/>
  <c r="J98" i="23"/>
  <c r="J302" i="23"/>
  <c r="J210" i="23"/>
  <c r="J391" i="23"/>
  <c r="J319" i="23"/>
  <c r="J415" i="23"/>
  <c r="J125" i="23"/>
  <c r="I260" i="23"/>
  <c r="I187" i="23"/>
  <c r="J195" i="23"/>
  <c r="I306" i="23"/>
  <c r="I440" i="23"/>
  <c r="J417" i="23"/>
  <c r="J349" i="23"/>
  <c r="I235" i="23"/>
  <c r="J103" i="23"/>
  <c r="J305" i="23"/>
  <c r="I188" i="23"/>
  <c r="J234" i="23"/>
  <c r="J241" i="23"/>
  <c r="J284" i="23"/>
  <c r="A698" i="22"/>
  <c r="T707" i="22"/>
  <c r="I569" i="23"/>
  <c r="P619" i="22"/>
  <c r="P651" i="22"/>
  <c r="P662" i="22"/>
  <c r="B701" i="22"/>
  <c r="J410" i="23"/>
  <c r="J560" i="23"/>
  <c r="S696" i="22"/>
  <c r="S705" i="22"/>
  <c r="I451" i="23"/>
  <c r="U703" i="22"/>
  <c r="I567" i="23"/>
  <c r="Q705" i="22"/>
  <c r="I494" i="23"/>
  <c r="J565" i="23"/>
  <c r="U697" i="22"/>
  <c r="J546" i="23"/>
  <c r="F703" i="22"/>
  <c r="I506" i="23"/>
  <c r="F700" i="22"/>
  <c r="M713" i="22"/>
  <c r="P655" i="22"/>
  <c r="S697" i="22"/>
  <c r="S700" i="22"/>
  <c r="W678" i="22"/>
  <c r="J145" i="23"/>
  <c r="A697" i="22"/>
  <c r="I566" i="23"/>
  <c r="J482" i="23"/>
  <c r="Q707" i="22"/>
  <c r="I526" i="23"/>
  <c r="I258" i="23"/>
  <c r="I220" i="23"/>
  <c r="J307" i="23"/>
  <c r="I240" i="23"/>
  <c r="J209" i="23"/>
  <c r="I230" i="23"/>
  <c r="I539" i="23"/>
  <c r="I483" i="23"/>
  <c r="J324" i="23"/>
  <c r="I478" i="23"/>
  <c r="W683" i="22"/>
  <c r="W676" i="22"/>
  <c r="J548" i="23"/>
  <c r="S703" i="22"/>
  <c r="P610" i="22"/>
  <c r="P653" i="22"/>
  <c r="P654" i="22"/>
  <c r="B704" i="22"/>
  <c r="E713" i="22"/>
  <c r="T698" i="22"/>
  <c r="F702" i="22"/>
  <c r="I477" i="23"/>
  <c r="U705" i="22"/>
  <c r="F712" i="22"/>
  <c r="S704" i="22"/>
  <c r="I528" i="23"/>
  <c r="B702" i="22"/>
  <c r="A701" i="22"/>
  <c r="I167" i="23"/>
  <c r="U699" i="22"/>
  <c r="P661" i="22"/>
  <c r="P659" i="22"/>
  <c r="Q704" i="22"/>
  <c r="Q698" i="22"/>
  <c r="J526" i="23"/>
  <c r="T700" i="22"/>
  <c r="P660" i="22"/>
  <c r="T703" i="22"/>
  <c r="J279" i="23"/>
  <c r="W673" i="22"/>
  <c r="P614" i="22"/>
  <c r="T706" i="22"/>
  <c r="S707" i="22"/>
  <c r="B696" i="22"/>
  <c r="I568" i="23"/>
  <c r="A707" i="22"/>
  <c r="F701" i="22"/>
  <c r="B706" i="22"/>
  <c r="I562" i="23"/>
  <c r="J413" i="23"/>
  <c r="U702" i="22"/>
  <c r="F695" i="22"/>
  <c r="J483" i="23"/>
  <c r="T696" i="22"/>
  <c r="I482" i="23"/>
  <c r="I502" i="23"/>
  <c r="I257" i="23"/>
  <c r="I384" i="23"/>
  <c r="I430" i="23"/>
  <c r="I242" i="23"/>
  <c r="I395" i="23"/>
  <c r="J150" i="23"/>
  <c r="I545" i="23"/>
  <c r="I214" i="23"/>
  <c r="I504" i="23"/>
  <c r="J216" i="23"/>
  <c r="I479" i="23"/>
  <c r="Q701" i="22"/>
  <c r="J412" i="23"/>
  <c r="J543" i="23"/>
  <c r="I91" i="23"/>
  <c r="A695" i="22"/>
  <c r="B707" i="22"/>
  <c r="J416" i="23"/>
  <c r="U707" i="22"/>
  <c r="Q699" i="22"/>
  <c r="J389" i="23"/>
  <c r="Q702" i="22"/>
  <c r="P613" i="22"/>
  <c r="A703" i="22"/>
  <c r="J285" i="23"/>
  <c r="I564" i="23"/>
  <c r="A705" i="22"/>
  <c r="I452" i="23"/>
  <c r="I505" i="23"/>
  <c r="I496" i="23"/>
  <c r="I166" i="23"/>
  <c r="I296" i="23"/>
  <c r="J147" i="23"/>
  <c r="I170" i="23"/>
  <c r="I252" i="23"/>
  <c r="J347" i="23"/>
  <c r="J174" i="23"/>
  <c r="I544" i="23"/>
  <c r="J122" i="23"/>
  <c r="I219" i="23"/>
  <c r="I407" i="23"/>
  <c r="I297" i="23"/>
  <c r="J327" i="23"/>
  <c r="I454" i="23"/>
  <c r="B697" i="22"/>
  <c r="B700" i="22"/>
  <c r="I520" i="23"/>
  <c r="F698" i="22"/>
  <c r="U698" i="22"/>
  <c r="J561" i="23"/>
  <c r="I521" i="23"/>
  <c r="J237" i="23"/>
  <c r="I572" i="23"/>
  <c r="W675" i="22"/>
  <c r="I527" i="23"/>
  <c r="I516" i="23"/>
  <c r="I438" i="23"/>
  <c r="I437" i="23"/>
  <c r="J131" i="23"/>
  <c r="J186" i="23"/>
  <c r="J192" i="23"/>
  <c r="J148" i="23"/>
  <c r="I393" i="23"/>
  <c r="J153" i="23"/>
  <c r="I238" i="23"/>
  <c r="I524" i="23"/>
  <c r="U695" i="22"/>
  <c r="I561" i="23"/>
  <c r="B705" i="22"/>
  <c r="W680" i="22"/>
  <c r="P656" i="22"/>
  <c r="J283" i="23"/>
  <c r="F704" i="22"/>
  <c r="B703" i="22"/>
  <c r="J569" i="23"/>
  <c r="S698" i="22"/>
  <c r="S702" i="22"/>
  <c r="I713" i="22"/>
  <c r="F696" i="22"/>
  <c r="Q700" i="22"/>
  <c r="T699" i="22"/>
  <c r="T702" i="22"/>
  <c r="W679" i="22"/>
  <c r="A700" i="22"/>
  <c r="Q706" i="22"/>
  <c r="A704" i="22"/>
  <c r="J231" i="23"/>
  <c r="U696" i="22"/>
  <c r="T701" i="22"/>
  <c r="P616" i="22"/>
  <c r="Q697" i="22"/>
  <c r="AX35" i="1"/>
  <c r="I498" i="23"/>
  <c r="I436" i="23"/>
  <c r="J120" i="23"/>
  <c r="I172" i="23"/>
  <c r="J325" i="23"/>
  <c r="I300" i="23"/>
  <c r="I547" i="23"/>
  <c r="J144" i="23"/>
  <c r="I254" i="23"/>
  <c r="J322" i="23"/>
  <c r="I518" i="23"/>
  <c r="S706" i="22"/>
  <c r="P611" i="22"/>
  <c r="T704" i="22"/>
  <c r="U700" i="22"/>
  <c r="Q703" i="22"/>
  <c r="P663" i="22"/>
  <c r="J276" i="23"/>
  <c r="P607" i="22"/>
  <c r="A706" i="22"/>
  <c r="AX33" i="1"/>
  <c r="W674" i="22"/>
  <c r="J278" i="23"/>
  <c r="P658" i="22"/>
  <c r="P615" i="22"/>
  <c r="J281" i="23"/>
  <c r="Q695" i="22"/>
  <c r="W681" i="22"/>
  <c r="A702" i="22"/>
  <c r="I565" i="23"/>
  <c r="J504" i="23"/>
  <c r="J477" i="23"/>
  <c r="I582" i="23"/>
  <c r="I450" i="23"/>
  <c r="I439" i="23"/>
  <c r="I176" i="23"/>
  <c r="I196" i="23"/>
  <c r="J164" i="23"/>
  <c r="I308" i="23"/>
  <c r="I389" i="23"/>
  <c r="J127" i="23"/>
  <c r="J105" i="23"/>
  <c r="J407" i="23"/>
  <c r="J282" i="23"/>
  <c r="J259" i="23"/>
  <c r="F706" i="22"/>
  <c r="I570" i="23"/>
  <c r="W677" i="22"/>
  <c r="J408" i="23"/>
  <c r="A696" i="22"/>
  <c r="P657" i="22"/>
  <c r="I571" i="23"/>
  <c r="S695" i="22"/>
  <c r="P609" i="22"/>
  <c r="Q696" i="22"/>
  <c r="P612" i="22"/>
  <c r="B695" i="22"/>
  <c r="J539" i="23"/>
  <c r="J498" i="23"/>
  <c r="U704" i="22"/>
  <c r="F707" i="22"/>
  <c r="B698" i="22"/>
  <c r="F705" i="22"/>
  <c r="J262" i="23"/>
  <c r="J275" i="23"/>
  <c r="J254" i="23"/>
  <c r="J392" i="23"/>
  <c r="B699" i="22"/>
  <c r="A699" i="22"/>
  <c r="U706" i="22"/>
  <c r="J280" i="23"/>
  <c r="P618" i="22"/>
  <c r="U701" i="22"/>
  <c r="J450" i="23"/>
  <c r="P652" i="22"/>
  <c r="J411" i="23"/>
  <c r="T697" i="22"/>
  <c r="J562" i="23"/>
  <c r="T695" i="22"/>
  <c r="V132" i="22" l="1"/>
  <c r="V345" i="22"/>
  <c r="N388" i="22"/>
  <c r="N437" i="22"/>
  <c r="N174" i="22"/>
  <c r="N239" i="22"/>
  <c r="M459" i="22"/>
  <c r="M464" i="22"/>
  <c r="N259" i="22"/>
  <c r="M504" i="22"/>
  <c r="K453" i="22"/>
  <c r="N194" i="22"/>
  <c r="M487" i="22"/>
  <c r="M158" i="22"/>
  <c r="K466" i="22"/>
  <c r="M636" i="22"/>
  <c r="N636" i="22" s="1"/>
  <c r="V636" i="22" s="1"/>
  <c r="M500" i="22"/>
  <c r="N500" i="22" s="1"/>
  <c r="M479" i="22"/>
  <c r="V109" i="22"/>
  <c r="N389" i="22"/>
  <c r="N417" i="22"/>
  <c r="V131" i="22"/>
  <c r="N215" i="22"/>
  <c r="M525" i="22"/>
  <c r="M502" i="22"/>
  <c r="M461" i="22"/>
  <c r="V110" i="22"/>
  <c r="V152" i="22"/>
  <c r="N256" i="22"/>
  <c r="K488" i="22"/>
  <c r="N168" i="22"/>
  <c r="N391" i="22"/>
  <c r="V103" i="22"/>
  <c r="N543" i="22"/>
  <c r="V145" i="22"/>
  <c r="N304" i="22"/>
  <c r="M526" i="22"/>
  <c r="V353" i="22"/>
  <c r="V343" i="22"/>
  <c r="K510" i="22"/>
  <c r="K532" i="22"/>
  <c r="N393" i="22"/>
  <c r="M506" i="22"/>
  <c r="K519" i="22"/>
  <c r="M528" i="22"/>
  <c r="N528" i="22" s="1"/>
  <c r="M520" i="22"/>
  <c r="M477" i="22"/>
  <c r="M498" i="22"/>
  <c r="M476" i="22"/>
  <c r="N221" i="22"/>
  <c r="V329" i="22"/>
  <c r="V154" i="22"/>
  <c r="N178" i="22"/>
  <c r="J133" i="23"/>
  <c r="J111" i="23"/>
  <c r="V108" i="22"/>
  <c r="V130" i="22"/>
  <c r="V167" i="22"/>
  <c r="N199" i="22"/>
  <c r="N442" i="22"/>
  <c r="V147" i="22"/>
  <c r="N550" i="22"/>
  <c r="N303" i="22"/>
  <c r="V328" i="22"/>
  <c r="N175" i="22"/>
  <c r="V123" i="22"/>
  <c r="N439" i="22"/>
  <c r="N241" i="22"/>
  <c r="N396" i="22"/>
  <c r="V151" i="22"/>
  <c r="V189" i="22"/>
  <c r="N440" i="22"/>
  <c r="N441" i="22"/>
  <c r="N519" i="22"/>
  <c r="N530" i="22"/>
  <c r="N300" i="22"/>
  <c r="N222" i="22"/>
  <c r="V125" i="22"/>
  <c r="N547" i="22"/>
  <c r="V177" i="22"/>
  <c r="V350" i="22"/>
  <c r="N255" i="22"/>
  <c r="N173" i="22"/>
  <c r="V150" i="22"/>
  <c r="N299" i="22"/>
  <c r="N508" i="22"/>
  <c r="N455" i="22"/>
  <c r="M462" i="22"/>
  <c r="N479" i="22"/>
  <c r="L137" i="22"/>
  <c r="N217" i="22"/>
  <c r="N548" i="22"/>
  <c r="V153" i="22"/>
  <c r="N398" i="22"/>
  <c r="N433" i="22"/>
  <c r="N387" i="22"/>
  <c r="N260" i="22"/>
  <c r="N505" i="22"/>
  <c r="M458" i="22"/>
  <c r="M136" i="22"/>
  <c r="H137" i="22" s="1"/>
  <c r="M631" i="22"/>
  <c r="N631" i="22" s="1"/>
  <c r="V631" i="22" s="1"/>
  <c r="N169" i="22"/>
  <c r="N233" i="22"/>
  <c r="N243" i="22"/>
  <c r="N261" i="22"/>
  <c r="N526" i="22"/>
  <c r="M634" i="22"/>
  <c r="N634" i="22" s="1"/>
  <c r="V634" i="22" s="1"/>
  <c r="N191" i="22"/>
  <c r="V106" i="22"/>
  <c r="N238" i="22"/>
  <c r="V352" i="22"/>
  <c r="N309" i="22"/>
  <c r="V198" i="22"/>
  <c r="N190" i="22"/>
  <c r="N263" i="22"/>
  <c r="V128" i="22"/>
  <c r="N498" i="22"/>
  <c r="M463" i="22"/>
  <c r="V213" i="22"/>
  <c r="V305" i="22"/>
  <c r="L115" i="22"/>
  <c r="M114" i="22"/>
  <c r="V101" i="22"/>
  <c r="N196" i="22"/>
  <c r="N242" i="22"/>
  <c r="M460" i="22"/>
  <c r="K465" i="22"/>
  <c r="M465" i="22"/>
  <c r="V193" i="22"/>
  <c r="V129" i="22"/>
  <c r="N218" i="22"/>
  <c r="N235" i="22"/>
  <c r="V194" i="22"/>
  <c r="V111" i="22"/>
  <c r="N307" i="22"/>
  <c r="V437" i="22"/>
  <c r="N176" i="22"/>
  <c r="N211" i="22"/>
  <c r="V197" i="22"/>
  <c r="M503" i="22"/>
  <c r="N475" i="22"/>
  <c r="M483" i="22"/>
  <c r="N527" i="22"/>
  <c r="M596" i="22"/>
  <c r="N596" i="22" s="1"/>
  <c r="M639" i="22"/>
  <c r="N639" i="22" s="1"/>
  <c r="V639" i="22" s="1"/>
  <c r="V394" i="22"/>
  <c r="N477" i="22"/>
  <c r="V257" i="22"/>
  <c r="V259" i="22"/>
  <c r="V330" i="22"/>
  <c r="V237" i="22"/>
  <c r="V416" i="22"/>
  <c r="V287" i="22"/>
  <c r="V281" i="22"/>
  <c r="V395" i="22"/>
  <c r="V262" i="22"/>
  <c r="N521" i="22"/>
  <c r="N457" i="22"/>
  <c r="N481" i="22"/>
  <c r="V418" i="22"/>
  <c r="V240" i="22"/>
  <c r="V285" i="22"/>
  <c r="N506" i="22"/>
  <c r="V506" i="22" s="1"/>
  <c r="N482" i="22"/>
  <c r="V482" i="22" s="1"/>
  <c r="M633" i="22"/>
  <c r="N633" i="22" s="1"/>
  <c r="V633" i="22" s="1"/>
  <c r="V392" i="22"/>
  <c r="V219" i="22"/>
  <c r="N464" i="22"/>
  <c r="M632" i="22"/>
  <c r="N632" i="22" s="1"/>
  <c r="V393" i="22"/>
  <c r="V322" i="22"/>
  <c r="N524" i="22"/>
  <c r="M640" i="22"/>
  <c r="N640" i="22" s="1"/>
  <c r="V410" i="22"/>
  <c r="V239" i="22"/>
  <c r="I695" i="22"/>
  <c r="X678" i="22"/>
  <c r="X679" i="22"/>
  <c r="I699" i="22"/>
  <c r="I700" i="22"/>
  <c r="I698" i="22"/>
  <c r="I705" i="22"/>
  <c r="X674" i="22"/>
  <c r="X681" i="22"/>
  <c r="I702" i="22"/>
  <c r="X682" i="22"/>
  <c r="I696" i="22"/>
  <c r="X673" i="22"/>
  <c r="W686" i="22"/>
  <c r="I706" i="22"/>
  <c r="I704" i="22"/>
  <c r="X684" i="22"/>
  <c r="X675" i="22"/>
  <c r="G660" i="22"/>
  <c r="R660" i="22"/>
  <c r="K660" i="22" s="1"/>
  <c r="R659" i="22"/>
  <c r="K659" i="22" s="1"/>
  <c r="G659" i="22"/>
  <c r="R654" i="22"/>
  <c r="K654" i="22" s="1"/>
  <c r="G654" i="22"/>
  <c r="R662" i="22"/>
  <c r="K662" i="22" s="1"/>
  <c r="G662" i="22"/>
  <c r="R652" i="22"/>
  <c r="K652" i="22" s="1"/>
  <c r="G652" i="22"/>
  <c r="R658" i="22"/>
  <c r="K658" i="22" s="1"/>
  <c r="G658" i="22"/>
  <c r="M658" i="22"/>
  <c r="N658" i="22" s="1"/>
  <c r="V658" i="22" s="1"/>
  <c r="R657" i="22"/>
  <c r="K657" i="22" s="1"/>
  <c r="G657" i="22"/>
  <c r="R663" i="22"/>
  <c r="R656" i="22"/>
  <c r="K656" i="22" s="1"/>
  <c r="G656" i="22"/>
  <c r="R655" i="22"/>
  <c r="K655" i="22" s="1"/>
  <c r="G655" i="22"/>
  <c r="G661" i="22"/>
  <c r="R661" i="22"/>
  <c r="K661" i="22" s="1"/>
  <c r="R653" i="22"/>
  <c r="K653" i="22" s="1"/>
  <c r="G653" i="22"/>
  <c r="R651" i="22"/>
  <c r="G664" i="22"/>
  <c r="G651" i="22"/>
  <c r="I707" i="22"/>
  <c r="I697" i="22"/>
  <c r="I703" i="22"/>
  <c r="X680" i="22"/>
  <c r="I708" i="22"/>
  <c r="F708" i="22"/>
  <c r="X677" i="22"/>
  <c r="X676" i="22"/>
  <c r="I701" i="22"/>
  <c r="X683" i="22"/>
  <c r="V278" i="22"/>
  <c r="V265" i="22"/>
  <c r="M637" i="22"/>
  <c r="N637" i="22" s="1"/>
  <c r="V637" i="22" s="1"/>
  <c r="V284" i="22"/>
  <c r="X664" i="22"/>
  <c r="V529" i="22"/>
  <c r="N497" i="22"/>
  <c r="V397" i="22"/>
  <c r="V283" i="22"/>
  <c r="K629" i="22"/>
  <c r="K642" i="22"/>
  <c r="N523" i="22"/>
  <c r="M638" i="22"/>
  <c r="N638" i="22" s="1"/>
  <c r="V638" i="22" s="1"/>
  <c r="V234" i="22"/>
  <c r="N525" i="22"/>
  <c r="V419" i="22"/>
  <c r="N454" i="22"/>
  <c r="V414" i="22"/>
  <c r="M630" i="22"/>
  <c r="N630" i="22" s="1"/>
  <c r="V630" i="22" s="1"/>
  <c r="V216" i="22"/>
  <c r="N459" i="22"/>
  <c r="V282" i="22"/>
  <c r="V413" i="22"/>
  <c r="N484" i="22"/>
  <c r="V279" i="22"/>
  <c r="V286" i="22"/>
  <c r="V453" i="22"/>
  <c r="V411" i="22"/>
  <c r="V415" i="22"/>
  <c r="K641" i="22"/>
  <c r="M641" i="22"/>
  <c r="M635" i="22"/>
  <c r="N635" i="22" s="1"/>
  <c r="V635" i="22" s="1"/>
  <c r="M590" i="22"/>
  <c r="N590" i="22" s="1"/>
  <c r="V590" i="22" s="1"/>
  <c r="M593" i="22"/>
  <c r="N593" i="22" s="1"/>
  <c r="V593" i="22" s="1"/>
  <c r="M587" i="22"/>
  <c r="N587" i="22" s="1"/>
  <c r="V587" i="22" s="1"/>
  <c r="M591" i="22"/>
  <c r="M589" i="22"/>
  <c r="N589" i="22" s="1"/>
  <c r="V589" i="22" s="1"/>
  <c r="G616" i="22"/>
  <c r="R616" i="22"/>
  <c r="K616" i="22" s="1"/>
  <c r="G609" i="22"/>
  <c r="R609" i="22"/>
  <c r="K609" i="22" s="1"/>
  <c r="G610" i="22"/>
  <c r="R610" i="22"/>
  <c r="K610" i="22" s="1"/>
  <c r="R611" i="22"/>
  <c r="K611" i="22" s="1"/>
  <c r="G611" i="22"/>
  <c r="R618" i="22"/>
  <c r="K618" i="22" s="1"/>
  <c r="G618" i="22"/>
  <c r="G613" i="22"/>
  <c r="R613" i="22"/>
  <c r="K613" i="22" s="1"/>
  <c r="G615" i="22"/>
  <c r="R615" i="22"/>
  <c r="K615" i="22" s="1"/>
  <c r="R612" i="22"/>
  <c r="K612" i="22" s="1"/>
  <c r="G612" i="22"/>
  <c r="G608" i="22"/>
  <c r="R608" i="22"/>
  <c r="K608" i="22" s="1"/>
  <c r="R614" i="22"/>
  <c r="K614" i="22" s="1"/>
  <c r="G614" i="22"/>
  <c r="G617" i="22"/>
  <c r="R617" i="22"/>
  <c r="K617" i="22" s="1"/>
  <c r="G620" i="22"/>
  <c r="R607" i="22"/>
  <c r="M607" i="22" s="1"/>
  <c r="N607" i="22" s="1"/>
  <c r="V607" i="22" s="1"/>
  <c r="G607" i="22"/>
  <c r="M594" i="22"/>
  <c r="M588" i="22"/>
  <c r="N588" i="22" s="1"/>
  <c r="M595" i="22"/>
  <c r="N591" i="22"/>
  <c r="N585" i="22"/>
  <c r="V585" i="22" s="1"/>
  <c r="N569" i="22"/>
  <c r="N573" i="22"/>
  <c r="N574" i="22"/>
  <c r="N571" i="22"/>
  <c r="V571" i="22" s="1"/>
  <c r="M592" i="22"/>
  <c r="K585" i="22"/>
  <c r="K598" i="22"/>
  <c r="M586" i="22"/>
  <c r="N567" i="22"/>
  <c r="V568" i="22"/>
  <c r="V565" i="22"/>
  <c r="N570" i="22"/>
  <c r="V572" i="22"/>
  <c r="V563" i="22"/>
  <c r="V546" i="22"/>
  <c r="V480" i="22"/>
  <c r="V485" i="22"/>
  <c r="G729" i="22"/>
  <c r="X729" i="22"/>
  <c r="B715" i="22"/>
  <c r="D731" i="22"/>
  <c r="A713" i="22"/>
  <c r="A730" i="22"/>
  <c r="A715" i="22"/>
  <c r="I715" i="22"/>
  <c r="M715" i="22"/>
  <c r="G715" i="22"/>
  <c r="K731" i="22"/>
  <c r="I731" i="22"/>
  <c r="K715" i="22"/>
  <c r="K713" i="22"/>
  <c r="B734" i="22"/>
  <c r="N715" i="22"/>
  <c r="M731" i="22"/>
  <c r="G713" i="22"/>
  <c r="A731" i="22"/>
  <c r="D713" i="22"/>
  <c r="G731" i="22"/>
  <c r="X620" i="22"/>
  <c r="R619" i="22"/>
  <c r="K619" i="22" s="1"/>
  <c r="F209" i="22"/>
  <c r="J155" i="23"/>
  <c r="V148" i="22"/>
  <c r="L159" i="22"/>
  <c r="H159" i="22"/>
  <c r="M597" i="22"/>
  <c r="K597" i="22"/>
  <c r="BD13" i="1"/>
  <c r="AY7" i="1"/>
  <c r="J191" i="23"/>
  <c r="J385" i="23"/>
  <c r="I484" i="23"/>
  <c r="J434" i="23"/>
  <c r="AV12" i="1"/>
  <c r="J171" i="23"/>
  <c r="J236" i="23"/>
  <c r="I456" i="23"/>
  <c r="I461" i="23"/>
  <c r="J256" i="23"/>
  <c r="I501" i="23"/>
  <c r="I499" i="23"/>
  <c r="I458" i="23"/>
  <c r="I495" i="23"/>
  <c r="J253" i="23"/>
  <c r="J212" i="23"/>
  <c r="J301" i="23"/>
  <c r="J175" i="23"/>
  <c r="I522" i="23"/>
  <c r="J165" i="23"/>
  <c r="I523" i="23"/>
  <c r="I525" i="23"/>
  <c r="J388" i="23"/>
  <c r="I517" i="23"/>
  <c r="I474" i="23"/>
  <c r="J540" i="23"/>
  <c r="J390" i="23"/>
  <c r="I473" i="23"/>
  <c r="J414" i="23"/>
  <c r="I503" i="23"/>
  <c r="J218" i="23"/>
  <c r="I476" i="23"/>
  <c r="J386" i="23"/>
  <c r="J439" i="23"/>
  <c r="J393" i="23"/>
  <c r="J219" i="23"/>
  <c r="J452" i="23"/>
  <c r="J384" i="23"/>
  <c r="J187" i="23"/>
  <c r="J193" i="23"/>
  <c r="J215" i="23"/>
  <c r="J173" i="23"/>
  <c r="J474" i="23"/>
  <c r="W697" i="22"/>
  <c r="I462" i="23"/>
  <c r="J518" i="23"/>
  <c r="AW12" i="1"/>
  <c r="F726" i="22"/>
  <c r="I459" i="23"/>
  <c r="J257" i="23"/>
  <c r="J258" i="23"/>
  <c r="J260" i="23"/>
  <c r="J232" i="23"/>
  <c r="J208" i="23"/>
  <c r="J503" i="23"/>
  <c r="B727" i="22"/>
  <c r="P681" i="22"/>
  <c r="P682" i="22"/>
  <c r="J571" i="23"/>
  <c r="I587" i="23"/>
  <c r="T723" i="22"/>
  <c r="B718" i="22"/>
  <c r="F721" i="22"/>
  <c r="J584" i="23"/>
  <c r="AX12" i="1"/>
  <c r="T720" i="22"/>
  <c r="J582" i="23"/>
  <c r="A717" i="22"/>
  <c r="I584" i="23"/>
  <c r="U719" i="22"/>
  <c r="T722" i="22"/>
  <c r="J525" i="23"/>
  <c r="T725" i="22"/>
  <c r="Q728" i="22"/>
  <c r="I735" i="22"/>
  <c r="I590" i="23"/>
  <c r="Q722" i="22"/>
  <c r="F718" i="22"/>
  <c r="I588" i="23"/>
  <c r="I583" i="23"/>
  <c r="A727" i="22"/>
  <c r="AX36" i="1"/>
  <c r="F729" i="22"/>
  <c r="S719" i="22"/>
  <c r="A729" i="22"/>
  <c r="W695" i="22"/>
  <c r="B728" i="22"/>
  <c r="A728" i="22"/>
  <c r="Q729" i="22"/>
  <c r="S721" i="22"/>
  <c r="J588" i="23"/>
  <c r="J188" i="23"/>
  <c r="I460" i="23"/>
  <c r="J239" i="23"/>
  <c r="J479" i="23"/>
  <c r="J593" i="23"/>
  <c r="J567" i="23"/>
  <c r="F727" i="22"/>
  <c r="J454" i="23"/>
  <c r="J547" i="23"/>
  <c r="J544" i="23"/>
  <c r="J476" i="23"/>
  <c r="J523" i="23"/>
  <c r="J521" i="23"/>
  <c r="F720" i="22"/>
  <c r="P685" i="22"/>
  <c r="P683" i="22"/>
  <c r="I189" i="23"/>
  <c r="U721" i="22"/>
  <c r="F135" i="23"/>
  <c r="T721" i="22"/>
  <c r="I594" i="23"/>
  <c r="Q719" i="22"/>
  <c r="I586" i="23"/>
  <c r="J166" i="23"/>
  <c r="U729" i="22"/>
  <c r="P675" i="22"/>
  <c r="J520" i="23"/>
  <c r="Q717" i="22"/>
  <c r="J300" i="23"/>
  <c r="C135" i="23"/>
  <c r="AW11" i="1"/>
  <c r="N137" i="22" s="1"/>
  <c r="J502" i="23"/>
  <c r="J495" i="23"/>
  <c r="I500" i="23"/>
  <c r="U723" i="22"/>
  <c r="F719" i="22"/>
  <c r="J566" i="23"/>
  <c r="I455" i="23"/>
  <c r="J472" i="23"/>
  <c r="P684" i="22"/>
  <c r="A720" i="22"/>
  <c r="Q721" i="22"/>
  <c r="E735" i="22"/>
  <c r="Q724" i="22"/>
  <c r="F717" i="22"/>
  <c r="F734" i="22"/>
  <c r="W702" i="22"/>
  <c r="B729" i="22"/>
  <c r="B726" i="22"/>
  <c r="M735" i="22"/>
  <c r="S728" i="22"/>
  <c r="F723" i="22"/>
  <c r="J527" i="23"/>
  <c r="C113" i="23"/>
  <c r="AW10" i="1"/>
  <c r="N115" i="22" s="1"/>
  <c r="J304" i="23"/>
  <c r="S724" i="22"/>
  <c r="P673" i="22"/>
  <c r="Q723" i="22"/>
  <c r="W700" i="22"/>
  <c r="J524" i="23"/>
  <c r="J437" i="23"/>
  <c r="U725" i="22"/>
  <c r="P677" i="22"/>
  <c r="B735" i="22"/>
  <c r="F722" i="22"/>
  <c r="A723" i="22"/>
  <c r="A718" i="22"/>
  <c r="S722" i="22"/>
  <c r="B722" i="22"/>
  <c r="J586" i="23"/>
  <c r="J172" i="23"/>
  <c r="J438" i="23"/>
  <c r="J252" i="23"/>
  <c r="J214" i="23"/>
  <c r="AV11" i="1"/>
  <c r="I457" i="23"/>
  <c r="I480" i="23"/>
  <c r="A721" i="22"/>
  <c r="P674" i="22"/>
  <c r="J587" i="23"/>
  <c r="U722" i="22"/>
  <c r="T719" i="22"/>
  <c r="J590" i="23"/>
  <c r="F724" i="22"/>
  <c r="T727" i="22"/>
  <c r="J522" i="23"/>
  <c r="N49" i="22"/>
  <c r="T726" i="22"/>
  <c r="T729" i="22"/>
  <c r="J167" i="23"/>
  <c r="Q720" i="22"/>
  <c r="J461" i="23"/>
  <c r="B725" i="22"/>
  <c r="C157" i="23"/>
  <c r="T717" i="22"/>
  <c r="S723" i="22"/>
  <c r="U724" i="22"/>
  <c r="B723" i="22"/>
  <c r="Q726" i="22"/>
  <c r="Q725" i="22"/>
  <c r="J568" i="23"/>
  <c r="J516" i="23"/>
  <c r="J170" i="23"/>
  <c r="J545" i="23"/>
  <c r="J235" i="23"/>
  <c r="S720" i="22"/>
  <c r="S727" i="22"/>
  <c r="W696" i="22"/>
  <c r="J494" i="23"/>
  <c r="U717" i="22"/>
  <c r="W704" i="22"/>
  <c r="J481" i="23"/>
  <c r="J436" i="23"/>
  <c r="J296" i="23"/>
  <c r="J395" i="23"/>
  <c r="J230" i="23"/>
  <c r="J306" i="23"/>
  <c r="AV10" i="1"/>
  <c r="B717" i="22"/>
  <c r="J564" i="23"/>
  <c r="J196" i="23"/>
  <c r="J238" i="23"/>
  <c r="J297" i="23"/>
  <c r="J505" i="23"/>
  <c r="J430" i="23"/>
  <c r="J240" i="23"/>
  <c r="I593" i="23"/>
  <c r="J478" i="23"/>
  <c r="B721" i="22"/>
  <c r="P680" i="22"/>
  <c r="B720" i="22"/>
  <c r="T728" i="22"/>
  <c r="I589" i="23"/>
  <c r="U726" i="22"/>
  <c r="S729" i="22"/>
  <c r="B719" i="22"/>
  <c r="Q727" i="22"/>
  <c r="J456" i="23"/>
  <c r="S725" i="22"/>
  <c r="J49" i="22"/>
  <c r="F725" i="22"/>
  <c r="B724" i="22"/>
  <c r="F728" i="22"/>
  <c r="S726" i="22"/>
  <c r="T724" i="22"/>
  <c r="P679" i="22"/>
  <c r="P678" i="22"/>
  <c r="I591" i="23"/>
  <c r="W705" i="22"/>
  <c r="T718" i="22"/>
  <c r="S718" i="22"/>
  <c r="A724" i="22"/>
  <c r="W698" i="22"/>
  <c r="U727" i="22"/>
  <c r="I592" i="23"/>
  <c r="A726" i="22"/>
  <c r="Q718" i="22"/>
  <c r="A722" i="22"/>
  <c r="W706" i="22"/>
  <c r="W703" i="22"/>
  <c r="W701" i="22"/>
  <c r="J451" i="23"/>
  <c r="P676" i="22"/>
  <c r="F157" i="23"/>
  <c r="W699" i="22"/>
  <c r="U728" i="22"/>
  <c r="J570" i="23"/>
  <c r="A725" i="22"/>
  <c r="U718" i="22"/>
  <c r="A719" i="22"/>
  <c r="S717" i="22"/>
  <c r="U720" i="22"/>
  <c r="V174" i="22" l="1"/>
  <c r="N504" i="22"/>
  <c r="V388" i="22"/>
  <c r="M662" i="22"/>
  <c r="N662" i="22" s="1"/>
  <c r="V389" i="22"/>
  <c r="V221" i="22"/>
  <c r="V417" i="22"/>
  <c r="N476" i="22"/>
  <c r="V543" i="22"/>
  <c r="V391" i="22"/>
  <c r="N520" i="22"/>
  <c r="V168" i="22"/>
  <c r="V136" i="22"/>
  <c r="B137" i="22" s="1" a="1"/>
  <c r="B137" i="22" s="1"/>
  <c r="V304" i="22"/>
  <c r="V215" i="22"/>
  <c r="V256" i="22"/>
  <c r="N461" i="22"/>
  <c r="N502" i="22"/>
  <c r="AY10" i="1"/>
  <c r="AY11" i="1"/>
  <c r="V114" i="22"/>
  <c r="V243" i="22"/>
  <c r="V433" i="22"/>
  <c r="V300" i="22"/>
  <c r="V241" i="22"/>
  <c r="V199" i="22"/>
  <c r="H115" i="22"/>
  <c r="V309" i="22"/>
  <c r="V233" i="22"/>
  <c r="V299" i="22"/>
  <c r="V439" i="22"/>
  <c r="V238" i="22"/>
  <c r="V548" i="22"/>
  <c r="V173" i="22"/>
  <c r="V519" i="22"/>
  <c r="N483" i="22"/>
  <c r="N460" i="22"/>
  <c r="V217" i="22"/>
  <c r="V255" i="22"/>
  <c r="V441" i="22"/>
  <c r="V175" i="22"/>
  <c r="V440" i="22"/>
  <c r="V307" i="22"/>
  <c r="V475" i="22"/>
  <c r="N458" i="22"/>
  <c r="N503" i="22"/>
  <c r="V498" i="22"/>
  <c r="V505" i="22"/>
  <c r="V303" i="22"/>
  <c r="V169" i="22"/>
  <c r="V526" i="22"/>
  <c r="V479" i="22"/>
  <c r="V547" i="22"/>
  <c r="V550" i="22"/>
  <c r="V242" i="22"/>
  <c r="N463" i="22"/>
  <c r="V191" i="22"/>
  <c r="V158" i="22"/>
  <c r="B159" i="22" s="1" a="1"/>
  <c r="B159" i="22" s="1"/>
  <c r="M655" i="22"/>
  <c r="N655" i="22" s="1"/>
  <c r="V655" i="22" s="1"/>
  <c r="M660" i="22"/>
  <c r="N660" i="22" s="1"/>
  <c r="V660" i="22" s="1"/>
  <c r="V211" i="22"/>
  <c r="V235" i="22"/>
  <c r="V263" i="22"/>
  <c r="V261" i="22"/>
  <c r="V260" i="22"/>
  <c r="N462" i="22"/>
  <c r="V176" i="22"/>
  <c r="V218" i="22"/>
  <c r="V196" i="22"/>
  <c r="V190" i="22"/>
  <c r="V387" i="22"/>
  <c r="V455" i="22"/>
  <c r="V396" i="22"/>
  <c r="V477" i="22"/>
  <c r="M653" i="22"/>
  <c r="N653" i="22" s="1"/>
  <c r="V653" i="22" s="1"/>
  <c r="V527" i="22"/>
  <c r="V481" i="22"/>
  <c r="V457" i="22"/>
  <c r="V521" i="22"/>
  <c r="M657" i="22"/>
  <c r="N657" i="22" s="1"/>
  <c r="V657" i="22" s="1"/>
  <c r="M661" i="22"/>
  <c r="N661" i="22" s="1"/>
  <c r="V661" i="22" s="1"/>
  <c r="M654" i="22"/>
  <c r="N654" i="22" s="1"/>
  <c r="V524" i="22"/>
  <c r="I720" i="22"/>
  <c r="X701" i="22"/>
  <c r="X703" i="22"/>
  <c r="I725" i="22"/>
  <c r="X706" i="22"/>
  <c r="I726" i="22"/>
  <c r="I722" i="22"/>
  <c r="I717" i="22"/>
  <c r="X704" i="22"/>
  <c r="I718" i="22"/>
  <c r="X702" i="22"/>
  <c r="I729" i="22"/>
  <c r="X696" i="22"/>
  <c r="F730" i="22"/>
  <c r="I730" i="22"/>
  <c r="I728" i="22"/>
  <c r="I727" i="22"/>
  <c r="X699" i="22"/>
  <c r="W708" i="22"/>
  <c r="X695" i="22"/>
  <c r="X698" i="22"/>
  <c r="I724" i="22"/>
  <c r="I721" i="22"/>
  <c r="X700" i="22"/>
  <c r="X705" i="22"/>
  <c r="I723" i="22"/>
  <c r="G676" i="22"/>
  <c r="R676" i="22"/>
  <c r="K676" i="22" s="1"/>
  <c r="R683" i="22"/>
  <c r="K683" i="22" s="1"/>
  <c r="G683" i="22"/>
  <c r="R682" i="22"/>
  <c r="K682" i="22" s="1"/>
  <c r="G682" i="22"/>
  <c r="R678" i="22"/>
  <c r="K678" i="22" s="1"/>
  <c r="G678" i="22"/>
  <c r="R680" i="22"/>
  <c r="K680" i="22" s="1"/>
  <c r="G680" i="22"/>
  <c r="G675" i="22"/>
  <c r="R675" i="22"/>
  <c r="K675" i="22" s="1"/>
  <c r="G673" i="22"/>
  <c r="R673" i="22"/>
  <c r="M673" i="22" s="1"/>
  <c r="N673" i="22" s="1"/>
  <c r="V673" i="22" s="1"/>
  <c r="G686" i="22"/>
  <c r="G677" i="22"/>
  <c r="R677" i="22"/>
  <c r="K677" i="22" s="1"/>
  <c r="G674" i="22"/>
  <c r="R674" i="22"/>
  <c r="K674" i="22" s="1"/>
  <c r="R684" i="22"/>
  <c r="K684" i="22" s="1"/>
  <c r="G684" i="22"/>
  <c r="R685" i="22"/>
  <c r="R681" i="22"/>
  <c r="K681" i="22" s="1"/>
  <c r="G681" i="22"/>
  <c r="G679" i="22"/>
  <c r="R679" i="22"/>
  <c r="K679" i="22" s="1"/>
  <c r="I719" i="22"/>
  <c r="X697" i="22"/>
  <c r="V454" i="22"/>
  <c r="V497" i="22"/>
  <c r="V504" i="22"/>
  <c r="V528" i="22"/>
  <c r="K651" i="22"/>
  <c r="K664" i="22"/>
  <c r="M656" i="22"/>
  <c r="N656" i="22" s="1"/>
  <c r="V656" i="22" s="1"/>
  <c r="M652" i="22"/>
  <c r="N652" i="22" s="1"/>
  <c r="V652" i="22" s="1"/>
  <c r="X686" i="22"/>
  <c r="V525" i="22"/>
  <c r="V459" i="22"/>
  <c r="V523" i="22"/>
  <c r="M651" i="22"/>
  <c r="N651" i="22" s="1"/>
  <c r="V651" i="22" s="1"/>
  <c r="M663" i="22"/>
  <c r="K663" i="22"/>
  <c r="V484" i="22"/>
  <c r="M659" i="22"/>
  <c r="N659" i="22" s="1"/>
  <c r="V659" i="22" s="1"/>
  <c r="M608" i="22"/>
  <c r="N608" i="22" s="1"/>
  <c r="V608" i="22" s="1"/>
  <c r="M618" i="22"/>
  <c r="N618" i="22" s="1"/>
  <c r="M616" i="22"/>
  <c r="N616" i="22" s="1"/>
  <c r="V616" i="22" s="1"/>
  <c r="M613" i="22"/>
  <c r="N613" i="22" s="1"/>
  <c r="V613" i="22" s="1"/>
  <c r="M609" i="22"/>
  <c r="N609" i="22" s="1"/>
  <c r="V609" i="22" s="1"/>
  <c r="M612" i="22"/>
  <c r="N612" i="22" s="1"/>
  <c r="V612" i="22" s="1"/>
  <c r="M610" i="22"/>
  <c r="N610" i="22" s="1"/>
  <c r="M617" i="22"/>
  <c r="N617" i="22" s="1"/>
  <c r="V617" i="22" s="1"/>
  <c r="M614" i="22"/>
  <c r="N614" i="22" s="1"/>
  <c r="V614" i="22" s="1"/>
  <c r="N594" i="22"/>
  <c r="V594" i="22" s="1"/>
  <c r="M611" i="22"/>
  <c r="N611" i="22" s="1"/>
  <c r="V611" i="22" s="1"/>
  <c r="K607" i="22"/>
  <c r="K620" i="22"/>
  <c r="M615" i="22"/>
  <c r="N615" i="22" s="1"/>
  <c r="V615" i="22" s="1"/>
  <c r="N586" i="22"/>
  <c r="V591" i="22"/>
  <c r="V569" i="22"/>
  <c r="N592" i="22"/>
  <c r="V573" i="22"/>
  <c r="N595" i="22"/>
  <c r="V570" i="22"/>
  <c r="V567" i="22"/>
  <c r="M619" i="22"/>
  <c r="X751" i="22"/>
  <c r="G751" i="22"/>
  <c r="K753" i="22"/>
  <c r="D753" i="22"/>
  <c r="D735" i="22"/>
  <c r="I753" i="22"/>
  <c r="A752" i="22"/>
  <c r="A753" i="22"/>
  <c r="G735" i="22"/>
  <c r="M753" i="22"/>
  <c r="K735" i="22"/>
  <c r="I737" i="22"/>
  <c r="A735" i="22"/>
  <c r="G737" i="22"/>
  <c r="B756" i="22"/>
  <c r="M737" i="22"/>
  <c r="K737" i="22"/>
  <c r="B737" i="22"/>
  <c r="N737" i="22"/>
  <c r="G753" i="22"/>
  <c r="A737" i="22"/>
  <c r="F231" i="22"/>
  <c r="J177" i="23"/>
  <c r="V170" i="22"/>
  <c r="L181" i="22"/>
  <c r="M180" i="22"/>
  <c r="BD14" i="1"/>
  <c r="AY12" i="1"/>
  <c r="J501" i="23"/>
  <c r="J499" i="23"/>
  <c r="J473" i="23"/>
  <c r="J458" i="23"/>
  <c r="J517" i="23"/>
  <c r="J115" i="22"/>
  <c r="I113" i="23" s="1"/>
  <c r="F113" i="23"/>
  <c r="J480" i="23"/>
  <c r="J500" i="23"/>
  <c r="J460" i="23"/>
  <c r="J459" i="23"/>
  <c r="T750" i="22"/>
  <c r="W717" i="22"/>
  <c r="T749" i="22"/>
  <c r="B741" i="22"/>
  <c r="A740" i="22"/>
  <c r="B742" i="22"/>
  <c r="S749" i="22"/>
  <c r="A742" i="22"/>
  <c r="A746" i="22"/>
  <c r="A751" i="22"/>
  <c r="P702" i="22"/>
  <c r="B748" i="22"/>
  <c r="U745" i="22"/>
  <c r="S751" i="22"/>
  <c r="U749" i="22"/>
  <c r="B745" i="22"/>
  <c r="C179" i="23"/>
  <c r="T744" i="22"/>
  <c r="W728" i="22"/>
  <c r="J589" i="23"/>
  <c r="P698" i="22"/>
  <c r="U740" i="22"/>
  <c r="B740" i="22"/>
  <c r="J159" i="22"/>
  <c r="B757" i="22"/>
  <c r="S740" i="22"/>
  <c r="W723" i="22"/>
  <c r="T747" i="22"/>
  <c r="T743" i="22"/>
  <c r="F741" i="22"/>
  <c r="Q748" i="22"/>
  <c r="J591" i="23"/>
  <c r="F747" i="22"/>
  <c r="B746" i="22"/>
  <c r="B158" i="23"/>
  <c r="U739" i="22"/>
  <c r="Q750" i="22"/>
  <c r="A741" i="22"/>
  <c r="A750" i="22"/>
  <c r="T748" i="22"/>
  <c r="F742" i="22"/>
  <c r="Q749" i="22"/>
  <c r="J137" i="22"/>
  <c r="J457" i="23"/>
  <c r="F756" i="22"/>
  <c r="J189" i="23"/>
  <c r="S750" i="22"/>
  <c r="A743" i="22"/>
  <c r="Q747" i="22"/>
  <c r="B749" i="22"/>
  <c r="S742" i="22"/>
  <c r="U744" i="22"/>
  <c r="S747" i="22"/>
  <c r="Q740" i="22"/>
  <c r="U741" i="22"/>
  <c r="P706" i="22"/>
  <c r="J592" i="23"/>
  <c r="AX13" i="1"/>
  <c r="S748" i="22"/>
  <c r="P697" i="22"/>
  <c r="F748" i="22"/>
  <c r="AW13" i="1"/>
  <c r="S743" i="22"/>
  <c r="P707" i="22"/>
  <c r="F744" i="22"/>
  <c r="Q742" i="22"/>
  <c r="S741" i="22"/>
  <c r="S739" i="22"/>
  <c r="A748" i="22"/>
  <c r="B136" i="23"/>
  <c r="U751" i="22"/>
  <c r="B739" i="22"/>
  <c r="P704" i="22"/>
  <c r="P700" i="22"/>
  <c r="U746" i="22"/>
  <c r="W727" i="22"/>
  <c r="T739" i="22"/>
  <c r="P699" i="22"/>
  <c r="F750" i="22"/>
  <c r="F751" i="22"/>
  <c r="Q746" i="22"/>
  <c r="T745" i="22"/>
  <c r="Q751" i="22"/>
  <c r="P695" i="22"/>
  <c r="J583" i="23"/>
  <c r="F749" i="22"/>
  <c r="S745" i="22"/>
  <c r="U743" i="22"/>
  <c r="P705" i="22"/>
  <c r="U747" i="22"/>
  <c r="A745" i="22"/>
  <c r="B751" i="22"/>
  <c r="W726" i="22"/>
  <c r="Q743" i="22"/>
  <c r="T741" i="22"/>
  <c r="A747" i="22"/>
  <c r="P696" i="22"/>
  <c r="A749" i="22"/>
  <c r="W722" i="22"/>
  <c r="T751" i="22"/>
  <c r="U742" i="22"/>
  <c r="B750" i="22"/>
  <c r="I211" i="23"/>
  <c r="W721" i="22"/>
  <c r="F746" i="22"/>
  <c r="A744" i="22"/>
  <c r="AX37" i="1"/>
  <c r="F739" i="22"/>
  <c r="S744" i="22"/>
  <c r="W725" i="22"/>
  <c r="W720" i="22"/>
  <c r="U748" i="22"/>
  <c r="Q741" i="22"/>
  <c r="W724" i="22"/>
  <c r="Q745" i="22"/>
  <c r="A739" i="22"/>
  <c r="E757" i="22"/>
  <c r="T742" i="22"/>
  <c r="I757" i="22"/>
  <c r="J455" i="23"/>
  <c r="T740" i="22"/>
  <c r="Q744" i="22"/>
  <c r="F745" i="22"/>
  <c r="W719" i="22"/>
  <c r="W718" i="22"/>
  <c r="B744" i="22"/>
  <c r="N159" i="22"/>
  <c r="M757" i="22"/>
  <c r="AV13" i="1"/>
  <c r="U750" i="22"/>
  <c r="F740" i="22"/>
  <c r="B747" i="22"/>
  <c r="P701" i="22"/>
  <c r="F743" i="22"/>
  <c r="B743" i="22"/>
  <c r="Q739" i="22"/>
  <c r="T746" i="22"/>
  <c r="P703" i="22"/>
  <c r="I135" i="23"/>
  <c r="S746" i="22"/>
  <c r="E159" i="22" l="1"/>
  <c r="E137" i="22"/>
  <c r="M681" i="22"/>
  <c r="N681" i="22" s="1"/>
  <c r="V681" i="22" s="1"/>
  <c r="V476" i="22"/>
  <c r="M674" i="22"/>
  <c r="N674" i="22" s="1"/>
  <c r="V674" i="22" s="1"/>
  <c r="M680" i="22"/>
  <c r="N680" i="22" s="1"/>
  <c r="V680" i="22" s="1"/>
  <c r="V502" i="22"/>
  <c r="M679" i="22"/>
  <c r="N679" i="22" s="1"/>
  <c r="V679" i="22" s="1"/>
  <c r="V520" i="22"/>
  <c r="V461" i="22"/>
  <c r="V458" i="22"/>
  <c r="B115" i="22" a="1"/>
  <c r="B115" i="22" s="1"/>
  <c r="E115" i="22"/>
  <c r="V460" i="22"/>
  <c r="V180" i="22"/>
  <c r="B181" i="22" s="1" a="1"/>
  <c r="B181" i="22" s="1"/>
  <c r="V462" i="22"/>
  <c r="V463" i="22"/>
  <c r="V503" i="22"/>
  <c r="V483" i="22"/>
  <c r="M683" i="22"/>
  <c r="N683" i="22" s="1"/>
  <c r="V683" i="22" s="1"/>
  <c r="M675" i="22"/>
  <c r="N675" i="22" s="1"/>
  <c r="V675" i="22" s="1"/>
  <c r="M682" i="22"/>
  <c r="N682" i="22" s="1"/>
  <c r="V682" i="22" s="1"/>
  <c r="M684" i="22"/>
  <c r="N684" i="22" s="1"/>
  <c r="X724" i="22"/>
  <c r="G697" i="22"/>
  <c r="R697" i="22"/>
  <c r="K697" i="22" s="1"/>
  <c r="R703" i="22"/>
  <c r="K703" i="22" s="1"/>
  <c r="G703" i="22"/>
  <c r="G699" i="22"/>
  <c r="R699" i="22"/>
  <c r="K699" i="22" s="1"/>
  <c r="G700" i="22"/>
  <c r="R700" i="22"/>
  <c r="K700" i="22" s="1"/>
  <c r="R698" i="22"/>
  <c r="K698" i="22" s="1"/>
  <c r="G698" i="22"/>
  <c r="R702" i="22"/>
  <c r="K702" i="22" s="1"/>
  <c r="G702" i="22"/>
  <c r="R701" i="22"/>
  <c r="K701" i="22" s="1"/>
  <c r="G701" i="22"/>
  <c r="G696" i="22"/>
  <c r="R696" i="22"/>
  <c r="K696" i="22" s="1"/>
  <c r="R707" i="22"/>
  <c r="R705" i="22"/>
  <c r="K705" i="22" s="1"/>
  <c r="G705" i="22"/>
  <c r="G695" i="22"/>
  <c r="R695" i="22"/>
  <c r="M695" i="22" s="1"/>
  <c r="N695" i="22" s="1"/>
  <c r="V695" i="22" s="1"/>
  <c r="G708" i="22"/>
  <c r="G706" i="22"/>
  <c r="R706" i="22"/>
  <c r="K706" i="22" s="1"/>
  <c r="R704" i="22"/>
  <c r="K704" i="22" s="1"/>
  <c r="G704" i="22"/>
  <c r="I743" i="22"/>
  <c r="I741" i="22"/>
  <c r="I749" i="22"/>
  <c r="I748" i="22"/>
  <c r="X728" i="22"/>
  <c r="I751" i="22"/>
  <c r="X726" i="22"/>
  <c r="I742" i="22"/>
  <c r="X720" i="22"/>
  <c r="I746" i="22"/>
  <c r="I739" i="22"/>
  <c r="X727" i="22"/>
  <c r="X718" i="22"/>
  <c r="I740" i="22"/>
  <c r="X719" i="22"/>
  <c r="X725" i="22"/>
  <c r="X721" i="22"/>
  <c r="X722" i="22"/>
  <c r="I750" i="22"/>
  <c r="I747" i="22"/>
  <c r="W730" i="22"/>
  <c r="X717" i="22"/>
  <c r="I744" i="22"/>
  <c r="X723" i="22"/>
  <c r="F752" i="22"/>
  <c r="I752" i="22"/>
  <c r="I745" i="22"/>
  <c r="K685" i="22"/>
  <c r="M685" i="22"/>
  <c r="M678" i="22"/>
  <c r="N678" i="22" s="1"/>
  <c r="V678" i="22" s="1"/>
  <c r="M677" i="22"/>
  <c r="N677" i="22" s="1"/>
  <c r="V677" i="22" s="1"/>
  <c r="K673" i="22"/>
  <c r="K686" i="22"/>
  <c r="X708" i="22"/>
  <c r="M676" i="22"/>
  <c r="N676" i="22" s="1"/>
  <c r="V595" i="22"/>
  <c r="V592" i="22"/>
  <c r="V586" i="22"/>
  <c r="X773" i="22"/>
  <c r="G773" i="22"/>
  <c r="A759" i="22"/>
  <c r="I775" i="22"/>
  <c r="B759" i="22"/>
  <c r="B778" i="22"/>
  <c r="A775" i="22"/>
  <c r="D775" i="22"/>
  <c r="K757" i="22"/>
  <c r="N759" i="22"/>
  <c r="D757" i="22"/>
  <c r="I759" i="22"/>
  <c r="G759" i="22"/>
  <c r="A757" i="22"/>
  <c r="K775" i="22"/>
  <c r="M775" i="22"/>
  <c r="A774" i="22"/>
  <c r="G775" i="22"/>
  <c r="K759" i="22"/>
  <c r="M759" i="22"/>
  <c r="G757" i="22"/>
  <c r="H181" i="22"/>
  <c r="F253" i="22"/>
  <c r="J199" i="23"/>
  <c r="V192" i="22"/>
  <c r="V202" i="22" s="1"/>
  <c r="B203" i="22" s="1" a="1"/>
  <c r="B203" i="22" s="1"/>
  <c r="M202" i="22"/>
  <c r="L203" i="22"/>
  <c r="BD15" i="1"/>
  <c r="AY13" i="1"/>
  <c r="F158" i="23"/>
  <c r="F136" i="23"/>
  <c r="W739" i="22"/>
  <c r="A772" i="22"/>
  <c r="J211" i="23"/>
  <c r="U768" i="22"/>
  <c r="F770" i="22"/>
  <c r="E779" i="22"/>
  <c r="B766" i="22"/>
  <c r="B762" i="22"/>
  <c r="P724" i="22"/>
  <c r="B768" i="22"/>
  <c r="B771" i="22"/>
  <c r="W746" i="22"/>
  <c r="F767" i="22"/>
  <c r="T763" i="22"/>
  <c r="T766" i="22"/>
  <c r="W743" i="22"/>
  <c r="T762" i="22"/>
  <c r="U765" i="22"/>
  <c r="Q768" i="22"/>
  <c r="B764" i="22"/>
  <c r="F772" i="22"/>
  <c r="F771" i="22"/>
  <c r="S762" i="22"/>
  <c r="S771" i="22"/>
  <c r="Q765" i="22"/>
  <c r="F773" i="22"/>
  <c r="A762" i="22"/>
  <c r="A770" i="22"/>
  <c r="A769" i="22"/>
  <c r="Q761" i="22"/>
  <c r="P726" i="22"/>
  <c r="T771" i="22"/>
  <c r="F764" i="22"/>
  <c r="AX38" i="1"/>
  <c r="B114" i="23"/>
  <c r="Q767" i="22"/>
  <c r="F761" i="22"/>
  <c r="P722" i="22"/>
  <c r="Q772" i="22"/>
  <c r="B761" i="22"/>
  <c r="P719" i="22"/>
  <c r="I233" i="23"/>
  <c r="F765" i="22"/>
  <c r="W748" i="22"/>
  <c r="S763" i="22"/>
  <c r="P718" i="22"/>
  <c r="U771" i="22"/>
  <c r="B765" i="22"/>
  <c r="P720" i="22"/>
  <c r="U764" i="22"/>
  <c r="Q762" i="22"/>
  <c r="W745" i="22"/>
  <c r="F766" i="22"/>
  <c r="T773" i="22"/>
  <c r="W742" i="22"/>
  <c r="B779" i="22"/>
  <c r="W750" i="22"/>
  <c r="S765" i="22"/>
  <c r="S767" i="22"/>
  <c r="T765" i="22"/>
  <c r="F768" i="22"/>
  <c r="P725" i="22"/>
  <c r="F114" i="23"/>
  <c r="S761" i="22"/>
  <c r="B180" i="23"/>
  <c r="U769" i="22"/>
  <c r="Q763" i="22"/>
  <c r="M779" i="22"/>
  <c r="A773" i="22"/>
  <c r="AW14" i="1"/>
  <c r="W744" i="22"/>
  <c r="P717" i="22"/>
  <c r="P721" i="22"/>
  <c r="AX14" i="1"/>
  <c r="S772" i="22"/>
  <c r="T769" i="22"/>
  <c r="P723" i="22"/>
  <c r="U762" i="22"/>
  <c r="Q770" i="22"/>
  <c r="A767" i="22"/>
  <c r="W741" i="22"/>
  <c r="U766" i="22"/>
  <c r="T772" i="22"/>
  <c r="S770" i="22"/>
  <c r="Q766" i="22"/>
  <c r="A768" i="22"/>
  <c r="T764" i="22"/>
  <c r="A763" i="22"/>
  <c r="F179" i="23"/>
  <c r="T770" i="22"/>
  <c r="C201" i="23"/>
  <c r="S764" i="22"/>
  <c r="S773" i="22"/>
  <c r="F769" i="22"/>
  <c r="I779" i="22"/>
  <c r="B767" i="22"/>
  <c r="J181" i="22"/>
  <c r="F763" i="22"/>
  <c r="S766" i="22"/>
  <c r="P729" i="22"/>
  <c r="W749" i="22"/>
  <c r="Q771" i="22"/>
  <c r="U767" i="22"/>
  <c r="T768" i="22"/>
  <c r="I157" i="23"/>
  <c r="A771" i="22"/>
  <c r="B770" i="22"/>
  <c r="B773" i="22"/>
  <c r="F778" i="22"/>
  <c r="U773" i="22"/>
  <c r="U770" i="22"/>
  <c r="T761" i="22"/>
  <c r="F762" i="22"/>
  <c r="P727" i="22"/>
  <c r="W747" i="22"/>
  <c r="N181" i="22"/>
  <c r="S768" i="22"/>
  <c r="B763" i="22"/>
  <c r="Q773" i="22"/>
  <c r="A766" i="22"/>
  <c r="S769" i="22"/>
  <c r="Q769" i="22"/>
  <c r="U763" i="22"/>
  <c r="AV14" i="1"/>
  <c r="U761" i="22"/>
  <c r="B772" i="22"/>
  <c r="P728" i="22"/>
  <c r="B769" i="22"/>
  <c r="A765" i="22"/>
  <c r="U772" i="22"/>
  <c r="W740" i="22"/>
  <c r="Q764" i="22"/>
  <c r="A764" i="22"/>
  <c r="A761" i="22"/>
  <c r="T767" i="22"/>
  <c r="M706" i="22" l="1"/>
  <c r="N706" i="22" s="1"/>
  <c r="M698" i="22"/>
  <c r="N698" i="22" s="1"/>
  <c r="E181" i="22"/>
  <c r="M696" i="22"/>
  <c r="N696" i="22" s="1"/>
  <c r="V696" i="22" s="1"/>
  <c r="M700" i="22"/>
  <c r="N700" i="22" s="1"/>
  <c r="V700" i="22" s="1"/>
  <c r="M703" i="22"/>
  <c r="N703" i="22" s="1"/>
  <c r="V703" i="22" s="1"/>
  <c r="M701" i="22"/>
  <c r="N701" i="22" s="1"/>
  <c r="V701" i="22" s="1"/>
  <c r="X750" i="22"/>
  <c r="X746" i="22"/>
  <c r="X741" i="22"/>
  <c r="I770" i="22"/>
  <c r="X749" i="22"/>
  <c r="X747" i="22"/>
  <c r="I765" i="22"/>
  <c r="I772" i="22"/>
  <c r="R720" i="22"/>
  <c r="K720" i="22" s="1"/>
  <c r="G720" i="22"/>
  <c r="G723" i="22"/>
  <c r="R723" i="22"/>
  <c r="K723" i="22" s="1"/>
  <c r="R729" i="22"/>
  <c r="G721" i="22"/>
  <c r="R721" i="22"/>
  <c r="K721" i="22" s="1"/>
  <c r="G722" i="22"/>
  <c r="R722" i="22"/>
  <c r="K722" i="22" s="1"/>
  <c r="R724" i="22"/>
  <c r="K724" i="22" s="1"/>
  <c r="G724" i="22"/>
  <c r="G728" i="22"/>
  <c r="R728" i="22"/>
  <c r="K728" i="22" s="1"/>
  <c r="R725" i="22"/>
  <c r="K725" i="22" s="1"/>
  <c r="G725" i="22"/>
  <c r="G727" i="22"/>
  <c r="R727" i="22"/>
  <c r="K727" i="22" s="1"/>
  <c r="G726" i="22"/>
  <c r="R726" i="22"/>
  <c r="K726" i="22" s="1"/>
  <c r="G718" i="22"/>
  <c r="R718" i="22"/>
  <c r="K718" i="22" s="1"/>
  <c r="G719" i="22"/>
  <c r="R719" i="22"/>
  <c r="K719" i="22" s="1"/>
  <c r="R717" i="22"/>
  <c r="G730" i="22"/>
  <c r="G717" i="22"/>
  <c r="I768" i="22"/>
  <c r="I773" i="22"/>
  <c r="I761" i="22"/>
  <c r="X744" i="22"/>
  <c r="F774" i="22"/>
  <c r="I774" i="22"/>
  <c r="X742" i="22"/>
  <c r="X748" i="22"/>
  <c r="I769" i="22"/>
  <c r="I763" i="22"/>
  <c r="X743" i="22"/>
  <c r="X745" i="22"/>
  <c r="I762" i="22"/>
  <c r="I764" i="22"/>
  <c r="I766" i="22"/>
  <c r="I771" i="22"/>
  <c r="I767" i="22"/>
  <c r="X739" i="22"/>
  <c r="W752" i="22"/>
  <c r="X740" i="22"/>
  <c r="M704" i="22"/>
  <c r="N704" i="22" s="1"/>
  <c r="V704" i="22" s="1"/>
  <c r="M705" i="22"/>
  <c r="N705" i="22" s="1"/>
  <c r="V705" i="22" s="1"/>
  <c r="M702" i="22"/>
  <c r="N702" i="22" s="1"/>
  <c r="V702" i="22" s="1"/>
  <c r="X730" i="22"/>
  <c r="M697" i="22"/>
  <c r="N697" i="22" s="1"/>
  <c r="V697" i="22" s="1"/>
  <c r="M707" i="22"/>
  <c r="K707" i="22"/>
  <c r="K695" i="22"/>
  <c r="K708" i="22"/>
  <c r="M699" i="22"/>
  <c r="N699" i="22" s="1"/>
  <c r="V699" i="22" s="1"/>
  <c r="X795" i="22"/>
  <c r="G795" i="22"/>
  <c r="B800" i="22"/>
  <c r="G779" i="22"/>
  <c r="I781" i="22"/>
  <c r="A797" i="22"/>
  <c r="A779" i="22"/>
  <c r="M781" i="22"/>
  <c r="D779" i="22"/>
  <c r="A796" i="22"/>
  <c r="N781" i="22"/>
  <c r="K797" i="22"/>
  <c r="B781" i="22"/>
  <c r="G781" i="22"/>
  <c r="I797" i="22"/>
  <c r="A781" i="22"/>
  <c r="K781" i="22"/>
  <c r="G797" i="22"/>
  <c r="K779" i="22"/>
  <c r="M797" i="22"/>
  <c r="D797" i="22"/>
  <c r="H203" i="22"/>
  <c r="F275" i="22"/>
  <c r="J221" i="23"/>
  <c r="M224" i="22"/>
  <c r="L225" i="22"/>
  <c r="V214" i="22"/>
  <c r="V224" i="22" s="1"/>
  <c r="B225" i="22" s="1" a="1"/>
  <c r="B225" i="22" s="1"/>
  <c r="E203" i="22"/>
  <c r="BD16" i="1"/>
  <c r="AY14" i="1"/>
  <c r="F180" i="23"/>
  <c r="W766" i="22"/>
  <c r="U788" i="22"/>
  <c r="W770" i="22"/>
  <c r="T786" i="22"/>
  <c r="T790" i="22"/>
  <c r="F787" i="22"/>
  <c r="C223" i="23"/>
  <c r="Q785" i="22"/>
  <c r="F793" i="22"/>
  <c r="S795" i="22"/>
  <c r="P743" i="22"/>
  <c r="P739" i="22"/>
  <c r="Q788" i="22"/>
  <c r="Q787" i="22"/>
  <c r="W767" i="22"/>
  <c r="F792" i="22"/>
  <c r="P747" i="22"/>
  <c r="S794" i="22"/>
  <c r="B788" i="22"/>
  <c r="T788" i="22"/>
  <c r="F201" i="23"/>
  <c r="B202" i="23"/>
  <c r="A793" i="22"/>
  <c r="B790" i="22"/>
  <c r="A788" i="22"/>
  <c r="W763" i="22"/>
  <c r="F783" i="22"/>
  <c r="S792" i="22"/>
  <c r="P744" i="22"/>
  <c r="S785" i="22"/>
  <c r="U795" i="22"/>
  <c r="T787" i="22"/>
  <c r="U790" i="22"/>
  <c r="A794" i="22"/>
  <c r="B785" i="22"/>
  <c r="S788" i="22"/>
  <c r="W765" i="22"/>
  <c r="B794" i="22"/>
  <c r="B791" i="22"/>
  <c r="E801" i="22"/>
  <c r="W771" i="22"/>
  <c r="A784" i="22"/>
  <c r="B795" i="22"/>
  <c r="AX39" i="1"/>
  <c r="W764" i="22"/>
  <c r="B789" i="22"/>
  <c r="A786" i="22"/>
  <c r="M801" i="22"/>
  <c r="S786" i="22"/>
  <c r="F791" i="22"/>
  <c r="T784" i="22"/>
  <c r="A789" i="22"/>
  <c r="S783" i="22"/>
  <c r="P746" i="22"/>
  <c r="Q791" i="22"/>
  <c r="B783" i="22"/>
  <c r="U786" i="22"/>
  <c r="F794" i="22"/>
  <c r="I255" i="23"/>
  <c r="U792" i="22"/>
  <c r="W761" i="22"/>
  <c r="B801" i="22"/>
  <c r="U794" i="22"/>
  <c r="F202" i="23"/>
  <c r="T783" i="22"/>
  <c r="T793" i="22"/>
  <c r="J233" i="23"/>
  <c r="F786" i="22"/>
  <c r="F785" i="22"/>
  <c r="P742" i="22"/>
  <c r="A795" i="22"/>
  <c r="T795" i="22"/>
  <c r="Q783" i="22"/>
  <c r="W762" i="22"/>
  <c r="B784" i="22"/>
  <c r="P740" i="22"/>
  <c r="A791" i="22"/>
  <c r="I179" i="23"/>
  <c r="U785" i="22"/>
  <c r="F789" i="22"/>
  <c r="AX15" i="1"/>
  <c r="S790" i="22"/>
  <c r="U789" i="22"/>
  <c r="W768" i="22"/>
  <c r="A787" i="22"/>
  <c r="U791" i="22"/>
  <c r="AV15" i="1"/>
  <c r="S787" i="22"/>
  <c r="S789" i="22"/>
  <c r="T792" i="22"/>
  <c r="F790" i="22"/>
  <c r="Q794" i="22"/>
  <c r="B793" i="22"/>
  <c r="I801" i="22"/>
  <c r="F795" i="22"/>
  <c r="P745" i="22"/>
  <c r="T794" i="22"/>
  <c r="J203" i="22"/>
  <c r="B786" i="22"/>
  <c r="P748" i="22"/>
  <c r="Q793" i="22"/>
  <c r="T791" i="22"/>
  <c r="W772" i="22"/>
  <c r="U793" i="22"/>
  <c r="Q792" i="22"/>
  <c r="N203" i="22"/>
  <c r="Q786" i="22"/>
  <c r="F788" i="22"/>
  <c r="A783" i="22"/>
  <c r="B792" i="22"/>
  <c r="P751" i="22"/>
  <c r="P741" i="22"/>
  <c r="B787" i="22"/>
  <c r="A790" i="22"/>
  <c r="U783" i="22"/>
  <c r="Q784" i="22"/>
  <c r="AW15" i="1"/>
  <c r="P750" i="22"/>
  <c r="A785" i="22"/>
  <c r="F800" i="22"/>
  <c r="S784" i="22"/>
  <c r="W769" i="22"/>
  <c r="U784" i="22"/>
  <c r="Q795" i="22"/>
  <c r="T789" i="22"/>
  <c r="F784" i="22"/>
  <c r="T785" i="22"/>
  <c r="P749" i="22"/>
  <c r="S793" i="22"/>
  <c r="U787" i="22"/>
  <c r="Q790" i="22"/>
  <c r="A792" i="22"/>
  <c r="S791" i="22"/>
  <c r="Q789" i="22"/>
  <c r="M728" i="22" l="1"/>
  <c r="N728" i="22" s="1"/>
  <c r="M725" i="22"/>
  <c r="N725" i="22" s="1"/>
  <c r="V725" i="22" s="1"/>
  <c r="M721" i="22"/>
  <c r="N721" i="22" s="1"/>
  <c r="V721" i="22" s="1"/>
  <c r="M726" i="22"/>
  <c r="N726" i="22" s="1"/>
  <c r="V726" i="22" s="1"/>
  <c r="M720" i="22"/>
  <c r="N720" i="22" s="1"/>
  <c r="M722" i="22"/>
  <c r="N722" i="22" s="1"/>
  <c r="V722" i="22" s="1"/>
  <c r="I794" i="22"/>
  <c r="X767" i="22"/>
  <c r="I793" i="22"/>
  <c r="X768" i="22"/>
  <c r="I787" i="22"/>
  <c r="I791" i="22"/>
  <c r="I788" i="22"/>
  <c r="I789" i="22"/>
  <c r="R747" i="22"/>
  <c r="K747" i="22" s="1"/>
  <c r="G747" i="22"/>
  <c r="R739" i="22"/>
  <c r="G752" i="22"/>
  <c r="G739" i="22"/>
  <c r="M739" i="22"/>
  <c r="N739" i="22" s="1"/>
  <c r="V739" i="22" s="1"/>
  <c r="G741" i="22"/>
  <c r="R741" i="22"/>
  <c r="K741" i="22" s="1"/>
  <c r="R745" i="22"/>
  <c r="K745" i="22" s="1"/>
  <c r="G745" i="22"/>
  <c r="R749" i="22"/>
  <c r="K749" i="22" s="1"/>
  <c r="G749" i="22"/>
  <c r="R750" i="22"/>
  <c r="K750" i="22" s="1"/>
  <c r="G750" i="22"/>
  <c r="R744" i="22"/>
  <c r="K744" i="22" s="1"/>
  <c r="G744" i="22"/>
  <c r="R740" i="22"/>
  <c r="K740" i="22" s="1"/>
  <c r="G740" i="22"/>
  <c r="G742" i="22"/>
  <c r="R742" i="22"/>
  <c r="K742" i="22" s="1"/>
  <c r="M742" i="22"/>
  <c r="N742" i="22" s="1"/>
  <c r="G746" i="22"/>
  <c r="R746" i="22"/>
  <c r="K746" i="22" s="1"/>
  <c r="M746" i="22"/>
  <c r="N746" i="22" s="1"/>
  <c r="V746" i="22" s="1"/>
  <c r="R743" i="22"/>
  <c r="K743" i="22" s="1"/>
  <c r="G743" i="22"/>
  <c r="R751" i="22"/>
  <c r="G748" i="22"/>
  <c r="R748" i="22"/>
  <c r="K748" i="22" s="1"/>
  <c r="M748" i="22"/>
  <c r="N748" i="22" s="1"/>
  <c r="V748" i="22" s="1"/>
  <c r="I784" i="22"/>
  <c r="F796" i="22"/>
  <c r="I796" i="22"/>
  <c r="I785" i="22"/>
  <c r="I790" i="22"/>
  <c r="X765" i="22"/>
  <c r="X763" i="22"/>
  <c r="X762" i="22"/>
  <c r="I786" i="22"/>
  <c r="I795" i="22"/>
  <c r="I783" i="22"/>
  <c r="I792" i="22"/>
  <c r="X771" i="22"/>
  <c r="X769" i="22"/>
  <c r="X770" i="22"/>
  <c r="X772" i="22"/>
  <c r="X761" i="22"/>
  <c r="W774" i="22"/>
  <c r="X764" i="22"/>
  <c r="X766" i="22"/>
  <c r="K717" i="22"/>
  <c r="K730" i="22"/>
  <c r="M727" i="22"/>
  <c r="N727" i="22" s="1"/>
  <c r="V727" i="22" s="1"/>
  <c r="M719" i="22"/>
  <c r="N719" i="22" s="1"/>
  <c r="V719" i="22" s="1"/>
  <c r="X752" i="22"/>
  <c r="M718" i="22"/>
  <c r="N718" i="22" s="1"/>
  <c r="V718" i="22" s="1"/>
  <c r="M717" i="22"/>
  <c r="N717" i="22" s="1"/>
  <c r="V717" i="22" s="1"/>
  <c r="K729" i="22"/>
  <c r="M729" i="22"/>
  <c r="M724" i="22"/>
  <c r="N724" i="22" s="1"/>
  <c r="V724" i="22" s="1"/>
  <c r="M723" i="22"/>
  <c r="N723" i="22" s="1"/>
  <c r="V723" i="22" s="1"/>
  <c r="G817" i="22"/>
  <c r="X817" i="22"/>
  <c r="G819" i="22"/>
  <c r="N803" i="22"/>
  <c r="K803" i="22"/>
  <c r="G801" i="22"/>
  <c r="B822" i="22"/>
  <c r="G803" i="22"/>
  <c r="M803" i="22"/>
  <c r="D819" i="22"/>
  <c r="B803" i="22"/>
  <c r="A801" i="22"/>
  <c r="K819" i="22"/>
  <c r="A819" i="22"/>
  <c r="A803" i="22"/>
  <c r="D801" i="22"/>
  <c r="M819" i="22"/>
  <c r="A818" i="22"/>
  <c r="I803" i="22"/>
  <c r="I819" i="22"/>
  <c r="K801" i="22"/>
  <c r="H225" i="22"/>
  <c r="F297" i="22"/>
  <c r="J243" i="23"/>
  <c r="M246" i="22"/>
  <c r="V236" i="22"/>
  <c r="V246" i="22" s="1"/>
  <c r="B247" i="22" s="1" a="1"/>
  <c r="B247" i="22" s="1"/>
  <c r="L247" i="22"/>
  <c r="E225" i="22"/>
  <c r="BD17" i="1"/>
  <c r="AY15" i="1"/>
  <c r="U808" i="22"/>
  <c r="U807" i="22"/>
  <c r="U809" i="22"/>
  <c r="W783" i="22"/>
  <c r="B811" i="22"/>
  <c r="AX16" i="1"/>
  <c r="W790" i="22"/>
  <c r="B810" i="22"/>
  <c r="J225" i="22"/>
  <c r="P765" i="22"/>
  <c r="C245" i="23"/>
  <c r="W784" i="22"/>
  <c r="F805" i="22"/>
  <c r="F810" i="22"/>
  <c r="S806" i="22"/>
  <c r="A810" i="22"/>
  <c r="B809" i="22"/>
  <c r="B816" i="22"/>
  <c r="A815" i="22"/>
  <c r="T813" i="22"/>
  <c r="T807" i="22"/>
  <c r="I201" i="23"/>
  <c r="A817" i="22"/>
  <c r="T809" i="22"/>
  <c r="A812" i="22"/>
  <c r="U816" i="22"/>
  <c r="Q812" i="22"/>
  <c r="B823" i="22"/>
  <c r="B815" i="22"/>
  <c r="F806" i="22"/>
  <c r="T805" i="22"/>
  <c r="U814" i="22"/>
  <c r="Q817" i="22"/>
  <c r="P762" i="22"/>
  <c r="F224" i="23"/>
  <c r="B813" i="22"/>
  <c r="Q806" i="22"/>
  <c r="W791" i="22"/>
  <c r="W792" i="22"/>
  <c r="A811" i="22"/>
  <c r="A807" i="22"/>
  <c r="F822" i="22"/>
  <c r="W794" i="22"/>
  <c r="N225" i="22"/>
  <c r="S816" i="22"/>
  <c r="F817" i="22"/>
  <c r="W789" i="22"/>
  <c r="P764" i="22"/>
  <c r="F813" i="22"/>
  <c r="A808" i="22"/>
  <c r="U813" i="22"/>
  <c r="P763" i="22"/>
  <c r="S807" i="22"/>
  <c r="A813" i="22"/>
  <c r="W786" i="22"/>
  <c r="P773" i="22"/>
  <c r="Q809" i="22"/>
  <c r="S814" i="22"/>
  <c r="F811" i="22"/>
  <c r="S817" i="22"/>
  <c r="P761" i="22"/>
  <c r="I823" i="22"/>
  <c r="U810" i="22"/>
  <c r="T808" i="22"/>
  <c r="U815" i="22"/>
  <c r="M823" i="22"/>
  <c r="W793" i="22"/>
  <c r="W785" i="22"/>
  <c r="B807" i="22"/>
  <c r="S805" i="22"/>
  <c r="S808" i="22"/>
  <c r="S813" i="22"/>
  <c r="AW16" i="1"/>
  <c r="B808" i="22"/>
  <c r="A806" i="22"/>
  <c r="S809" i="22"/>
  <c r="W788" i="22"/>
  <c r="P768" i="22"/>
  <c r="Q813" i="22"/>
  <c r="S812" i="22"/>
  <c r="Q810" i="22"/>
  <c r="Q808" i="22"/>
  <c r="F816" i="22"/>
  <c r="U817" i="22"/>
  <c r="F808" i="22"/>
  <c r="F807" i="22"/>
  <c r="F809" i="22"/>
  <c r="B224" i="23"/>
  <c r="B812" i="22"/>
  <c r="F815" i="22"/>
  <c r="F812" i="22"/>
  <c r="P771" i="22"/>
  <c r="T814" i="22"/>
  <c r="S815" i="22"/>
  <c r="T816" i="22"/>
  <c r="P766" i="22"/>
  <c r="AV16" i="1"/>
  <c r="T806" i="22"/>
  <c r="AX40" i="1"/>
  <c r="Q805" i="22"/>
  <c r="U812" i="22"/>
  <c r="B805" i="22"/>
  <c r="T810" i="22"/>
  <c r="P770" i="22"/>
  <c r="U806" i="22"/>
  <c r="A809" i="22"/>
  <c r="S810" i="22"/>
  <c r="I277" i="23"/>
  <c r="P772" i="22"/>
  <c r="Q815" i="22"/>
  <c r="B814" i="22"/>
  <c r="S811" i="22"/>
  <c r="E823" i="22"/>
  <c r="T815" i="22"/>
  <c r="P767" i="22"/>
  <c r="T811" i="22"/>
  <c r="U811" i="22"/>
  <c r="A805" i="22"/>
  <c r="T812" i="22"/>
  <c r="A816" i="22"/>
  <c r="T817" i="22"/>
  <c r="J255" i="23"/>
  <c r="Q807" i="22"/>
  <c r="U805" i="22"/>
  <c r="Q816" i="22"/>
  <c r="P769" i="22"/>
  <c r="B817" i="22"/>
  <c r="W787" i="22"/>
  <c r="F223" i="23"/>
  <c r="A814" i="22"/>
  <c r="F814" i="22"/>
  <c r="B806" i="22"/>
  <c r="Q811" i="22"/>
  <c r="Q814" i="22"/>
  <c r="M741" i="22" l="1"/>
  <c r="N741" i="22" s="1"/>
  <c r="V741" i="22" s="1"/>
  <c r="M744" i="22"/>
  <c r="N744" i="22" s="1"/>
  <c r="V744" i="22" s="1"/>
  <c r="M740" i="22"/>
  <c r="N740" i="22" s="1"/>
  <c r="V740" i="22" s="1"/>
  <c r="M745" i="22"/>
  <c r="N745" i="22" s="1"/>
  <c r="V745" i="22" s="1"/>
  <c r="M747" i="22"/>
  <c r="N747" i="22" s="1"/>
  <c r="V747" i="22" s="1"/>
  <c r="M743" i="22"/>
  <c r="N743" i="22" s="1"/>
  <c r="V743" i="22" s="1"/>
  <c r="I810" i="22"/>
  <c r="X787" i="22"/>
  <c r="X792" i="22"/>
  <c r="X793" i="22"/>
  <c r="I809" i="22"/>
  <c r="I811" i="22"/>
  <c r="I813" i="22"/>
  <c r="R767" i="22"/>
  <c r="K767" i="22" s="1"/>
  <c r="G767" i="22"/>
  <c r="R772" i="22"/>
  <c r="K772" i="22" s="1"/>
  <c r="G772" i="22"/>
  <c r="G771" i="22"/>
  <c r="R771" i="22"/>
  <c r="K771" i="22" s="1"/>
  <c r="R773" i="22"/>
  <c r="G763" i="22"/>
  <c r="R763" i="22"/>
  <c r="K763" i="22" s="1"/>
  <c r="M763" i="22"/>
  <c r="N763" i="22" s="1"/>
  <c r="V763" i="22" s="1"/>
  <c r="R768" i="22"/>
  <c r="K768" i="22" s="1"/>
  <c r="G768" i="22"/>
  <c r="R764" i="22"/>
  <c r="K764" i="22" s="1"/>
  <c r="G764" i="22"/>
  <c r="G765" i="22"/>
  <c r="R765" i="22"/>
  <c r="K765" i="22" s="1"/>
  <c r="G769" i="22"/>
  <c r="R769" i="22"/>
  <c r="K769" i="22" s="1"/>
  <c r="M769" i="22"/>
  <c r="N769" i="22" s="1"/>
  <c r="V769" i="22" s="1"/>
  <c r="G770" i="22"/>
  <c r="R770" i="22"/>
  <c r="K770" i="22" s="1"/>
  <c r="G762" i="22"/>
  <c r="R762" i="22"/>
  <c r="K762" i="22" s="1"/>
  <c r="R766" i="22"/>
  <c r="K766" i="22" s="1"/>
  <c r="G766" i="22"/>
  <c r="G774" i="22"/>
  <c r="G761" i="22"/>
  <c r="R761" i="22"/>
  <c r="M761" i="22"/>
  <c r="N761" i="22" s="1"/>
  <c r="V761" i="22" s="1"/>
  <c r="X786" i="22"/>
  <c r="X788" i="22"/>
  <c r="X789" i="22"/>
  <c r="I816" i="22"/>
  <c r="I817" i="22"/>
  <c r="X791" i="22"/>
  <c r="I815" i="22"/>
  <c r="I807" i="22"/>
  <c r="I814" i="22"/>
  <c r="I808" i="22"/>
  <c r="X790" i="22"/>
  <c r="I806" i="22"/>
  <c r="X794" i="22"/>
  <c r="W796" i="22"/>
  <c r="X783" i="22"/>
  <c r="I818" i="22"/>
  <c r="F818" i="22"/>
  <c r="I805" i="22"/>
  <c r="I812" i="22"/>
  <c r="X784" i="22"/>
  <c r="X785" i="22"/>
  <c r="M750" i="22"/>
  <c r="N750" i="22" s="1"/>
  <c r="X774" i="22"/>
  <c r="K751" i="22"/>
  <c r="M751" i="22"/>
  <c r="K739" i="22"/>
  <c r="K752" i="22"/>
  <c r="M749" i="22"/>
  <c r="N749" i="22" s="1"/>
  <c r="V749" i="22" s="1"/>
  <c r="G839" i="22"/>
  <c r="X839" i="22"/>
  <c r="N825" i="22"/>
  <c r="A840" i="22"/>
  <c r="A823" i="22"/>
  <c r="K825" i="22"/>
  <c r="D841" i="22"/>
  <c r="M841" i="22"/>
  <c r="G825" i="22"/>
  <c r="B825" i="22"/>
  <c r="G841" i="22"/>
  <c r="D823" i="22"/>
  <c r="A825" i="22"/>
  <c r="M825" i="22"/>
  <c r="K841" i="22"/>
  <c r="I841" i="22"/>
  <c r="B844" i="22"/>
  <c r="O831" i="22"/>
  <c r="A841" i="22"/>
  <c r="K823" i="22"/>
  <c r="I825" i="22"/>
  <c r="G823" i="22"/>
  <c r="H247" i="22"/>
  <c r="F319" i="22"/>
  <c r="J265" i="23"/>
  <c r="L269" i="22"/>
  <c r="M268" i="22"/>
  <c r="V258" i="22"/>
  <c r="V268" i="22" s="1"/>
  <c r="B269" i="22" s="1" a="1"/>
  <c r="B269" i="22" s="1"/>
  <c r="E247" i="22"/>
  <c r="BD18" i="1"/>
  <c r="AY16" i="1"/>
  <c r="S831" i="22"/>
  <c r="I845" i="22"/>
  <c r="U828" i="22"/>
  <c r="F245" i="23"/>
  <c r="B831" i="22"/>
  <c r="P788" i="22"/>
  <c r="F830" i="22"/>
  <c r="AV17" i="1"/>
  <c r="I223" i="23"/>
  <c r="F246" i="23"/>
  <c r="AX17" i="1"/>
  <c r="Q831" i="22"/>
  <c r="AX41" i="1"/>
  <c r="W814" i="22"/>
  <c r="Q829" i="22"/>
  <c r="W815" i="22"/>
  <c r="S830" i="22"/>
  <c r="A827" i="22"/>
  <c r="S828" i="22"/>
  <c r="P786" i="22"/>
  <c r="N247" i="22"/>
  <c r="W810" i="22"/>
  <c r="B829" i="22"/>
  <c r="P793" i="22"/>
  <c r="T828" i="22"/>
  <c r="Q828" i="22"/>
  <c r="P789" i="22"/>
  <c r="T831" i="22"/>
  <c r="C267" i="23"/>
  <c r="U827" i="22"/>
  <c r="E845" i="22"/>
  <c r="P795" i="22"/>
  <c r="A828" i="22"/>
  <c r="B246" i="23"/>
  <c r="F844" i="22"/>
  <c r="W808" i="22"/>
  <c r="B845" i="22"/>
  <c r="F829" i="22"/>
  <c r="W806" i="22"/>
  <c r="W811" i="22"/>
  <c r="J247" i="22"/>
  <c r="T829" i="22"/>
  <c r="P783" i="22"/>
  <c r="F827" i="22"/>
  <c r="W812" i="22"/>
  <c r="J277" i="23"/>
  <c r="W813" i="22"/>
  <c r="A830" i="22"/>
  <c r="P790" i="22"/>
  <c r="AW17" i="1"/>
  <c r="A829" i="22"/>
  <c r="W805" i="22"/>
  <c r="W807" i="22"/>
  <c r="B830" i="22"/>
  <c r="P791" i="22"/>
  <c r="M845" i="22"/>
  <c r="Q827" i="22"/>
  <c r="F828" i="22"/>
  <c r="W809" i="22"/>
  <c r="F831" i="22"/>
  <c r="S829" i="22"/>
  <c r="A831" i="22"/>
  <c r="U830" i="22"/>
  <c r="U829" i="22"/>
  <c r="P792" i="22"/>
  <c r="U831" i="22"/>
  <c r="W831" i="22"/>
  <c r="P787" i="22"/>
  <c r="B828" i="22"/>
  <c r="S827" i="22"/>
  <c r="P784" i="22"/>
  <c r="Q830" i="22"/>
  <c r="T827" i="22"/>
  <c r="P785" i="22"/>
  <c r="T830" i="22"/>
  <c r="W816" i="22"/>
  <c r="P794" i="22"/>
  <c r="I299" i="23"/>
  <c r="B827" i="22"/>
  <c r="M772" i="22" l="1"/>
  <c r="N772" i="22" s="1"/>
  <c r="M770" i="22"/>
  <c r="N770" i="22" s="1"/>
  <c r="V770" i="22" s="1"/>
  <c r="M768" i="22"/>
  <c r="N768" i="22" s="1"/>
  <c r="V768" i="22" s="1"/>
  <c r="M766" i="22"/>
  <c r="N766" i="22" s="1"/>
  <c r="V766" i="22" s="1"/>
  <c r="M764" i="22"/>
  <c r="N764" i="22" s="1"/>
  <c r="M771" i="22"/>
  <c r="N771" i="22" s="1"/>
  <c r="V771" i="22" s="1"/>
  <c r="I827" i="22"/>
  <c r="X808" i="22"/>
  <c r="G785" i="22"/>
  <c r="R785" i="22"/>
  <c r="K785" i="22" s="1"/>
  <c r="G793" i="22"/>
  <c r="R793" i="22"/>
  <c r="K793" i="22" s="1"/>
  <c r="G786" i="22"/>
  <c r="R786" i="22"/>
  <c r="K786" i="22" s="1"/>
  <c r="G792" i="22"/>
  <c r="R792" i="22"/>
  <c r="K792" i="22" s="1"/>
  <c r="M792" i="22"/>
  <c r="N792" i="22" s="1"/>
  <c r="V792" i="22" s="1"/>
  <c r="R794" i="22"/>
  <c r="K794" i="22" s="1"/>
  <c r="G794" i="22"/>
  <c r="M794" i="22"/>
  <c r="N794" i="22" s="1"/>
  <c r="R790" i="22"/>
  <c r="K790" i="22" s="1"/>
  <c r="G790" i="22"/>
  <c r="R783" i="22"/>
  <c r="M783" i="22" s="1"/>
  <c r="N783" i="22" s="1"/>
  <c r="V783" i="22" s="1"/>
  <c r="G783" i="22"/>
  <c r="G796" i="22"/>
  <c r="R795" i="22"/>
  <c r="R788" i="22"/>
  <c r="K788" i="22" s="1"/>
  <c r="G788" i="22"/>
  <c r="G789" i="22"/>
  <c r="R789" i="22"/>
  <c r="K789" i="22" s="1"/>
  <c r="R784" i="22"/>
  <c r="K784" i="22" s="1"/>
  <c r="G784" i="22"/>
  <c r="G787" i="22"/>
  <c r="R787" i="22"/>
  <c r="K787" i="22" s="1"/>
  <c r="G791" i="22"/>
  <c r="R791" i="22"/>
  <c r="K791" i="22" s="1"/>
  <c r="M791" i="22"/>
  <c r="N791" i="22" s="1"/>
  <c r="V791" i="22" s="1"/>
  <c r="X815" i="22"/>
  <c r="W818" i="22"/>
  <c r="X805" i="22"/>
  <c r="X814" i="22"/>
  <c r="I828" i="22"/>
  <c r="X811" i="22"/>
  <c r="X810" i="22"/>
  <c r="X816" i="22"/>
  <c r="X809" i="22"/>
  <c r="X812" i="22"/>
  <c r="I830" i="22"/>
  <c r="I829" i="22"/>
  <c r="X813" i="22"/>
  <c r="X807" i="22"/>
  <c r="X806" i="22"/>
  <c r="M762" i="22"/>
  <c r="N762" i="22" s="1"/>
  <c r="V762" i="22" s="1"/>
  <c r="K773" i="22"/>
  <c r="M773" i="22"/>
  <c r="X796" i="22"/>
  <c r="K761" i="22"/>
  <c r="K774" i="22"/>
  <c r="M767" i="22"/>
  <c r="N767" i="22" s="1"/>
  <c r="V767" i="22" s="1"/>
  <c r="M765" i="22"/>
  <c r="N765" i="22" s="1"/>
  <c r="V765" i="22" s="1"/>
  <c r="P861" i="22"/>
  <c r="P851" i="22"/>
  <c r="M851" i="22" s="1"/>
  <c r="N851" i="22" s="1"/>
  <c r="P856" i="22"/>
  <c r="P860" i="22"/>
  <c r="P850" i="22"/>
  <c r="M850" i="22" s="1"/>
  <c r="N850" i="22" s="1"/>
  <c r="P857" i="22"/>
  <c r="P859" i="22"/>
  <c r="P849" i="22"/>
  <c r="P855" i="22"/>
  <c r="P853" i="22"/>
  <c r="M853" i="22" s="1"/>
  <c r="N853" i="22" s="1"/>
  <c r="P858" i="22"/>
  <c r="P852" i="22"/>
  <c r="P854" i="22"/>
  <c r="X831" i="22"/>
  <c r="I831" i="22"/>
  <c r="X859" i="22"/>
  <c r="R856" i="22"/>
  <c r="K853" i="22"/>
  <c r="X849" i="22"/>
  <c r="K861" i="22"/>
  <c r="W857" i="22"/>
  <c r="Q854" i="22"/>
  <c r="I851" i="22"/>
  <c r="L863" i="22"/>
  <c r="G856" i="22"/>
  <c r="V852" i="22"/>
  <c r="F860" i="22"/>
  <c r="F855" i="22"/>
  <c r="F850" i="22"/>
  <c r="S860" i="22"/>
  <c r="S855" i="22"/>
  <c r="S850" i="22"/>
  <c r="T860" i="22"/>
  <c r="T855" i="22"/>
  <c r="T850" i="22"/>
  <c r="X851" i="22"/>
  <c r="W859" i="22"/>
  <c r="V854" i="22"/>
  <c r="F853" i="22"/>
  <c r="G845" i="22"/>
  <c r="R859" i="22"/>
  <c r="K856" i="22"/>
  <c r="X852" i="22"/>
  <c r="R849" i="22"/>
  <c r="X860" i="22"/>
  <c r="Q857" i="22"/>
  <c r="I854" i="22"/>
  <c r="W850" i="22"/>
  <c r="E863" i="22"/>
  <c r="G859" i="22"/>
  <c r="V855" i="22"/>
  <c r="F849" i="22"/>
  <c r="U859" i="22"/>
  <c r="U854" i="22"/>
  <c r="U849" i="22"/>
  <c r="A860" i="22"/>
  <c r="A855" i="22"/>
  <c r="A850" i="22"/>
  <c r="B860" i="22"/>
  <c r="B855" i="22"/>
  <c r="B850" i="22"/>
  <c r="A863" i="22"/>
  <c r="I853" i="22"/>
  <c r="K845" i="22"/>
  <c r="T858" i="22"/>
  <c r="N863" i="22"/>
  <c r="K859" i="22"/>
  <c r="X855" i="22"/>
  <c r="R852" i="22"/>
  <c r="I849" i="22"/>
  <c r="Q860" i="22"/>
  <c r="I857" i="22"/>
  <c r="W853" i="22"/>
  <c r="Q850" i="22"/>
  <c r="W862" i="22"/>
  <c r="V858" i="22"/>
  <c r="G852" i="22"/>
  <c r="K847" i="22"/>
  <c r="F859" i="22"/>
  <c r="F854" i="22"/>
  <c r="B849" i="22"/>
  <c r="S859" i="22"/>
  <c r="S854" i="22"/>
  <c r="S849" i="22"/>
  <c r="T859" i="22"/>
  <c r="T854" i="22"/>
  <c r="T849" i="22"/>
  <c r="R858" i="22"/>
  <c r="Q856" i="22"/>
  <c r="G858" i="22"/>
  <c r="F858" i="22"/>
  <c r="S853" i="22"/>
  <c r="A849" i="22"/>
  <c r="H863" i="22"/>
  <c r="X858" i="22"/>
  <c r="R855" i="22"/>
  <c r="K852" i="22"/>
  <c r="N847" i="22"/>
  <c r="I860" i="22"/>
  <c r="W856" i="22"/>
  <c r="Q853" i="22"/>
  <c r="I850" i="22"/>
  <c r="F862" i="22"/>
  <c r="G855" i="22"/>
  <c r="V851" i="22"/>
  <c r="K863" i="22"/>
  <c r="U858" i="22"/>
  <c r="U853" i="22"/>
  <c r="I847" i="22"/>
  <c r="A859" i="22"/>
  <c r="A854" i="22"/>
  <c r="K849" i="22"/>
  <c r="B859" i="22"/>
  <c r="B854" i="22"/>
  <c r="M849" i="22"/>
  <c r="K860" i="22"/>
  <c r="X856" i="22"/>
  <c r="R853" i="22"/>
  <c r="K850" i="22"/>
  <c r="S861" i="22"/>
  <c r="I858" i="22"/>
  <c r="W854" i="22"/>
  <c r="Q851" i="22"/>
  <c r="D845" i="22"/>
  <c r="V859" i="22"/>
  <c r="G853" i="22"/>
  <c r="V849" i="22"/>
  <c r="U860" i="22"/>
  <c r="U855" i="22"/>
  <c r="U850" i="22"/>
  <c r="B861" i="22"/>
  <c r="A856" i="22"/>
  <c r="A851" i="22"/>
  <c r="F861" i="22"/>
  <c r="B856" i="22"/>
  <c r="B851" i="22"/>
  <c r="K855" i="22"/>
  <c r="B847" i="22"/>
  <c r="W849" i="22"/>
  <c r="R861" i="22"/>
  <c r="M861" i="22" s="1"/>
  <c r="D863" i="22"/>
  <c r="S858" i="22"/>
  <c r="T853" i="22"/>
  <c r="I862" i="22"/>
  <c r="K854" i="22"/>
  <c r="Q859" i="22"/>
  <c r="I852" i="22"/>
  <c r="V857" i="22"/>
  <c r="U852" i="22"/>
  <c r="A857" i="22"/>
  <c r="B858" i="22"/>
  <c r="A861" i="22"/>
  <c r="G857" i="22"/>
  <c r="U851" i="22"/>
  <c r="B857" i="22"/>
  <c r="R860" i="22"/>
  <c r="K851" i="22"/>
  <c r="Q858" i="22"/>
  <c r="G849" i="22"/>
  <c r="V856" i="22"/>
  <c r="A862" i="22"/>
  <c r="F851" i="22"/>
  <c r="S852" i="22"/>
  <c r="T856" i="22"/>
  <c r="I856" i="22"/>
  <c r="M847" i="22"/>
  <c r="A852" i="22"/>
  <c r="R850" i="22"/>
  <c r="I863" i="22"/>
  <c r="T852" i="22"/>
  <c r="I861" i="22"/>
  <c r="J863" i="22"/>
  <c r="I855" i="22"/>
  <c r="F857" i="22"/>
  <c r="T861" i="22"/>
  <c r="X853" i="22"/>
  <c r="I859" i="22"/>
  <c r="W851" i="22"/>
  <c r="G850" i="22"/>
  <c r="F852" i="22"/>
  <c r="S856" i="22"/>
  <c r="T857" i="22"/>
  <c r="R851" i="22"/>
  <c r="Q849" i="22"/>
  <c r="V862" i="22"/>
  <c r="A853" i="22"/>
  <c r="K858" i="22"/>
  <c r="A845" i="22"/>
  <c r="X857" i="22"/>
  <c r="G861" i="22"/>
  <c r="R857" i="22"/>
  <c r="V853" i="22"/>
  <c r="B852" i="22"/>
  <c r="G863" i="22"/>
  <c r="U861" i="22"/>
  <c r="W858" i="22"/>
  <c r="X850" i="22"/>
  <c r="Q861" i="22"/>
  <c r="B853" i="22"/>
  <c r="W855" i="22"/>
  <c r="G854" i="22"/>
  <c r="S851" i="22"/>
  <c r="M863" i="22"/>
  <c r="U857" i="22"/>
  <c r="W860" i="22"/>
  <c r="M862" i="22"/>
  <c r="R854" i="22"/>
  <c r="G862" i="22"/>
  <c r="Q852" i="22"/>
  <c r="G860" i="22"/>
  <c r="V850" i="22"/>
  <c r="F856" i="22"/>
  <c r="S857" i="22"/>
  <c r="F847" i="22"/>
  <c r="A847" i="22"/>
  <c r="Q855" i="22"/>
  <c r="K862" i="22"/>
  <c r="K857" i="22"/>
  <c r="T851" i="22"/>
  <c r="X854" i="22"/>
  <c r="X862" i="22"/>
  <c r="W852" i="22"/>
  <c r="G851" i="22"/>
  <c r="X861" i="22"/>
  <c r="U856" i="22"/>
  <c r="A858" i="22"/>
  <c r="G847" i="22"/>
  <c r="O853" i="22"/>
  <c r="O854" i="22" s="1"/>
  <c r="O855" i="22" s="1"/>
  <c r="O856" i="22" s="1"/>
  <c r="O857" i="22" s="1"/>
  <c r="O858" i="22" s="1"/>
  <c r="O859" i="22" s="1"/>
  <c r="O860" i="22" s="1"/>
  <c r="O861" i="22" s="1"/>
  <c r="O832" i="22"/>
  <c r="H269" i="22"/>
  <c r="F341" i="22"/>
  <c r="J287" i="23"/>
  <c r="M290" i="22"/>
  <c r="V280" i="22"/>
  <c r="V290" i="22" s="1"/>
  <c r="B291" i="22" s="1" a="1"/>
  <c r="B291" i="22" s="1"/>
  <c r="L291" i="22"/>
  <c r="E269" i="22"/>
  <c r="BD19" i="1"/>
  <c r="AY17" i="1"/>
  <c r="J299" i="23"/>
  <c r="P806" i="22"/>
  <c r="J269" i="22"/>
  <c r="C289" i="23"/>
  <c r="P807" i="22"/>
  <c r="W827" i="22"/>
  <c r="A832" i="22"/>
  <c r="P816" i="22"/>
  <c r="AX42" i="1"/>
  <c r="AW18" i="1"/>
  <c r="P810" i="22"/>
  <c r="P808" i="22"/>
  <c r="AV18" i="1"/>
  <c r="P805" i="22"/>
  <c r="B832" i="22"/>
  <c r="P817" i="22"/>
  <c r="P815" i="22"/>
  <c r="P811" i="22"/>
  <c r="I321" i="23"/>
  <c r="P812" i="22"/>
  <c r="B268" i="23"/>
  <c r="F268" i="23"/>
  <c r="N269" i="22"/>
  <c r="F267" i="23"/>
  <c r="P814" i="22"/>
  <c r="P809" i="22"/>
  <c r="F832" i="22"/>
  <c r="S832" i="22"/>
  <c r="W828" i="22"/>
  <c r="I245" i="23"/>
  <c r="W829" i="22"/>
  <c r="AX18" i="1"/>
  <c r="T832" i="22"/>
  <c r="W830" i="22"/>
  <c r="P813" i="22"/>
  <c r="U832" i="22"/>
  <c r="Q832" i="22"/>
  <c r="M787" i="22" l="1"/>
  <c r="N787" i="22" s="1"/>
  <c r="V787" i="22" s="1"/>
  <c r="M790" i="22"/>
  <c r="N790" i="22" s="1"/>
  <c r="V790" i="22" s="1"/>
  <c r="M786" i="22"/>
  <c r="N786" i="22" s="1"/>
  <c r="M793" i="22"/>
  <c r="N793" i="22" s="1"/>
  <c r="V793" i="22" s="1"/>
  <c r="M784" i="22"/>
  <c r="N784" i="22" s="1"/>
  <c r="V784" i="22" s="1"/>
  <c r="M859" i="22"/>
  <c r="N859" i="22" s="1"/>
  <c r="X828" i="22"/>
  <c r="X827" i="22"/>
  <c r="R817" i="22"/>
  <c r="R811" i="22"/>
  <c r="K811" i="22" s="1"/>
  <c r="G811" i="22"/>
  <c r="R808" i="22"/>
  <c r="K808" i="22" s="1"/>
  <c r="G808" i="22"/>
  <c r="R815" i="22"/>
  <c r="K815" i="22" s="1"/>
  <c r="G815" i="22"/>
  <c r="R807" i="22"/>
  <c r="K807" i="22" s="1"/>
  <c r="M807" i="22"/>
  <c r="N807" i="22" s="1"/>
  <c r="V807" i="22" s="1"/>
  <c r="G807" i="22"/>
  <c r="R806" i="22"/>
  <c r="K806" i="22" s="1"/>
  <c r="G806" i="22"/>
  <c r="G814" i="22"/>
  <c r="R814" i="22"/>
  <c r="K814" i="22" s="1"/>
  <c r="G813" i="22"/>
  <c r="R813" i="22"/>
  <c r="K813" i="22" s="1"/>
  <c r="M813" i="22"/>
  <c r="N813" i="22" s="1"/>
  <c r="V813" i="22" s="1"/>
  <c r="G809" i="22"/>
  <c r="R809" i="22"/>
  <c r="K809" i="22" s="1"/>
  <c r="G812" i="22"/>
  <c r="R812" i="22"/>
  <c r="K812" i="22" s="1"/>
  <c r="R805" i="22"/>
  <c r="M805" i="22" s="1"/>
  <c r="N805" i="22" s="1"/>
  <c r="V805" i="22" s="1"/>
  <c r="G805" i="22"/>
  <c r="G818" i="22"/>
  <c r="R816" i="22"/>
  <c r="K816" i="22" s="1"/>
  <c r="G816" i="22"/>
  <c r="M816" i="22"/>
  <c r="N816" i="22" s="1"/>
  <c r="R810" i="22"/>
  <c r="K810" i="22" s="1"/>
  <c r="G810" i="22"/>
  <c r="X830" i="22"/>
  <c r="X829" i="22"/>
  <c r="M788" i="22"/>
  <c r="N788" i="22" s="1"/>
  <c r="V788" i="22" s="1"/>
  <c r="M795" i="22"/>
  <c r="K795" i="22"/>
  <c r="X818" i="22"/>
  <c r="M785" i="22"/>
  <c r="N785" i="22" s="1"/>
  <c r="V785" i="22" s="1"/>
  <c r="M789" i="22"/>
  <c r="N789" i="22" s="1"/>
  <c r="V789" i="22" s="1"/>
  <c r="K783" i="22"/>
  <c r="K796" i="22"/>
  <c r="M852" i="22"/>
  <c r="N852" i="22" s="1"/>
  <c r="M857" i="22"/>
  <c r="N857" i="22" s="1"/>
  <c r="M860" i="22"/>
  <c r="N860" i="22" s="1"/>
  <c r="M858" i="22"/>
  <c r="N858" i="22" s="1"/>
  <c r="I832" i="22"/>
  <c r="M854" i="22"/>
  <c r="N854" i="22" s="1"/>
  <c r="N849" i="22"/>
  <c r="M855" i="22"/>
  <c r="N855" i="22" s="1"/>
  <c r="M856" i="22"/>
  <c r="N856" i="22" s="1"/>
  <c r="O833" i="22"/>
  <c r="H291" i="22"/>
  <c r="F363" i="22"/>
  <c r="J309" i="23"/>
  <c r="V302" i="22"/>
  <c r="V312" i="22" s="1"/>
  <c r="B313" i="22" s="1" a="1"/>
  <c r="B313" i="22" s="1"/>
  <c r="M312" i="22"/>
  <c r="L313" i="22"/>
  <c r="E291" i="22"/>
  <c r="BD20" i="1"/>
  <c r="AY18" i="1"/>
  <c r="W832" i="22"/>
  <c r="A833" i="22"/>
  <c r="N291" i="22"/>
  <c r="J291" i="22"/>
  <c r="F290" i="23"/>
  <c r="S833" i="22"/>
  <c r="AW19" i="1"/>
  <c r="AX19" i="1"/>
  <c r="J321" i="23"/>
  <c r="U833" i="22"/>
  <c r="F289" i="23"/>
  <c r="C311" i="23"/>
  <c r="F833" i="22"/>
  <c r="Q833" i="22"/>
  <c r="I343" i="23"/>
  <c r="B290" i="23"/>
  <c r="T833" i="22"/>
  <c r="AV19" i="1"/>
  <c r="B833" i="22"/>
  <c r="I267" i="23"/>
  <c r="M809" i="22" l="1"/>
  <c r="N809" i="22" s="1"/>
  <c r="V809" i="22" s="1"/>
  <c r="X832" i="22"/>
  <c r="M811" i="22"/>
  <c r="N811" i="22" s="1"/>
  <c r="V811" i="22" s="1"/>
  <c r="M806" i="22"/>
  <c r="N806" i="22" s="1"/>
  <c r="V806" i="22" s="1"/>
  <c r="M808" i="22"/>
  <c r="N808" i="22" s="1"/>
  <c r="M810" i="22"/>
  <c r="N810" i="22" s="1"/>
  <c r="V810" i="22" s="1"/>
  <c r="M812" i="22"/>
  <c r="N812" i="22" s="1"/>
  <c r="V812" i="22" s="1"/>
  <c r="K817" i="22"/>
  <c r="M817" i="22"/>
  <c r="K805" i="22"/>
  <c r="K818" i="22"/>
  <c r="M814" i="22"/>
  <c r="N814" i="22" s="1"/>
  <c r="V814" i="22" s="1"/>
  <c r="M815" i="22"/>
  <c r="N815" i="22" s="1"/>
  <c r="V815" i="22" s="1"/>
  <c r="I833" i="22"/>
  <c r="O834" i="22"/>
  <c r="B863" i="22" a="1"/>
  <c r="B863" i="22" s="1"/>
  <c r="H313" i="22"/>
  <c r="F385" i="22"/>
  <c r="J331" i="23"/>
  <c r="V324" i="22"/>
  <c r="V334" i="22" s="1"/>
  <c r="B335" i="22" s="1" a="1"/>
  <c r="B335" i="22" s="1"/>
  <c r="M334" i="22"/>
  <c r="L335" i="22"/>
  <c r="E313" i="22"/>
  <c r="BD21" i="1"/>
  <c r="AY19" i="1"/>
  <c r="U834" i="22"/>
  <c r="Q834" i="22"/>
  <c r="I365" i="23"/>
  <c r="W833" i="22"/>
  <c r="F311" i="23"/>
  <c r="AW20" i="1"/>
  <c r="AV20" i="1"/>
  <c r="C333" i="23"/>
  <c r="A834" i="22"/>
  <c r="F834" i="22"/>
  <c r="B312" i="23"/>
  <c r="N313" i="22"/>
  <c r="J343" i="23"/>
  <c r="I289" i="23"/>
  <c r="B834" i="22"/>
  <c r="F312" i="23"/>
  <c r="S834" i="22"/>
  <c r="W834" i="22" s="1"/>
  <c r="T834" i="22"/>
  <c r="J313" i="22"/>
  <c r="AX20" i="1"/>
  <c r="X833" i="22" l="1"/>
  <c r="X834" i="22"/>
  <c r="I834" i="22"/>
  <c r="O835" i="22"/>
  <c r="H335" i="22"/>
  <c r="F407" i="22"/>
  <c r="J353" i="23"/>
  <c r="V346" i="22"/>
  <c r="V356" i="22" s="1"/>
  <c r="B357" i="22" s="1" a="1"/>
  <c r="B357" i="22" s="1"/>
  <c r="M356" i="22"/>
  <c r="L357" i="22"/>
  <c r="E335" i="22"/>
  <c r="BD22" i="1"/>
  <c r="AY20" i="1"/>
  <c r="A835" i="22"/>
  <c r="S835" i="22"/>
  <c r="F333" i="23"/>
  <c r="AV21" i="1"/>
  <c r="I387" i="23"/>
  <c r="T835" i="22"/>
  <c r="B334" i="23"/>
  <c r="I311" i="23"/>
  <c r="F334" i="23"/>
  <c r="AX21" i="1"/>
  <c r="Q835" i="22"/>
  <c r="AW21" i="1"/>
  <c r="N335" i="22"/>
  <c r="J335" i="22"/>
  <c r="F835" i="22"/>
  <c r="U835" i="22"/>
  <c r="C355" i="23"/>
  <c r="B835" i="22"/>
  <c r="J365" i="23"/>
  <c r="I835" i="22" l="1"/>
  <c r="O836" i="22"/>
  <c r="H357" i="22"/>
  <c r="F429" i="22"/>
  <c r="J375" i="23"/>
  <c r="V368" i="22"/>
  <c r="V378" i="22" s="1"/>
  <c r="B379" i="22" s="1" a="1"/>
  <c r="B379" i="22" s="1"/>
  <c r="M378" i="22"/>
  <c r="L379" i="22"/>
  <c r="E357" i="22"/>
  <c r="BD23" i="1"/>
  <c r="AY21" i="1"/>
  <c r="W835" i="22"/>
  <c r="AV22" i="1"/>
  <c r="AW22" i="1"/>
  <c r="S836" i="22"/>
  <c r="F355" i="23"/>
  <c r="B356" i="23"/>
  <c r="F836" i="22"/>
  <c r="U836" i="22"/>
  <c r="B836" i="22"/>
  <c r="AX22" i="1"/>
  <c r="F356" i="23"/>
  <c r="N357" i="22"/>
  <c r="J387" i="23"/>
  <c r="A836" i="22"/>
  <c r="T836" i="22"/>
  <c r="I333" i="23"/>
  <c r="J357" i="22"/>
  <c r="I409" i="23"/>
  <c r="C377" i="23"/>
  <c r="Q836" i="22"/>
  <c r="X835" i="22" l="1"/>
  <c r="I836" i="22"/>
  <c r="O837" i="22"/>
  <c r="F451" i="22"/>
  <c r="J397" i="23"/>
  <c r="V390" i="22"/>
  <c r="V400" i="22" s="1"/>
  <c r="B401" i="22" s="1" a="1"/>
  <c r="B401" i="22" s="1"/>
  <c r="L401" i="22"/>
  <c r="M400" i="22"/>
  <c r="AY22" i="1"/>
  <c r="H379" i="22"/>
  <c r="E379" i="22"/>
  <c r="BD24" i="1"/>
  <c r="W836" i="22"/>
  <c r="I355" i="23"/>
  <c r="B837" i="22"/>
  <c r="C399" i="23"/>
  <c r="S837" i="22"/>
  <c r="U837" i="22"/>
  <c r="N379" i="22"/>
  <c r="F837" i="22"/>
  <c r="AW23" i="1"/>
  <c r="AX23" i="1"/>
  <c r="A837" i="22"/>
  <c r="B378" i="23"/>
  <c r="I431" i="23"/>
  <c r="Q837" i="22"/>
  <c r="J409" i="23"/>
  <c r="F378" i="23"/>
  <c r="T837" i="22"/>
  <c r="J379" i="22"/>
  <c r="F377" i="23"/>
  <c r="AV23" i="1"/>
  <c r="X836" i="22" l="1"/>
  <c r="I837" i="22"/>
  <c r="O838" i="22"/>
  <c r="F473" i="22"/>
  <c r="J419" i="23"/>
  <c r="V412" i="22"/>
  <c r="V422" i="22" s="1"/>
  <c r="B423" i="22" s="1" a="1"/>
  <c r="B423" i="22" s="1"/>
  <c r="M422" i="22"/>
  <c r="L423" i="22"/>
  <c r="AY23" i="1"/>
  <c r="H401" i="22"/>
  <c r="E401" i="22"/>
  <c r="BD25" i="1"/>
  <c r="W837" i="22"/>
  <c r="J431" i="23"/>
  <c r="A838" i="22"/>
  <c r="J401" i="22"/>
  <c r="F399" i="23"/>
  <c r="AW24" i="1"/>
  <c r="AV24" i="1"/>
  <c r="B400" i="23"/>
  <c r="S838" i="22"/>
  <c r="Q838" i="22"/>
  <c r="U838" i="22"/>
  <c r="T838" i="22"/>
  <c r="B838" i="22"/>
  <c r="F400" i="23"/>
  <c r="F838" i="22"/>
  <c r="N401" i="22"/>
  <c r="AX24" i="1"/>
  <c r="C421" i="23"/>
  <c r="I377" i="23"/>
  <c r="I453" i="23"/>
  <c r="X837" i="22" l="1"/>
  <c r="I838" i="22"/>
  <c r="F840" i="22"/>
  <c r="O839" i="22"/>
  <c r="F495" i="22"/>
  <c r="J441" i="23"/>
  <c r="V434" i="22"/>
  <c r="V444" i="22" s="1"/>
  <c r="B445" i="22" s="1" a="1"/>
  <c r="B445" i="22" s="1"/>
  <c r="M444" i="22"/>
  <c r="L445" i="22"/>
  <c r="AY24" i="1"/>
  <c r="E423" i="22"/>
  <c r="H423" i="22"/>
  <c r="BD26" i="1"/>
  <c r="W838" i="22"/>
  <c r="AW25" i="1"/>
  <c r="T839" i="22"/>
  <c r="J453" i="23"/>
  <c r="I475" i="23"/>
  <c r="U839" i="22"/>
  <c r="F839" i="22"/>
  <c r="F422" i="23"/>
  <c r="AV25" i="1"/>
  <c r="B839" i="22"/>
  <c r="S839" i="22"/>
  <c r="F421" i="23"/>
  <c r="AX25" i="1"/>
  <c r="C443" i="23"/>
  <c r="A839" i="22"/>
  <c r="I399" i="23"/>
  <c r="N423" i="22"/>
  <c r="B422" i="23"/>
  <c r="Q839" i="22"/>
  <c r="J423" i="22"/>
  <c r="X838" i="22" l="1"/>
  <c r="X840" i="22" s="1"/>
  <c r="W840" i="22"/>
  <c r="I839" i="22"/>
  <c r="I840" i="22"/>
  <c r="H445" i="22"/>
  <c r="F517" i="22"/>
  <c r="J463" i="23"/>
  <c r="V456" i="22"/>
  <c r="V466" i="22" s="1"/>
  <c r="B467" i="22" s="1" a="1"/>
  <c r="B467" i="22" s="1"/>
  <c r="L467" i="22"/>
  <c r="M466" i="22"/>
  <c r="E445" i="22"/>
  <c r="AY25" i="1"/>
  <c r="BD27" i="1"/>
  <c r="N445" i="22"/>
  <c r="F443" i="23"/>
  <c r="I421" i="23"/>
  <c r="J475" i="23"/>
  <c r="P834" i="22"/>
  <c r="P829" i="22"/>
  <c r="P827" i="22"/>
  <c r="P828" i="22"/>
  <c r="P832" i="22"/>
  <c r="P837" i="22"/>
  <c r="P833" i="22"/>
  <c r="P835" i="22"/>
  <c r="P836" i="22"/>
  <c r="P831" i="22"/>
  <c r="P830" i="22"/>
  <c r="P839" i="22"/>
  <c r="AX43" i="1"/>
  <c r="P838" i="22"/>
  <c r="C465" i="23"/>
  <c r="B444" i="23"/>
  <c r="AV26" i="1"/>
  <c r="F444" i="23"/>
  <c r="J445" i="22"/>
  <c r="AW26" i="1"/>
  <c r="AX26" i="1"/>
  <c r="I497" i="23"/>
  <c r="R838" i="22" l="1"/>
  <c r="K838" i="22" s="1"/>
  <c r="G838" i="22"/>
  <c r="R839" i="22"/>
  <c r="K839" i="22" s="1"/>
  <c r="G830" i="22"/>
  <c r="R830" i="22"/>
  <c r="K830" i="22" s="1"/>
  <c r="M830" i="22"/>
  <c r="N830" i="22" s="1"/>
  <c r="R831" i="22"/>
  <c r="K831" i="22" s="1"/>
  <c r="G831" i="22"/>
  <c r="G836" i="22"/>
  <c r="R836" i="22"/>
  <c r="K836" i="22" s="1"/>
  <c r="G835" i="22"/>
  <c r="R835" i="22"/>
  <c r="K835" i="22" s="1"/>
  <c r="G833" i="22"/>
  <c r="R833" i="22"/>
  <c r="K833" i="22" s="1"/>
  <c r="R837" i="22"/>
  <c r="K837" i="22" s="1"/>
  <c r="G837" i="22"/>
  <c r="R832" i="22"/>
  <c r="K832" i="22" s="1"/>
  <c r="G832" i="22"/>
  <c r="G828" i="22"/>
  <c r="R828" i="22"/>
  <c r="K828" i="22" s="1"/>
  <c r="G840" i="22"/>
  <c r="R827" i="22"/>
  <c r="K827" i="22" s="1"/>
  <c r="G827" i="22"/>
  <c r="R829" i="22"/>
  <c r="K829" i="22" s="1"/>
  <c r="G829" i="22"/>
  <c r="R834" i="22"/>
  <c r="K834" i="22" s="1"/>
  <c r="G834" i="22"/>
  <c r="M831" i="22"/>
  <c r="N831" i="22" s="1"/>
  <c r="V831" i="22" s="1"/>
  <c r="M835" i="22"/>
  <c r="N835" i="22" s="1"/>
  <c r="V835" i="22" s="1"/>
  <c r="M836" i="22"/>
  <c r="N836" i="22" s="1"/>
  <c r="V836" i="22" s="1"/>
  <c r="M838" i="22"/>
  <c r="N838" i="22" s="1"/>
  <c r="M827" i="22"/>
  <c r="N827" i="22" s="1"/>
  <c r="V827" i="22" s="1"/>
  <c r="M839" i="22"/>
  <c r="F539" i="22"/>
  <c r="J485" i="23"/>
  <c r="V478" i="22"/>
  <c r="V488" i="22" s="1"/>
  <c r="B489" i="22" s="1" a="1"/>
  <c r="B489" i="22" s="1"/>
  <c r="L489" i="22"/>
  <c r="M488" i="22"/>
  <c r="AY26" i="1"/>
  <c r="H467" i="22"/>
  <c r="E467" i="22"/>
  <c r="BD28" i="1"/>
  <c r="AV27" i="1"/>
  <c r="AX27" i="1"/>
  <c r="N467" i="22"/>
  <c r="I443" i="23"/>
  <c r="C487" i="23"/>
  <c r="I519" i="23"/>
  <c r="J497" i="23"/>
  <c r="AW27" i="1"/>
  <c r="F465" i="23"/>
  <c r="B466" i="23"/>
  <c r="J467" i="22"/>
  <c r="F466" i="23"/>
  <c r="M828" i="22" l="1"/>
  <c r="N828" i="22" s="1"/>
  <c r="V828" i="22" s="1"/>
  <c r="K840" i="22"/>
  <c r="M832" i="22"/>
  <c r="N832" i="22" s="1"/>
  <c r="V832" i="22" s="1"/>
  <c r="M834" i="22"/>
  <c r="N834" i="22" s="1"/>
  <c r="V834" i="22" s="1"/>
  <c r="M837" i="22"/>
  <c r="N837" i="22" s="1"/>
  <c r="V837" i="22" s="1"/>
  <c r="M833" i="22"/>
  <c r="N833" i="22" s="1"/>
  <c r="V833" i="22" s="1"/>
  <c r="M829" i="22"/>
  <c r="N829" i="22" s="1"/>
  <c r="V829" i="22" s="1"/>
  <c r="F561" i="22"/>
  <c r="J507" i="23"/>
  <c r="V500" i="22"/>
  <c r="V510" i="22" s="1"/>
  <c r="B511" i="22" s="1" a="1"/>
  <c r="B511" i="22" s="1"/>
  <c r="L511" i="22"/>
  <c r="M510" i="22"/>
  <c r="AY27" i="1"/>
  <c r="H489" i="22"/>
  <c r="E489" i="22"/>
  <c r="BD29" i="1"/>
  <c r="I465" i="23"/>
  <c r="J489" i="22"/>
  <c r="AV28" i="1"/>
  <c r="J541" i="23"/>
  <c r="AX28" i="1"/>
  <c r="C509" i="23"/>
  <c r="J519" i="23"/>
  <c r="F488" i="23"/>
  <c r="B488" i="23"/>
  <c r="I541" i="23"/>
  <c r="N489" i="22"/>
  <c r="F487" i="23"/>
  <c r="AW28" i="1"/>
  <c r="H511" i="22" l="1"/>
  <c r="F583" i="22"/>
  <c r="J551" i="23"/>
  <c r="V544" i="22"/>
  <c r="V554" i="22" s="1"/>
  <c r="B555" i="22" s="1" a="1"/>
  <c r="B555" i="22" s="1"/>
  <c r="M554" i="22"/>
  <c r="L555" i="22"/>
  <c r="J529" i="23"/>
  <c r="V522" i="22"/>
  <c r="V532" i="22" s="1"/>
  <c r="B533" i="22" s="1" a="1"/>
  <c r="B533" i="22" s="1"/>
  <c r="M532" i="22"/>
  <c r="L533" i="22"/>
  <c r="E511" i="22"/>
  <c r="AY28" i="1"/>
  <c r="BD30" i="1"/>
  <c r="N511" i="22"/>
  <c r="J511" i="22"/>
  <c r="AV30" i="1"/>
  <c r="F510" i="23"/>
  <c r="AV29" i="1"/>
  <c r="C553" i="23"/>
  <c r="B510" i="23"/>
  <c r="C531" i="23"/>
  <c r="I487" i="23"/>
  <c r="AW30" i="1"/>
  <c r="I563" i="23"/>
  <c r="F509" i="23"/>
  <c r="AW29" i="1"/>
  <c r="AX29" i="1"/>
  <c r="H555" i="22" l="1"/>
  <c r="F605" i="22"/>
  <c r="F627" i="22" s="1"/>
  <c r="E555" i="22"/>
  <c r="AY29" i="1"/>
  <c r="H533" i="22"/>
  <c r="E533" i="22"/>
  <c r="BD31" i="1"/>
  <c r="AY30" i="1"/>
  <c r="F532" i="23"/>
  <c r="J555" i="22"/>
  <c r="AX30" i="1"/>
  <c r="F554" i="23"/>
  <c r="I509" i="23"/>
  <c r="B532" i="23"/>
  <c r="B554" i="23"/>
  <c r="I585" i="23"/>
  <c r="J585" i="23"/>
  <c r="N533" i="22"/>
  <c r="J563" i="23"/>
  <c r="F531" i="23"/>
  <c r="N555" i="22"/>
  <c r="F553" i="23"/>
  <c r="J533" i="22"/>
  <c r="F649" i="22" l="1"/>
  <c r="J573" i="23"/>
  <c r="J595" i="23"/>
  <c r="M576" i="22"/>
  <c r="L577" i="22"/>
  <c r="V566" i="22"/>
  <c r="V576" i="22" s="1"/>
  <c r="L599" i="22"/>
  <c r="V588" i="22"/>
  <c r="V598" i="22" s="1"/>
  <c r="M598" i="22"/>
  <c r="BD32" i="1"/>
  <c r="AW32" i="1"/>
  <c r="I531" i="23"/>
  <c r="B15" i="22"/>
  <c r="C597" i="23"/>
  <c r="AW31" i="1"/>
  <c r="I553" i="23"/>
  <c r="C575" i="23"/>
  <c r="AV31" i="1"/>
  <c r="A15" i="22"/>
  <c r="AV32" i="1"/>
  <c r="F15" i="22"/>
  <c r="F671" i="22" l="1"/>
  <c r="V632" i="22"/>
  <c r="V642" i="22" s="1"/>
  <c r="M642" i="22"/>
  <c r="L643" i="22"/>
  <c r="V610" i="22"/>
  <c r="V620" i="22" s="1"/>
  <c r="L621" i="22"/>
  <c r="M620" i="22"/>
  <c r="AY31" i="1"/>
  <c r="AY32" i="1"/>
  <c r="H577" i="22"/>
  <c r="H599" i="22"/>
  <c r="B577" i="22" a="1"/>
  <c r="B577" i="22" s="1"/>
  <c r="E577" i="22"/>
  <c r="B599" i="22" a="1"/>
  <c r="B599" i="22" s="1"/>
  <c r="E599" i="22"/>
  <c r="X15" i="22"/>
  <c r="I15" i="22"/>
  <c r="N577" i="22"/>
  <c r="H12" i="23"/>
  <c r="H34" i="23"/>
  <c r="AV34" i="1"/>
  <c r="F598" i="23"/>
  <c r="B16" i="22"/>
  <c r="F16" i="22"/>
  <c r="A12" i="23"/>
  <c r="B598" i="23"/>
  <c r="F575" i="23"/>
  <c r="A16" i="22"/>
  <c r="J577" i="22"/>
  <c r="AW34" i="1"/>
  <c r="C12" i="23"/>
  <c r="B576" i="23"/>
  <c r="F576" i="23"/>
  <c r="C34" i="23"/>
  <c r="N599" i="22"/>
  <c r="F597" i="23"/>
  <c r="AW33" i="1"/>
  <c r="AV33" i="1"/>
  <c r="A34" i="23"/>
  <c r="H643" i="22" l="1"/>
  <c r="F693" i="22"/>
  <c r="V654" i="22"/>
  <c r="V664" i="22" s="1"/>
  <c r="M664" i="22"/>
  <c r="L665" i="22"/>
  <c r="E643" i="22"/>
  <c r="B643" i="22" a="1"/>
  <c r="B643" i="22" s="1"/>
  <c r="AY33" i="1"/>
  <c r="H621" i="22"/>
  <c r="E621" i="22"/>
  <c r="B621" i="22" a="1"/>
  <c r="B621" i="22" s="1"/>
  <c r="X16" i="22"/>
  <c r="I16" i="22"/>
  <c r="N621" i="22"/>
  <c r="B17" i="22"/>
  <c r="J599" i="22"/>
  <c r="C13" i="23"/>
  <c r="AV35" i="1"/>
  <c r="N643" i="22"/>
  <c r="A13" i="23"/>
  <c r="C35" i="23"/>
  <c r="F17" i="22"/>
  <c r="I575" i="23"/>
  <c r="AW35" i="1"/>
  <c r="J621" i="22"/>
  <c r="A35" i="23"/>
  <c r="A17" i="22"/>
  <c r="H13" i="23"/>
  <c r="H35" i="23"/>
  <c r="F715" i="22" l="1"/>
  <c r="V676" i="22"/>
  <c r="V686" i="22" s="1"/>
  <c r="M686" i="22"/>
  <c r="L687" i="22"/>
  <c r="AY35" i="1"/>
  <c r="H665" i="22"/>
  <c r="E665" i="22"/>
  <c r="B665" i="22" a="1"/>
  <c r="B665" i="22" s="1"/>
  <c r="AY34" i="1"/>
  <c r="X17" i="22"/>
  <c r="I17" i="22"/>
  <c r="N665" i="22"/>
  <c r="AW36" i="1"/>
  <c r="F18" i="22"/>
  <c r="A18" i="22"/>
  <c r="A14" i="23"/>
  <c r="C14" i="23"/>
  <c r="J643" i="22"/>
  <c r="I597" i="23"/>
  <c r="B18" i="22"/>
  <c r="H14" i="23"/>
  <c r="AV36" i="1"/>
  <c r="A36" i="23"/>
  <c r="J665" i="22"/>
  <c r="H36" i="23"/>
  <c r="C36" i="23"/>
  <c r="F737" i="22" l="1"/>
  <c r="V698" i="22"/>
  <c r="V708" i="22" s="1"/>
  <c r="M708" i="22"/>
  <c r="L709" i="22"/>
  <c r="AY36" i="1"/>
  <c r="H687" i="22"/>
  <c r="E687" i="22"/>
  <c r="B687" i="22" a="1"/>
  <c r="B687" i="22" s="1"/>
  <c r="X18" i="22"/>
  <c r="I18" i="22"/>
  <c r="O19" i="22"/>
  <c r="A37" i="23"/>
  <c r="T19" i="22"/>
  <c r="C15" i="23"/>
  <c r="S19" i="22"/>
  <c r="C37" i="23"/>
  <c r="J687" i="22"/>
  <c r="Q19" i="22"/>
  <c r="N687" i="22"/>
  <c r="H37" i="23"/>
  <c r="A19" i="22"/>
  <c r="AW37" i="1"/>
  <c r="N709" i="22"/>
  <c r="A15" i="23"/>
  <c r="H15" i="23"/>
  <c r="U19" i="22"/>
  <c r="B19" i="22"/>
  <c r="AV37" i="1"/>
  <c r="F19" i="22"/>
  <c r="F759" i="22" l="1"/>
  <c r="V720" i="22"/>
  <c r="V730" i="22" s="1"/>
  <c r="L731" i="22"/>
  <c r="M730" i="22"/>
  <c r="AY37" i="1"/>
  <c r="H709" i="22"/>
  <c r="E709" i="22"/>
  <c r="B709" i="22" a="1"/>
  <c r="B709" i="22" s="1"/>
  <c r="I19" i="22"/>
  <c r="O20" i="22"/>
  <c r="T20" i="22"/>
  <c r="A38" i="23"/>
  <c r="C16" i="23"/>
  <c r="S20" i="22"/>
  <c r="AV38" i="1"/>
  <c r="C38" i="23"/>
  <c r="H38" i="23"/>
  <c r="J709" i="22"/>
  <c r="W19" i="22"/>
  <c r="B20" i="22"/>
  <c r="A16" i="23"/>
  <c r="H16" i="23"/>
  <c r="AW38" i="1"/>
  <c r="N731" i="22" s="1"/>
  <c r="Q20" i="22"/>
  <c r="F20" i="22"/>
  <c r="U20" i="22"/>
  <c r="A20" i="22"/>
  <c r="F781" i="22" l="1"/>
  <c r="V742" i="22"/>
  <c r="V752" i="22" s="1"/>
  <c r="L753" i="22"/>
  <c r="M752" i="22"/>
  <c r="AY38" i="1"/>
  <c r="H731" i="22"/>
  <c r="E731" i="22"/>
  <c r="B731" i="22" a="1"/>
  <c r="B731" i="22" s="1"/>
  <c r="X19" i="22"/>
  <c r="I20" i="22"/>
  <c r="O21" i="22"/>
  <c r="H39" i="23"/>
  <c r="Q21" i="22"/>
  <c r="AW39" i="1"/>
  <c r="A39" i="23"/>
  <c r="A21" i="22"/>
  <c r="C17" i="23"/>
  <c r="F21" i="22"/>
  <c r="T21" i="22"/>
  <c r="A17" i="23"/>
  <c r="S21" i="22"/>
  <c r="AV39" i="1"/>
  <c r="C39" i="23"/>
  <c r="U21" i="22"/>
  <c r="H17" i="23"/>
  <c r="W20" i="22"/>
  <c r="B21" i="22"/>
  <c r="J731" i="22"/>
  <c r="F803" i="22" l="1"/>
  <c r="V764" i="22"/>
  <c r="V774" i="22" s="1"/>
  <c r="L775" i="22"/>
  <c r="M774" i="22"/>
  <c r="AY39" i="1"/>
  <c r="H753" i="22"/>
  <c r="E753" i="22"/>
  <c r="B753" i="22" a="1"/>
  <c r="B753" i="22" s="1"/>
  <c r="X20" i="22"/>
  <c r="I21" i="22"/>
  <c r="O22" i="22"/>
  <c r="N753" i="22"/>
  <c r="F22" i="22"/>
  <c r="C41" i="23"/>
  <c r="A22" i="22"/>
  <c r="S22" i="22"/>
  <c r="U22" i="22"/>
  <c r="Q22" i="22"/>
  <c r="H18" i="23"/>
  <c r="J753" i="22"/>
  <c r="A18" i="23"/>
  <c r="A40" i="23"/>
  <c r="AV40" i="1"/>
  <c r="W21" i="22"/>
  <c r="C40" i="23"/>
  <c r="AW40" i="1"/>
  <c r="C18" i="23"/>
  <c r="H40" i="23"/>
  <c r="N775" i="22"/>
  <c r="B22" i="22"/>
  <c r="H41" i="23"/>
  <c r="T22" i="22"/>
  <c r="F825" i="22" l="1"/>
  <c r="V786" i="22"/>
  <c r="V796" i="22" s="1"/>
  <c r="L797" i="22"/>
  <c r="M796" i="22"/>
  <c r="AY40" i="1"/>
  <c r="H775" i="22"/>
  <c r="E775" i="22"/>
  <c r="B775" i="22" a="1"/>
  <c r="B775" i="22" s="1"/>
  <c r="X21" i="22"/>
  <c r="O23" i="22"/>
  <c r="I22" i="22"/>
  <c r="S23" i="22"/>
  <c r="C19" i="23"/>
  <c r="H42" i="23"/>
  <c r="F23" i="22"/>
  <c r="J775" i="22"/>
  <c r="AW41" i="1"/>
  <c r="N797" i="22" s="1"/>
  <c r="W22" i="22"/>
  <c r="B23" i="22"/>
  <c r="A41" i="23"/>
  <c r="C42" i="23"/>
  <c r="A23" i="22"/>
  <c r="T23" i="22"/>
  <c r="H19" i="23"/>
  <c r="A42" i="23"/>
  <c r="U23" i="22"/>
  <c r="AV41" i="1"/>
  <c r="Q23" i="22"/>
  <c r="A19" i="23"/>
  <c r="V808" i="22" l="1"/>
  <c r="V818" i="22" s="1"/>
  <c r="M818" i="22"/>
  <c r="L819" i="22"/>
  <c r="AY41" i="1"/>
  <c r="H797" i="22"/>
  <c r="E797" i="22"/>
  <c r="B797" i="22" a="1"/>
  <c r="B797" i="22" s="1"/>
  <c r="X22" i="22"/>
  <c r="I23" i="22"/>
  <c r="O24" i="22"/>
  <c r="Q24" i="22"/>
  <c r="T24" i="22"/>
  <c r="AV42" i="1"/>
  <c r="AW42" i="1"/>
  <c r="N819" i="22" s="1"/>
  <c r="H43" i="23"/>
  <c r="J797" i="22"/>
  <c r="C20" i="23"/>
  <c r="W23" i="22"/>
  <c r="A20" i="23"/>
  <c r="A24" i="22"/>
  <c r="H20" i="23"/>
  <c r="F24" i="22"/>
  <c r="U24" i="22"/>
  <c r="B24" i="22"/>
  <c r="C43" i="23"/>
  <c r="S24" i="22"/>
  <c r="A43" i="23"/>
  <c r="V830" i="22" l="1"/>
  <c r="V840" i="22" s="1"/>
  <c r="M840" i="22"/>
  <c r="L841" i="22"/>
  <c r="AY42" i="1"/>
  <c r="H819" i="22"/>
  <c r="E819" i="22"/>
  <c r="B819" i="22" a="1"/>
  <c r="B819" i="22" s="1"/>
  <c r="X23" i="22"/>
  <c r="I24" i="22"/>
  <c r="O25" i="22"/>
  <c r="A25" i="22"/>
  <c r="S25" i="22"/>
  <c r="U25" i="22"/>
  <c r="J819" i="22"/>
  <c r="C21" i="23"/>
  <c r="W24" i="22"/>
  <c r="AV43" i="1"/>
  <c r="A21" i="23"/>
  <c r="F25" i="22"/>
  <c r="B25" i="22"/>
  <c r="H44" i="23"/>
  <c r="C44" i="23"/>
  <c r="T25" i="22"/>
  <c r="A44" i="23"/>
  <c r="H21" i="23"/>
  <c r="AW43" i="1"/>
  <c r="AY43" i="1" l="1"/>
  <c r="E841" i="22"/>
  <c r="B841" i="22" a="1"/>
  <c r="B841" i="22" s="1"/>
  <c r="H841" i="22"/>
  <c r="X24" i="22"/>
  <c r="H45" i="23"/>
  <c r="X25" i="22"/>
  <c r="W26" i="22"/>
  <c r="F26" i="22"/>
  <c r="I26" i="22"/>
  <c r="N841" i="22"/>
  <c r="P23" i="22"/>
  <c r="P22" i="22"/>
  <c r="P16" i="22"/>
  <c r="AX6" i="1"/>
  <c r="H22" i="23"/>
  <c r="P19" i="22"/>
  <c r="A22" i="23"/>
  <c r="P18" i="22"/>
  <c r="P15" i="22"/>
  <c r="P24" i="22"/>
  <c r="P17" i="22"/>
  <c r="P20" i="22"/>
  <c r="P21" i="22"/>
  <c r="P13" i="22"/>
  <c r="P14" i="22"/>
  <c r="C22" i="23"/>
  <c r="J841" i="22"/>
  <c r="P25" i="22"/>
  <c r="R15" i="22" l="1"/>
  <c r="M15" i="22" s="1"/>
  <c r="N15" i="22" s="1"/>
  <c r="R14" i="22"/>
  <c r="M14" i="22" s="1"/>
  <c r="N14" i="22" s="1"/>
  <c r="R13" i="22"/>
  <c r="M13" i="22" s="1"/>
  <c r="N13" i="22" s="1"/>
  <c r="R16" i="22"/>
  <c r="M16" i="22" s="1"/>
  <c r="N16" i="22" s="1"/>
  <c r="R17" i="22"/>
  <c r="M17" i="22" s="1"/>
  <c r="N17" i="22" s="1"/>
  <c r="R18" i="22"/>
  <c r="M18" i="22" s="1"/>
  <c r="N18" i="22" s="1"/>
  <c r="R19" i="22"/>
  <c r="M19" i="22" s="1"/>
  <c r="N19" i="22" s="1"/>
  <c r="R20" i="22"/>
  <c r="M20" i="22" s="1"/>
  <c r="N20" i="22" s="1"/>
  <c r="R21" i="22"/>
  <c r="M21" i="22" s="1"/>
  <c r="N21" i="22" s="1"/>
  <c r="R22" i="22"/>
  <c r="M22" i="22" s="1"/>
  <c r="N22" i="22" s="1"/>
  <c r="R23" i="22"/>
  <c r="M23" i="22" s="1"/>
  <c r="N23" i="22" s="1"/>
  <c r="R24" i="22"/>
  <c r="M24" i="22" s="1"/>
  <c r="N24" i="22" s="1"/>
  <c r="H23" i="23"/>
  <c r="X26" i="22"/>
  <c r="G23" i="22"/>
  <c r="G24" i="22"/>
  <c r="K24" i="22"/>
  <c r="G22" i="22"/>
  <c r="G18" i="22"/>
  <c r="G15" i="22"/>
  <c r="G17" i="22"/>
  <c r="G14" i="22"/>
  <c r="G20" i="22"/>
  <c r="G16" i="22"/>
  <c r="G26" i="22"/>
  <c r="G13" i="22"/>
  <c r="G19" i="22"/>
  <c r="G21" i="22"/>
  <c r="I32" i="23"/>
  <c r="I20" i="23"/>
  <c r="I39" i="23"/>
  <c r="I41" i="23"/>
  <c r="I33" i="23"/>
  <c r="I38" i="23"/>
  <c r="I19" i="23"/>
  <c r="I36" i="23"/>
  <c r="I34" i="23"/>
  <c r="I37" i="23"/>
  <c r="I42" i="23"/>
  <c r="I35" i="23"/>
  <c r="I40" i="23"/>
  <c r="M26" i="22" l="1"/>
  <c r="K23" i="22"/>
  <c r="K15" i="22"/>
  <c r="K18" i="22"/>
  <c r="K22" i="22"/>
  <c r="K20" i="22"/>
  <c r="K14" i="22"/>
  <c r="K16" i="22"/>
  <c r="K17" i="22"/>
  <c r="K21" i="22"/>
  <c r="K19" i="22"/>
  <c r="K13" i="22"/>
  <c r="K26" i="22"/>
  <c r="I43" i="23"/>
  <c r="I13" i="23"/>
  <c r="I18" i="23"/>
  <c r="I44" i="23"/>
  <c r="I14" i="23"/>
  <c r="I17" i="23"/>
  <c r="I10" i="23"/>
  <c r="J42" i="23"/>
  <c r="J20" i="23"/>
  <c r="I12" i="23"/>
  <c r="I15" i="23"/>
  <c r="I21" i="23"/>
  <c r="I11" i="23"/>
  <c r="I16" i="23"/>
  <c r="V23" i="22" l="1"/>
  <c r="J19" i="23"/>
  <c r="J34" i="23"/>
  <c r="J10" i="23"/>
  <c r="J12" i="23"/>
  <c r="J43" i="23"/>
  <c r="J33" i="23"/>
  <c r="J37" i="23"/>
  <c r="J21" i="23"/>
  <c r="J15" i="23"/>
  <c r="J18" i="23"/>
  <c r="J14" i="23"/>
  <c r="J11" i="23"/>
  <c r="J32" i="23"/>
  <c r="J17" i="23"/>
  <c r="J35" i="23"/>
  <c r="J41" i="23"/>
  <c r="J13" i="23"/>
  <c r="J40" i="23"/>
  <c r="J36" i="23"/>
  <c r="J16" i="23"/>
  <c r="J39" i="23"/>
  <c r="J38" i="23"/>
  <c r="V19" i="22" l="1"/>
  <c r="V17" i="22"/>
  <c r="V20" i="22"/>
  <c r="V22" i="22"/>
  <c r="V13" i="22"/>
  <c r="V18" i="22"/>
  <c r="V15" i="22"/>
  <c r="V21" i="22"/>
  <c r="V16" i="22"/>
  <c r="V14" i="22"/>
  <c r="J45" i="23"/>
  <c r="L27" i="22"/>
  <c r="J23" i="23"/>
  <c r="C25" i="23"/>
  <c r="AV6" i="1"/>
  <c r="C47" i="23"/>
  <c r="AW6" i="1"/>
  <c r="V26" i="22" l="1"/>
  <c r="B27" i="22" s="1" a="1"/>
  <c r="B27" i="22" s="1"/>
  <c r="AY6" i="1"/>
  <c r="H27" i="22"/>
  <c r="N27" i="22"/>
  <c r="I47" i="23"/>
  <c r="J27" i="22"/>
  <c r="F47" i="23"/>
  <c r="Q25" i="22"/>
  <c r="F25" i="23"/>
  <c r="F48" i="23"/>
  <c r="E27" i="22" l="1"/>
  <c r="R25" i="22"/>
  <c r="M25" i="22" s="1"/>
  <c r="I25" i="22"/>
  <c r="I25" i="23"/>
  <c r="B48" i="23"/>
  <c r="F26" i="23"/>
  <c r="B26" i="23"/>
  <c r="I22" i="23"/>
  <c r="K25" i="2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<sst xmlns="http://schemas.openxmlformats.org/spreadsheetml/2006/main" count="705" uniqueCount="206">
  <si>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</si>
  <si>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</si>
  <si>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</si>
  <si>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</si>
  <si>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</si>
  <si>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</si>
  <si>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</si>
  <si>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</si>
  <si>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</si>
  <si>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</si>
  <si>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</si>
  <si>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</si>
  <si>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</si>
  <si>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</si>
  <si>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</si>
  <si>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</si>
  <si>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</si>
  <si>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</si>
  <si>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</si>
  <si>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</si>
  <si>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</si>
  <si>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</si>
  <si>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</si>
  <si>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</si>
  <si>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</si>
  <si>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</si>
  <si>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</si>
  <si>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</si>
  <si>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</si>
  <si>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</si>
  <si>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</si>
  <si>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</si>
  <si>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</si>
  <si>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</si>
  <si>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</si>
  <si>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</si>
  <si>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</si>
  <si>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</si>
  <si>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</si>
  <si>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</si>
  <si>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</si>
  <si>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</si>
  <si>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</si>
  <si>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</si>
  <si>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</si>
  <si>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</si>
  <si>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</si>
  <si>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</si>
  <si>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</si>
  <si>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</si>
  <si>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</si>
  <si>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</si>
  <si>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</si>
  <si>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</si>
  <si>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</si>
  <si>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</si>
  <si>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</si>
  <si>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</si>
  <si>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</si>
  <si>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</si>
  <si>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</si>
  <si>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AHT 000</t>
  </si>
  <si>
    <t>BTT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</si>
  <si>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</si>
  <si>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</si>
  <si>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</si>
  <si>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</si>
  <si>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</si>
  <si>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</si>
  <si>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</si>
  <si>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</si>
  <si>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</si>
  <si>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Basic Mathematics (Bridge Course) ($)</t>
  </si>
  <si>
    <t>Biology for Engineers (Bridge Course) ($)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</si>
  <si>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</si>
  <si>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</si>
  <si>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</si>
  <si>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</si>
  <si>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</si>
  <si>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</si>
  <si>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</si>
  <si>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</si>
  <si>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</si>
  <si>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</si>
  <si>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D</t>
  </si>
  <si>
    <t>Govind Ballabh Pant Institute of Engineering and Technology</t>
  </si>
  <si>
    <t>C+</t>
  </si>
  <si>
    <t>D+</t>
  </si>
  <si>
    <t>E+</t>
  </si>
  <si>
    <t>E</t>
  </si>
  <si>
    <t>Tabulation Chart for Bachelor of Technology
Biotechnology
I Semester December 2025</t>
  </si>
  <si>
    <t>Bachelor of Technology 
Biotechnology
I Semester December 2025</t>
  </si>
  <si>
    <t>PUTU/2501103679</t>
  </si>
  <si>
    <t>AASHRIYA BISHT</t>
  </si>
  <si>
    <t>NARENDRA SINGH BISHT</t>
  </si>
  <si>
    <t>UTU/2501103983</t>
  </si>
  <si>
    <t>AKANSHA</t>
  </si>
  <si>
    <t>BIRENDRA SINGH RAWAT</t>
  </si>
  <si>
    <t>UTU/2501104245</t>
  </si>
  <si>
    <t>AKSHITA TOMAR</t>
  </si>
  <si>
    <t>RAVINDRA TOMAR</t>
  </si>
  <si>
    <t>UTU/2501104042</t>
  </si>
  <si>
    <t>ANSHIKA SHARMA</t>
  </si>
  <si>
    <t>SANJ EEV SHARMA</t>
  </si>
  <si>
    <t>UTU/2501104203</t>
  </si>
  <si>
    <t>ANUBHAV KESTWAL</t>
  </si>
  <si>
    <t>SANJAY KESTWAL</t>
  </si>
  <si>
    <t>UTU/2501103854</t>
  </si>
  <si>
    <t>ANUSHKA BHATT</t>
  </si>
  <si>
    <t>HARISH CHANDRA BHATT</t>
  </si>
  <si>
    <t>UTU/2501104050</t>
  </si>
  <si>
    <t>ANWESHIKA PRIY GAUTAM</t>
  </si>
  <si>
    <t>SATYENDRA PRIY GAUTAM</t>
  </si>
  <si>
    <t>UTU/2501103650</t>
  </si>
  <si>
    <t>ARYAN SAINI</t>
  </si>
  <si>
    <t>ANUJ KUMAR</t>
  </si>
  <si>
    <t>UTU/2501103705</t>
  </si>
  <si>
    <t>BANSHIKA</t>
  </si>
  <si>
    <t>OM PRAKASH</t>
  </si>
  <si>
    <t>UTU/2501103642</t>
  </si>
  <si>
    <t>GAURAV SINGH KRISHALI</t>
  </si>
  <si>
    <t>SURENDRA SINGH KRISHALI</t>
  </si>
  <si>
    <t>UTU/2501103798</t>
  </si>
  <si>
    <t>KHUSHI BUDAKOTI</t>
  </si>
  <si>
    <t>RAKESH CHANDRA</t>
  </si>
  <si>
    <t>UTU/2501104023</t>
  </si>
  <si>
    <t>KHYATI NEGI</t>
  </si>
  <si>
    <t>RAVINDRA SINGH NEGI</t>
  </si>
  <si>
    <t>UTU/2501104012</t>
  </si>
  <si>
    <t>KOMAL RAWAT</t>
  </si>
  <si>
    <t>SAJJAN SINGH RAWAT</t>
  </si>
  <si>
    <t>UTU/2501103775</t>
  </si>
  <si>
    <t>KUSHAGRA VERMA</t>
  </si>
  <si>
    <t>KAILASH VERMA</t>
  </si>
  <si>
    <t>UTU/2501103673</t>
  </si>
  <si>
    <t>LAVANYA JOSHI</t>
  </si>
  <si>
    <t>GREESH CHANDRA JOSHI</t>
  </si>
  <si>
    <t>UTU/2501104022</t>
  </si>
  <si>
    <t>MANANSH BISHT</t>
  </si>
  <si>
    <t>POORAN SINGH BISHT</t>
  </si>
  <si>
    <t>UTU/2501100833</t>
  </si>
  <si>
    <t>MANAV MISHRA</t>
  </si>
  <si>
    <t>KK MISHRA</t>
  </si>
  <si>
    <t>UTU/2501104020</t>
  </si>
  <si>
    <t>MANSI KOLI</t>
  </si>
  <si>
    <t>RAGHUBIR SINGH KOLI</t>
  </si>
  <si>
    <t>UTU/2501103692</t>
  </si>
  <si>
    <t>MOHD SUHAIL</t>
  </si>
  <si>
    <t>FURKAN ALI</t>
  </si>
  <si>
    <t>UTU/2501103767</t>
  </si>
  <si>
    <t>NIKITA PUNETHA</t>
  </si>
  <si>
    <t>SHYAM DATT PUNETHA</t>
  </si>
  <si>
    <t>UTU/2501104231</t>
  </si>
  <si>
    <t>PRACHI SINGH</t>
  </si>
  <si>
    <t>SANTOSH KUMAR SINGH</t>
  </si>
  <si>
    <t>UTU/2501103587</t>
  </si>
  <si>
    <t>PRAMOD BISHT</t>
  </si>
  <si>
    <t>KESHAR SINGH BISHT</t>
  </si>
  <si>
    <t>UTU/2501103680</t>
  </si>
  <si>
    <t>PRIYANKA JAJARIYA</t>
  </si>
  <si>
    <t>MANOJ KUMAR</t>
  </si>
  <si>
    <t>UTU/2501103625</t>
  </si>
  <si>
    <t>PRIYANSHU RAWAT</t>
  </si>
  <si>
    <t>TRILOK SINGH</t>
  </si>
  <si>
    <t>UTU/2501103702</t>
  </si>
  <si>
    <t>SAKSHI THAPLIYAL</t>
  </si>
  <si>
    <t>SUNIL THAPLIYAL</t>
  </si>
  <si>
    <t>UTU/2501103593</t>
  </si>
  <si>
    <t>SANDEEP</t>
  </si>
  <si>
    <t>SUMAN PRASAD NAUTIYAL</t>
  </si>
  <si>
    <t>UTU/2501103726</t>
  </si>
  <si>
    <t>SARGAM KUMARI</t>
  </si>
  <si>
    <t>RAJ NARAYAN KUMAR</t>
  </si>
  <si>
    <t>UTU/2501104120</t>
  </si>
  <si>
    <t>SHIVAM RAWAT</t>
  </si>
  <si>
    <t>DINESH SINGH</t>
  </si>
  <si>
    <t>UTU/2501103966</t>
  </si>
  <si>
    <t>SHRADDHA SHARMA</t>
  </si>
  <si>
    <t>YOGESH SHARMA</t>
  </si>
  <si>
    <t>UTU/2501104279</t>
  </si>
  <si>
    <t>SHREYA</t>
  </si>
  <si>
    <t>KULDEEP SINGH</t>
  </si>
  <si>
    <t>UTU/2501103648</t>
  </si>
  <si>
    <t>SHUBHAM PUROHIT</t>
  </si>
  <si>
    <t>BHASKARANAND PUROHIT</t>
  </si>
  <si>
    <t>UTU/2501104270</t>
  </si>
  <si>
    <t>SNEHA</t>
  </si>
  <si>
    <t>VEER SINGH</t>
  </si>
  <si>
    <t>UTU/2501103849</t>
  </si>
  <si>
    <t>SRISHTI RAWAT</t>
  </si>
  <si>
    <t>AJAY PAL SINGH RAWAT</t>
  </si>
  <si>
    <t>UTU/2501103675</t>
  </si>
  <si>
    <t>SUCHETA SINGH</t>
  </si>
  <si>
    <t>GHANENDRA SINGH</t>
  </si>
  <si>
    <t>UTU/2501103788</t>
  </si>
  <si>
    <t>SUHANI RAWAT</t>
  </si>
  <si>
    <t>YOGAMBER SINGH</t>
  </si>
  <si>
    <t>UTU/2501103724</t>
  </si>
  <si>
    <t>TANISH PRAKASH</t>
  </si>
  <si>
    <t>BRAHAM PRAKASH</t>
  </si>
  <si>
    <t>UTU/2501101877</t>
  </si>
  <si>
    <t>VIBHUSHI UNIYAL</t>
  </si>
  <si>
    <t>VINOD UNIYAL</t>
  </si>
  <si>
    <t>UTU/2501103744</t>
  </si>
  <si>
    <t>VINITA</t>
  </si>
  <si>
    <t>VIJAY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</si>
</sst>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6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164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1" fontId="14" fillId="0" borderId="0" xfId="1" applyNumberFormat="1" applyFont="1" applyAlignment="1">
      <alignment horizontal="right" vertical="center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8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37822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14</xdr:col>
      <xdr:colOff>2870</xdr:colOff>
      <xdr:row>4</xdr:row>
      <xdr:rowOff>25513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BD43"/>
  <sheetViews>
    <sheetView topLeftCell="B1" zoomScaleNormal="100" workbookViewId="0">
      <selection activeCell="F6" sqref="F6"/>
    </sheetView>
  </sheetViews>
  <sheetFormatPr baseColWidth="10" defaultColWidth="8.83203125" defaultRowHeight="15" x14ac:dyDescent="0.2"/>
  <cols>
    <col min="1" max="1" width="4.1640625" bestFit="1" customWidth="1"/>
    <col min="2" max="2" width="13.1640625" bestFit="1" customWidth="1"/>
    <col min="3" max="3" width="8.6640625" bestFit="1" customWidth="1"/>
    <col min="4" max="4" width="18" bestFit="1" customWidth="1"/>
    <col min="5" max="5" width="25.33203125" bestFit="1" customWidth="1"/>
    <col min="45" max="47" width="9.33203125" customWidth="1"/>
  </cols>
  <sheetData>
    <row r="1" spans="1:56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56</v>
      </c>
      <c r="I1" t="s">
        <v>58</v>
      </c>
      <c r="L1" t="s">
        <v>59</v>
      </c>
      <c r="O1" t="s">
        <v>60</v>
      </c>
      <c r="R1" t="s">
        <v>61</v>
      </c>
      <c r="U1" t="s">
        <v>62</v>
      </c>
      <c r="X1" t="s">
        <v>63</v>
      </c>
      <c r="AA1" t="s">
        <v>64</v>
      </c>
      <c r="AD1" t="s">
        <v>65</v>
      </c>
      <c r="AG1" t="s">
        <v>66</v>
      </c>
      <c r="AJ1" t="s">
        <v>67</v>
      </c>
      <c r="AM1" t="s">
        <v>68</v>
      </c>
      <c r="AP1" t="s">
        <v>69</v>
      </c>
      <c r="AS1" t="s">
        <v>83</v>
      </c>
      <c r="AV1" t="s">
        <v>47</v>
      </c>
      <c r="AW1" t="s">
        <v>48</v>
      </c>
      <c r="AX1" t="s">
        <v>49</v>
      </c>
      <c r="AY1" t="s">
        <v>50</v>
      </c>
    </row>
    <row r="2" spans="1:56" ht="14.75" customHeight="1" x14ac:dyDescent="0.2">
      <c r="A2" t="s">
        <v>25</v>
      </c>
      <c r="B2" s="12"/>
      <c r="C2" s="12"/>
      <c r="D2" s="12"/>
      <c r="E2" s="12"/>
      <c r="F2" t="s">
        <v>57</v>
      </c>
      <c r="I2" t="s">
        <v>70</v>
      </c>
      <c r="L2" t="s">
        <v>4</v>
      </c>
      <c r="O2" t="s">
        <v>71</v>
      </c>
      <c r="R2" t="s">
        <v>72</v>
      </c>
      <c r="U2" t="s">
        <v>73</v>
      </c>
      <c r="X2" t="s">
        <v>74</v>
      </c>
      <c r="AA2" t="s">
        <v>5</v>
      </c>
      <c r="AD2" t="s">
        <v>75</v>
      </c>
      <c r="AG2" t="s">
        <v>76</v>
      </c>
      <c r="AJ2" t="s">
        <v>77</v>
      </c>
      <c r="AM2" t="s">
        <v>78</v>
      </c>
      <c r="AP2" t="s">
        <v>79</v>
      </c>
      <c r="AS2" t="s">
        <v>80</v>
      </c>
    </row>
    <row r="3" spans="1:56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0</v>
      </c>
      <c r="X3">
        <v>1</v>
      </c>
      <c r="AA3">
        <v>1</v>
      </c>
      <c r="AD3">
        <v>1</v>
      </c>
      <c r="AG3">
        <v>2</v>
      </c>
      <c r="AJ3">
        <v>1</v>
      </c>
      <c r="AM3">
        <v>1</v>
      </c>
      <c r="AP3">
        <v>0</v>
      </c>
      <c r="AS3">
        <v>0</v>
      </c>
      <c r="AW3">
        <f>SUM(F3:AU3)</f>
        <v>23</v>
      </c>
    </row>
    <row r="4" spans="1:56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6</v>
      </c>
      <c r="S4" t="s">
        <v>7</v>
      </c>
      <c r="T4" t="s">
        <v>8</v>
      </c>
      <c r="U4" t="s">
        <v>6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9</v>
      </c>
      <c r="AN4" t="s">
        <v>7</v>
      </c>
      <c r="AO4" t="s">
        <v>8</v>
      </c>
      <c r="AP4" t="s">
        <v>9</v>
      </c>
      <c r="AQ4" t="s">
        <v>7</v>
      </c>
      <c r="AR4" t="s">
        <v>8</v>
      </c>
      <c r="AS4" t="s">
        <v>11</v>
      </c>
      <c r="AT4" t="s">
        <v>7</v>
      </c>
      <c r="AU4" t="s">
        <v>8</v>
      </c>
    </row>
    <row r="5" spans="1:56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100</v>
      </c>
      <c r="V5">
        <v>50</v>
      </c>
      <c r="W5">
        <v>150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25</v>
      </c>
      <c r="AE5">
        <v>25</v>
      </c>
      <c r="AF5">
        <v>50</v>
      </c>
      <c r="AG5">
        <v>50</v>
      </c>
      <c r="AH5">
        <v>50</v>
      </c>
      <c r="AI5">
        <v>100</v>
      </c>
      <c r="AJ5">
        <v>25</v>
      </c>
      <c r="AK5">
        <v>25</v>
      </c>
      <c r="AL5">
        <v>50</v>
      </c>
      <c r="AM5">
        <v>25</v>
      </c>
      <c r="AN5">
        <v>25</v>
      </c>
      <c r="AO5">
        <v>50</v>
      </c>
      <c r="AP5">
        <v>25</v>
      </c>
      <c r="AQ5">
        <v>50</v>
      </c>
      <c r="AR5">
        <v>75</v>
      </c>
      <c r="AT5">
        <v>50</v>
      </c>
      <c r="AU5">
        <v>50</v>
      </c>
    </row>
    <row r="6" spans="1:56" x14ac:dyDescent="0.2">
      <c r="A6" s="1">
        <v>1</v>
      </c>
      <c r="B6" s="1">
        <v>250090120001</v>
      </c>
      <c r="C6" s="1" t="s">
        <v>92</v>
      </c>
      <c r="D6" t="s">
        <v>93</v>
      </c>
      <c r="E6" t="s">
        <v>94</v>
      </c>
      <c r="F6">
        <v>49</v>
      </c>
      <c r="G6">
        <v>35</v>
      </c>
      <c r="H6" s="1">
        <v>84</v>
      </c>
      <c r="I6">
        <v>62</v>
      </c>
      <c r="J6">
        <v>44</v>
      </c>
      <c r="K6" s="1">
        <v>106</v>
      </c>
      <c r="L6">
        <v>59</v>
      </c>
      <c r="M6">
        <v>41</v>
      </c>
      <c r="N6" s="1">
        <v>100</v>
      </c>
      <c r="O6">
        <v>63</v>
      </c>
      <c r="P6">
        <v>49</v>
      </c>
      <c r="Q6" s="1">
        <v>112</v>
      </c>
      <c r="R6" s="1"/>
      <c r="T6" s="1"/>
      <c r="U6" s="1">
        <v>64</v>
      </c>
      <c r="V6" s="1">
        <v>42</v>
      </c>
      <c r="W6" s="1">
        <v>106</v>
      </c>
      <c r="X6">
        <v>18</v>
      </c>
      <c r="Y6">
        <v>19</v>
      </c>
      <c r="Z6" s="1">
        <v>37</v>
      </c>
      <c r="AA6" s="1">
        <v>21</v>
      </c>
      <c r="AB6" s="1">
        <v>23</v>
      </c>
      <c r="AC6" s="1">
        <v>44</v>
      </c>
      <c r="AD6" s="1">
        <v>24</v>
      </c>
      <c r="AE6" s="1">
        <v>24</v>
      </c>
      <c r="AF6" s="1">
        <v>48</v>
      </c>
      <c r="AG6">
        <v>45</v>
      </c>
      <c r="AH6">
        <v>43</v>
      </c>
      <c r="AI6" s="1">
        <v>88</v>
      </c>
      <c r="AJ6" s="1">
        <v>21</v>
      </c>
      <c r="AK6" s="1">
        <v>23</v>
      </c>
      <c r="AL6" s="1">
        <v>44</v>
      </c>
      <c r="AM6" s="1">
        <v>25</v>
      </c>
      <c r="AN6" s="1">
        <v>25</v>
      </c>
      <c r="AO6" s="1">
        <v>50</v>
      </c>
      <c r="AP6" s="1">
        <v>17</v>
      </c>
      <c r="AQ6" s="1">
        <v>41</v>
      </c>
      <c r="AR6" s="1">
        <v>58</v>
      </c>
      <c r="AT6" s="1">
        <v>47</v>
      </c>
      <c r="AU6" s="1">
        <v>47</v>
      </c>
      <c r="AV6">
        <f ca="1">INDIRECT(_xlfn.TEXTJOIN("",TRUE,"TC_",BC6,"!",ADDRESS(4+A6*(BD6+9),13)))</f>
        <v>175.5</v>
      </c>
      <c r="AW6">
        <f ca="1">INDIRECT(_xlfn.TEXTJOIN("",TRUE,"TC_",BC6,"!",ADDRESS(5+A6*(BD6+9),12)))</f>
        <v>23</v>
      </c>
      <c r="AX6">
        <f ca="1">IF(INDIRECT(_xlfn.TEXTJOIN("",TRUE,"TC_",BC6,"!",ADDRESS(4+A6*(BD6+9),23))),SUM(INDIRECT(_xlfn.TEXTJOIN("",TRUE,"TC_",BC6,"!",ADDRESS(4+A6*(BD6+9)-BD6,23),":",ADDRESS(3+A6*(BD6+9),23)))),0)</f>
        <v>0</v>
      </c>
      <c r="AY6">
        <f ca="1">AV6/$AW$3</f>
        <v>7.6304347826086953</v>
      </c>
      <c r="BC6" t="s">
        <v>44</v>
      </c>
      <c r="BD6">
        <v>13</v>
      </c>
    </row>
    <row r="7" spans="1:56" x14ac:dyDescent="0.2">
      <c r="A7" s="1">
        <v>2</v>
      </c>
      <c r="B7" s="1">
        <v>250090120002</v>
      </c>
      <c r="C7" s="1" t="s">
        <v>95</v>
      </c>
      <c r="D7" t="s">
        <v>96</v>
      </c>
      <c r="E7" t="s">
        <v>97</v>
      </c>
      <c r="F7">
        <v>49</v>
      </c>
      <c r="G7">
        <v>37</v>
      </c>
      <c r="H7" s="1">
        <v>86</v>
      </c>
      <c r="I7">
        <v>32</v>
      </c>
      <c r="J7">
        <v>20</v>
      </c>
      <c r="K7" s="1">
        <v>52</v>
      </c>
      <c r="L7">
        <v>47</v>
      </c>
      <c r="M7">
        <v>42</v>
      </c>
      <c r="N7" s="1">
        <v>89</v>
      </c>
      <c r="O7">
        <v>59</v>
      </c>
      <c r="P7">
        <v>47</v>
      </c>
      <c r="Q7" s="1">
        <v>106</v>
      </c>
      <c r="R7" s="1">
        <v>58</v>
      </c>
      <c r="S7">
        <v>34</v>
      </c>
      <c r="T7" s="1">
        <v>92</v>
      </c>
      <c r="U7" s="1"/>
      <c r="V7" s="1"/>
      <c r="W7" s="1"/>
      <c r="X7">
        <v>19</v>
      </c>
      <c r="Y7">
        <v>17</v>
      </c>
      <c r="Z7" s="1">
        <v>36</v>
      </c>
      <c r="AA7" s="1">
        <v>20</v>
      </c>
      <c r="AB7" s="1">
        <v>21</v>
      </c>
      <c r="AC7" s="1">
        <v>41</v>
      </c>
      <c r="AD7" s="1">
        <v>22</v>
      </c>
      <c r="AE7" s="1">
        <v>22</v>
      </c>
      <c r="AF7" s="1">
        <v>44</v>
      </c>
      <c r="AG7">
        <v>43</v>
      </c>
      <c r="AH7">
        <v>40</v>
      </c>
      <c r="AI7" s="1">
        <v>83</v>
      </c>
      <c r="AJ7" s="1">
        <v>20</v>
      </c>
      <c r="AK7" s="1">
        <v>22</v>
      </c>
      <c r="AL7" s="1">
        <v>42</v>
      </c>
      <c r="AM7" s="1">
        <v>23</v>
      </c>
      <c r="AN7" s="1">
        <v>23</v>
      </c>
      <c r="AO7" s="1">
        <v>46</v>
      </c>
      <c r="AP7" s="1">
        <v>16</v>
      </c>
      <c r="AQ7" s="1">
        <v>33</v>
      </c>
      <c r="AR7" s="1">
        <v>49</v>
      </c>
      <c r="AT7">
        <v>47</v>
      </c>
      <c r="AU7">
        <v>47</v>
      </c>
      <c r="AV7">
        <f t="shared" ref="AV7:AV43" ca="1" si="0">INDIRECT(_xlfn.TEXTJOIN("",TRUE,"TC_",BC7,"!",ADDRESS(4+A7*(BD7+9),13)))</f>
        <v>138</v>
      </c>
      <c r="AW7">
        <f t="shared" ref="AW7:AW43" ca="1" si="1">INDIRECT(_xlfn.TEXTJOIN("",TRUE,"TC_",BC7,"!",ADDRESS(5+A7*(BD7+9),12)))</f>
        <v>19</v>
      </c>
      <c r="AX7">
        <f t="shared" ref="AX7:AX43" ca="1" si="2">IF(INDIRECT(_xlfn.TEXTJOIN("",TRUE,"TC_",BC7,"!",ADDRESS(4+A7*(BD7+9),23))),SUM(INDIRECT(_xlfn.TEXTJOIN("",TRUE,"TC_",BC7,"!",ADDRESS(4+A7*(BD7+9)-BD7,23),":",ADDRESS(3+A7*(BD7+9),23)))),0)</f>
        <v>0</v>
      </c>
      <c r="AY7">
        <f t="shared" ref="AY7:AY43" ca="1" si="3">AV7/$AW$3</f>
        <v>6</v>
      </c>
      <c r="BC7" t="str">
        <f>BC6</f>
        <v>I</v>
      </c>
      <c r="BD7">
        <f>BD6</f>
        <v>13</v>
      </c>
    </row>
    <row r="8" spans="1:56" x14ac:dyDescent="0.2">
      <c r="A8" s="1">
        <v>3</v>
      </c>
      <c r="B8" s="1">
        <v>250090120003</v>
      </c>
      <c r="C8" s="1" t="s">
        <v>98</v>
      </c>
      <c r="D8" t="s">
        <v>99</v>
      </c>
      <c r="E8" t="s">
        <v>100</v>
      </c>
      <c r="F8">
        <v>30</v>
      </c>
      <c r="G8">
        <v>33</v>
      </c>
      <c r="H8" s="1">
        <v>63</v>
      </c>
      <c r="I8">
        <v>16</v>
      </c>
      <c r="J8">
        <v>20</v>
      </c>
      <c r="K8" s="1">
        <v>36</v>
      </c>
      <c r="L8">
        <v>43</v>
      </c>
      <c r="M8">
        <v>32</v>
      </c>
      <c r="N8" s="1">
        <v>75</v>
      </c>
      <c r="O8">
        <v>59</v>
      </c>
      <c r="P8">
        <v>40</v>
      </c>
      <c r="Q8" s="1">
        <v>99</v>
      </c>
      <c r="R8" s="1">
        <v>45</v>
      </c>
      <c r="S8">
        <v>31</v>
      </c>
      <c r="T8" s="1">
        <v>76</v>
      </c>
      <c r="U8" s="1"/>
      <c r="V8" s="1"/>
      <c r="W8" s="1"/>
      <c r="X8">
        <v>19</v>
      </c>
      <c r="Y8">
        <v>15</v>
      </c>
      <c r="Z8" s="1">
        <v>34</v>
      </c>
      <c r="AA8" s="1">
        <v>20</v>
      </c>
      <c r="AB8" s="1">
        <v>21</v>
      </c>
      <c r="AC8" s="1">
        <v>41</v>
      </c>
      <c r="AD8" s="1">
        <v>22</v>
      </c>
      <c r="AE8" s="1">
        <v>23</v>
      </c>
      <c r="AF8" s="1">
        <v>45</v>
      </c>
      <c r="AG8">
        <v>46</v>
      </c>
      <c r="AH8">
        <v>45</v>
      </c>
      <c r="AI8" s="1">
        <v>91</v>
      </c>
      <c r="AJ8" s="1">
        <v>20</v>
      </c>
      <c r="AK8" s="1">
        <v>22</v>
      </c>
      <c r="AL8" s="1">
        <v>42</v>
      </c>
      <c r="AM8" s="1">
        <v>24</v>
      </c>
      <c r="AN8" s="1">
        <v>24</v>
      </c>
      <c r="AO8" s="1">
        <v>48</v>
      </c>
      <c r="AP8" s="1">
        <v>19</v>
      </c>
      <c r="AQ8" s="1">
        <v>37</v>
      </c>
      <c r="AR8" s="1">
        <v>56</v>
      </c>
      <c r="AT8">
        <v>49</v>
      </c>
      <c r="AU8">
        <v>49</v>
      </c>
      <c r="AV8">
        <f t="shared" ca="1" si="0"/>
        <v>130.5</v>
      </c>
      <c r="AW8">
        <f t="shared" ca="1" si="1"/>
        <v>19</v>
      </c>
      <c r="AX8">
        <f t="shared" ca="1" si="2"/>
        <v>0</v>
      </c>
      <c r="AY8">
        <f t="shared" ca="1" si="3"/>
        <v>5.6739130434782608</v>
      </c>
      <c r="BC8" t="str">
        <f t="shared" ref="BC8:BC43" si="4">BC7</f>
        <v>I</v>
      </c>
      <c r="BD8">
        <f t="shared" ref="BD8:BD43" si="5">BD7</f>
        <v>13</v>
      </c>
    </row>
    <row r="9" spans="1:56" x14ac:dyDescent="0.2">
      <c r="A9" s="1">
        <v>4</v>
      </c>
      <c r="B9" s="1">
        <v>250090120004</v>
      </c>
      <c r="C9" s="1" t="s">
        <v>101</v>
      </c>
      <c r="D9" t="s">
        <v>102</v>
      </c>
      <c r="E9" t="s">
        <v>103</v>
      </c>
      <c r="F9">
        <v>51</v>
      </c>
      <c r="G9">
        <v>38</v>
      </c>
      <c r="H9" s="1">
        <v>89</v>
      </c>
      <c r="I9">
        <v>19</v>
      </c>
      <c r="J9">
        <v>20</v>
      </c>
      <c r="K9" s="1">
        <v>39</v>
      </c>
      <c r="L9">
        <v>46</v>
      </c>
      <c r="M9">
        <v>33</v>
      </c>
      <c r="N9" s="1">
        <v>79</v>
      </c>
      <c r="O9">
        <v>52</v>
      </c>
      <c r="P9">
        <v>41</v>
      </c>
      <c r="Q9" s="1">
        <v>93</v>
      </c>
      <c r="R9" s="1">
        <v>71</v>
      </c>
      <c r="S9">
        <v>33</v>
      </c>
      <c r="T9" s="1">
        <v>104</v>
      </c>
      <c r="U9" s="1"/>
      <c r="V9" s="1"/>
      <c r="W9" s="1"/>
      <c r="X9">
        <v>18</v>
      </c>
      <c r="Y9">
        <v>15</v>
      </c>
      <c r="Z9" s="1">
        <v>33</v>
      </c>
      <c r="AA9" s="1">
        <v>21</v>
      </c>
      <c r="AB9" s="1">
        <v>22</v>
      </c>
      <c r="AC9" s="1">
        <v>43</v>
      </c>
      <c r="AD9" s="1">
        <v>20</v>
      </c>
      <c r="AE9" s="1">
        <v>21</v>
      </c>
      <c r="AF9" s="1">
        <v>41</v>
      </c>
      <c r="AG9">
        <v>44</v>
      </c>
      <c r="AH9">
        <v>40</v>
      </c>
      <c r="AI9" s="1">
        <v>84</v>
      </c>
      <c r="AJ9" s="1">
        <v>21</v>
      </c>
      <c r="AK9" s="1">
        <v>21</v>
      </c>
      <c r="AL9" s="1">
        <v>42</v>
      </c>
      <c r="AM9" s="1">
        <v>24</v>
      </c>
      <c r="AN9" s="1">
        <v>24</v>
      </c>
      <c r="AO9" s="1">
        <v>48</v>
      </c>
      <c r="AP9" s="1">
        <v>16</v>
      </c>
      <c r="AQ9" s="1">
        <v>36</v>
      </c>
      <c r="AR9" s="1">
        <v>52</v>
      </c>
      <c r="AT9">
        <v>47</v>
      </c>
      <c r="AU9">
        <v>47</v>
      </c>
      <c r="AV9">
        <f t="shared" ca="1" si="0"/>
        <v>132</v>
      </c>
      <c r="AW9">
        <f t="shared" ca="1" si="1"/>
        <v>19</v>
      </c>
      <c r="AX9">
        <f t="shared" ca="1" si="2"/>
        <v>0</v>
      </c>
      <c r="AY9">
        <f t="shared" ca="1" si="3"/>
        <v>5.7391304347826084</v>
      </c>
      <c r="BC9" t="str">
        <f t="shared" si="4"/>
        <v>I</v>
      </c>
      <c r="BD9">
        <f t="shared" si="5"/>
        <v>13</v>
      </c>
    </row>
    <row r="10" spans="1:56" x14ac:dyDescent="0.2">
      <c r="A10" s="1">
        <v>5</v>
      </c>
      <c r="B10" s="1">
        <v>250090120005</v>
      </c>
      <c r="C10" s="1" t="s">
        <v>104</v>
      </c>
      <c r="D10" t="s">
        <v>105</v>
      </c>
      <c r="E10" t="s">
        <v>106</v>
      </c>
      <c r="F10">
        <v>58</v>
      </c>
      <c r="G10">
        <v>34</v>
      </c>
      <c r="H10" s="1">
        <v>92</v>
      </c>
      <c r="I10">
        <v>17</v>
      </c>
      <c r="J10">
        <v>18</v>
      </c>
      <c r="K10" s="1">
        <v>35</v>
      </c>
      <c r="L10">
        <v>46</v>
      </c>
      <c r="M10">
        <v>32</v>
      </c>
      <c r="N10" s="1">
        <v>78</v>
      </c>
      <c r="O10">
        <v>61</v>
      </c>
      <c r="P10">
        <v>39</v>
      </c>
      <c r="Q10" s="1">
        <v>100</v>
      </c>
      <c r="R10" s="1">
        <v>67</v>
      </c>
      <c r="S10">
        <v>41</v>
      </c>
      <c r="T10" s="1">
        <v>108</v>
      </c>
      <c r="U10" s="1"/>
      <c r="V10" s="1"/>
      <c r="W10" s="1"/>
      <c r="X10">
        <v>19</v>
      </c>
      <c r="Y10">
        <v>15</v>
      </c>
      <c r="Z10" s="1">
        <v>34</v>
      </c>
      <c r="AA10" s="1">
        <v>16</v>
      </c>
      <c r="AB10" s="1">
        <v>19</v>
      </c>
      <c r="AC10" s="1">
        <v>35</v>
      </c>
      <c r="AD10" s="1">
        <v>18</v>
      </c>
      <c r="AE10" s="1">
        <v>19</v>
      </c>
      <c r="AF10" s="1">
        <v>37</v>
      </c>
      <c r="AG10">
        <v>48</v>
      </c>
      <c r="AH10">
        <v>49</v>
      </c>
      <c r="AI10" s="1">
        <v>97</v>
      </c>
      <c r="AJ10" s="1">
        <v>21</v>
      </c>
      <c r="AK10" s="1">
        <v>20</v>
      </c>
      <c r="AL10" s="1">
        <v>41</v>
      </c>
      <c r="AM10" s="1">
        <v>21</v>
      </c>
      <c r="AN10" s="1">
        <v>21</v>
      </c>
      <c r="AO10" s="1">
        <v>42</v>
      </c>
      <c r="AP10" s="1">
        <v>16</v>
      </c>
      <c r="AQ10" s="1">
        <v>30</v>
      </c>
      <c r="AR10" s="1">
        <v>46</v>
      </c>
      <c r="AT10">
        <v>47</v>
      </c>
      <c r="AU10">
        <v>47</v>
      </c>
      <c r="AV10">
        <f t="shared" ca="1" si="0"/>
        <v>135</v>
      </c>
      <c r="AW10">
        <f t="shared" ca="1" si="1"/>
        <v>19</v>
      </c>
      <c r="AX10">
        <f t="shared" ca="1" si="2"/>
        <v>0</v>
      </c>
      <c r="AY10">
        <f t="shared" ca="1" si="3"/>
        <v>5.8695652173913047</v>
      </c>
      <c r="BC10" t="str">
        <f t="shared" si="4"/>
        <v>I</v>
      </c>
      <c r="BD10">
        <f t="shared" si="5"/>
        <v>13</v>
      </c>
    </row>
    <row r="11" spans="1:56" x14ac:dyDescent="0.2">
      <c r="A11" s="1">
        <v>6</v>
      </c>
      <c r="B11" s="1">
        <v>250090120006</v>
      </c>
      <c r="C11" s="1" t="s">
        <v>107</v>
      </c>
      <c r="D11" t="s">
        <v>108</v>
      </c>
      <c r="E11" t="s">
        <v>109</v>
      </c>
      <c r="F11">
        <v>52</v>
      </c>
      <c r="G11">
        <v>35</v>
      </c>
      <c r="H11" s="1">
        <v>87</v>
      </c>
      <c r="I11">
        <v>29</v>
      </c>
      <c r="J11">
        <v>19</v>
      </c>
      <c r="K11" s="1">
        <v>48</v>
      </c>
      <c r="L11">
        <v>40</v>
      </c>
      <c r="M11">
        <v>39</v>
      </c>
      <c r="N11" s="1">
        <v>79</v>
      </c>
      <c r="O11">
        <v>58</v>
      </c>
      <c r="P11">
        <v>37</v>
      </c>
      <c r="Q11" s="1">
        <v>95</v>
      </c>
      <c r="R11" s="1">
        <v>47</v>
      </c>
      <c r="S11">
        <v>32</v>
      </c>
      <c r="T11" s="1">
        <v>79</v>
      </c>
      <c r="U11" s="1"/>
      <c r="V11" s="1"/>
      <c r="W11" s="1"/>
      <c r="X11">
        <v>20</v>
      </c>
      <c r="Y11">
        <v>16</v>
      </c>
      <c r="Z11" s="1">
        <v>36</v>
      </c>
      <c r="AA11" s="1">
        <v>23</v>
      </c>
      <c r="AB11" s="1">
        <v>23</v>
      </c>
      <c r="AC11" s="1">
        <v>46</v>
      </c>
      <c r="AD11" s="1">
        <v>20</v>
      </c>
      <c r="AE11" s="1">
        <v>20</v>
      </c>
      <c r="AF11" s="1">
        <v>40</v>
      </c>
      <c r="AG11">
        <v>47</v>
      </c>
      <c r="AH11">
        <v>44</v>
      </c>
      <c r="AI11" s="1">
        <v>91</v>
      </c>
      <c r="AJ11" s="1">
        <v>22</v>
      </c>
      <c r="AK11" s="1">
        <v>23</v>
      </c>
      <c r="AL11" s="1">
        <v>45</v>
      </c>
      <c r="AM11" s="1">
        <v>22</v>
      </c>
      <c r="AN11" s="1">
        <v>22</v>
      </c>
      <c r="AO11" s="1">
        <v>44</v>
      </c>
      <c r="AP11" s="1">
        <v>19</v>
      </c>
      <c r="AQ11" s="1">
        <v>37</v>
      </c>
      <c r="AR11" s="1">
        <v>56</v>
      </c>
      <c r="AT11">
        <v>47</v>
      </c>
      <c r="AU11">
        <v>47</v>
      </c>
      <c r="AV11">
        <f t="shared" ca="1" si="0"/>
        <v>135</v>
      </c>
      <c r="AW11">
        <f t="shared" ca="1" si="1"/>
        <v>19</v>
      </c>
      <c r="AX11">
        <f t="shared" ca="1" si="2"/>
        <v>0</v>
      </c>
      <c r="AY11">
        <f t="shared" ca="1" si="3"/>
        <v>5.8695652173913047</v>
      </c>
      <c r="BC11" t="str">
        <f t="shared" si="4"/>
        <v>I</v>
      </c>
      <c r="BD11">
        <f t="shared" si="5"/>
        <v>13</v>
      </c>
    </row>
    <row r="12" spans="1:56" x14ac:dyDescent="0.2">
      <c r="A12" s="1">
        <v>7</v>
      </c>
      <c r="B12" s="1">
        <v>250090120007</v>
      </c>
      <c r="C12" s="1" t="s">
        <v>110</v>
      </c>
      <c r="D12" t="s">
        <v>111</v>
      </c>
      <c r="E12" t="s">
        <v>112</v>
      </c>
      <c r="F12">
        <v>35</v>
      </c>
      <c r="G12">
        <v>27</v>
      </c>
      <c r="H12" s="1">
        <v>62</v>
      </c>
      <c r="I12">
        <v>12</v>
      </c>
      <c r="J12">
        <v>10</v>
      </c>
      <c r="K12" s="1">
        <v>22</v>
      </c>
      <c r="L12">
        <v>31</v>
      </c>
      <c r="M12">
        <v>30</v>
      </c>
      <c r="N12" s="1">
        <v>61</v>
      </c>
      <c r="O12" s="1">
        <v>31</v>
      </c>
      <c r="P12" s="1">
        <v>30</v>
      </c>
      <c r="Q12" s="1">
        <v>61</v>
      </c>
      <c r="R12">
        <v>47</v>
      </c>
      <c r="S12">
        <v>28</v>
      </c>
      <c r="T12" s="1">
        <v>75</v>
      </c>
      <c r="U12" s="1"/>
      <c r="V12" s="1"/>
      <c r="W12" s="1"/>
      <c r="X12">
        <v>15</v>
      </c>
      <c r="Y12">
        <v>13</v>
      </c>
      <c r="Z12" s="1">
        <v>28</v>
      </c>
      <c r="AA12" s="1">
        <v>16</v>
      </c>
      <c r="AB12" s="1">
        <v>18</v>
      </c>
      <c r="AC12" s="1">
        <v>34</v>
      </c>
      <c r="AD12" s="1">
        <v>20</v>
      </c>
      <c r="AE12" s="1">
        <v>19</v>
      </c>
      <c r="AF12" s="1">
        <v>39</v>
      </c>
      <c r="AG12">
        <v>45</v>
      </c>
      <c r="AH12">
        <v>43</v>
      </c>
      <c r="AI12" s="1">
        <v>88</v>
      </c>
      <c r="AJ12" s="1">
        <v>20</v>
      </c>
      <c r="AK12" s="1">
        <v>19</v>
      </c>
      <c r="AL12" s="1">
        <v>39</v>
      </c>
      <c r="AM12" s="1">
        <v>20</v>
      </c>
      <c r="AN12" s="1">
        <v>20</v>
      </c>
      <c r="AO12" s="1">
        <v>40</v>
      </c>
      <c r="AP12" s="1">
        <v>16</v>
      </c>
      <c r="AQ12" s="1">
        <v>28</v>
      </c>
      <c r="AR12" s="1">
        <v>44</v>
      </c>
      <c r="AT12">
        <v>47</v>
      </c>
      <c r="AU12">
        <v>47</v>
      </c>
      <c r="AV12">
        <f t="shared" ca="1" si="0"/>
        <v>109.5</v>
      </c>
      <c r="AW12">
        <f t="shared" ca="1" si="1"/>
        <v>19</v>
      </c>
      <c r="AX12">
        <f t="shared" ca="1" si="2"/>
        <v>0</v>
      </c>
      <c r="AY12">
        <f t="shared" ca="1" si="3"/>
        <v>4.7608695652173916</v>
      </c>
      <c r="BC12" t="str">
        <f t="shared" si="4"/>
        <v>I</v>
      </c>
      <c r="BD12">
        <f t="shared" si="5"/>
        <v>13</v>
      </c>
    </row>
    <row r="13" spans="1:56" x14ac:dyDescent="0.2">
      <c r="A13" s="1">
        <v>8</v>
      </c>
      <c r="B13" s="1">
        <v>250090120008</v>
      </c>
      <c r="C13" s="1" t="s">
        <v>113</v>
      </c>
      <c r="D13" t="s">
        <v>114</v>
      </c>
      <c r="E13" t="s">
        <v>115</v>
      </c>
      <c r="F13">
        <v>44</v>
      </c>
      <c r="G13">
        <v>28</v>
      </c>
      <c r="H13" s="1">
        <v>72</v>
      </c>
      <c r="I13">
        <v>16</v>
      </c>
      <c r="J13">
        <v>17</v>
      </c>
      <c r="K13" s="1">
        <v>33</v>
      </c>
      <c r="L13">
        <v>40</v>
      </c>
      <c r="M13">
        <v>42</v>
      </c>
      <c r="N13" s="1">
        <v>82</v>
      </c>
      <c r="O13">
        <v>50</v>
      </c>
      <c r="P13">
        <v>40</v>
      </c>
      <c r="Q13" s="1">
        <v>90</v>
      </c>
      <c r="R13" s="1">
        <v>51</v>
      </c>
      <c r="S13">
        <v>33</v>
      </c>
      <c r="T13" s="1">
        <v>84</v>
      </c>
      <c r="U13" s="1"/>
      <c r="V13" s="1"/>
      <c r="W13" s="1"/>
      <c r="X13">
        <v>19</v>
      </c>
      <c r="Y13">
        <v>17</v>
      </c>
      <c r="Z13" s="1">
        <v>36</v>
      </c>
      <c r="AA13" s="1">
        <v>16</v>
      </c>
      <c r="AB13" s="1">
        <v>19</v>
      </c>
      <c r="AC13" s="1">
        <v>35</v>
      </c>
      <c r="AD13" s="1">
        <v>20</v>
      </c>
      <c r="AE13" s="1">
        <v>22</v>
      </c>
      <c r="AF13" s="1">
        <v>42</v>
      </c>
      <c r="AG13">
        <v>44</v>
      </c>
      <c r="AH13">
        <v>42</v>
      </c>
      <c r="AI13" s="1">
        <v>86</v>
      </c>
      <c r="AJ13" s="1">
        <v>21</v>
      </c>
      <c r="AK13" s="1">
        <v>22</v>
      </c>
      <c r="AL13" s="1">
        <v>43</v>
      </c>
      <c r="AM13" s="1">
        <v>24</v>
      </c>
      <c r="AN13" s="1">
        <v>24</v>
      </c>
      <c r="AO13" s="1">
        <v>48</v>
      </c>
      <c r="AP13" s="1">
        <v>16</v>
      </c>
      <c r="AQ13" s="1">
        <v>35</v>
      </c>
      <c r="AR13" s="1">
        <v>51</v>
      </c>
      <c r="AT13">
        <v>47</v>
      </c>
      <c r="AU13">
        <v>47</v>
      </c>
      <c r="AV13">
        <f t="shared" ca="1" si="0"/>
        <v>128.5</v>
      </c>
      <c r="AW13">
        <f t="shared" ca="1" si="1"/>
        <v>19</v>
      </c>
      <c r="AX13">
        <f t="shared" ca="1" si="2"/>
        <v>0</v>
      </c>
      <c r="AY13">
        <f t="shared" ca="1" si="3"/>
        <v>5.5869565217391308</v>
      </c>
      <c r="BC13" t="str">
        <f t="shared" si="4"/>
        <v>I</v>
      </c>
      <c r="BD13">
        <f t="shared" si="5"/>
        <v>13</v>
      </c>
    </row>
    <row r="14" spans="1:56" x14ac:dyDescent="0.2">
      <c r="A14" s="1">
        <v>9</v>
      </c>
      <c r="B14" s="1">
        <v>250090120009</v>
      </c>
      <c r="C14" s="1" t="s">
        <v>116</v>
      </c>
      <c r="D14" t="s">
        <v>117</v>
      </c>
      <c r="E14" t="s">
        <v>118</v>
      </c>
      <c r="F14">
        <v>47</v>
      </c>
      <c r="G14">
        <v>38</v>
      </c>
      <c r="H14" s="1">
        <v>85</v>
      </c>
      <c r="I14">
        <v>28</v>
      </c>
      <c r="J14">
        <v>21</v>
      </c>
      <c r="K14" s="1">
        <v>49</v>
      </c>
      <c r="L14">
        <v>37</v>
      </c>
      <c r="M14">
        <v>45</v>
      </c>
      <c r="N14" s="1">
        <v>82</v>
      </c>
      <c r="O14">
        <v>57</v>
      </c>
      <c r="P14">
        <v>37</v>
      </c>
      <c r="Q14" s="1">
        <v>94</v>
      </c>
      <c r="R14" s="1">
        <v>44</v>
      </c>
      <c r="S14">
        <v>32</v>
      </c>
      <c r="T14" s="1">
        <v>76</v>
      </c>
      <c r="U14" s="1"/>
      <c r="V14" s="1"/>
      <c r="W14" s="1"/>
      <c r="X14">
        <v>17</v>
      </c>
      <c r="Y14">
        <v>14</v>
      </c>
      <c r="Z14" s="1">
        <v>31</v>
      </c>
      <c r="AA14" s="1">
        <v>16</v>
      </c>
      <c r="AB14" s="1">
        <v>19</v>
      </c>
      <c r="AC14" s="1">
        <v>35</v>
      </c>
      <c r="AD14" s="1">
        <v>21</v>
      </c>
      <c r="AE14" s="1">
        <v>22</v>
      </c>
      <c r="AF14" s="1">
        <v>43</v>
      </c>
      <c r="AG14">
        <v>43</v>
      </c>
      <c r="AH14">
        <v>45</v>
      </c>
      <c r="AI14" s="1">
        <v>88</v>
      </c>
      <c r="AJ14" s="1">
        <v>22</v>
      </c>
      <c r="AK14" s="1">
        <v>23</v>
      </c>
      <c r="AL14" s="1">
        <v>45</v>
      </c>
      <c r="AM14" s="1">
        <v>23</v>
      </c>
      <c r="AN14" s="1">
        <v>23</v>
      </c>
      <c r="AO14" s="1">
        <v>46</v>
      </c>
      <c r="AP14" s="1">
        <v>17</v>
      </c>
      <c r="AQ14" s="1">
        <v>33</v>
      </c>
      <c r="AR14" s="1">
        <v>50</v>
      </c>
      <c r="AT14">
        <v>47</v>
      </c>
      <c r="AU14">
        <v>47</v>
      </c>
      <c r="AV14">
        <f t="shared" ca="1" si="0"/>
        <v>132</v>
      </c>
      <c r="AW14">
        <f t="shared" ca="1" si="1"/>
        <v>19</v>
      </c>
      <c r="AX14">
        <f t="shared" ca="1" si="2"/>
        <v>0</v>
      </c>
      <c r="AY14">
        <f t="shared" ca="1" si="3"/>
        <v>5.7391304347826084</v>
      </c>
      <c r="BC14" t="str">
        <f t="shared" si="4"/>
        <v>I</v>
      </c>
      <c r="BD14">
        <f t="shared" si="5"/>
        <v>13</v>
      </c>
    </row>
    <row r="15" spans="1:56" x14ac:dyDescent="0.2">
      <c r="A15" s="1">
        <v>10</v>
      </c>
      <c r="B15" s="1">
        <v>250090120010</v>
      </c>
      <c r="C15" s="1" t="s">
        <v>119</v>
      </c>
      <c r="D15" t="s">
        <v>120</v>
      </c>
      <c r="E15" t="s">
        <v>121</v>
      </c>
      <c r="F15">
        <v>55</v>
      </c>
      <c r="G15">
        <v>40</v>
      </c>
      <c r="H15" s="1">
        <v>95</v>
      </c>
      <c r="I15">
        <v>48</v>
      </c>
      <c r="J15">
        <v>29</v>
      </c>
      <c r="K15" s="1">
        <v>77</v>
      </c>
      <c r="L15">
        <v>66</v>
      </c>
      <c r="M15">
        <v>42</v>
      </c>
      <c r="N15" s="1">
        <v>108</v>
      </c>
      <c r="O15">
        <v>48</v>
      </c>
      <c r="P15">
        <v>43</v>
      </c>
      <c r="Q15" s="1">
        <v>91</v>
      </c>
      <c r="R15" s="1"/>
      <c r="T15" s="1">
        <v>0</v>
      </c>
      <c r="U15" s="1">
        <v>61</v>
      </c>
      <c r="V15" s="1">
        <v>33</v>
      </c>
      <c r="W15" s="1">
        <v>94</v>
      </c>
      <c r="X15">
        <v>17</v>
      </c>
      <c r="Y15">
        <v>18</v>
      </c>
      <c r="Z15" s="1">
        <v>35</v>
      </c>
      <c r="AA15" s="1">
        <v>17</v>
      </c>
      <c r="AB15" s="1">
        <v>18</v>
      </c>
      <c r="AC15" s="1">
        <v>35</v>
      </c>
      <c r="AD15" s="1">
        <v>24</v>
      </c>
      <c r="AE15" s="1">
        <v>23</v>
      </c>
      <c r="AF15" s="1">
        <v>47</v>
      </c>
      <c r="AG15">
        <v>48</v>
      </c>
      <c r="AH15">
        <v>49</v>
      </c>
      <c r="AI15" s="1">
        <v>97</v>
      </c>
      <c r="AJ15" s="1">
        <v>21</v>
      </c>
      <c r="AK15" s="1">
        <v>21</v>
      </c>
      <c r="AL15" s="1">
        <v>42</v>
      </c>
      <c r="AM15" s="1">
        <v>22</v>
      </c>
      <c r="AN15" s="1">
        <v>22</v>
      </c>
      <c r="AO15" s="1">
        <v>44</v>
      </c>
      <c r="AP15" s="1">
        <v>16</v>
      </c>
      <c r="AQ15" s="1">
        <v>31</v>
      </c>
      <c r="AR15" s="1">
        <v>47</v>
      </c>
      <c r="AT15">
        <v>47</v>
      </c>
      <c r="AU15">
        <v>47</v>
      </c>
      <c r="AV15">
        <f t="shared" ca="1" si="0"/>
        <v>166</v>
      </c>
      <c r="AW15">
        <f t="shared" ca="1" si="1"/>
        <v>23</v>
      </c>
      <c r="AX15">
        <f t="shared" ca="1" si="2"/>
        <v>0</v>
      </c>
      <c r="AY15">
        <f t="shared" ca="1" si="3"/>
        <v>7.2173913043478262</v>
      </c>
      <c r="BC15" t="str">
        <f t="shared" si="4"/>
        <v>I</v>
      </c>
      <c r="BD15">
        <f t="shared" si="5"/>
        <v>13</v>
      </c>
    </row>
    <row r="16" spans="1:56" x14ac:dyDescent="0.2">
      <c r="A16" s="1">
        <v>11</v>
      </c>
      <c r="B16" s="1">
        <v>250090120012</v>
      </c>
      <c r="C16" s="1" t="s">
        <v>122</v>
      </c>
      <c r="D16" t="s">
        <v>123</v>
      </c>
      <c r="E16" t="s">
        <v>124</v>
      </c>
      <c r="F16">
        <v>47</v>
      </c>
      <c r="G16">
        <v>29</v>
      </c>
      <c r="H16" s="1">
        <v>76</v>
      </c>
      <c r="I16">
        <v>22</v>
      </c>
      <c r="J16">
        <v>24</v>
      </c>
      <c r="K16" s="1">
        <v>46</v>
      </c>
      <c r="L16">
        <v>42</v>
      </c>
      <c r="M16">
        <v>42</v>
      </c>
      <c r="N16" s="1">
        <v>84</v>
      </c>
      <c r="O16">
        <v>55</v>
      </c>
      <c r="P16">
        <v>42</v>
      </c>
      <c r="Q16" s="1">
        <v>97</v>
      </c>
      <c r="R16" s="1">
        <v>41</v>
      </c>
      <c r="S16">
        <v>26</v>
      </c>
      <c r="T16" s="1">
        <v>67</v>
      </c>
      <c r="U16" s="1"/>
      <c r="V16" s="1"/>
      <c r="W16" s="1"/>
      <c r="X16">
        <v>16</v>
      </c>
      <c r="Y16">
        <v>18</v>
      </c>
      <c r="Z16" s="1">
        <v>34</v>
      </c>
      <c r="AA16" s="1">
        <v>17</v>
      </c>
      <c r="AB16" s="1">
        <v>18</v>
      </c>
      <c r="AC16" s="1">
        <v>35</v>
      </c>
      <c r="AD16" s="1">
        <v>22</v>
      </c>
      <c r="AE16" s="1">
        <v>21</v>
      </c>
      <c r="AF16" s="1">
        <v>43</v>
      </c>
      <c r="AG16">
        <v>44</v>
      </c>
      <c r="AH16">
        <v>42</v>
      </c>
      <c r="AI16" s="1">
        <v>86</v>
      </c>
      <c r="AJ16" s="1">
        <v>23</v>
      </c>
      <c r="AK16" s="1">
        <v>23</v>
      </c>
      <c r="AL16" s="1">
        <v>46</v>
      </c>
      <c r="AM16" s="1">
        <v>25</v>
      </c>
      <c r="AN16" s="1">
        <v>25</v>
      </c>
      <c r="AO16" s="1">
        <v>50</v>
      </c>
      <c r="AP16" s="1">
        <v>16</v>
      </c>
      <c r="AQ16" s="1">
        <v>40</v>
      </c>
      <c r="AR16" s="1">
        <v>56</v>
      </c>
      <c r="AT16">
        <v>47</v>
      </c>
      <c r="AU16">
        <v>47</v>
      </c>
      <c r="AV16">
        <f t="shared" ca="1" si="0"/>
        <v>133</v>
      </c>
      <c r="AW16">
        <f t="shared" ca="1" si="1"/>
        <v>19</v>
      </c>
      <c r="AX16">
        <f t="shared" ca="1" si="2"/>
        <v>0</v>
      </c>
      <c r="AY16">
        <f t="shared" ca="1" si="3"/>
        <v>5.7826086956521738</v>
      </c>
      <c r="BC16" t="str">
        <f t="shared" si="4"/>
        <v>I</v>
      </c>
      <c r="BD16">
        <f t="shared" si="5"/>
        <v>13</v>
      </c>
    </row>
    <row r="17" spans="1:56" x14ac:dyDescent="0.2">
      <c r="A17" s="1">
        <v>12</v>
      </c>
      <c r="B17" s="1">
        <v>250090120013</v>
      </c>
      <c r="C17" s="1" t="s">
        <v>125</v>
      </c>
      <c r="D17" t="s">
        <v>126</v>
      </c>
      <c r="E17" t="s">
        <v>127</v>
      </c>
      <c r="F17">
        <v>46</v>
      </c>
      <c r="G17">
        <v>38</v>
      </c>
      <c r="H17" s="1">
        <v>84</v>
      </c>
      <c r="I17">
        <v>45</v>
      </c>
      <c r="J17">
        <v>34</v>
      </c>
      <c r="K17" s="1">
        <v>79</v>
      </c>
      <c r="L17">
        <v>51</v>
      </c>
      <c r="M17">
        <v>46</v>
      </c>
      <c r="N17" s="1">
        <v>97</v>
      </c>
      <c r="O17" s="1">
        <v>67</v>
      </c>
      <c r="P17" s="1">
        <v>45</v>
      </c>
      <c r="Q17" s="1">
        <v>112</v>
      </c>
      <c r="R17" s="1">
        <v>75</v>
      </c>
      <c r="S17">
        <v>41</v>
      </c>
      <c r="T17" s="1">
        <v>116</v>
      </c>
      <c r="U17" s="1"/>
      <c r="V17" s="1"/>
      <c r="W17" s="1"/>
      <c r="X17">
        <v>16</v>
      </c>
      <c r="Y17">
        <v>17</v>
      </c>
      <c r="Z17" s="1">
        <v>33</v>
      </c>
      <c r="AA17" s="1">
        <v>21</v>
      </c>
      <c r="AB17" s="1">
        <v>23</v>
      </c>
      <c r="AC17" s="1">
        <v>44</v>
      </c>
      <c r="AD17" s="1">
        <v>23</v>
      </c>
      <c r="AE17" s="1">
        <v>23</v>
      </c>
      <c r="AF17" s="1">
        <v>46</v>
      </c>
      <c r="AG17">
        <v>45</v>
      </c>
      <c r="AH17">
        <v>43</v>
      </c>
      <c r="AI17" s="1">
        <v>88</v>
      </c>
      <c r="AJ17" s="1">
        <v>24</v>
      </c>
      <c r="AK17" s="1">
        <v>21</v>
      </c>
      <c r="AL17" s="1">
        <v>45</v>
      </c>
      <c r="AM17" s="1">
        <v>24</v>
      </c>
      <c r="AN17" s="1">
        <v>24</v>
      </c>
      <c r="AO17" s="1">
        <v>48</v>
      </c>
      <c r="AP17" s="1">
        <v>20</v>
      </c>
      <c r="AQ17" s="1">
        <v>41</v>
      </c>
      <c r="AR17" s="1">
        <v>61</v>
      </c>
      <c r="AT17">
        <v>47</v>
      </c>
      <c r="AU17">
        <v>47</v>
      </c>
      <c r="AV17">
        <f t="shared" ca="1" si="0"/>
        <v>165</v>
      </c>
      <c r="AW17">
        <f t="shared" ca="1" si="1"/>
        <v>23</v>
      </c>
      <c r="AX17">
        <f t="shared" ca="1" si="2"/>
        <v>0</v>
      </c>
      <c r="AY17">
        <f t="shared" ca="1" si="3"/>
        <v>7.1739130434782608</v>
      </c>
      <c r="BC17" t="str">
        <f t="shared" si="4"/>
        <v>I</v>
      </c>
      <c r="BD17">
        <f t="shared" si="5"/>
        <v>13</v>
      </c>
    </row>
    <row r="18" spans="1:56" x14ac:dyDescent="0.2">
      <c r="A18" s="1">
        <v>13</v>
      </c>
      <c r="B18" s="1">
        <v>250090120014</v>
      </c>
      <c r="C18" s="1" t="s">
        <v>128</v>
      </c>
      <c r="D18" t="s">
        <v>129</v>
      </c>
      <c r="E18" t="s">
        <v>130</v>
      </c>
      <c r="F18">
        <v>31</v>
      </c>
      <c r="G18">
        <v>29</v>
      </c>
      <c r="H18" s="1">
        <v>60</v>
      </c>
      <c r="I18">
        <v>12</v>
      </c>
      <c r="J18">
        <v>18</v>
      </c>
      <c r="K18" s="1">
        <v>30</v>
      </c>
      <c r="L18">
        <v>31</v>
      </c>
      <c r="M18">
        <v>44</v>
      </c>
      <c r="N18" s="1">
        <v>75</v>
      </c>
      <c r="O18" s="1">
        <v>51</v>
      </c>
      <c r="P18" s="1">
        <v>38</v>
      </c>
      <c r="Q18" s="1">
        <v>89</v>
      </c>
      <c r="R18" s="1">
        <v>55</v>
      </c>
      <c r="S18">
        <v>30</v>
      </c>
      <c r="T18" s="1">
        <v>85</v>
      </c>
      <c r="U18" s="1"/>
      <c r="V18" s="1"/>
      <c r="W18" s="1"/>
      <c r="X18">
        <v>16</v>
      </c>
      <c r="Y18">
        <v>16</v>
      </c>
      <c r="Z18" s="1">
        <v>32</v>
      </c>
      <c r="AA18" s="1">
        <v>15</v>
      </c>
      <c r="AB18" s="1">
        <v>18</v>
      </c>
      <c r="AC18" s="1">
        <v>33</v>
      </c>
      <c r="AD18" s="1">
        <v>23</v>
      </c>
      <c r="AE18" s="1">
        <v>22</v>
      </c>
      <c r="AF18" s="1">
        <v>45</v>
      </c>
      <c r="AG18">
        <v>47</v>
      </c>
      <c r="AH18">
        <v>46</v>
      </c>
      <c r="AI18" s="1">
        <v>93</v>
      </c>
      <c r="AJ18" s="1">
        <v>21</v>
      </c>
      <c r="AK18" s="1">
        <v>21</v>
      </c>
      <c r="AL18" s="1">
        <v>42</v>
      </c>
      <c r="AM18" s="1">
        <v>25</v>
      </c>
      <c r="AN18" s="1">
        <v>25</v>
      </c>
      <c r="AO18" s="1">
        <v>50</v>
      </c>
      <c r="AP18" s="1">
        <v>19</v>
      </c>
      <c r="AQ18" s="1">
        <v>34</v>
      </c>
      <c r="AR18" s="1">
        <v>53</v>
      </c>
      <c r="AT18">
        <v>47</v>
      </c>
      <c r="AU18">
        <v>47</v>
      </c>
      <c r="AV18">
        <f t="shared" ca="1" si="0"/>
        <v>124.5</v>
      </c>
      <c r="AW18">
        <f t="shared" ca="1" si="1"/>
        <v>19</v>
      </c>
      <c r="AX18">
        <f t="shared" ca="1" si="2"/>
        <v>0</v>
      </c>
      <c r="AY18">
        <f t="shared" ca="1" si="3"/>
        <v>5.4130434782608692</v>
      </c>
      <c r="BC18" t="str">
        <f t="shared" si="4"/>
        <v>I</v>
      </c>
      <c r="BD18">
        <f t="shared" si="5"/>
        <v>13</v>
      </c>
    </row>
    <row r="19" spans="1:56" x14ac:dyDescent="0.2">
      <c r="A19" s="1">
        <v>14</v>
      </c>
      <c r="B19" s="1">
        <v>250090120015</v>
      </c>
      <c r="C19" s="1" t="s">
        <v>131</v>
      </c>
      <c r="D19" t="s">
        <v>132</v>
      </c>
      <c r="E19" t="s">
        <v>133</v>
      </c>
      <c r="F19">
        <v>22</v>
      </c>
      <c r="G19">
        <v>25</v>
      </c>
      <c r="H19" s="1">
        <v>47</v>
      </c>
      <c r="I19">
        <v>4</v>
      </c>
      <c r="J19">
        <v>18</v>
      </c>
      <c r="K19" s="1">
        <v>22</v>
      </c>
      <c r="L19">
        <v>20</v>
      </c>
      <c r="M19">
        <v>37</v>
      </c>
      <c r="N19" s="1">
        <v>57</v>
      </c>
      <c r="O19">
        <v>33</v>
      </c>
      <c r="P19">
        <v>37</v>
      </c>
      <c r="Q19" s="1">
        <v>70</v>
      </c>
      <c r="R19" s="1"/>
      <c r="T19" s="1">
        <v>0</v>
      </c>
      <c r="U19" s="1">
        <v>46</v>
      </c>
      <c r="V19" s="1">
        <v>30</v>
      </c>
      <c r="W19" s="1">
        <v>76</v>
      </c>
      <c r="X19">
        <v>15</v>
      </c>
      <c r="Y19">
        <v>13</v>
      </c>
      <c r="Z19" s="1">
        <v>28</v>
      </c>
      <c r="AA19" s="1">
        <v>16</v>
      </c>
      <c r="AB19" s="1">
        <v>18</v>
      </c>
      <c r="AC19" s="1">
        <v>34</v>
      </c>
      <c r="AD19" s="1">
        <v>22</v>
      </c>
      <c r="AE19" s="1">
        <v>21</v>
      </c>
      <c r="AF19" s="1">
        <v>43</v>
      </c>
      <c r="AG19">
        <v>40</v>
      </c>
      <c r="AH19">
        <v>38</v>
      </c>
      <c r="AI19" s="1">
        <v>78</v>
      </c>
      <c r="AJ19" s="1">
        <v>23</v>
      </c>
      <c r="AK19" s="1">
        <v>21</v>
      </c>
      <c r="AL19" s="1">
        <v>44</v>
      </c>
      <c r="AM19" s="1">
        <v>24</v>
      </c>
      <c r="AN19" s="1">
        <v>24</v>
      </c>
      <c r="AO19" s="1">
        <v>48</v>
      </c>
      <c r="AP19" s="1">
        <v>14</v>
      </c>
      <c r="AQ19" s="1">
        <v>26</v>
      </c>
      <c r="AR19" s="1">
        <v>40</v>
      </c>
      <c r="AT19">
        <v>47</v>
      </c>
      <c r="AU19">
        <v>47</v>
      </c>
      <c r="AV19">
        <f t="shared" ca="1" si="0"/>
        <v>77</v>
      </c>
      <c r="AW19">
        <f t="shared" ca="1" si="1"/>
        <v>11</v>
      </c>
      <c r="AX19">
        <f t="shared" ca="1" si="2"/>
        <v>0</v>
      </c>
      <c r="AY19">
        <f t="shared" ca="1" si="3"/>
        <v>3.347826086956522</v>
      </c>
      <c r="BC19" t="str">
        <f t="shared" si="4"/>
        <v>I</v>
      </c>
      <c r="BD19">
        <f t="shared" si="5"/>
        <v>13</v>
      </c>
    </row>
    <row r="20" spans="1:56" x14ac:dyDescent="0.2">
      <c r="A20" s="1">
        <v>15</v>
      </c>
      <c r="B20" s="1">
        <v>250090120016</v>
      </c>
      <c r="C20" s="1" t="s">
        <v>134</v>
      </c>
      <c r="D20" t="s">
        <v>135</v>
      </c>
      <c r="E20" t="s">
        <v>136</v>
      </c>
      <c r="F20">
        <v>30</v>
      </c>
      <c r="G20">
        <v>32</v>
      </c>
      <c r="H20" s="1">
        <v>62</v>
      </c>
      <c r="I20">
        <v>7</v>
      </c>
      <c r="J20">
        <v>21</v>
      </c>
      <c r="K20" s="1">
        <v>28</v>
      </c>
      <c r="L20">
        <v>33</v>
      </c>
      <c r="M20">
        <v>38</v>
      </c>
      <c r="N20" s="1">
        <v>71</v>
      </c>
      <c r="O20" s="1">
        <v>50</v>
      </c>
      <c r="P20" s="1">
        <v>37</v>
      </c>
      <c r="Q20" s="1">
        <v>87</v>
      </c>
      <c r="R20" s="1">
        <v>46</v>
      </c>
      <c r="S20">
        <v>31</v>
      </c>
      <c r="T20" s="1">
        <v>77</v>
      </c>
      <c r="U20" s="1"/>
      <c r="V20" s="1"/>
      <c r="W20" s="1"/>
      <c r="X20">
        <v>15</v>
      </c>
      <c r="Y20">
        <v>15</v>
      </c>
      <c r="Z20" s="1">
        <v>30</v>
      </c>
      <c r="AA20" s="1">
        <v>19</v>
      </c>
      <c r="AB20" s="1">
        <v>23</v>
      </c>
      <c r="AC20" s="1">
        <v>42</v>
      </c>
      <c r="AD20" s="1">
        <v>23</v>
      </c>
      <c r="AE20" s="1">
        <v>21</v>
      </c>
      <c r="AF20" s="1">
        <v>44</v>
      </c>
      <c r="AG20">
        <v>44</v>
      </c>
      <c r="AH20">
        <v>45</v>
      </c>
      <c r="AI20" s="1">
        <v>89</v>
      </c>
      <c r="AJ20" s="1">
        <v>23</v>
      </c>
      <c r="AK20" s="1">
        <v>23</v>
      </c>
      <c r="AL20" s="1">
        <v>46</v>
      </c>
      <c r="AM20" s="1">
        <v>24</v>
      </c>
      <c r="AN20" s="1">
        <v>24</v>
      </c>
      <c r="AO20" s="1">
        <v>48</v>
      </c>
      <c r="AP20" s="1">
        <v>14</v>
      </c>
      <c r="AQ20" s="1">
        <v>36</v>
      </c>
      <c r="AR20" s="1">
        <v>50</v>
      </c>
      <c r="AT20">
        <v>47</v>
      </c>
      <c r="AU20">
        <v>47</v>
      </c>
      <c r="AV20">
        <f t="shared" ca="1" si="0"/>
        <v>123.5</v>
      </c>
      <c r="AW20">
        <f t="shared" ca="1" si="1"/>
        <v>19</v>
      </c>
      <c r="AX20">
        <f t="shared" ca="1" si="2"/>
        <v>0</v>
      </c>
      <c r="AY20">
        <f t="shared" ca="1" si="3"/>
        <v>5.3695652173913047</v>
      </c>
      <c r="BC20" t="str">
        <f t="shared" si="4"/>
        <v>I</v>
      </c>
      <c r="BD20">
        <f t="shared" si="5"/>
        <v>13</v>
      </c>
    </row>
    <row r="21" spans="1:56" x14ac:dyDescent="0.2">
      <c r="A21" s="1">
        <v>16</v>
      </c>
      <c r="B21" s="1">
        <v>250090120017</v>
      </c>
      <c r="C21" s="1" t="s">
        <v>137</v>
      </c>
      <c r="D21" t="s">
        <v>138</v>
      </c>
      <c r="E21" t="s">
        <v>139</v>
      </c>
      <c r="F21">
        <v>23</v>
      </c>
      <c r="G21">
        <v>27</v>
      </c>
      <c r="H21" s="1">
        <v>50</v>
      </c>
      <c r="I21">
        <v>13</v>
      </c>
      <c r="J21">
        <v>20</v>
      </c>
      <c r="K21" s="1">
        <v>33</v>
      </c>
      <c r="L21">
        <v>34</v>
      </c>
      <c r="M21">
        <v>40</v>
      </c>
      <c r="N21" s="1">
        <v>74</v>
      </c>
      <c r="O21" s="1">
        <v>44</v>
      </c>
      <c r="P21" s="1">
        <v>40</v>
      </c>
      <c r="Q21" s="1">
        <v>84</v>
      </c>
      <c r="R21" s="1">
        <v>22</v>
      </c>
      <c r="S21">
        <v>24</v>
      </c>
      <c r="T21" s="1">
        <v>46</v>
      </c>
      <c r="U21" s="1"/>
      <c r="V21" s="1"/>
      <c r="W21" s="1"/>
      <c r="X21">
        <v>18</v>
      </c>
      <c r="Y21">
        <v>17</v>
      </c>
      <c r="Z21" s="1">
        <v>35</v>
      </c>
      <c r="AA21" s="1">
        <v>18</v>
      </c>
      <c r="AB21" s="1">
        <v>21</v>
      </c>
      <c r="AC21" s="1">
        <v>39</v>
      </c>
      <c r="AD21" s="1">
        <v>22</v>
      </c>
      <c r="AE21" s="1">
        <v>22</v>
      </c>
      <c r="AF21" s="1">
        <v>44</v>
      </c>
      <c r="AG21">
        <v>47</v>
      </c>
      <c r="AH21">
        <v>46</v>
      </c>
      <c r="AI21" s="1">
        <v>93</v>
      </c>
      <c r="AJ21" s="1">
        <v>23</v>
      </c>
      <c r="AK21" s="1">
        <v>23</v>
      </c>
      <c r="AL21" s="1">
        <v>46</v>
      </c>
      <c r="AM21" s="1">
        <v>23</v>
      </c>
      <c r="AN21" s="1">
        <v>23</v>
      </c>
      <c r="AO21" s="1">
        <v>46</v>
      </c>
      <c r="AP21" s="1">
        <v>17</v>
      </c>
      <c r="AQ21" s="1">
        <v>16</v>
      </c>
      <c r="AR21" s="1">
        <v>33</v>
      </c>
      <c r="AT21">
        <v>47</v>
      </c>
      <c r="AU21">
        <v>47</v>
      </c>
      <c r="AV21">
        <f t="shared" ca="1" si="0"/>
        <v>106.5</v>
      </c>
      <c r="AW21">
        <f t="shared" ca="1" si="1"/>
        <v>15</v>
      </c>
      <c r="AX21">
        <f t="shared" ca="1" si="2"/>
        <v>0</v>
      </c>
      <c r="AY21">
        <f t="shared" ca="1" si="3"/>
        <v>4.6304347826086953</v>
      </c>
      <c r="BC21" t="str">
        <f t="shared" si="4"/>
        <v>I</v>
      </c>
      <c r="BD21">
        <f t="shared" si="5"/>
        <v>13</v>
      </c>
    </row>
    <row r="22" spans="1:56" x14ac:dyDescent="0.2">
      <c r="A22" s="1">
        <v>17</v>
      </c>
      <c r="B22" s="1">
        <v>250090120018</v>
      </c>
      <c r="C22" s="1" t="s">
        <v>140</v>
      </c>
      <c r="D22" t="s">
        <v>141</v>
      </c>
      <c r="E22" t="s">
        <v>142</v>
      </c>
      <c r="F22" t="s">
        <v>84</v>
      </c>
      <c r="G22" t="s">
        <v>84</v>
      </c>
      <c r="H22" s="1">
        <v>0</v>
      </c>
      <c r="I22" t="s">
        <v>84</v>
      </c>
      <c r="J22" t="s">
        <v>84</v>
      </c>
      <c r="K22" s="1">
        <v>0</v>
      </c>
      <c r="L22" t="s">
        <v>10</v>
      </c>
      <c r="M22" t="s">
        <v>84</v>
      </c>
      <c r="N22" s="1">
        <v>0</v>
      </c>
      <c r="O22" s="1" t="s">
        <v>10</v>
      </c>
      <c r="P22" s="1" t="s">
        <v>84</v>
      </c>
      <c r="Q22" s="1">
        <v>0</v>
      </c>
      <c r="R22" s="1" t="s">
        <v>84</v>
      </c>
      <c r="S22" t="s">
        <v>84</v>
      </c>
      <c r="T22" s="1">
        <v>0</v>
      </c>
      <c r="U22" s="1"/>
      <c r="V22" s="1"/>
      <c r="W22" s="1"/>
      <c r="X22" t="s">
        <v>84</v>
      </c>
      <c r="Y22" t="s">
        <v>84</v>
      </c>
      <c r="Z22" s="1">
        <v>0</v>
      </c>
      <c r="AA22" s="1" t="s">
        <v>10</v>
      </c>
      <c r="AB22" s="1" t="s">
        <v>10</v>
      </c>
      <c r="AC22" s="1">
        <v>0</v>
      </c>
      <c r="AD22" s="1" t="s">
        <v>84</v>
      </c>
      <c r="AE22" s="1" t="s">
        <v>84</v>
      </c>
      <c r="AF22" s="1">
        <v>0</v>
      </c>
      <c r="AG22" t="s">
        <v>84</v>
      </c>
      <c r="AH22" t="s">
        <v>84</v>
      </c>
      <c r="AI22" s="1">
        <v>0</v>
      </c>
      <c r="AJ22" s="1" t="s">
        <v>84</v>
      </c>
      <c r="AK22" s="1" t="s">
        <v>84</v>
      </c>
      <c r="AL22" s="1">
        <v>0</v>
      </c>
      <c r="AM22" s="1" t="s">
        <v>84</v>
      </c>
      <c r="AN22" s="1" t="s">
        <v>84</v>
      </c>
      <c r="AO22" s="1">
        <v>0</v>
      </c>
      <c r="AP22" s="1" t="s">
        <v>10</v>
      </c>
      <c r="AQ22" s="1" t="s">
        <v>10</v>
      </c>
      <c r="AR22" s="1">
        <v>0</v>
      </c>
      <c r="AT22">
        <v>47</v>
      </c>
      <c r="AU22">
        <v>47</v>
      </c>
      <c r="AV22">
        <f t="shared" ca="1" si="0"/>
        <v>0</v>
      </c>
      <c r="AW22">
        <f t="shared" ca="1" si="1"/>
        <v>0</v>
      </c>
      <c r="AX22">
        <f t="shared" ca="1" si="2"/>
        <v>0</v>
      </c>
      <c r="AY22">
        <f t="shared" ca="1" si="3"/>
        <v>0</v>
      </c>
      <c r="BC22" t="str">
        <f t="shared" si="4"/>
        <v>I</v>
      </c>
      <c r="BD22">
        <f t="shared" si="5"/>
        <v>13</v>
      </c>
    </row>
    <row r="23" spans="1:56" x14ac:dyDescent="0.2">
      <c r="A23" s="1">
        <v>18</v>
      </c>
      <c r="B23" s="1">
        <v>250090120019</v>
      </c>
      <c r="C23" s="1" t="s">
        <v>143</v>
      </c>
      <c r="D23" t="s">
        <v>144</v>
      </c>
      <c r="E23" t="s">
        <v>145</v>
      </c>
      <c r="F23">
        <v>31</v>
      </c>
      <c r="G23">
        <v>28</v>
      </c>
      <c r="H23" s="1">
        <v>59</v>
      </c>
      <c r="I23">
        <v>13</v>
      </c>
      <c r="J23">
        <v>14</v>
      </c>
      <c r="K23" s="1">
        <v>27</v>
      </c>
      <c r="L23">
        <v>51</v>
      </c>
      <c r="M23">
        <v>41</v>
      </c>
      <c r="N23" s="1">
        <v>92</v>
      </c>
      <c r="O23" s="1">
        <v>49</v>
      </c>
      <c r="P23" s="1">
        <v>37</v>
      </c>
      <c r="Q23" s="1">
        <v>86</v>
      </c>
      <c r="R23" s="1">
        <v>45</v>
      </c>
      <c r="S23">
        <v>28</v>
      </c>
      <c r="T23" s="1">
        <v>73</v>
      </c>
      <c r="U23" s="1"/>
      <c r="V23" s="1"/>
      <c r="W23" s="1"/>
      <c r="X23">
        <v>19</v>
      </c>
      <c r="Y23">
        <v>18</v>
      </c>
      <c r="Z23" s="1">
        <v>37</v>
      </c>
      <c r="AA23" s="1">
        <v>15</v>
      </c>
      <c r="AB23" s="1">
        <v>20</v>
      </c>
      <c r="AC23" s="1">
        <v>35</v>
      </c>
      <c r="AD23" s="1">
        <v>20</v>
      </c>
      <c r="AE23" s="1">
        <v>21</v>
      </c>
      <c r="AF23" s="1">
        <v>41</v>
      </c>
      <c r="AG23">
        <v>48</v>
      </c>
      <c r="AH23">
        <v>48</v>
      </c>
      <c r="AI23" s="1">
        <v>96</v>
      </c>
      <c r="AJ23" s="1">
        <v>22</v>
      </c>
      <c r="AK23" s="1">
        <v>23</v>
      </c>
      <c r="AL23" s="1">
        <v>45</v>
      </c>
      <c r="AM23" s="1">
        <v>24</v>
      </c>
      <c r="AN23" s="1">
        <v>24</v>
      </c>
      <c r="AO23" s="1">
        <v>48</v>
      </c>
      <c r="AP23" s="1">
        <v>19</v>
      </c>
      <c r="AQ23" s="1">
        <v>33</v>
      </c>
      <c r="AR23" s="1">
        <v>52</v>
      </c>
      <c r="AT23">
        <v>47</v>
      </c>
      <c r="AU23">
        <v>47</v>
      </c>
      <c r="AV23">
        <f t="shared" ca="1" si="0"/>
        <v>113</v>
      </c>
      <c r="AW23">
        <f t="shared" ca="1" si="1"/>
        <v>15</v>
      </c>
      <c r="AX23">
        <f t="shared" ca="1" si="2"/>
        <v>0</v>
      </c>
      <c r="AY23">
        <f t="shared" ca="1" si="3"/>
        <v>4.9130434782608692</v>
      </c>
      <c r="BC23" t="str">
        <f t="shared" si="4"/>
        <v>I</v>
      </c>
      <c r="BD23">
        <f t="shared" si="5"/>
        <v>13</v>
      </c>
    </row>
    <row r="24" spans="1:56" x14ac:dyDescent="0.2">
      <c r="A24" s="1">
        <v>19</v>
      </c>
      <c r="B24" s="1">
        <v>250090120020</v>
      </c>
      <c r="C24" s="1" t="s">
        <v>146</v>
      </c>
      <c r="D24" t="s">
        <v>147</v>
      </c>
      <c r="E24" t="s">
        <v>148</v>
      </c>
      <c r="F24">
        <v>30</v>
      </c>
      <c r="G24">
        <v>31</v>
      </c>
      <c r="H24" s="1">
        <v>61</v>
      </c>
      <c r="I24">
        <v>13</v>
      </c>
      <c r="J24">
        <v>23</v>
      </c>
      <c r="K24" s="1">
        <v>36</v>
      </c>
      <c r="L24">
        <v>56</v>
      </c>
      <c r="M24">
        <v>40</v>
      </c>
      <c r="N24" s="1">
        <v>96</v>
      </c>
      <c r="O24" s="1">
        <v>44</v>
      </c>
      <c r="P24" s="1">
        <v>42</v>
      </c>
      <c r="Q24" s="1">
        <v>86</v>
      </c>
      <c r="R24" s="1">
        <v>30</v>
      </c>
      <c r="S24">
        <v>30</v>
      </c>
      <c r="T24" s="1">
        <v>60</v>
      </c>
      <c r="U24" s="1"/>
      <c r="V24" s="1"/>
      <c r="W24" s="1"/>
      <c r="X24">
        <v>19</v>
      </c>
      <c r="Y24">
        <v>15</v>
      </c>
      <c r="Z24" s="1">
        <v>34</v>
      </c>
      <c r="AA24" s="1">
        <v>16</v>
      </c>
      <c r="AB24" s="1">
        <v>18</v>
      </c>
      <c r="AC24" s="1">
        <v>34</v>
      </c>
      <c r="AD24" s="1">
        <v>22</v>
      </c>
      <c r="AE24" s="1">
        <v>23</v>
      </c>
      <c r="AF24" s="1">
        <v>45</v>
      </c>
      <c r="AG24">
        <v>43</v>
      </c>
      <c r="AH24">
        <v>40</v>
      </c>
      <c r="AI24" s="1">
        <v>83</v>
      </c>
      <c r="AJ24" s="1">
        <v>22</v>
      </c>
      <c r="AK24" s="1">
        <v>19</v>
      </c>
      <c r="AL24" s="1">
        <v>41</v>
      </c>
      <c r="AM24" s="1">
        <v>24</v>
      </c>
      <c r="AN24" s="1">
        <v>24</v>
      </c>
      <c r="AO24" s="1">
        <v>48</v>
      </c>
      <c r="AP24" s="1">
        <v>17</v>
      </c>
      <c r="AQ24" s="1">
        <v>33</v>
      </c>
      <c r="AR24" s="1">
        <v>50</v>
      </c>
      <c r="AT24">
        <v>47</v>
      </c>
      <c r="AU24">
        <v>47</v>
      </c>
      <c r="AV24">
        <f t="shared" ca="1" si="0"/>
        <v>127</v>
      </c>
      <c r="AW24">
        <f t="shared" ca="1" si="1"/>
        <v>19</v>
      </c>
      <c r="AX24">
        <f t="shared" ca="1" si="2"/>
        <v>0</v>
      </c>
      <c r="AY24">
        <f t="shared" ca="1" si="3"/>
        <v>5.5217391304347823</v>
      </c>
      <c r="BC24" t="str">
        <f t="shared" si="4"/>
        <v>I</v>
      </c>
      <c r="BD24">
        <f t="shared" si="5"/>
        <v>13</v>
      </c>
    </row>
    <row r="25" spans="1:56" x14ac:dyDescent="0.2">
      <c r="A25" s="1">
        <v>20</v>
      </c>
      <c r="B25" s="1">
        <v>250090120021</v>
      </c>
      <c r="C25" s="1" t="s">
        <v>149</v>
      </c>
      <c r="D25" t="s">
        <v>150</v>
      </c>
      <c r="E25" t="s">
        <v>151</v>
      </c>
      <c r="F25">
        <v>35</v>
      </c>
      <c r="G25">
        <v>34</v>
      </c>
      <c r="H25" s="1">
        <v>69</v>
      </c>
      <c r="I25">
        <v>4</v>
      </c>
      <c r="J25">
        <v>18</v>
      </c>
      <c r="K25" s="1">
        <v>22</v>
      </c>
      <c r="L25">
        <v>47</v>
      </c>
      <c r="M25">
        <v>40</v>
      </c>
      <c r="N25" s="1">
        <v>87</v>
      </c>
      <c r="O25" s="1">
        <v>49</v>
      </c>
      <c r="P25" s="1">
        <v>37</v>
      </c>
      <c r="Q25" s="1">
        <v>86</v>
      </c>
      <c r="R25" s="1">
        <v>48</v>
      </c>
      <c r="S25">
        <v>33</v>
      </c>
      <c r="T25" s="1">
        <v>81</v>
      </c>
      <c r="U25" s="1"/>
      <c r="V25" s="1"/>
      <c r="W25" s="1"/>
      <c r="X25">
        <v>17</v>
      </c>
      <c r="Y25">
        <v>17</v>
      </c>
      <c r="Z25" s="1">
        <v>34</v>
      </c>
      <c r="AA25" s="1">
        <v>21</v>
      </c>
      <c r="AB25" s="1">
        <v>23</v>
      </c>
      <c r="AC25" s="1">
        <v>44</v>
      </c>
      <c r="AD25" s="1">
        <v>24</v>
      </c>
      <c r="AE25" s="1">
        <v>22</v>
      </c>
      <c r="AF25" s="1">
        <v>46</v>
      </c>
      <c r="AG25">
        <v>48</v>
      </c>
      <c r="AH25">
        <v>49</v>
      </c>
      <c r="AI25" s="1">
        <v>97</v>
      </c>
      <c r="AJ25" s="1">
        <v>22</v>
      </c>
      <c r="AK25" s="1">
        <v>23</v>
      </c>
      <c r="AL25" s="1">
        <v>45</v>
      </c>
      <c r="AM25" s="1">
        <v>24</v>
      </c>
      <c r="AN25" s="1">
        <v>24</v>
      </c>
      <c r="AO25" s="1">
        <v>48</v>
      </c>
      <c r="AP25" s="1">
        <v>19</v>
      </c>
      <c r="AQ25" s="1">
        <v>33</v>
      </c>
      <c r="AR25" s="1">
        <v>52</v>
      </c>
      <c r="AT25">
        <v>47</v>
      </c>
      <c r="AU25">
        <v>47</v>
      </c>
      <c r="AV25">
        <f t="shared" ca="1" si="0"/>
        <v>133</v>
      </c>
      <c r="AW25">
        <f t="shared" ca="1" si="1"/>
        <v>19</v>
      </c>
      <c r="AX25">
        <f t="shared" ca="1" si="2"/>
        <v>0</v>
      </c>
      <c r="AY25">
        <f t="shared" ca="1" si="3"/>
        <v>5.7826086956521738</v>
      </c>
      <c r="BC25" t="str">
        <f t="shared" si="4"/>
        <v>I</v>
      </c>
      <c r="BD25">
        <f t="shared" si="5"/>
        <v>13</v>
      </c>
    </row>
    <row r="26" spans="1:56" x14ac:dyDescent="0.2">
      <c r="A26" s="1">
        <v>21</v>
      </c>
      <c r="B26" s="1">
        <v>250090120022</v>
      </c>
      <c r="C26" s="1" t="s">
        <v>152</v>
      </c>
      <c r="D26" t="s">
        <v>153</v>
      </c>
      <c r="E26" t="s">
        <v>154</v>
      </c>
      <c r="F26">
        <v>25</v>
      </c>
      <c r="G26">
        <v>26</v>
      </c>
      <c r="H26" s="1">
        <v>51</v>
      </c>
      <c r="I26">
        <v>12</v>
      </c>
      <c r="J26">
        <v>18</v>
      </c>
      <c r="K26" s="1">
        <v>30</v>
      </c>
      <c r="L26">
        <v>30</v>
      </c>
      <c r="M26">
        <v>32</v>
      </c>
      <c r="N26" s="1">
        <v>62</v>
      </c>
      <c r="O26" s="1">
        <v>35</v>
      </c>
      <c r="P26" s="1">
        <v>33</v>
      </c>
      <c r="Q26" s="1">
        <v>68</v>
      </c>
      <c r="R26" s="1"/>
      <c r="T26" s="1"/>
      <c r="U26" s="1">
        <v>48</v>
      </c>
      <c r="V26" s="1">
        <v>33</v>
      </c>
      <c r="W26" s="1">
        <v>81</v>
      </c>
      <c r="X26">
        <v>16</v>
      </c>
      <c r="Y26">
        <v>14</v>
      </c>
      <c r="Z26" s="1">
        <v>30</v>
      </c>
      <c r="AA26" s="1">
        <v>14</v>
      </c>
      <c r="AB26" s="1">
        <v>18</v>
      </c>
      <c r="AC26" s="1">
        <v>32</v>
      </c>
      <c r="AD26" s="1">
        <v>21</v>
      </c>
      <c r="AE26" s="1">
        <v>21</v>
      </c>
      <c r="AF26" s="1">
        <v>42</v>
      </c>
      <c r="AG26">
        <v>46</v>
      </c>
      <c r="AH26">
        <v>46</v>
      </c>
      <c r="AI26" s="1">
        <v>92</v>
      </c>
      <c r="AJ26" s="1">
        <v>23</v>
      </c>
      <c r="AK26" s="1">
        <v>23</v>
      </c>
      <c r="AL26" s="1">
        <v>46</v>
      </c>
      <c r="AM26" s="1">
        <v>22</v>
      </c>
      <c r="AN26" s="1">
        <v>22</v>
      </c>
      <c r="AO26" s="1">
        <v>44</v>
      </c>
      <c r="AP26" s="1">
        <v>17</v>
      </c>
      <c r="AQ26" s="1">
        <v>27</v>
      </c>
      <c r="AR26" s="1">
        <v>44</v>
      </c>
      <c r="AT26">
        <v>47</v>
      </c>
      <c r="AU26">
        <v>47</v>
      </c>
      <c r="AV26">
        <f t="shared" ca="1" si="0"/>
        <v>97</v>
      </c>
      <c r="AW26">
        <f t="shared" ca="1" si="1"/>
        <v>15</v>
      </c>
      <c r="AX26">
        <f t="shared" ca="1" si="2"/>
        <v>0</v>
      </c>
      <c r="AY26">
        <f t="shared" ca="1" si="3"/>
        <v>4.2173913043478262</v>
      </c>
      <c r="BC26" t="str">
        <f t="shared" si="4"/>
        <v>I</v>
      </c>
      <c r="BD26">
        <f t="shared" si="5"/>
        <v>13</v>
      </c>
    </row>
    <row r="27" spans="1:56" x14ac:dyDescent="0.2">
      <c r="A27" s="1">
        <v>22</v>
      </c>
      <c r="B27" s="1">
        <v>250090120023</v>
      </c>
      <c r="C27" s="1" t="s">
        <v>155</v>
      </c>
      <c r="D27" t="s">
        <v>156</v>
      </c>
      <c r="E27" t="s">
        <v>157</v>
      </c>
      <c r="F27">
        <v>42</v>
      </c>
      <c r="G27">
        <v>31</v>
      </c>
      <c r="H27" s="1">
        <v>73</v>
      </c>
      <c r="I27">
        <v>15</v>
      </c>
      <c r="J27">
        <v>18</v>
      </c>
      <c r="K27" s="1">
        <v>33</v>
      </c>
      <c r="L27">
        <v>32</v>
      </c>
      <c r="M27">
        <v>37</v>
      </c>
      <c r="N27" s="1">
        <v>69</v>
      </c>
      <c r="O27" s="1">
        <v>48</v>
      </c>
      <c r="P27" s="1">
        <v>42</v>
      </c>
      <c r="Q27" s="1">
        <v>90</v>
      </c>
      <c r="R27" s="1">
        <v>49</v>
      </c>
      <c r="S27">
        <v>29</v>
      </c>
      <c r="T27" s="1">
        <v>78</v>
      </c>
      <c r="U27" s="1"/>
      <c r="V27" s="1"/>
      <c r="W27" s="1"/>
      <c r="X27">
        <v>19</v>
      </c>
      <c r="Y27">
        <v>17</v>
      </c>
      <c r="Z27" s="1">
        <v>36</v>
      </c>
      <c r="AA27" s="1">
        <v>18</v>
      </c>
      <c r="AB27" s="1">
        <v>19</v>
      </c>
      <c r="AC27" s="1">
        <v>37</v>
      </c>
      <c r="AD27" s="1">
        <v>21</v>
      </c>
      <c r="AE27" s="1">
        <v>22</v>
      </c>
      <c r="AF27" s="1">
        <v>43</v>
      </c>
      <c r="AG27">
        <v>46</v>
      </c>
      <c r="AH27">
        <v>45</v>
      </c>
      <c r="AI27" s="1">
        <v>91</v>
      </c>
      <c r="AJ27" s="1">
        <v>22</v>
      </c>
      <c r="AK27" s="1">
        <v>23</v>
      </c>
      <c r="AL27" s="1">
        <v>45</v>
      </c>
      <c r="AM27" s="1">
        <v>23</v>
      </c>
      <c r="AN27" s="1">
        <v>23</v>
      </c>
      <c r="AO27" s="1">
        <v>46</v>
      </c>
      <c r="AP27" s="1">
        <v>15</v>
      </c>
      <c r="AQ27" s="1">
        <v>34</v>
      </c>
      <c r="AR27" s="1">
        <v>49</v>
      </c>
      <c r="AT27">
        <v>48</v>
      </c>
      <c r="AU27">
        <v>48</v>
      </c>
      <c r="AV27">
        <f t="shared" ca="1" si="0"/>
        <v>128</v>
      </c>
      <c r="AW27">
        <f t="shared" ca="1" si="1"/>
        <v>19</v>
      </c>
      <c r="AX27">
        <f t="shared" ca="1" si="2"/>
        <v>0</v>
      </c>
      <c r="AY27">
        <f t="shared" ca="1" si="3"/>
        <v>5.5652173913043477</v>
      </c>
      <c r="BC27" t="str">
        <f t="shared" si="4"/>
        <v>I</v>
      </c>
      <c r="BD27">
        <f t="shared" si="5"/>
        <v>13</v>
      </c>
    </row>
    <row r="28" spans="1:56" x14ac:dyDescent="0.2">
      <c r="A28" s="1">
        <v>23</v>
      </c>
      <c r="B28" s="1">
        <v>250090120024</v>
      </c>
      <c r="C28" s="1" t="s">
        <v>158</v>
      </c>
      <c r="D28" t="s">
        <v>159</v>
      </c>
      <c r="E28" t="s">
        <v>160</v>
      </c>
      <c r="F28">
        <v>52</v>
      </c>
      <c r="G28">
        <v>33</v>
      </c>
      <c r="H28" s="1">
        <v>85</v>
      </c>
      <c r="I28">
        <v>13</v>
      </c>
      <c r="J28">
        <v>20</v>
      </c>
      <c r="K28" s="1">
        <v>33</v>
      </c>
      <c r="L28">
        <v>36</v>
      </c>
      <c r="M28">
        <v>32</v>
      </c>
      <c r="N28" s="1">
        <v>68</v>
      </c>
      <c r="O28" s="1">
        <v>48</v>
      </c>
      <c r="P28" s="1">
        <v>36</v>
      </c>
      <c r="Q28" s="1">
        <v>84</v>
      </c>
      <c r="R28">
        <v>52</v>
      </c>
      <c r="S28">
        <v>27</v>
      </c>
      <c r="T28" s="1">
        <v>79</v>
      </c>
      <c r="U28" s="1"/>
      <c r="V28" s="1"/>
      <c r="W28" s="1"/>
      <c r="X28">
        <v>15</v>
      </c>
      <c r="Y28">
        <v>16</v>
      </c>
      <c r="Z28" s="1">
        <v>31</v>
      </c>
      <c r="AA28" s="1">
        <v>18</v>
      </c>
      <c r="AB28" s="1">
        <v>22</v>
      </c>
      <c r="AC28" s="1">
        <v>40</v>
      </c>
      <c r="AD28" s="1">
        <v>22</v>
      </c>
      <c r="AE28" s="1">
        <v>20</v>
      </c>
      <c r="AF28" s="1">
        <v>42</v>
      </c>
      <c r="AG28">
        <v>45</v>
      </c>
      <c r="AH28">
        <v>43</v>
      </c>
      <c r="AI28" s="1">
        <v>88</v>
      </c>
      <c r="AJ28" s="1">
        <v>22</v>
      </c>
      <c r="AK28" s="1">
        <v>22</v>
      </c>
      <c r="AL28" s="1">
        <v>44</v>
      </c>
      <c r="AM28" s="1">
        <v>23</v>
      </c>
      <c r="AN28" s="1">
        <v>23</v>
      </c>
      <c r="AO28" s="1">
        <v>46</v>
      </c>
      <c r="AP28" s="1">
        <v>18</v>
      </c>
      <c r="AQ28" s="1">
        <v>32</v>
      </c>
      <c r="AR28" s="1">
        <v>50</v>
      </c>
      <c r="AT28">
        <v>47</v>
      </c>
      <c r="AU28">
        <v>47</v>
      </c>
      <c r="AV28">
        <f t="shared" ca="1" si="0"/>
        <v>128</v>
      </c>
      <c r="AW28">
        <f t="shared" ca="1" si="1"/>
        <v>19</v>
      </c>
      <c r="AX28">
        <f t="shared" ca="1" si="2"/>
        <v>0</v>
      </c>
      <c r="AY28">
        <f t="shared" ca="1" si="3"/>
        <v>5.5652173913043477</v>
      </c>
      <c r="BC28" t="str">
        <f t="shared" si="4"/>
        <v>I</v>
      </c>
      <c r="BD28">
        <f t="shared" si="5"/>
        <v>13</v>
      </c>
    </row>
    <row r="29" spans="1:56" x14ac:dyDescent="0.2">
      <c r="A29" s="1">
        <v>24</v>
      </c>
      <c r="B29" s="1">
        <v>250090120025</v>
      </c>
      <c r="C29" s="1" t="s">
        <v>161</v>
      </c>
      <c r="D29" t="s">
        <v>162</v>
      </c>
      <c r="E29" t="s">
        <v>163</v>
      </c>
      <c r="F29">
        <v>22</v>
      </c>
      <c r="G29">
        <v>26</v>
      </c>
      <c r="H29" s="1">
        <v>48</v>
      </c>
      <c r="I29">
        <v>13</v>
      </c>
      <c r="J29">
        <v>18</v>
      </c>
      <c r="K29" s="1">
        <v>31</v>
      </c>
      <c r="L29">
        <v>24</v>
      </c>
      <c r="M29">
        <v>39</v>
      </c>
      <c r="N29" s="1">
        <v>63</v>
      </c>
      <c r="O29" s="1">
        <v>30</v>
      </c>
      <c r="P29" s="1">
        <v>30</v>
      </c>
      <c r="Q29" s="1">
        <v>60</v>
      </c>
      <c r="R29" s="1">
        <v>15</v>
      </c>
      <c r="S29">
        <v>23</v>
      </c>
      <c r="T29" s="1">
        <v>38</v>
      </c>
      <c r="U29" s="1"/>
      <c r="V29" s="1"/>
      <c r="W29" s="1"/>
      <c r="X29">
        <v>15</v>
      </c>
      <c r="Y29">
        <v>17</v>
      </c>
      <c r="Z29" s="1">
        <v>32</v>
      </c>
      <c r="AA29" s="1">
        <v>17</v>
      </c>
      <c r="AB29" s="1">
        <v>17</v>
      </c>
      <c r="AC29" s="1">
        <v>34</v>
      </c>
      <c r="AD29" s="1">
        <v>18</v>
      </c>
      <c r="AE29" s="1">
        <v>20</v>
      </c>
      <c r="AF29" s="1">
        <v>38</v>
      </c>
      <c r="AG29">
        <v>44</v>
      </c>
      <c r="AH29">
        <v>42</v>
      </c>
      <c r="AI29" s="1">
        <v>86</v>
      </c>
      <c r="AJ29" s="1">
        <v>23</v>
      </c>
      <c r="AK29" s="1">
        <v>23</v>
      </c>
      <c r="AL29" s="1">
        <v>46</v>
      </c>
      <c r="AM29" s="1">
        <v>25</v>
      </c>
      <c r="AN29" s="1">
        <v>25</v>
      </c>
      <c r="AO29" s="1">
        <v>50</v>
      </c>
      <c r="AP29" s="1">
        <v>18</v>
      </c>
      <c r="AQ29" s="1">
        <v>28</v>
      </c>
      <c r="AR29" s="1">
        <v>46</v>
      </c>
      <c r="AT29">
        <v>47</v>
      </c>
      <c r="AU29">
        <v>47</v>
      </c>
      <c r="AV29">
        <f t="shared" ca="1" si="0"/>
        <v>77</v>
      </c>
      <c r="AW29">
        <f t="shared" ca="1" si="1"/>
        <v>11</v>
      </c>
      <c r="AX29">
        <f t="shared" ca="1" si="2"/>
        <v>0</v>
      </c>
      <c r="AY29">
        <f t="shared" ca="1" si="3"/>
        <v>3.347826086956522</v>
      </c>
      <c r="BC29" t="str">
        <f t="shared" si="4"/>
        <v>I</v>
      </c>
      <c r="BD29">
        <f t="shared" si="5"/>
        <v>13</v>
      </c>
    </row>
    <row r="30" spans="1:56" x14ac:dyDescent="0.2">
      <c r="A30" s="1">
        <v>25</v>
      </c>
      <c r="B30" s="1">
        <v>250090120026</v>
      </c>
      <c r="C30" s="1" t="s">
        <v>164</v>
      </c>
      <c r="D30" t="s">
        <v>165</v>
      </c>
      <c r="E30" t="s">
        <v>166</v>
      </c>
      <c r="F30">
        <v>71</v>
      </c>
      <c r="G30">
        <v>44</v>
      </c>
      <c r="H30" s="1">
        <v>115</v>
      </c>
      <c r="I30">
        <v>71</v>
      </c>
      <c r="J30">
        <v>39</v>
      </c>
      <c r="K30" s="1">
        <v>110</v>
      </c>
      <c r="L30">
        <v>54</v>
      </c>
      <c r="M30">
        <v>38</v>
      </c>
      <c r="N30" s="1">
        <v>92</v>
      </c>
      <c r="O30" s="1">
        <v>89</v>
      </c>
      <c r="P30" s="1">
        <v>50</v>
      </c>
      <c r="Q30" s="1">
        <v>139</v>
      </c>
      <c r="R30" s="1">
        <v>99</v>
      </c>
      <c r="S30">
        <v>49</v>
      </c>
      <c r="T30" s="1">
        <v>148</v>
      </c>
      <c r="U30" s="1"/>
      <c r="V30" s="1"/>
      <c r="W30" s="1"/>
      <c r="X30">
        <v>22</v>
      </c>
      <c r="Y30">
        <v>20</v>
      </c>
      <c r="Z30" s="1">
        <v>42</v>
      </c>
      <c r="AA30" s="1">
        <v>19</v>
      </c>
      <c r="AB30" s="1">
        <v>21</v>
      </c>
      <c r="AC30" s="1">
        <v>40</v>
      </c>
      <c r="AD30" s="1">
        <v>24</v>
      </c>
      <c r="AE30" s="1">
        <v>24</v>
      </c>
      <c r="AF30" s="1">
        <v>48</v>
      </c>
      <c r="AG30">
        <v>43</v>
      </c>
      <c r="AH30">
        <v>42</v>
      </c>
      <c r="AI30" s="1">
        <v>85</v>
      </c>
      <c r="AJ30" s="1">
        <v>23</v>
      </c>
      <c r="AK30" s="1">
        <v>21</v>
      </c>
      <c r="AL30" s="1">
        <v>44</v>
      </c>
      <c r="AM30" s="1">
        <v>25</v>
      </c>
      <c r="AN30" s="1">
        <v>25</v>
      </c>
      <c r="AO30" s="1">
        <v>50</v>
      </c>
      <c r="AP30" s="1">
        <v>19</v>
      </c>
      <c r="AQ30" s="1">
        <v>44</v>
      </c>
      <c r="AR30" s="1">
        <v>63</v>
      </c>
      <c r="AT30">
        <v>47</v>
      </c>
      <c r="AU30">
        <v>47</v>
      </c>
      <c r="AV30">
        <f t="shared" ca="1" si="0"/>
        <v>190</v>
      </c>
      <c r="AW30">
        <f t="shared" ca="1" si="1"/>
        <v>23</v>
      </c>
      <c r="AX30">
        <f t="shared" ca="1" si="2"/>
        <v>0</v>
      </c>
      <c r="AY30">
        <f t="shared" ca="1" si="3"/>
        <v>8.2608695652173907</v>
      </c>
      <c r="BC30" t="str">
        <f t="shared" si="4"/>
        <v>I</v>
      </c>
      <c r="BD30">
        <f t="shared" si="5"/>
        <v>13</v>
      </c>
    </row>
    <row r="31" spans="1:56" x14ac:dyDescent="0.2">
      <c r="A31" s="1">
        <v>26</v>
      </c>
      <c r="B31" s="1">
        <v>250090120027</v>
      </c>
      <c r="C31" s="1" t="s">
        <v>167</v>
      </c>
      <c r="D31" t="s">
        <v>168</v>
      </c>
      <c r="E31" t="s">
        <v>169</v>
      </c>
      <c r="F31">
        <v>20</v>
      </c>
      <c r="G31">
        <v>25</v>
      </c>
      <c r="H31" s="1">
        <v>45</v>
      </c>
      <c r="I31">
        <v>6</v>
      </c>
      <c r="J31">
        <v>11</v>
      </c>
      <c r="K31" s="1">
        <v>17</v>
      </c>
      <c r="L31">
        <v>17</v>
      </c>
      <c r="M31">
        <v>35</v>
      </c>
      <c r="N31" s="1">
        <v>52</v>
      </c>
      <c r="O31" s="1">
        <v>38</v>
      </c>
      <c r="P31" s="1">
        <v>27</v>
      </c>
      <c r="Q31" s="1">
        <v>65</v>
      </c>
      <c r="R31" s="1">
        <v>39</v>
      </c>
      <c r="S31">
        <v>21</v>
      </c>
      <c r="T31" s="1">
        <v>60</v>
      </c>
      <c r="U31" s="1"/>
      <c r="V31" s="1"/>
      <c r="W31" s="1"/>
      <c r="X31">
        <v>15</v>
      </c>
      <c r="Y31">
        <v>15</v>
      </c>
      <c r="Z31" s="1">
        <v>30</v>
      </c>
      <c r="AA31" s="1">
        <v>15</v>
      </c>
      <c r="AB31" s="1">
        <v>17</v>
      </c>
      <c r="AC31" s="1">
        <v>32</v>
      </c>
      <c r="AD31" s="1">
        <v>20</v>
      </c>
      <c r="AE31" s="1">
        <v>21</v>
      </c>
      <c r="AF31" s="1">
        <v>41</v>
      </c>
      <c r="AG31">
        <v>42</v>
      </c>
      <c r="AH31">
        <v>41</v>
      </c>
      <c r="AI31" s="1">
        <v>83</v>
      </c>
      <c r="AJ31" s="1">
        <v>17</v>
      </c>
      <c r="AK31" s="1">
        <v>18</v>
      </c>
      <c r="AL31" s="1">
        <v>35</v>
      </c>
      <c r="AM31" s="1">
        <v>24</v>
      </c>
      <c r="AN31" s="1">
        <v>24</v>
      </c>
      <c r="AO31" s="1">
        <v>48</v>
      </c>
      <c r="AP31" s="1">
        <v>18</v>
      </c>
      <c r="AQ31" s="1">
        <v>30</v>
      </c>
      <c r="AR31" s="1">
        <v>48</v>
      </c>
      <c r="AT31">
        <v>47</v>
      </c>
      <c r="AU31">
        <v>47</v>
      </c>
      <c r="AV31">
        <f t="shared" ca="1" si="0"/>
        <v>74</v>
      </c>
      <c r="AW31">
        <f t="shared" ca="1" si="1"/>
        <v>11</v>
      </c>
      <c r="AX31">
        <f t="shared" ca="1" si="2"/>
        <v>0</v>
      </c>
      <c r="AY31">
        <f t="shared" ca="1" si="3"/>
        <v>3.2173913043478262</v>
      </c>
      <c r="BC31" t="str">
        <f t="shared" si="4"/>
        <v>I</v>
      </c>
      <c r="BD31">
        <f t="shared" si="5"/>
        <v>13</v>
      </c>
    </row>
    <row r="32" spans="1:56" x14ac:dyDescent="0.2">
      <c r="A32" s="1">
        <v>27</v>
      </c>
      <c r="B32" s="1">
        <v>250090120028</v>
      </c>
      <c r="C32" s="1" t="s">
        <v>170</v>
      </c>
      <c r="D32" t="s">
        <v>171</v>
      </c>
      <c r="E32" t="s">
        <v>172</v>
      </c>
      <c r="F32">
        <v>30</v>
      </c>
      <c r="G32">
        <v>35</v>
      </c>
      <c r="H32" s="1">
        <v>65</v>
      </c>
      <c r="I32">
        <v>19</v>
      </c>
      <c r="J32">
        <v>24</v>
      </c>
      <c r="K32" s="1">
        <v>43</v>
      </c>
      <c r="L32">
        <v>54</v>
      </c>
      <c r="M32">
        <v>37</v>
      </c>
      <c r="N32" s="1">
        <v>91</v>
      </c>
      <c r="O32" s="1">
        <v>49</v>
      </c>
      <c r="P32" s="1">
        <v>43</v>
      </c>
      <c r="Q32" s="1">
        <v>92</v>
      </c>
      <c r="R32" s="1"/>
      <c r="T32" s="1">
        <v>0</v>
      </c>
      <c r="U32" s="1">
        <v>68</v>
      </c>
      <c r="V32" s="1">
        <v>40</v>
      </c>
      <c r="W32" s="1">
        <v>108</v>
      </c>
      <c r="X32">
        <v>15</v>
      </c>
      <c r="Y32">
        <v>13</v>
      </c>
      <c r="Z32" s="1">
        <v>28</v>
      </c>
      <c r="AA32" s="1">
        <v>22</v>
      </c>
      <c r="AB32" s="1">
        <v>23</v>
      </c>
      <c r="AC32" s="1">
        <v>45</v>
      </c>
      <c r="AD32" s="1">
        <v>22</v>
      </c>
      <c r="AE32" s="1">
        <v>21</v>
      </c>
      <c r="AF32" s="1">
        <v>43</v>
      </c>
      <c r="AG32">
        <v>48</v>
      </c>
      <c r="AH32">
        <v>49</v>
      </c>
      <c r="AI32" s="1">
        <v>97</v>
      </c>
      <c r="AJ32" s="1">
        <v>23</v>
      </c>
      <c r="AK32" s="1">
        <v>23</v>
      </c>
      <c r="AL32" s="1">
        <v>46</v>
      </c>
      <c r="AM32" s="1">
        <v>21</v>
      </c>
      <c r="AN32" s="1">
        <v>21</v>
      </c>
      <c r="AO32" s="1">
        <v>42</v>
      </c>
      <c r="AP32" s="1">
        <v>17</v>
      </c>
      <c r="AQ32" s="1">
        <v>35</v>
      </c>
      <c r="AR32" s="1">
        <v>52</v>
      </c>
      <c r="AT32">
        <v>47</v>
      </c>
      <c r="AU32">
        <v>47</v>
      </c>
      <c r="AV32">
        <f t="shared" ca="1" si="0"/>
        <v>132.5</v>
      </c>
      <c r="AW32">
        <f t="shared" ca="1" si="1"/>
        <v>19</v>
      </c>
      <c r="AX32">
        <f t="shared" ca="1" si="2"/>
        <v>0</v>
      </c>
      <c r="AY32">
        <f t="shared" ca="1" si="3"/>
        <v>5.7608695652173916</v>
      </c>
      <c r="BC32" t="str">
        <f t="shared" si="4"/>
        <v>I</v>
      </c>
      <c r="BD32">
        <f t="shared" si="5"/>
        <v>13</v>
      </c>
    </row>
    <row r="33" spans="1:56" x14ac:dyDescent="0.2">
      <c r="A33" s="1">
        <v>28</v>
      </c>
      <c r="B33" s="1">
        <v>250090120029</v>
      </c>
      <c r="C33" s="1" t="s">
        <v>173</v>
      </c>
      <c r="D33" t="s">
        <v>174</v>
      </c>
      <c r="E33" t="s">
        <v>175</v>
      </c>
      <c r="F33">
        <v>19</v>
      </c>
      <c r="G33">
        <v>31</v>
      </c>
      <c r="H33" s="1">
        <v>50</v>
      </c>
      <c r="I33">
        <v>9</v>
      </c>
      <c r="J33">
        <v>14</v>
      </c>
      <c r="K33" s="1">
        <v>23</v>
      </c>
      <c r="L33">
        <v>25</v>
      </c>
      <c r="M33">
        <v>32</v>
      </c>
      <c r="N33" s="1">
        <v>57</v>
      </c>
      <c r="O33" s="1">
        <v>36</v>
      </c>
      <c r="P33" s="1">
        <v>37</v>
      </c>
      <c r="Q33" s="1">
        <v>73</v>
      </c>
      <c r="R33" s="1"/>
      <c r="T33" s="1">
        <v>0</v>
      </c>
      <c r="U33" s="1">
        <v>55</v>
      </c>
      <c r="V33" s="1">
        <v>27</v>
      </c>
      <c r="W33" s="1">
        <v>82</v>
      </c>
      <c r="X33">
        <v>17</v>
      </c>
      <c r="Y33">
        <v>17</v>
      </c>
      <c r="Z33" s="1">
        <v>34</v>
      </c>
      <c r="AA33" s="1">
        <v>20</v>
      </c>
      <c r="AB33" s="1">
        <v>20</v>
      </c>
      <c r="AC33" s="1">
        <v>40</v>
      </c>
      <c r="AD33" s="1">
        <v>22</v>
      </c>
      <c r="AE33" s="1">
        <v>23</v>
      </c>
      <c r="AF33" s="1">
        <v>45</v>
      </c>
      <c r="AG33">
        <v>44</v>
      </c>
      <c r="AH33">
        <v>42</v>
      </c>
      <c r="AI33" s="1">
        <v>86</v>
      </c>
      <c r="AJ33" s="1">
        <v>21</v>
      </c>
      <c r="AK33" s="1">
        <v>21</v>
      </c>
      <c r="AL33" s="1">
        <v>42</v>
      </c>
      <c r="AM33" s="1">
        <v>25</v>
      </c>
      <c r="AN33" s="1">
        <v>25</v>
      </c>
      <c r="AO33" s="1">
        <v>50</v>
      </c>
      <c r="AP33" s="1">
        <v>17</v>
      </c>
      <c r="AQ33" s="1">
        <v>36</v>
      </c>
      <c r="AR33" s="1">
        <v>53</v>
      </c>
      <c r="AT33">
        <v>47</v>
      </c>
      <c r="AU33">
        <v>47</v>
      </c>
      <c r="AV33">
        <f t="shared" ca="1" si="0"/>
        <v>81.5</v>
      </c>
      <c r="AW33">
        <f t="shared" ca="1" si="1"/>
        <v>11</v>
      </c>
      <c r="AX33">
        <f t="shared" ca="1" si="2"/>
        <v>0</v>
      </c>
      <c r="AY33">
        <f t="shared" ca="1" si="3"/>
        <v>3.5434782608695654</v>
      </c>
      <c r="BC33" t="str">
        <f t="shared" si="4"/>
        <v>I</v>
      </c>
      <c r="BD33">
        <f t="shared" si="5"/>
        <v>13</v>
      </c>
    </row>
    <row r="34" spans="1:56" x14ac:dyDescent="0.2">
      <c r="A34" s="1">
        <v>29</v>
      </c>
      <c r="B34" s="1">
        <v>250090120030</v>
      </c>
      <c r="C34" s="1" t="s">
        <v>176</v>
      </c>
      <c r="D34" t="s">
        <v>177</v>
      </c>
      <c r="E34" t="s">
        <v>178</v>
      </c>
      <c r="F34">
        <v>42</v>
      </c>
      <c r="G34">
        <v>32</v>
      </c>
      <c r="H34" s="1">
        <v>74</v>
      </c>
      <c r="I34">
        <v>8</v>
      </c>
      <c r="J34">
        <v>18</v>
      </c>
      <c r="K34" s="1">
        <v>26</v>
      </c>
      <c r="L34">
        <v>48</v>
      </c>
      <c r="M34">
        <v>34</v>
      </c>
      <c r="N34" s="1">
        <v>82</v>
      </c>
      <c r="O34" s="1">
        <v>63</v>
      </c>
      <c r="P34" s="1">
        <v>42</v>
      </c>
      <c r="Q34" s="1">
        <v>105</v>
      </c>
      <c r="R34" s="1">
        <v>70</v>
      </c>
      <c r="S34">
        <v>35</v>
      </c>
      <c r="T34" s="1">
        <v>105</v>
      </c>
      <c r="U34" s="1"/>
      <c r="V34" s="1"/>
      <c r="W34" s="1"/>
      <c r="X34">
        <v>19</v>
      </c>
      <c r="Y34">
        <v>17</v>
      </c>
      <c r="Z34" s="1">
        <v>36</v>
      </c>
      <c r="AA34" s="1">
        <v>23</v>
      </c>
      <c r="AB34" s="1">
        <v>24</v>
      </c>
      <c r="AC34" s="1">
        <v>47</v>
      </c>
      <c r="AD34" s="1">
        <v>23</v>
      </c>
      <c r="AE34" s="1">
        <v>23</v>
      </c>
      <c r="AF34" s="1">
        <v>46</v>
      </c>
      <c r="AG34">
        <v>42</v>
      </c>
      <c r="AH34">
        <v>40</v>
      </c>
      <c r="AI34" s="1">
        <v>82</v>
      </c>
      <c r="AJ34" s="1">
        <v>21</v>
      </c>
      <c r="AK34" s="1">
        <v>21</v>
      </c>
      <c r="AL34" s="1">
        <v>42</v>
      </c>
      <c r="AM34" s="1">
        <v>21</v>
      </c>
      <c r="AN34" s="1">
        <v>21</v>
      </c>
      <c r="AO34" s="1">
        <v>42</v>
      </c>
      <c r="AP34" s="1">
        <v>17</v>
      </c>
      <c r="AQ34" s="1">
        <v>35</v>
      </c>
      <c r="AR34" s="1">
        <v>52</v>
      </c>
      <c r="AT34">
        <v>47</v>
      </c>
      <c r="AU34">
        <v>47</v>
      </c>
      <c r="AV34">
        <f t="shared" ca="1" si="0"/>
        <v>132.5</v>
      </c>
      <c r="AW34">
        <f t="shared" ca="1" si="1"/>
        <v>19</v>
      </c>
      <c r="AX34">
        <f t="shared" ca="1" si="2"/>
        <v>0</v>
      </c>
      <c r="AY34">
        <f t="shared" ca="1" si="3"/>
        <v>5.7608695652173916</v>
      </c>
      <c r="BC34" t="str">
        <f t="shared" si="4"/>
        <v>I</v>
      </c>
      <c r="BD34">
        <f t="shared" si="5"/>
        <v>13</v>
      </c>
    </row>
    <row r="35" spans="1:56" x14ac:dyDescent="0.2">
      <c r="A35" s="1">
        <v>30</v>
      </c>
      <c r="B35" s="1">
        <v>250090120031</v>
      </c>
      <c r="C35" s="1" t="s">
        <v>179</v>
      </c>
      <c r="D35" t="s">
        <v>180</v>
      </c>
      <c r="E35" t="s">
        <v>181</v>
      </c>
      <c r="F35">
        <v>33</v>
      </c>
      <c r="G35">
        <v>30</v>
      </c>
      <c r="H35" s="1">
        <v>63</v>
      </c>
      <c r="I35">
        <v>3</v>
      </c>
      <c r="J35">
        <v>18</v>
      </c>
      <c r="K35" s="1">
        <v>21</v>
      </c>
      <c r="L35">
        <v>42</v>
      </c>
      <c r="M35">
        <v>43</v>
      </c>
      <c r="N35" s="1">
        <v>85</v>
      </c>
      <c r="O35" s="1">
        <v>50</v>
      </c>
      <c r="P35" s="1">
        <v>36</v>
      </c>
      <c r="Q35" s="1">
        <v>86</v>
      </c>
      <c r="R35" s="1">
        <v>56</v>
      </c>
      <c r="S35">
        <v>27</v>
      </c>
      <c r="T35" s="1">
        <v>83</v>
      </c>
      <c r="U35" s="1"/>
      <c r="V35" s="1"/>
      <c r="W35" s="1"/>
      <c r="X35">
        <v>16</v>
      </c>
      <c r="Y35">
        <v>14</v>
      </c>
      <c r="Z35" s="1">
        <v>30</v>
      </c>
      <c r="AA35" s="1">
        <v>17</v>
      </c>
      <c r="AB35" s="1">
        <v>20</v>
      </c>
      <c r="AC35" s="1">
        <v>37</v>
      </c>
      <c r="AD35" s="1">
        <v>23</v>
      </c>
      <c r="AE35" s="1">
        <v>24</v>
      </c>
      <c r="AF35" s="1">
        <v>47</v>
      </c>
      <c r="AG35">
        <v>48</v>
      </c>
      <c r="AH35">
        <v>49</v>
      </c>
      <c r="AI35" s="1">
        <v>97</v>
      </c>
      <c r="AJ35" s="1">
        <v>22</v>
      </c>
      <c r="AK35" s="1">
        <v>22</v>
      </c>
      <c r="AL35" s="1">
        <v>44</v>
      </c>
      <c r="AM35" s="1">
        <v>23</v>
      </c>
      <c r="AN35" s="1">
        <v>23</v>
      </c>
      <c r="AO35" s="1">
        <v>46</v>
      </c>
      <c r="AP35" s="1">
        <v>17</v>
      </c>
      <c r="AQ35" s="1">
        <v>34</v>
      </c>
      <c r="AR35" s="1">
        <v>51</v>
      </c>
      <c r="AT35">
        <v>47</v>
      </c>
      <c r="AU35">
        <v>47</v>
      </c>
      <c r="AV35">
        <f t="shared" ca="1" si="0"/>
        <v>128</v>
      </c>
      <c r="AW35">
        <f t="shared" ca="1" si="1"/>
        <v>19</v>
      </c>
      <c r="AX35">
        <f t="shared" ca="1" si="2"/>
        <v>0</v>
      </c>
      <c r="AY35">
        <f t="shared" ca="1" si="3"/>
        <v>5.5652173913043477</v>
      </c>
      <c r="BC35" t="str">
        <f t="shared" si="4"/>
        <v>I</v>
      </c>
      <c r="BD35">
        <f t="shared" si="5"/>
        <v>13</v>
      </c>
    </row>
    <row r="36" spans="1:56" x14ac:dyDescent="0.2">
      <c r="A36" s="1">
        <v>31</v>
      </c>
      <c r="B36" s="1">
        <v>250090120032</v>
      </c>
      <c r="C36" s="1" t="s">
        <v>182</v>
      </c>
      <c r="D36" t="s">
        <v>183</v>
      </c>
      <c r="E36" t="s">
        <v>184</v>
      </c>
      <c r="F36">
        <v>35</v>
      </c>
      <c r="G36">
        <v>32</v>
      </c>
      <c r="H36" s="1">
        <v>67</v>
      </c>
      <c r="I36">
        <v>8</v>
      </c>
      <c r="J36">
        <v>17</v>
      </c>
      <c r="K36" s="1">
        <v>25</v>
      </c>
      <c r="L36">
        <v>36</v>
      </c>
      <c r="M36">
        <v>38</v>
      </c>
      <c r="N36" s="1">
        <v>74</v>
      </c>
      <c r="O36" s="1">
        <v>50</v>
      </c>
      <c r="P36" s="1">
        <v>40</v>
      </c>
      <c r="Q36" s="1">
        <v>90</v>
      </c>
      <c r="R36" s="1">
        <v>48</v>
      </c>
      <c r="S36">
        <v>24</v>
      </c>
      <c r="T36" s="1">
        <v>72</v>
      </c>
      <c r="U36" s="1"/>
      <c r="V36" s="1"/>
      <c r="W36" s="1"/>
      <c r="X36">
        <v>16</v>
      </c>
      <c r="Y36">
        <v>16</v>
      </c>
      <c r="Z36" s="1">
        <v>32</v>
      </c>
      <c r="AA36" s="1">
        <v>17</v>
      </c>
      <c r="AB36" s="1">
        <v>19</v>
      </c>
      <c r="AC36" s="1">
        <v>36</v>
      </c>
      <c r="AD36" s="1">
        <v>21</v>
      </c>
      <c r="AE36" s="1">
        <v>20</v>
      </c>
      <c r="AF36" s="1">
        <v>41</v>
      </c>
      <c r="AG36">
        <v>46</v>
      </c>
      <c r="AH36">
        <v>45</v>
      </c>
      <c r="AI36" s="1">
        <v>91</v>
      </c>
      <c r="AJ36" s="1">
        <v>21</v>
      </c>
      <c r="AK36" s="1">
        <v>18</v>
      </c>
      <c r="AL36" s="1">
        <v>39</v>
      </c>
      <c r="AM36" s="1">
        <v>24</v>
      </c>
      <c r="AN36" s="1">
        <v>24</v>
      </c>
      <c r="AO36" s="1">
        <v>48</v>
      </c>
      <c r="AP36" s="1">
        <v>17</v>
      </c>
      <c r="AQ36" s="1">
        <v>28</v>
      </c>
      <c r="AR36" s="1">
        <v>45</v>
      </c>
      <c r="AT36">
        <v>47</v>
      </c>
      <c r="AU36">
        <v>47</v>
      </c>
      <c r="AV36">
        <f t="shared" ca="1" si="0"/>
        <v>123.5</v>
      </c>
      <c r="AW36">
        <f t="shared" ca="1" si="1"/>
        <v>19</v>
      </c>
      <c r="AX36">
        <f t="shared" ca="1" si="2"/>
        <v>0</v>
      </c>
      <c r="AY36">
        <f t="shared" ca="1" si="3"/>
        <v>5.3695652173913047</v>
      </c>
      <c r="BC36" t="str">
        <f t="shared" si="4"/>
        <v>I</v>
      </c>
      <c r="BD36">
        <f t="shared" si="5"/>
        <v>13</v>
      </c>
    </row>
    <row r="37" spans="1:56" x14ac:dyDescent="0.2">
      <c r="A37" s="1">
        <v>32</v>
      </c>
      <c r="B37" s="1">
        <v>250090120033</v>
      </c>
      <c r="C37" s="1" t="s">
        <v>185</v>
      </c>
      <c r="D37" t="s">
        <v>186</v>
      </c>
      <c r="E37" t="s">
        <v>187</v>
      </c>
      <c r="F37">
        <v>47</v>
      </c>
      <c r="G37">
        <v>39</v>
      </c>
      <c r="H37" s="1">
        <v>86</v>
      </c>
      <c r="I37">
        <v>10</v>
      </c>
      <c r="J37">
        <v>23</v>
      </c>
      <c r="K37" s="1">
        <v>33</v>
      </c>
      <c r="L37">
        <v>41</v>
      </c>
      <c r="M37">
        <v>46</v>
      </c>
      <c r="N37" s="1">
        <v>87</v>
      </c>
      <c r="O37" s="1">
        <v>78</v>
      </c>
      <c r="P37" s="1">
        <v>45</v>
      </c>
      <c r="Q37" s="1">
        <v>123</v>
      </c>
      <c r="R37" s="1">
        <v>73</v>
      </c>
      <c r="S37">
        <v>38</v>
      </c>
      <c r="T37" s="1">
        <v>111</v>
      </c>
      <c r="U37" s="1"/>
      <c r="V37" s="1"/>
      <c r="W37" s="1"/>
      <c r="X37">
        <v>19</v>
      </c>
      <c r="Y37">
        <v>18</v>
      </c>
      <c r="Z37" s="1">
        <v>37</v>
      </c>
      <c r="AA37" s="1">
        <v>21</v>
      </c>
      <c r="AB37" s="1">
        <v>23</v>
      </c>
      <c r="AC37" s="1">
        <v>44</v>
      </c>
      <c r="AD37" s="1">
        <v>24</v>
      </c>
      <c r="AE37" s="1">
        <v>24</v>
      </c>
      <c r="AF37" s="1">
        <v>48</v>
      </c>
      <c r="AG37">
        <v>48</v>
      </c>
      <c r="AH37">
        <v>49</v>
      </c>
      <c r="AI37" s="1">
        <v>97</v>
      </c>
      <c r="AJ37" s="1">
        <v>23</v>
      </c>
      <c r="AK37" s="1">
        <v>25</v>
      </c>
      <c r="AL37" s="1">
        <v>48</v>
      </c>
      <c r="AM37" s="1">
        <v>23</v>
      </c>
      <c r="AN37" s="1">
        <v>23</v>
      </c>
      <c r="AO37" s="1">
        <v>46</v>
      </c>
      <c r="AP37" s="1">
        <v>16</v>
      </c>
      <c r="AQ37" s="1">
        <v>35</v>
      </c>
      <c r="AR37" s="1">
        <v>51</v>
      </c>
      <c r="AT37">
        <v>47</v>
      </c>
      <c r="AU37">
        <v>47</v>
      </c>
      <c r="AV37">
        <f t="shared" ca="1" si="0"/>
        <v>148</v>
      </c>
      <c r="AW37">
        <f t="shared" ca="1" si="1"/>
        <v>19</v>
      </c>
      <c r="AX37">
        <f t="shared" ca="1" si="2"/>
        <v>0</v>
      </c>
      <c r="AY37">
        <f t="shared" ca="1" si="3"/>
        <v>6.4347826086956523</v>
      </c>
      <c r="BC37" t="str">
        <f t="shared" si="4"/>
        <v>I</v>
      </c>
      <c r="BD37">
        <f t="shared" si="5"/>
        <v>13</v>
      </c>
    </row>
    <row r="38" spans="1:56" x14ac:dyDescent="0.2">
      <c r="A38" s="1">
        <v>33</v>
      </c>
      <c r="B38" s="1">
        <v>250090120034</v>
      </c>
      <c r="C38" s="1" t="s">
        <v>188</v>
      </c>
      <c r="D38" t="s">
        <v>189</v>
      </c>
      <c r="E38" t="s">
        <v>190</v>
      </c>
      <c r="F38">
        <v>40</v>
      </c>
      <c r="G38">
        <v>32</v>
      </c>
      <c r="H38" s="1">
        <v>72</v>
      </c>
      <c r="I38">
        <v>16</v>
      </c>
      <c r="J38">
        <v>18</v>
      </c>
      <c r="K38" s="1">
        <v>34</v>
      </c>
      <c r="L38">
        <v>32</v>
      </c>
      <c r="M38">
        <v>42</v>
      </c>
      <c r="N38" s="1">
        <v>74</v>
      </c>
      <c r="O38" s="1">
        <v>41</v>
      </c>
      <c r="P38" s="1">
        <v>29</v>
      </c>
      <c r="Q38" s="1">
        <v>70</v>
      </c>
      <c r="R38" s="1">
        <v>70</v>
      </c>
      <c r="S38">
        <v>36</v>
      </c>
      <c r="T38" s="1">
        <v>106</v>
      </c>
      <c r="U38" s="1"/>
      <c r="V38" s="1"/>
      <c r="W38" s="1"/>
      <c r="X38">
        <v>17</v>
      </c>
      <c r="Y38">
        <v>14</v>
      </c>
      <c r="Z38" s="1">
        <v>31</v>
      </c>
      <c r="AA38" s="1">
        <v>16</v>
      </c>
      <c r="AB38" s="1">
        <v>15</v>
      </c>
      <c r="AC38" s="1">
        <v>31</v>
      </c>
      <c r="AD38" s="1">
        <v>22</v>
      </c>
      <c r="AE38" s="1">
        <v>20</v>
      </c>
      <c r="AF38" s="1">
        <v>42</v>
      </c>
      <c r="AG38">
        <v>44</v>
      </c>
      <c r="AH38">
        <v>42</v>
      </c>
      <c r="AI38" s="1">
        <v>86</v>
      </c>
      <c r="AJ38" s="1">
        <v>21</v>
      </c>
      <c r="AK38" s="1">
        <v>20</v>
      </c>
      <c r="AL38" s="1">
        <v>41</v>
      </c>
      <c r="AM38" s="1">
        <v>22</v>
      </c>
      <c r="AN38" s="1">
        <v>22</v>
      </c>
      <c r="AO38" s="1">
        <v>44</v>
      </c>
      <c r="AP38" s="1">
        <v>17</v>
      </c>
      <c r="AQ38" s="1">
        <v>35</v>
      </c>
      <c r="AR38" s="1">
        <v>52</v>
      </c>
      <c r="AT38">
        <v>47</v>
      </c>
      <c r="AU38">
        <v>47</v>
      </c>
      <c r="AV38">
        <f t="shared" ca="1" si="0"/>
        <v>117</v>
      </c>
      <c r="AW38">
        <f t="shared" ca="1" si="1"/>
        <v>19</v>
      </c>
      <c r="AX38">
        <f t="shared" ca="1" si="2"/>
        <v>0</v>
      </c>
      <c r="AY38">
        <f t="shared" ca="1" si="3"/>
        <v>5.0869565217391308</v>
      </c>
      <c r="BC38" t="str">
        <f t="shared" si="4"/>
        <v>I</v>
      </c>
      <c r="BD38">
        <f t="shared" si="5"/>
        <v>13</v>
      </c>
    </row>
    <row r="39" spans="1:56" x14ac:dyDescent="0.2">
      <c r="A39" s="1">
        <v>34</v>
      </c>
      <c r="B39" s="1">
        <v>250090120035</v>
      </c>
      <c r="C39" s="1" t="s">
        <v>191</v>
      </c>
      <c r="D39" t="s">
        <v>192</v>
      </c>
      <c r="E39" t="s">
        <v>193</v>
      </c>
      <c r="F39">
        <v>48</v>
      </c>
      <c r="G39">
        <v>30</v>
      </c>
      <c r="H39" s="1">
        <v>78</v>
      </c>
      <c r="I39">
        <v>12</v>
      </c>
      <c r="J39">
        <v>18</v>
      </c>
      <c r="K39" s="1">
        <v>30</v>
      </c>
      <c r="L39">
        <v>38</v>
      </c>
      <c r="M39">
        <v>45</v>
      </c>
      <c r="N39" s="1">
        <v>83</v>
      </c>
      <c r="O39" s="1">
        <v>74</v>
      </c>
      <c r="P39" s="1">
        <v>34</v>
      </c>
      <c r="Q39" s="1">
        <v>108</v>
      </c>
      <c r="R39" s="1">
        <v>74</v>
      </c>
      <c r="S39">
        <v>33</v>
      </c>
      <c r="T39" s="1">
        <v>107</v>
      </c>
      <c r="U39" s="1"/>
      <c r="V39" s="1"/>
      <c r="W39" s="1"/>
      <c r="X39">
        <v>21</v>
      </c>
      <c r="Y39">
        <v>18</v>
      </c>
      <c r="Z39" s="1">
        <v>39</v>
      </c>
      <c r="AA39" s="1">
        <v>22</v>
      </c>
      <c r="AB39" s="1">
        <v>23</v>
      </c>
      <c r="AC39" s="1">
        <v>45</v>
      </c>
      <c r="AD39" s="1">
        <v>24</v>
      </c>
      <c r="AE39" s="1">
        <v>24</v>
      </c>
      <c r="AF39" s="1">
        <v>48</v>
      </c>
      <c r="AG39">
        <v>44</v>
      </c>
      <c r="AH39">
        <v>42</v>
      </c>
      <c r="AI39" s="1">
        <v>86</v>
      </c>
      <c r="AJ39" s="1">
        <v>24</v>
      </c>
      <c r="AK39" s="1">
        <v>24</v>
      </c>
      <c r="AL39" s="1">
        <v>48</v>
      </c>
      <c r="AM39" s="1">
        <v>23</v>
      </c>
      <c r="AN39" s="1">
        <v>23</v>
      </c>
      <c r="AO39" s="1">
        <v>46</v>
      </c>
      <c r="AP39" s="1">
        <v>19</v>
      </c>
      <c r="AQ39" s="1">
        <v>38</v>
      </c>
      <c r="AR39" s="1">
        <v>57</v>
      </c>
      <c r="AT39">
        <v>47</v>
      </c>
      <c r="AU39">
        <v>47</v>
      </c>
      <c r="AV39">
        <f t="shared" ca="1" si="0"/>
        <v>141</v>
      </c>
      <c r="AW39">
        <f t="shared" ca="1" si="1"/>
        <v>19</v>
      </c>
      <c r="AX39">
        <f t="shared" ca="1" si="2"/>
        <v>0</v>
      </c>
      <c r="AY39">
        <f t="shared" ca="1" si="3"/>
        <v>6.1304347826086953</v>
      </c>
      <c r="BC39" t="str">
        <f t="shared" si="4"/>
        <v>I</v>
      </c>
      <c r="BD39">
        <f t="shared" si="5"/>
        <v>13</v>
      </c>
    </row>
    <row r="40" spans="1:56" x14ac:dyDescent="0.2">
      <c r="A40" s="1">
        <v>35</v>
      </c>
      <c r="B40" s="1">
        <v>250090120036</v>
      </c>
      <c r="C40" s="1" t="s">
        <v>194</v>
      </c>
      <c r="D40" t="s">
        <v>195</v>
      </c>
      <c r="E40" t="s">
        <v>196</v>
      </c>
      <c r="F40">
        <v>69</v>
      </c>
      <c r="G40">
        <v>36</v>
      </c>
      <c r="H40" s="1">
        <v>105</v>
      </c>
      <c r="I40">
        <v>25</v>
      </c>
      <c r="J40">
        <v>25</v>
      </c>
      <c r="K40" s="1">
        <v>50</v>
      </c>
      <c r="L40">
        <v>69</v>
      </c>
      <c r="M40">
        <v>48</v>
      </c>
      <c r="N40" s="1">
        <v>117</v>
      </c>
      <c r="O40" s="1">
        <v>61</v>
      </c>
      <c r="P40" s="1">
        <v>43</v>
      </c>
      <c r="Q40" s="1">
        <v>104</v>
      </c>
      <c r="R40" s="1">
        <v>90</v>
      </c>
      <c r="S40">
        <v>40</v>
      </c>
      <c r="T40" s="1">
        <v>130</v>
      </c>
      <c r="U40" s="1"/>
      <c r="V40" s="1"/>
      <c r="W40" s="1"/>
      <c r="X40">
        <v>17</v>
      </c>
      <c r="Y40">
        <v>17</v>
      </c>
      <c r="Z40" s="1">
        <v>34</v>
      </c>
      <c r="AA40" s="1">
        <v>20</v>
      </c>
      <c r="AB40" s="1">
        <v>22</v>
      </c>
      <c r="AC40" s="1">
        <v>42</v>
      </c>
      <c r="AD40" s="1">
        <v>24</v>
      </c>
      <c r="AE40" s="1">
        <v>25</v>
      </c>
      <c r="AF40" s="1">
        <v>49</v>
      </c>
      <c r="AG40">
        <v>45</v>
      </c>
      <c r="AH40">
        <v>40</v>
      </c>
      <c r="AI40" s="1">
        <v>85</v>
      </c>
      <c r="AJ40" s="1">
        <v>24</v>
      </c>
      <c r="AK40" s="1">
        <v>24</v>
      </c>
      <c r="AL40" s="1">
        <v>48</v>
      </c>
      <c r="AM40" s="1">
        <v>25</v>
      </c>
      <c r="AN40" s="1">
        <v>25</v>
      </c>
      <c r="AO40" s="1">
        <v>50</v>
      </c>
      <c r="AP40" s="1">
        <v>19</v>
      </c>
      <c r="AQ40" s="1">
        <v>39</v>
      </c>
      <c r="AR40" s="1">
        <v>58</v>
      </c>
      <c r="AT40">
        <v>47</v>
      </c>
      <c r="AU40">
        <v>47</v>
      </c>
      <c r="AV40">
        <f t="shared" ca="1" si="0"/>
        <v>153.5</v>
      </c>
      <c r="AW40">
        <f t="shared" ca="1" si="1"/>
        <v>19</v>
      </c>
      <c r="AX40">
        <f t="shared" ca="1" si="2"/>
        <v>0</v>
      </c>
      <c r="AY40">
        <f t="shared" ca="1" si="3"/>
        <v>6.6739130434782608</v>
      </c>
      <c r="BC40" t="str">
        <f t="shared" si="4"/>
        <v>I</v>
      </c>
      <c r="BD40">
        <f t="shared" si="5"/>
        <v>13</v>
      </c>
    </row>
    <row r="41" spans="1:56" x14ac:dyDescent="0.2">
      <c r="A41" s="1">
        <v>36</v>
      </c>
      <c r="B41" s="1">
        <v>250090120037</v>
      </c>
      <c r="C41" s="1" t="s">
        <v>197</v>
      </c>
      <c r="D41" t="s">
        <v>198</v>
      </c>
      <c r="E41" t="s">
        <v>199</v>
      </c>
      <c r="F41">
        <v>39</v>
      </c>
      <c r="G41">
        <v>26</v>
      </c>
      <c r="H41" s="1">
        <v>65</v>
      </c>
      <c r="I41">
        <v>7</v>
      </c>
      <c r="J41">
        <v>18</v>
      </c>
      <c r="K41" s="1">
        <v>25</v>
      </c>
      <c r="L41">
        <v>38</v>
      </c>
      <c r="M41">
        <v>42</v>
      </c>
      <c r="N41" s="1">
        <v>80</v>
      </c>
      <c r="O41" s="1">
        <v>37</v>
      </c>
      <c r="P41" s="1">
        <v>35</v>
      </c>
      <c r="Q41" s="1">
        <v>72</v>
      </c>
      <c r="R41" s="1">
        <v>41</v>
      </c>
      <c r="S41">
        <v>36</v>
      </c>
      <c r="T41" s="1">
        <v>77</v>
      </c>
      <c r="U41" s="1"/>
      <c r="V41" s="1"/>
      <c r="W41" s="1"/>
      <c r="X41">
        <v>15</v>
      </c>
      <c r="Y41">
        <v>13</v>
      </c>
      <c r="Z41" s="1">
        <v>28</v>
      </c>
      <c r="AA41" s="1">
        <v>16</v>
      </c>
      <c r="AB41" s="1">
        <v>19</v>
      </c>
      <c r="AC41" s="1">
        <v>35</v>
      </c>
      <c r="AD41" s="1">
        <v>20</v>
      </c>
      <c r="AE41" s="1">
        <v>21</v>
      </c>
      <c r="AF41" s="1">
        <v>41</v>
      </c>
      <c r="AG41">
        <v>48</v>
      </c>
      <c r="AH41">
        <v>49</v>
      </c>
      <c r="AI41" s="1">
        <v>97</v>
      </c>
      <c r="AJ41" s="1">
        <v>18</v>
      </c>
      <c r="AK41" s="1">
        <v>23</v>
      </c>
      <c r="AL41" s="1">
        <v>41</v>
      </c>
      <c r="AM41" s="1">
        <v>24</v>
      </c>
      <c r="AN41" s="1">
        <v>24</v>
      </c>
      <c r="AO41" s="1">
        <v>48</v>
      </c>
      <c r="AP41" s="1">
        <v>18</v>
      </c>
      <c r="AQ41" s="1">
        <v>36</v>
      </c>
      <c r="AR41" s="1">
        <v>54</v>
      </c>
      <c r="AT41">
        <v>47</v>
      </c>
      <c r="AU41">
        <v>47</v>
      </c>
      <c r="AV41">
        <f t="shared" ca="1" si="0"/>
        <v>120.5</v>
      </c>
      <c r="AW41">
        <f t="shared" ca="1" si="1"/>
        <v>19</v>
      </c>
      <c r="AX41">
        <f t="shared" ca="1" si="2"/>
        <v>0</v>
      </c>
      <c r="AY41">
        <f t="shared" ca="1" si="3"/>
        <v>5.2391304347826084</v>
      </c>
      <c r="BC41" t="str">
        <f t="shared" si="4"/>
        <v>I</v>
      </c>
      <c r="BD41">
        <f t="shared" si="5"/>
        <v>13</v>
      </c>
    </row>
    <row r="42" spans="1:56" x14ac:dyDescent="0.2">
      <c r="A42" s="1">
        <v>37</v>
      </c>
      <c r="B42" s="1">
        <v>250090120038</v>
      </c>
      <c r="C42" s="1" t="s">
        <v>200</v>
      </c>
      <c r="D42" t="s">
        <v>201</v>
      </c>
      <c r="E42" t="s">
        <v>202</v>
      </c>
      <c r="F42">
        <v>52</v>
      </c>
      <c r="G42">
        <v>42</v>
      </c>
      <c r="H42" s="1">
        <v>94</v>
      </c>
      <c r="I42">
        <v>47</v>
      </c>
      <c r="J42">
        <v>31</v>
      </c>
      <c r="K42" s="1">
        <v>78</v>
      </c>
      <c r="L42">
        <v>58</v>
      </c>
      <c r="M42">
        <v>44</v>
      </c>
      <c r="N42" s="1">
        <v>102</v>
      </c>
      <c r="O42" s="1">
        <v>56</v>
      </c>
      <c r="P42" s="1">
        <v>45</v>
      </c>
      <c r="Q42" s="1">
        <v>101</v>
      </c>
      <c r="R42" s="1"/>
      <c r="T42" s="1"/>
      <c r="U42" s="1">
        <v>44</v>
      </c>
      <c r="V42" s="1">
        <v>38</v>
      </c>
      <c r="W42" s="1">
        <v>82</v>
      </c>
      <c r="X42">
        <v>18</v>
      </c>
      <c r="Y42">
        <v>15</v>
      </c>
      <c r="Z42" s="1">
        <v>33</v>
      </c>
      <c r="AA42" s="1">
        <v>22</v>
      </c>
      <c r="AB42" s="1">
        <v>22</v>
      </c>
      <c r="AC42" s="1">
        <v>44</v>
      </c>
      <c r="AD42" s="1">
        <v>24</v>
      </c>
      <c r="AE42" s="1">
        <v>24</v>
      </c>
      <c r="AF42" s="1">
        <v>48</v>
      </c>
      <c r="AG42">
        <v>42</v>
      </c>
      <c r="AH42">
        <v>39</v>
      </c>
      <c r="AI42" s="1">
        <v>81</v>
      </c>
      <c r="AJ42" s="1">
        <v>23</v>
      </c>
      <c r="AK42" s="1">
        <v>24</v>
      </c>
      <c r="AL42" s="1">
        <v>47</v>
      </c>
      <c r="AM42" s="1">
        <v>25</v>
      </c>
      <c r="AN42" s="1">
        <v>25</v>
      </c>
      <c r="AO42" s="1">
        <v>50</v>
      </c>
      <c r="AP42" s="1">
        <v>19</v>
      </c>
      <c r="AQ42" s="1">
        <v>43</v>
      </c>
      <c r="AR42" s="1">
        <v>62</v>
      </c>
      <c r="AT42">
        <v>48</v>
      </c>
      <c r="AU42">
        <v>48</v>
      </c>
      <c r="AV42">
        <f t="shared" ca="1" si="0"/>
        <v>166.5</v>
      </c>
      <c r="AW42">
        <f t="shared" ca="1" si="1"/>
        <v>23</v>
      </c>
      <c r="AX42">
        <f t="shared" ca="1" si="2"/>
        <v>0</v>
      </c>
      <c r="AY42">
        <f t="shared" ca="1" si="3"/>
        <v>7.2391304347826084</v>
      </c>
      <c r="BC42" t="str">
        <f t="shared" si="4"/>
        <v>I</v>
      </c>
      <c r="BD42">
        <f t="shared" si="5"/>
        <v>13</v>
      </c>
    </row>
    <row r="43" spans="1:56" x14ac:dyDescent="0.2">
      <c r="A43" s="1">
        <v>38</v>
      </c>
      <c r="B43" s="1">
        <v>250090120039</v>
      </c>
      <c r="C43" s="1" t="s">
        <v>203</v>
      </c>
      <c r="D43" t="s">
        <v>204</v>
      </c>
      <c r="E43" t="s">
        <v>205</v>
      </c>
      <c r="F43">
        <v>43</v>
      </c>
      <c r="G43">
        <v>47</v>
      </c>
      <c r="H43" s="1">
        <v>90</v>
      </c>
      <c r="I43">
        <v>17</v>
      </c>
      <c r="J43">
        <v>23</v>
      </c>
      <c r="K43" s="1">
        <v>40</v>
      </c>
      <c r="L43">
        <v>49</v>
      </c>
      <c r="M43">
        <v>44</v>
      </c>
      <c r="N43" s="1">
        <v>93</v>
      </c>
      <c r="O43" s="1">
        <v>59</v>
      </c>
      <c r="P43" s="1">
        <v>43</v>
      </c>
      <c r="Q43" s="1">
        <v>102</v>
      </c>
      <c r="R43" s="1">
        <v>74</v>
      </c>
      <c r="S43">
        <v>39</v>
      </c>
      <c r="T43" s="1">
        <v>113</v>
      </c>
      <c r="U43" s="1"/>
      <c r="V43" s="1"/>
      <c r="W43" s="1"/>
      <c r="X43">
        <v>24</v>
      </c>
      <c r="Y43">
        <v>25</v>
      </c>
      <c r="Z43" s="1">
        <v>49</v>
      </c>
      <c r="AA43" s="1">
        <v>21</v>
      </c>
      <c r="AB43" s="1">
        <v>23</v>
      </c>
      <c r="AC43" s="1">
        <v>44</v>
      </c>
      <c r="AD43" s="1">
        <v>23</v>
      </c>
      <c r="AE43" s="1">
        <v>24</v>
      </c>
      <c r="AF43" s="1">
        <v>47</v>
      </c>
      <c r="AG43">
        <v>47</v>
      </c>
      <c r="AH43">
        <v>46</v>
      </c>
      <c r="AI43" s="1">
        <v>93</v>
      </c>
      <c r="AJ43" s="1">
        <v>22</v>
      </c>
      <c r="AK43" s="1">
        <v>23</v>
      </c>
      <c r="AL43" s="1">
        <v>45</v>
      </c>
      <c r="AM43" s="1">
        <v>23</v>
      </c>
      <c r="AN43" s="1">
        <v>23</v>
      </c>
      <c r="AO43" s="1">
        <v>46</v>
      </c>
      <c r="AP43" s="1">
        <v>17</v>
      </c>
      <c r="AQ43" s="1">
        <v>36</v>
      </c>
      <c r="AR43" s="1">
        <v>53</v>
      </c>
      <c r="AT43">
        <v>47</v>
      </c>
      <c r="AU43">
        <v>47</v>
      </c>
      <c r="AV43">
        <f t="shared" ca="1" si="0"/>
        <v>146.5</v>
      </c>
      <c r="AW43">
        <f t="shared" ca="1" si="1"/>
        <v>19</v>
      </c>
      <c r="AX43">
        <f t="shared" ca="1" si="2"/>
        <v>0</v>
      </c>
      <c r="AY43">
        <f t="shared" ca="1" si="3"/>
        <v>6.3695652173913047</v>
      </c>
      <c r="BC43" t="str">
        <f t="shared" si="4"/>
        <v>I</v>
      </c>
      <c r="BD43">
        <f t="shared" si="5"/>
        <v>13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865"/>
  <sheetViews>
    <sheetView view="pageBreakPreview" topLeftCell="A793" zoomScale="60" zoomScaleNormal="100" workbookViewId="0">
      <selection activeCell="P849" sqref="P849:P861"/>
    </sheetView>
  </sheetViews>
  <sheetFormatPr baseColWidth="10" defaultColWidth="8.83203125" defaultRowHeight="12.5" customHeight="1" x14ac:dyDescent="0.2"/>
  <sheetData>
    <row r="1" spans="1:26" ht="26" x14ac:dyDescent="0.2">
      <c r="A1" s="32" t="s">
        <v>85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Y1" s="2" t="s">
        <v>12</v>
      </c>
      <c r="Z1" s="3" t="s">
        <v>13</v>
      </c>
    </row>
    <row r="2" spans="1:26" ht="15" x14ac:dyDescent="0.2">
      <c r="A2" s="33" t="s">
        <v>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Y2" s="4" t="s">
        <v>14</v>
      </c>
      <c r="Z2" s="23">
        <v>10</v>
      </c>
    </row>
    <row r="3" spans="1:26" ht="15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Y3" s="4" t="s">
        <v>81</v>
      </c>
      <c r="Z3" s="23">
        <v>9.5</v>
      </c>
    </row>
    <row r="4" spans="1:26" ht="15" x14ac:dyDescent="0.2">
      <c r="A4" s="33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S4">
        <f>39-17</f>
        <v>22</v>
      </c>
      <c r="Y4" s="4" t="s">
        <v>10</v>
      </c>
      <c r="Z4" s="23">
        <v>9</v>
      </c>
    </row>
    <row r="5" spans="1:26" ht="11.5" customHeight="1" x14ac:dyDescent="0.2">
      <c r="A5" s="34" t="s">
        <v>90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Y5" s="4" t="s">
        <v>82</v>
      </c>
      <c r="Z5" s="23">
        <v>8.5</v>
      </c>
    </row>
    <row r="6" spans="1:26" ht="11.5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Y6" s="4" t="s">
        <v>15</v>
      </c>
      <c r="Z6" s="23">
        <v>8</v>
      </c>
    </row>
    <row r="7" spans="1:26" ht="29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Y7" s="4" t="s">
        <v>86</v>
      </c>
      <c r="Z7" s="23">
        <v>7.5</v>
      </c>
    </row>
    <row r="8" spans="1:26" ht="11.5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3">
        <v>7</v>
      </c>
    </row>
    <row r="9" spans="1:26" ht="11.5" customHeight="1" x14ac:dyDescent="0.2">
      <c r="A9" s="30" t="s">
        <v>26</v>
      </c>
      <c r="B9" s="30" t="str">
        <f ca="1">VLOOKUP(B8,INDIRECT($F$8),4,0)</f>
        <v>AASHRIYA BISHT</v>
      </c>
      <c r="C9" s="30"/>
      <c r="D9" s="30" t="s">
        <v>27</v>
      </c>
      <c r="E9" s="30" t="str">
        <f ca="1">VLOOKUP(B8,INDIRECT($F$8),5,0)</f>
        <v>NARENDRA SINGH BISHT</v>
      </c>
      <c r="F9" s="30"/>
      <c r="G9" s="30" t="s">
        <v>28</v>
      </c>
      <c r="H9" s="30"/>
      <c r="I9" s="31">
        <f ca="1">VLOOKUP(B8,INDIRECT($F$8),2,0)</f>
        <v>250090120001</v>
      </c>
      <c r="J9" s="31"/>
      <c r="K9" s="30" t="s">
        <v>29</v>
      </c>
      <c r="L9" s="30"/>
      <c r="M9" s="31" t="str">
        <f ca="1">VLOOKUP(B8,INDIRECT($F$8),3,0)</f>
        <v>PUTU/2501103679</v>
      </c>
      <c r="N9" s="31"/>
      <c r="Y9" s="4" t="s">
        <v>87</v>
      </c>
      <c r="Z9" s="23">
        <v>6.5</v>
      </c>
    </row>
    <row r="10" spans="1:26" ht="15" x14ac:dyDescent="0.2">
      <c r="A10" s="30"/>
      <c r="B10" s="30"/>
      <c r="C10" s="30"/>
      <c r="D10" s="30"/>
      <c r="E10" s="30"/>
      <c r="F10" s="30"/>
      <c r="G10" s="30"/>
      <c r="H10" s="30"/>
      <c r="I10" s="31"/>
      <c r="J10" s="31"/>
      <c r="K10" s="30"/>
      <c r="L10" s="30"/>
      <c r="M10" s="31"/>
      <c r="N10" s="31"/>
      <c r="Y10" s="4" t="s">
        <v>84</v>
      </c>
      <c r="Z10" s="23">
        <v>6</v>
      </c>
    </row>
    <row r="11" spans="1:26" ht="11.5" customHeight="1" x14ac:dyDescent="0.2">
      <c r="A11" s="28" t="s">
        <v>30</v>
      </c>
      <c r="B11" s="28" t="s">
        <v>31</v>
      </c>
      <c r="C11" s="28"/>
      <c r="D11" s="28"/>
      <c r="E11" s="28"/>
      <c r="F11" s="28" t="s">
        <v>32</v>
      </c>
      <c r="G11" s="28" t="s">
        <v>33</v>
      </c>
      <c r="H11" s="28"/>
      <c r="I11" s="28" t="s">
        <v>34</v>
      </c>
      <c r="J11" s="28"/>
      <c r="K11" s="28" t="s">
        <v>35</v>
      </c>
      <c r="L11" s="28"/>
      <c r="M11" s="28" t="s">
        <v>12</v>
      </c>
      <c r="N11" s="28" t="s">
        <v>36</v>
      </c>
      <c r="Y11" s="4" t="s">
        <v>88</v>
      </c>
      <c r="Z11" s="23">
        <v>5.5</v>
      </c>
    </row>
    <row r="12" spans="1:26" ht="11.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89</v>
      </c>
      <c r="Z12" s="23">
        <v>5</v>
      </c>
    </row>
    <row r="13" spans="1:26" ht="11.5" customHeight="1" x14ac:dyDescent="0.2">
      <c r="A13" s="7" t="str">
        <f ca="1">IF(ISERROR(F8),"",VLOOKUP(C8,INDIRECT($F$8),6+(O13-1)*3,0))</f>
        <v>AHT 002</v>
      </c>
      <c r="B13" s="24" t="str">
        <f ca="1">IF(ISERROR(F8),"",VLOOKUP(D8,INDIRECT($F$8),6+(O13-1)*3,0))</f>
        <v>Engineering Chemistry</v>
      </c>
      <c r="C13" s="24"/>
      <c r="D13" s="24"/>
      <c r="E13" s="24"/>
      <c r="F13" s="7">
        <f ca="1">IF(ISERROR(F8),"",VLOOKUP(E8,INDIRECT($F$8),6+(O13-1)*3,0))</f>
        <v>4</v>
      </c>
      <c r="G13" s="25" t="str">
        <f ca="1">IF(ISERROR(F8),"",_xlfn.TEXTJOIN("/",FALSE,P13,S13))</f>
        <v>49/100</v>
      </c>
      <c r="H13" s="25"/>
      <c r="I13" s="25" t="str">
        <f ca="1">IF(ISERROR(F8),"",_xlfn.TEXTJOIN("/",FALSE,Q13,T13))</f>
        <v>35/50</v>
      </c>
      <c r="J13" s="25"/>
      <c r="K13" s="25" t="str">
        <f ca="1">IF(ISERROR(F8),"",_xlfn.TEXTJOIN("/",FALSE,R13,U13))</f>
        <v>84/150</v>
      </c>
      <c r="L13" s="25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D</v>
      </c>
      <c r="N13" s="8">
        <f ca="1">INDEX($Z$2:$Z$17,MATCH(M13,$Y$2:$Y$17,0))</f>
        <v>6</v>
      </c>
      <c r="O13">
        <v>1</v>
      </c>
      <c r="P13" s="1">
        <f ca="1">IF(ISERROR(F8),"",IF(ISTEXT(VLOOKUP(B8,INDIRECT($F$8),6+(O13-1)*3)),(VLOOKUP(B8,INDIRECT($F$8),6+(O13-1)*3)),SUM(VLOOKUP(B8,INDIRECT($F$8),6+(O13-1)*3),IF(W26,W13,0))))</f>
        <v>49</v>
      </c>
      <c r="Q13" s="1">
        <f ca="1">IF(ISERROR(F8),"",VLOOKUP(B8,INDIRECT($F$8),7+(O13-1)*3))</f>
        <v>35</v>
      </c>
      <c r="R13" s="1">
        <f ca="1">IF(ISERROR(F8),"",SUM(P13:Q13))</f>
        <v>84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3">
        <v>4.5</v>
      </c>
    </row>
    <row r="14" spans="1:26" ht="11.5" customHeight="1" x14ac:dyDescent="0.2">
      <c r="A14" s="7" t="str">
        <f ca="1">IF(ISERROR(F8),"",VLOOKUP(C8,INDIRECT($F$8),6+(O14-1)*3,0))</f>
        <v>AHT 003</v>
      </c>
      <c r="B14" s="24" t="str">
        <f ca="1">IF(ISERROR(F8),"",VLOOKUP(D8,INDIRECT($F$8),6+(O14-1)*3,0))</f>
        <v>Introduction to Engineering Mathematics</v>
      </c>
      <c r="C14" s="24"/>
      <c r="D14" s="24"/>
      <c r="E14" s="24"/>
      <c r="F14" s="7">
        <f ca="1">IF(ISERROR(F8),"",VLOOKUP(E8,INDIRECT($F$8),6+(O14-1)*3,0))</f>
        <v>4</v>
      </c>
      <c r="G14" s="25" t="str">
        <f ca="1">IF(ISERROR(F8),"",_xlfn.TEXTJOIN("/",FALSE,P14,S14))</f>
        <v>62/100</v>
      </c>
      <c r="H14" s="25"/>
      <c r="I14" s="25" t="str">
        <f ca="1">IF(ISERROR(F8),"",_xlfn.TEXTJOIN("/",FALSE,Q14,T14))</f>
        <v>44/50</v>
      </c>
      <c r="J14" s="25"/>
      <c r="K14" s="25" t="str">
        <f ca="1">IF(ISERROR(F8),"",_xlfn.TEXTJOIN("/",FALSE,R14,U14))</f>
        <v>106/150</v>
      </c>
      <c r="L14" s="25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C+</v>
      </c>
      <c r="N14" s="8">
        <f t="shared" ref="N14:N23" ca="1" si="0">INDEX($Z$2:$Z$17,MATCH(M14,$Y$2:$Y$17,0))</f>
        <v>7.5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IF(ISERROR(F8),"",IF(ISTEXT(VLOOKUP(B8,INDIRECT($F$8),6+(O14-1)*3)),(VLOOKUP(B8,INDIRECT($F$8),6+(O14-1)*3)),SUM(VLOOKUP(B8,INDIRECT($F$8),6+(O14-1)*3),IF(W26,W14,0))))</f>
        <v>62</v>
      </c>
      <c r="Q14" s="1">
        <f ca="1">IF(ISERROR(F8),"",VLOOKUP(B8,INDIRECT($F$8),7+(O14-1)*3))</f>
        <v>44</v>
      </c>
      <c r="R14" s="1">
        <f ca="1">IF(ISERROR(F8),"",SUM(P14:Q14))</f>
        <v>106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3">
        <v>0</v>
      </c>
    </row>
    <row r="15" spans="1:26" ht="11.5" customHeight="1" x14ac:dyDescent="0.2">
      <c r="A15" s="7" t="str">
        <f ca="1">IF(ISERROR(F8),"",VLOOKUP(C8,INDIRECT($F$8),6+(O15-1)*3,0))</f>
        <v>ECT 001</v>
      </c>
      <c r="B15" s="24" t="str">
        <f ca="1">IF(ISERROR(F8),"",VLOOKUP(D8,INDIRECT($F$8),6+(O15-1)*3,0))</f>
        <v>Basic Electronics Engineering</v>
      </c>
      <c r="C15" s="24"/>
      <c r="D15" s="24"/>
      <c r="E15" s="24"/>
      <c r="F15" s="7">
        <f ca="1">IF(ISERROR(F8),"",VLOOKUP(E8,INDIRECT($F$8),6+(O15-1)*3,0))</f>
        <v>4</v>
      </c>
      <c r="G15" s="25" t="str">
        <f ca="1">IF(ISERROR(F8),"",_xlfn.TEXTJOIN("/",FALSE,P15,S15))</f>
        <v>59/100</v>
      </c>
      <c r="H15" s="25"/>
      <c r="I15" s="25" t="str">
        <f ca="1">IF(ISERROR(F8),"",_xlfn.TEXTJOIN("/",FALSE,Q15,T15))</f>
        <v>41/50</v>
      </c>
      <c r="J15" s="25"/>
      <c r="K15" s="25" t="str">
        <f ca="1">IF(ISERROR(F8),"",_xlfn.TEXTJOIN("/",FALSE,R15,U15))</f>
        <v>100/150</v>
      </c>
      <c r="L15" s="25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C</v>
      </c>
      <c r="N15" s="8">
        <f t="shared" ca="1" si="0"/>
        <v>7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IF(ISERROR(F8),"",IF(ISTEXT(VLOOKUP(B8,INDIRECT($F$8),6+(O15-1)*3)),(VLOOKUP(B8,INDIRECT($F$8),6+(O15-1)*3)),SUM(VLOOKUP(B8,INDIRECT($F$8),6+(O15-1)*3),IF(W26,W15,0))))</f>
        <v>59</v>
      </c>
      <c r="Q15" s="1">
        <f ca="1">IF(ISERROR(F8),"",VLOOKUP(B8,INDIRECT($F$8),7+(O15-1)*3))</f>
        <v>41</v>
      </c>
      <c r="R15" s="1">
        <f ca="1">IF(ISERROR(F8),"",SUM(P15:Q15))</f>
        <v>100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3">
        <v>0</v>
      </c>
    </row>
    <row r="16" spans="1:26" ht="11.5" customHeight="1" x14ac:dyDescent="0.2">
      <c r="A16" s="7" t="str">
        <f ca="1">IF(ISERROR(F8),"",VLOOKUP(C8,INDIRECT($F$8),6+(O16-1)*3,0))</f>
        <v>MET 001</v>
      </c>
      <c r="B16" s="24" t="str">
        <f ca="1">IF(ISERROR(F8),"",VLOOKUP(D8,INDIRECT($F$8),6+(O16-1)*3,0))</f>
        <v>Basic Mechanical Engineering</v>
      </c>
      <c r="C16" s="24"/>
      <c r="D16" s="24"/>
      <c r="E16" s="24"/>
      <c r="F16" s="7">
        <f ca="1">IF(ISERROR(F8),"",VLOOKUP(E8,INDIRECT($F$8),6+(O16-1)*3,0))</f>
        <v>4</v>
      </c>
      <c r="G16" s="25" t="str">
        <f ca="1">IF(ISERROR(F8),"",_xlfn.TEXTJOIN("/",FALSE,P16,S16))</f>
        <v>63/100</v>
      </c>
      <c r="H16" s="25"/>
      <c r="I16" s="25" t="str">
        <f ca="1">IF(ISERROR(F8),"",_xlfn.TEXTJOIN("/",FALSE,Q16,T16))</f>
        <v>49/50</v>
      </c>
      <c r="J16" s="25"/>
      <c r="K16" s="25" t="str">
        <f ca="1">IF(ISERROR(F8),"",_xlfn.TEXTJOIN("/",FALSE,R16,U16))</f>
        <v>112/150</v>
      </c>
      <c r="L16" s="25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C+</v>
      </c>
      <c r="N16" s="8">
        <f t="shared" ca="1" si="0"/>
        <v>7.5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IF(ISERROR(F8),"",IF(ISTEXT(VLOOKUP(B8,INDIRECT($F$8),6+(O16-1)*3)),(VLOOKUP(B8,INDIRECT($F$8),6+(O16-1)*3)),SUM(VLOOKUP(B8,INDIRECT($F$8),6+(O16-1)*3),IF(W26,W16,0))))</f>
        <v>63</v>
      </c>
      <c r="Q16" s="1">
        <f ca="1">IF(ISERROR(F8),"",VLOOKUP(B8,INDIRECT($F$8),7+(O16-1)*3))</f>
        <v>49</v>
      </c>
      <c r="R16" s="1">
        <f ca="1">IF(ISERROR(F8),"",SUM(P16:Q16))</f>
        <v>112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3">
        <v>0</v>
      </c>
    </row>
    <row r="17" spans="1:26" ht="11.5" customHeight="1" x14ac:dyDescent="0.2">
      <c r="A17" s="7" t="str">
        <f ca="1">IF(ISERROR(F8),"",VLOOKUP(C8,INDIRECT($F$8),6+(O17-1)*3,0))</f>
        <v>BTT 001</v>
      </c>
      <c r="B17" s="24" t="str">
        <f ca="1">IF(ISERROR(F8),"",VLOOKUP(D8,INDIRECT($F$8),6+(O17-1)*3,0))</f>
        <v>Biology for Engineers (Bridge Course) ($)</v>
      </c>
      <c r="C17" s="24"/>
      <c r="D17" s="24"/>
      <c r="E17" s="24"/>
      <c r="F17" s="7">
        <f ca="1">IF(ISERROR(F8),"",VLOOKUP(E8,INDIRECT($F$8),6+(O17-1)*3,0))</f>
        <v>0</v>
      </c>
      <c r="G17" s="25" t="str">
        <f ca="1">IF(ISERROR(F8),"",_xlfn.TEXTJOIN("/",FALSE,P17,S17))</f>
        <v>64/100</v>
      </c>
      <c r="H17" s="25"/>
      <c r="I17" s="25" t="str">
        <f ca="1">IF(ISERROR(F8),"",_xlfn.TEXTJOIN("/",FALSE,Q17,T17))</f>
        <v>42/50</v>
      </c>
      <c r="J17" s="25"/>
      <c r="K17" s="25" t="str">
        <f ca="1">IF(ISERROR(F8),"",_xlfn.TEXTJOIN("/",FALSE,R17,U17))</f>
        <v>106/150</v>
      </c>
      <c r="L17" s="25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C+</v>
      </c>
      <c r="N17" s="8">
        <f t="shared" ca="1" si="0"/>
        <v>7.5</v>
      </c>
      <c r="O17" cm="1">
        <f t="array" aca="1" ref="O17" ca="1">IF(NOT(ISBLANK(INDIRECT("SEM_I!R"&amp;INT((ROW(O17)-17)/22)+6))),5,
IF(NOT(ISBLANK(INDIRECT("SEM_I!U"&amp;INT((ROW(O17)-17)/22)+6))),6))</f>
        <v>6</v>
      </c>
      <c r="P17" s="1">
        <f ca="1">IF(ISERROR(F8),"",IF(ISTEXT(VLOOKUP(B8,INDIRECT($F$8),6+(O17-1)*3)),(VLOOKUP(B8,INDIRECT($F$8),6+(O17-1)*3)),SUM(VLOOKUP(B8,INDIRECT($F$8),6+(O17-1)*3),IF(W26,W17,0))))</f>
        <v>64</v>
      </c>
      <c r="Q17" s="1">
        <f ca="1">IF(ISERROR(F8),"",VLOOKUP(B8,INDIRECT($F$8),7+(O17-1)*3))</f>
        <v>42</v>
      </c>
      <c r="R17" s="1">
        <f ca="1">IF(ISERROR(F8),"",SUM(P17:Q17))</f>
        <v>106</v>
      </c>
      <c r="S17" s="1">
        <f ca="1">IF(ISERROR(F8),"",VLOOKUP(A8,INDIRECT($F$8),6+(O17-1)*3))</f>
        <v>100</v>
      </c>
      <c r="T17" s="1">
        <f ca="1">IF(ISERROR(F8),"",VLOOKUP(A8,INDIRECT($F$8),7+(O17-1)*3))</f>
        <v>50</v>
      </c>
      <c r="U17" s="1">
        <f ca="1">IF(ISERROR(F8),"",VLOOKUP(A8,INDIRECT($F$8),8+(O17-1)*3))</f>
        <v>150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3">
        <v>0</v>
      </c>
    </row>
    <row r="18" spans="1:26" ht="11.5" customHeight="1" x14ac:dyDescent="0.2">
      <c r="A18" s="7" t="str">
        <f ca="1">IF(ISERROR(F8),"",VLOOKUP(C8,INDIRECT($F$8),6+(O18-1)*3,0))</f>
        <v>AHP 002</v>
      </c>
      <c r="B18" s="24" t="str">
        <f ca="1">IF(ISERROR(F8),"",VLOOKUP(D8,INDIRECT($F$8),6+(O18-1)*3,0))</f>
        <v>Engineering Chemistry Lab</v>
      </c>
      <c r="C18" s="24"/>
      <c r="D18" s="24"/>
      <c r="E18" s="24"/>
      <c r="F18" s="7">
        <f ca="1">IF(ISERROR(F8),"",VLOOKUP(E8,INDIRECT($F$8),6+(O18-1)*3,0))</f>
        <v>1</v>
      </c>
      <c r="G18" s="25" t="str">
        <f ca="1">IF(ISERROR(F8),"",_xlfn.TEXTJOIN("/",FALSE,P18,S18))</f>
        <v>18/25</v>
      </c>
      <c r="H18" s="25"/>
      <c r="I18" s="25" t="str">
        <f ca="1">IF(ISERROR(F8),"",_xlfn.TEXTJOIN("/",FALSE,Q18,T18))</f>
        <v>19/25</v>
      </c>
      <c r="J18" s="25"/>
      <c r="K18" s="25" t="str">
        <f ca="1">IF(ISERROR(F8),"",_xlfn.TEXTJOIN("/",FALSE,R18,U18))</f>
        <v>37/50</v>
      </c>
      <c r="L18" s="25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C+</v>
      </c>
      <c r="N18" s="8">
        <f t="shared" ca="1" si="0"/>
        <v>7.5</v>
      </c>
      <c r="O18">
        <f ca="1">IF(O17&gt;0,7)</f>
        <v>7</v>
      </c>
      <c r="P18" s="1">
        <f ca="1">IF(ISERROR(F8),"",IF(ISTEXT(VLOOKUP(B8,INDIRECT($F$8),6+(O18-1)*3)),(VLOOKUP(B8,INDIRECT($F$8),6+(O18-1)*3)),SUM(VLOOKUP(B8,INDIRECT($F$8),6+(O18-1)*3),IF(W26,W18,0))))</f>
        <v>18</v>
      </c>
      <c r="Q18" s="1">
        <f ca="1">IF(ISERROR(F8),"",VLOOKUP(B8,INDIRECT($F$8),7+(O18-1)*3))</f>
        <v>19</v>
      </c>
      <c r="R18" s="1">
        <f ca="1">IF(ISERROR(F8),"",SUM(P18:Q18))</f>
        <v>37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1.5" customHeight="1" x14ac:dyDescent="0.2">
      <c r="A19" s="7" t="str">
        <f ca="1">IF(ISERROR(F8),"",VLOOKUP(C8,INDIRECT($F$8),6+(O19-1)*3,0))</f>
        <v>ECP 001</v>
      </c>
      <c r="B19" s="24" t="str">
        <f ca="1">IF(ISERROR(F8),"",VLOOKUP(D8,INDIRECT($F$8),6+(O19-1)*3,0))</f>
        <v>Basic Electronics Engineering Lab</v>
      </c>
      <c r="C19" s="24"/>
      <c r="D19" s="24"/>
      <c r="E19" s="24"/>
      <c r="F19" s="7">
        <f ca="1">IF(ISERROR(F8),"",VLOOKUP(E8,INDIRECT($F$8),6+(O19-1)*3,0))</f>
        <v>1</v>
      </c>
      <c r="G19" s="25" t="str">
        <f ca="1">IF(ISERROR(F8),"",_xlfn.TEXTJOIN("/",FALSE,P19,S19))</f>
        <v>21/25</v>
      </c>
      <c r="H19" s="25"/>
      <c r="I19" s="25" t="str">
        <f ca="1">IF(ISERROR(F8),"",_xlfn.TEXTJOIN("/",FALSE,Q19,T19))</f>
        <v>23/25</v>
      </c>
      <c r="J19" s="25"/>
      <c r="K19" s="25" t="str">
        <f ca="1">IF(ISERROR(F8),"",_xlfn.TEXTJOIN("/",FALSE,R19,U19))</f>
        <v>44/50</v>
      </c>
      <c r="L19" s="25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</v>
      </c>
      <c r="N19" s="8">
        <f t="shared" ca="1" si="0"/>
        <v>9</v>
      </c>
      <c r="O19">
        <f t="shared" ref="O19:O25" ca="1" si="1">O18+1</f>
        <v>8</v>
      </c>
      <c r="P19" s="1">
        <f ca="1">IF(ISERROR(F8),"",IF(ISTEXT(VLOOKUP(B8,INDIRECT($F$8),6+(O19-1)*3)),(VLOOKUP(B8,INDIRECT($F$8),6+(O19-1)*3)),SUM(VLOOKUP(B8,INDIRECT($F$8),6+(O19-1)*3),IF(W26,W19,0))))</f>
        <v>21</v>
      </c>
      <c r="Q19" s="1">
        <f ca="1">IF(ISERROR(F8),"",VLOOKUP(B8,INDIRECT($F$8),7+(O19-1)*3))</f>
        <v>23</v>
      </c>
      <c r="R19" s="1">
        <f ca="1">IF(ISERROR(F8),"",SUM(P19:Q19))</f>
        <v>44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1.5" customHeight="1" x14ac:dyDescent="0.2">
      <c r="A20" s="7" t="str">
        <f ca="1">IF(ISERROR(F8),"",VLOOKUP(C8,INDIRECT($F$8),6+(O20-1)*3,0))</f>
        <v>MEP 001</v>
      </c>
      <c r="B20" s="24" t="str">
        <f ca="1">IF(ISERROR(F8),"",VLOOKUP(D8,INDIRECT($F$8),6+(O20-1)*3,0))</f>
        <v>Basic Mechanical Engineering Lab</v>
      </c>
      <c r="C20" s="24"/>
      <c r="D20" s="24"/>
      <c r="E20" s="24"/>
      <c r="F20" s="7">
        <f ca="1">IF(ISERROR(F8),"",VLOOKUP(E8,INDIRECT($F$8),6+(O20-1)*3,0))</f>
        <v>1</v>
      </c>
      <c r="G20" s="25" t="str">
        <f ca="1">IF(ISERROR(F8),"",_xlfn.TEXTJOIN("/",FALSE,P20,S20))</f>
        <v>24/25</v>
      </c>
      <c r="H20" s="25"/>
      <c r="I20" s="25" t="str">
        <f ca="1">IF(ISERROR(F8),"",_xlfn.TEXTJOIN("/",FALSE,Q20,T20))</f>
        <v>24/25</v>
      </c>
      <c r="J20" s="25"/>
      <c r="K20" s="25" t="str">
        <f ca="1">IF(ISERROR(F8),"",_xlfn.TEXTJOIN("/",FALSE,R20,U20))</f>
        <v>48/50</v>
      </c>
      <c r="L20" s="25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O</v>
      </c>
      <c r="N20" s="8">
        <f t="shared" ca="1" si="0"/>
        <v>10</v>
      </c>
      <c r="O20">
        <f t="shared" ca="1" si="1"/>
        <v>9</v>
      </c>
      <c r="P20" s="1">
        <f ca="1">IF(ISERROR(F8),"",IF(ISTEXT(VLOOKUP(B8,INDIRECT($F$8),6+(O20-1)*3)),(VLOOKUP(B8,INDIRECT($F$8),6+(O20-1)*3)),SUM(VLOOKUP(B8,INDIRECT($F$8),6+(O20-1)*3),IF(W26,W20,0))))</f>
        <v>24</v>
      </c>
      <c r="Q20" s="1">
        <f ca="1">IF(ISERROR(F8),"",VLOOKUP(B8,INDIRECT($F$8),7+(O20-1)*3))</f>
        <v>24</v>
      </c>
      <c r="R20" s="1">
        <f ca="1">IF(ISERROR(F8),"",SUM(P20:Q20))</f>
        <v>48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1.5" customHeight="1" x14ac:dyDescent="0.2">
      <c r="A21" s="7" t="str">
        <f ca="1">IF(ISERROR(F8),"",VLOOKUP(C8,INDIRECT($F$8),6+(O21-1)*3,0))</f>
        <v>MEP 003</v>
      </c>
      <c r="B21" s="24" t="str">
        <f ca="1">IF(ISERROR(F8),"",VLOOKUP(D8,INDIRECT($F$8),6+(O21-1)*3-Z21,0))</f>
        <v>Workshop Practices Lab</v>
      </c>
      <c r="C21" s="24"/>
      <c r="D21" s="24"/>
      <c r="E21" s="24"/>
      <c r="F21" s="7">
        <f ca="1">IF(ISERROR(F8),"",VLOOKUP(E8,INDIRECT($F$8),6+(O21-1)*3,0))</f>
        <v>2</v>
      </c>
      <c r="G21" s="25" t="str">
        <f ca="1">IF(ISERROR(F8),"",_xlfn.TEXTJOIN("/",FALSE,P21,S21))</f>
        <v>45/50</v>
      </c>
      <c r="H21" s="25"/>
      <c r="I21" s="25" t="str">
        <f ca="1">IF(ISERROR(F8),"",_xlfn.TEXTJOIN("/",FALSE,Q21,T21))</f>
        <v>43/50</v>
      </c>
      <c r="J21" s="25"/>
      <c r="K21" s="25" t="str">
        <f ca="1">IF(ISERROR(F8),"",_xlfn.TEXTJOIN("/",FALSE,R21,U21))</f>
        <v>88/100</v>
      </c>
      <c r="L21" s="25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ca="1" si="1"/>
        <v>10</v>
      </c>
      <c r="P21" s="1">
        <f ca="1">IF(ISERROR(F8),"",IF(ISTEXT(VLOOKUP(B8,INDIRECT($F$8),6+(O21-1)*3)),(VLOOKUP(B8,INDIRECT($F$8),6+(O21-1)*3)),SUM(VLOOKUP(B8,INDIRECT($F$8),6+(O21-1)*3),IF(W26,W21,0))))</f>
        <v>45</v>
      </c>
      <c r="Q21" s="1">
        <f ca="1">IF(ISERROR(F8),"",VLOOKUP(B8,INDIRECT($F$8),7+(O21-1)*3))</f>
        <v>43</v>
      </c>
      <c r="R21" s="1">
        <f ca="1">IF(ISERROR(F8),"",SUM(P21:Q21))</f>
        <v>88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1.5" customHeight="1" x14ac:dyDescent="0.2">
      <c r="A22" s="7" t="str">
        <f ca="1">IF(ISERROR(F8),"",VLOOKUP(C8,INDIRECT($F$8),6+(O22-1)*3,0))</f>
        <v>AHP 004</v>
      </c>
      <c r="B22" s="24" t="str">
        <f ca="1">IF(ISERROR(F8),"",VLOOKUP(D8,INDIRECT($F$8),6+(O22-1)*3-Z22,0))</f>
        <v>Emerging Technologies in Engineering Lab</v>
      </c>
      <c r="C22" s="24"/>
      <c r="D22" s="24"/>
      <c r="E22" s="24"/>
      <c r="F22" s="7">
        <f ca="1">IF(ISERROR(F8),"",VLOOKUP(E8,INDIRECT($F$8),6+(O22-1)*3,0))</f>
        <v>1</v>
      </c>
      <c r="G22" s="25" t="str">
        <f ca="1">IF(ISERROR(F8),"",_xlfn.TEXTJOIN("/",FALSE,P22,S22))</f>
        <v>21/25</v>
      </c>
      <c r="H22" s="25"/>
      <c r="I22" s="25" t="str">
        <f ca="1">IF(ISERROR(F8),"",_xlfn.TEXTJOIN("/",FALSE,Q22,T22))</f>
        <v>23/25</v>
      </c>
      <c r="J22" s="25"/>
      <c r="K22" s="25" t="str">
        <f ca="1">IF(ISERROR(F8),"",_xlfn.TEXTJOIN("/",FALSE,R22,U22))</f>
        <v>44/50</v>
      </c>
      <c r="L22" s="25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</v>
      </c>
      <c r="N22" s="8">
        <f t="shared" ca="1" si="0"/>
        <v>9</v>
      </c>
      <c r="O22">
        <f t="shared" ca="1" si="1"/>
        <v>11</v>
      </c>
      <c r="P22" s="1">
        <f ca="1">IF(ISERROR(F8),"",IF(ISTEXT(VLOOKUP(B8,INDIRECT($F$8),6+(O22-1)*3)),(VLOOKUP(B8,INDIRECT($F$8),6+(O22-1)*3)),SUM(VLOOKUP(B8,INDIRECT($F$8),6+(O22-1)*3),IF(W26,W22,0))))</f>
        <v>21</v>
      </c>
      <c r="Q22" s="1">
        <f ca="1">IF(ISERROR(F8),"",VLOOKUP(B8,INDIRECT($F$8),7+(O22-1)*3))</f>
        <v>23</v>
      </c>
      <c r="R22" s="1">
        <f ca="1">IF(ISERROR(F8),"",SUM(P22:Q22))</f>
        <v>44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1.5" customHeight="1" x14ac:dyDescent="0.2">
      <c r="A23" s="7" t="str">
        <f ca="1">IF(ISERROR(F8),"",VLOOKUP(C8,INDIRECT($F$8),6+(O23-1)*3,0))</f>
        <v>CSP 002</v>
      </c>
      <c r="B23" s="24" t="str">
        <f ca="1">IF(ISERROR(F8),"",VLOOKUP(D8,INDIRECT($F$8),6+(O23-1)*3,0))</f>
        <v>Computer Applications and IOT</v>
      </c>
      <c r="C23" s="24"/>
      <c r="D23" s="24"/>
      <c r="E23" s="24"/>
      <c r="F23" s="7">
        <f ca="1">IF(ISERROR(F8),"",VLOOKUP(E8,INDIRECT($F$8),6+(O23-1)*3,0))</f>
        <v>1</v>
      </c>
      <c r="G23" s="25" t="str">
        <f ca="1">IF(ISERROR(F8),"",_xlfn.TEXTJOIN("/",FALSE,P23,S23))</f>
        <v>25/25</v>
      </c>
      <c r="H23" s="25"/>
      <c r="I23" s="25" t="str">
        <f ca="1">IF(ISERROR(F8),"",_xlfn.TEXTJOIN("/",FALSE,Q23,T23))</f>
        <v>25/25</v>
      </c>
      <c r="J23" s="25"/>
      <c r="K23" s="25" t="str">
        <f ca="1">IF(ISERROR(F8),"",_xlfn.TEXTJOIN("/",FALSE,R23,U23))</f>
        <v>50/50</v>
      </c>
      <c r="L23" s="25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O</v>
      </c>
      <c r="N23" s="8">
        <f t="shared" ca="1" si="0"/>
        <v>10</v>
      </c>
      <c r="O23">
        <f t="shared" ca="1" si="1"/>
        <v>12</v>
      </c>
      <c r="P23" s="1">
        <f ca="1">IF(ISERROR(F8),"",IF(ISTEXT(VLOOKUP(B8,INDIRECT($F$8),6+(O23-1)*3)),(VLOOKUP(B8,INDIRECT($F$8),6+(O23-1)*3)),SUM(VLOOKUP(B8,INDIRECT($F$8),6+(O23-1)*3),IF(W26,W23,0))))</f>
        <v>25</v>
      </c>
      <c r="Q23" s="1">
        <f ca="1">IF(ISERROR(F8),"",VLOOKUP(B8,INDIRECT($F$8),7+(O23-1)*3))</f>
        <v>25</v>
      </c>
      <c r="R23" s="1">
        <f ca="1">IF(ISERROR(F8),"",SUM(P23:Q23))</f>
        <v>50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1.5" customHeight="1" x14ac:dyDescent="0.2">
      <c r="A24" s="7" t="str">
        <f ca="1">IF(ISERROR(F8),"",VLOOKUP(C8,INDIRECT($F$8),6+(O24-1)*3,0))</f>
        <v>AHP 006</v>
      </c>
      <c r="B24" s="24" t="str">
        <f ca="1">IF(ISERROR(F8),"",VLOOKUP(D8,INDIRECT($F$8),6+(O24-1)*3,0))</f>
        <v>English Language Lab ($)</v>
      </c>
      <c r="C24" s="24"/>
      <c r="D24" s="24"/>
      <c r="E24" s="24"/>
      <c r="F24" s="7">
        <f ca="1">IF(ISERROR(F8),"",VLOOKUP(E8,INDIRECT($F$8),6+(O24-1)*3,0))</f>
        <v>0</v>
      </c>
      <c r="G24" s="25" t="str">
        <f ca="1">IF(ISERROR(F8),"",_xlfn.TEXTJOIN("/",FALSE,P24,S24))</f>
        <v>17/25</v>
      </c>
      <c r="H24" s="25"/>
      <c r="I24" s="25" t="str">
        <f ca="1">IF(ISERROR(F8),"",_xlfn.TEXTJOIN("/",FALSE,Q24,T24))</f>
        <v>41/50</v>
      </c>
      <c r="J24" s="25"/>
      <c r="K24" s="25" t="str">
        <f ca="1">IF(ISERROR(F8),"",_xlfn.TEXTJOIN("/",FALSE,R24,U24))</f>
        <v>58/75</v>
      </c>
      <c r="L24" s="25"/>
      <c r="M24" s="7" t="str">
        <f ca="1">IF(ISERROR(F8),"",IF(ISTEXT(P24),IF(P24="A","Ab",IF(P24="D","Dt",IF(P24="UFM","UFM",IF(P24="NA","")))),IF(AND(ISBLANK(P24),ISBLANK(R24)),"",IF(P24&lt;0.3*S24,"F",IF(ISBLANK(R24),"",IF(ISTEXT(R24),R24,IF(R24&gt;=0.95*U24,"O",IF(R24&gt;=0.9*U24,"A+",IF(R24&gt;=0.85*U24,"A",IF(R24&gt;=0.8*U24,"B+",IF(R24&gt;=0.75*U24,"B",IF(R24&gt;=0.7*U24,"C+",IF(R24&gt;=0.65*U24,"C",IF(R24&gt;=0.6*U24,"D+",IF(R24&gt;=0.55*U24,"D",IF(R24&gt;=0.5*U24,"E+",IF(R24&gt;=0.45*U24,"E",IF(R24&gt;=0.4*U24,"P",IF(R24&lt;0.4*U24,"F",R24)))))))))))))))))))</f>
        <v>B</v>
      </c>
      <c r="N24" s="8">
        <f ca="1">INDEX($Z$2:$Z$17,MATCH(M24,$Y$2:$Y$17,0))</f>
        <v>8</v>
      </c>
      <c r="O24">
        <f t="shared" ca="1" si="1"/>
        <v>13</v>
      </c>
      <c r="P24" s="1">
        <f ca="1">IF(ISERROR(F8),"",IF(ISTEXT(VLOOKUP(B8,INDIRECT($F$8),6+(O24-1)*3)),(VLOOKUP(B8,INDIRECT($F$8),6+(O24-1)*3)),SUM(VLOOKUP(B8,INDIRECT($F$8),6+(O24-1)*3),IF(W26,W24,0))))</f>
        <v>17</v>
      </c>
      <c r="Q24" s="1">
        <f ca="1">IF(ISERROR(F8),"",VLOOKUP(B8,INDIRECT($F$8),7+(O24-1)*3))</f>
        <v>41</v>
      </c>
      <c r="R24" s="1">
        <f ca="1">IF(ISERROR(F8),"",SUM(P24:Q24))</f>
        <v>58</v>
      </c>
      <c r="S24" s="1">
        <f ca="1">IF(ISERROR(F8),"",VLOOKUP(A8,INDIRECT($F$8),6+(O24-1)*3))</f>
        <v>25</v>
      </c>
      <c r="T24" s="1">
        <f ca="1">IF(ISERROR(F8),"",VLOOKUP(A8,INDIRECT($F$8),7+(O24-1)*3))</f>
        <v>50</v>
      </c>
      <c r="U24" s="1">
        <f ca="1">IF(ISERROR(F8),"",VLOOKUP(A8,INDIRECT($F$8),8+(O24-1)*3))</f>
        <v>75</v>
      </c>
      <c r="V24" s="1"/>
      <c r="W24" s="1">
        <f ca="1">IF(ISERROR(F8),"",IF(ISTEXT(VLOOKUP(B8,INDIRECT($F$8),6+(O24-1)*3)),11,IF(VLOOKUP(B8,INDIRECT($F$8),6+(O24-1)*3)&lt;S24*0.3,IF(VLOOKUP(B8,INDIRECT($F$8),8+(O24-1)*3)&lt;U24*0.4,IF(AND(0.4*U24-VLOOKUP(B8,INDIRECT($F$8),8+(O24-1)*3)&lt;=5,0.3*S24-VLOOKUP(B8,INDIRECT($F$8),6+(O24-1)*3)&lt;=5),MAX(0.4*U24-VLOOKUP(B8,INDIRECT($F$8),8+(O24-1)*3),0.3*S24-VLOOKUP(B8,INDIRECT($F$8),6+(O24-1)*3)),11),IF(0.3*S24-VLOOKUP(B8,INDIRECT($F$8),6+(O24-1)*3)&lt;=5,0.3*S24-VLOOKUP(B8,INDIRECT($F$8),6+(O24-1)*3),11)),IF(VLOOKUP(B8,INDIRECT($F$8),8+(O24-1)*3)&lt;U24*0.4,IF(U24*0.4-VLOOKUP(B8,INDIRECT($F$8),8+(O24-1)*3)&lt;=5,U24*0.4-VLOOKUP(B8,INDIRECT($F$8),8+(O24-1)*3),11),0))))</f>
        <v>0</v>
      </c>
      <c r="X24" s="1" t="str">
        <f ca="1">IF(ISERROR(F8),"",IF(W24=0,"",_xlfn.TEXTJOIN("",FALSE," G+",W24," in ",A24)))</f>
        <v/>
      </c>
    </row>
    <row r="25" spans="1:26" ht="11.5" customHeight="1" x14ac:dyDescent="0.2">
      <c r="A25" s="7" t="str">
        <f ca="1">IF(ISERROR(F8),"",VLOOKUP(C8,INDIRECT($F$8),6+(O25-1)*3-Y25,0))</f>
        <v>GP 01</v>
      </c>
      <c r="B25" s="24" t="str">
        <f ca="1">IF(ISERROR(F8),"",VLOOKUP(D8,INDIRECT($F$8),6+(O25-1)*3-Z25,0))</f>
        <v>General Proficiency ($)</v>
      </c>
      <c r="C25" s="24"/>
      <c r="D25" s="24"/>
      <c r="E25" s="24"/>
      <c r="F25" s="7">
        <f ca="1">IF(ISERROR(F8),"",VLOOKUP(E8,INDIRECT($F$8),6+(O25-1)*3-AA25,0))</f>
        <v>0</v>
      </c>
      <c r="G25" s="25" t="str">
        <f>IF(ISERROR(F8),"","-")</f>
        <v>-</v>
      </c>
      <c r="H25" s="25"/>
      <c r="I25" s="25" t="str">
        <f ca="1">IF(ISERROR(F8),"",_xlfn.TEXTJOIN("/",FALSE,Q25,T25))</f>
        <v>47/50</v>
      </c>
      <c r="J25" s="25"/>
      <c r="K25" s="25" t="str">
        <f ca="1">IF(ISERROR(F8),"",_xlfn.TEXTJOIN("/",FALSE,R25,U25))</f>
        <v>47/50</v>
      </c>
      <c r="L25" s="25"/>
      <c r="M25" s="25" t="str">
        <f ca="1">IF(ISBLANK(R25),"",IF(ISTEXT(R25),R25,IF(R25&gt;=0.8*U25,"Excellent",IF(R25&gt;=0.6*U25,"Very Good",IF(R25&gt;=0.4*U25,"Good",IF(R25&gt;=0.2*U25,"Satisfactory","Average"))))))</f>
        <v>Excellent</v>
      </c>
      <c r="N25" s="25"/>
      <c r="O25">
        <f t="shared" ca="1" si="1"/>
        <v>14</v>
      </c>
      <c r="P25" s="1">
        <f ca="1">IF(ISERROR(F8),"",IF(ISTEXT(VLOOKUP(B\28,INDIRECT($F$8),6+(O25-1)*3)),(VLOOKUP(B8,INDIRECT($F$8),6+(O25-1)*3)),SUM(VLOOKUP(B8,INDIRECT($F$8),6+(O25-1)*3),IF(W26,W26,0))))</f>
        <v>0</v>
      </c>
      <c r="Q25" s="1">
        <f ca="1">IF(ISERROR(F8),"",VLOOKUP(B8,INDIRECT($F$8),7+(O25-1)*3))</f>
        <v>47</v>
      </c>
      <c r="R25" s="1">
        <f ca="1">IF(ISERROR(F8),"",SUM(P25:Q25))</f>
        <v>47</v>
      </c>
      <c r="S25" s="1">
        <f ca="1">IF(ISERROR(F8),"",VLOOKUP(A8,INDIRECT($F$8),6+(O25-1)*3))</f>
        <v>0</v>
      </c>
      <c r="T25" s="1">
        <f ca="1">IF(ISERROR(F8),"",VLOOKUP(A8,INDIRECT($F$8),7+(O25-1)*3))</f>
        <v>50</v>
      </c>
      <c r="U25" s="1">
        <f ca="1">IF(ISERROR(F8),"",VLOOKUP(A8,INDIRECT($F$8),8+(O25-1)*3))</f>
        <v>50</v>
      </c>
      <c r="V25" s="1"/>
      <c r="W25" s="1"/>
      <c r="X25" s="1" t="str">
        <f>IF(ISERROR(F8),"",IF(W25=0,"",_xlfn.TEXTJOIN("",FALSE," G+",W25," in ",A25)))</f>
        <v/>
      </c>
    </row>
    <row r="26" spans="1:26" ht="11.5" customHeight="1" x14ac:dyDescent="0.2">
      <c r="A26" s="27" t="s">
        <v>37</v>
      </c>
      <c r="B26" s="27"/>
      <c r="C26" s="27"/>
      <c r="D26" s="27"/>
      <c r="E26" s="27"/>
      <c r="F26" s="9">
        <f ca="1">SUM(F13:F25)</f>
        <v>23</v>
      </c>
      <c r="G26" s="27" t="str">
        <f ca="1">_xlfn.TEXTJOIN("/",TRUE,SUMIF(F13:F25,"&gt;0",P13:P25),SUMIF(F13:F25,"&gt;0",S13:S25))</f>
        <v>387/575</v>
      </c>
      <c r="H26" s="27"/>
      <c r="I26" s="27" t="str">
        <f ca="1">_xlfn.TEXTJOIN("/",TRUE,SUMIF(F13:F25,"&gt;0",Q13:Q25),SUMIF(F13:F25,"&gt;0",T13:T25))</f>
        <v>326/375</v>
      </c>
      <c r="J26" s="27"/>
      <c r="K26" s="27" t="str">
        <f ca="1">_xlfn.TEXTJOIN("/",TRUE,SUMIF(F13:F25,"&gt;0",R13:R25),SUMIF(F13:F25,"&gt;0",U13:U25))</f>
        <v>713/950</v>
      </c>
      <c r="L26" s="27"/>
      <c r="M26" s="26">
        <f ca="1">SUMPRODUCT(N13:N24,F13:F24)</f>
        <v>175.5</v>
      </c>
      <c r="N26" s="26"/>
      <c r="V26" s="1" t="str">
        <f ca="1">_xlfn.TEXTJOIN(", ",TRUE,V13:V25)</f>
        <v/>
      </c>
      <c r="W26" t="b">
        <f ca="1">IF(SUM(W13:W25)&lt;=W12,TRUE,FALSE)</f>
        <v>1</v>
      </c>
      <c r="X26" s="1" t="str">
        <f ca="1">_xlfn.TEXTJOIN(",",TRUE,X13:X25)</f>
        <v/>
      </c>
    </row>
    <row r="27" spans="1:26" ht="11.5" customHeight="1" x14ac:dyDescent="0.2">
      <c r="A27" s="26" t="s">
        <v>38</v>
      </c>
      <c r="B27" s="28" t="str" cm="1">
        <f t="array" aca="1" ref="B27" ca="1">IF(SUM(COUNTIF(M13:M24,{"Ab","Dt"}))=12, "Not Promoted to IInd Semester", IF(V26="", "PASS", "CARRY OVER"))</f>
        <v>PASS</v>
      </c>
      <c r="C27" s="28"/>
      <c r="D27" s="26" t="s">
        <v>39</v>
      </c>
      <c r="E27" s="28" t="str">
        <f ca="1">IF(V26="",IF(X26="","",X26),_xlfn.TEXTJOIN(" ",TRUE,"BACK IN",V26))</f>
        <v/>
      </c>
      <c r="F27" s="28"/>
      <c r="G27" s="26" t="s">
        <v>40</v>
      </c>
      <c r="H27" s="29">
        <f ca="1">M26/F26</f>
        <v>7.6304347826086953</v>
      </c>
      <c r="I27" s="26" t="s">
        <v>41</v>
      </c>
      <c r="J27" s="29">
        <f ca="1">IF(ISERROR(F8),"",VLOOKUP(B8,INDIRECT($F$8),12+(O25-1)*3,0))</f>
        <v>7.6304347826086953</v>
      </c>
      <c r="K27" s="28" t="s">
        <v>42</v>
      </c>
      <c r="L27" s="26">
        <f ca="1">SUMIF(N13:N24,"&gt;0",F13:F24)</f>
        <v>23</v>
      </c>
      <c r="M27" s="28" t="s">
        <v>43</v>
      </c>
      <c r="N27" s="26">
        <f ca="1">IF(ISERROR(F8),"",VLOOKUP(B8,INDIRECT($F$8),10+(O25-1)*3,0))</f>
        <v>23</v>
      </c>
    </row>
    <row r="28" spans="1:26" ht="11.5" customHeight="1" x14ac:dyDescent="0.2">
      <c r="A28" s="26"/>
      <c r="B28" s="28"/>
      <c r="C28" s="28"/>
      <c r="D28" s="26"/>
      <c r="E28" s="28"/>
      <c r="F28" s="28"/>
      <c r="G28" s="26"/>
      <c r="H28" s="29"/>
      <c r="I28" s="26"/>
      <c r="J28" s="29"/>
      <c r="K28" s="28"/>
      <c r="L28" s="26"/>
      <c r="M28" s="28"/>
      <c r="N28" s="26"/>
    </row>
    <row r="29" spans="1:26" ht="11.5" customHeight="1" x14ac:dyDescent="0.2">
      <c r="A29" s="26"/>
      <c r="B29" s="28"/>
      <c r="C29" s="28"/>
      <c r="D29" s="26"/>
      <c r="E29" s="28"/>
      <c r="F29" s="28"/>
      <c r="G29" s="26"/>
      <c r="H29" s="29"/>
      <c r="I29" s="26"/>
      <c r="J29" s="29"/>
      <c r="K29" s="28"/>
      <c r="L29" s="26"/>
      <c r="M29" s="28"/>
      <c r="N29" s="26"/>
    </row>
    <row r="30" spans="1:26" ht="11.5" customHeight="1" x14ac:dyDescent="0.2">
      <c r="A30" s="11" t="str">
        <f>A8</f>
        <v>MM</v>
      </c>
      <c r="B30" s="11">
        <f>B8+1</f>
        <v>2</v>
      </c>
      <c r="C30" s="11" t="str">
        <f>C8</f>
        <v>SC</v>
      </c>
      <c r="D30" s="11" t="str">
        <f>D8</f>
        <v>SN</v>
      </c>
      <c r="E30" s="11" t="str">
        <f>E8</f>
        <v>C</v>
      </c>
      <c r="F30" s="11" t="str">
        <f ca="1">VLOOKUP(B30,INDIRECT($F$8),4,0)</f>
        <v>AKANSHA</v>
      </c>
    </row>
    <row r="31" spans="1:26" ht="11.5" customHeight="1" x14ac:dyDescent="0.2">
      <c r="A31" s="30" t="str">
        <f ca="1">IF(ISERROR(F30),"",A9)</f>
        <v>Name:</v>
      </c>
      <c r="B31" s="30" t="str">
        <f ca="1">IFERROR(VLOOKUP(B30,INDIRECT($F$8),4,0),"")</f>
        <v>AKANSHA</v>
      </c>
      <c r="C31" s="30"/>
      <c r="D31" s="30" t="str">
        <f ca="1">IF(ISERROR(F30),"",D9)</f>
        <v>Father's Name:</v>
      </c>
      <c r="E31" s="30" t="str">
        <f ca="1">IFERROR(VLOOKUP(B30,INDIRECT($F$8),5,0),"")</f>
        <v>BIRENDRA SINGH RAWAT</v>
      </c>
      <c r="F31" s="30"/>
      <c r="G31" s="30" t="str">
        <f ca="1">IF(ISERROR(F30),"",G9)</f>
        <v>University Roll No:</v>
      </c>
      <c r="H31" s="30"/>
      <c r="I31" s="31">
        <f ca="1">IFERROR(VLOOKUP(B30,INDIRECT($F$8),2,0),"")</f>
        <v>250090120002</v>
      </c>
      <c r="J31" s="31"/>
      <c r="K31" s="30" t="str">
        <f ca="1">IF(ISERROR(F30),"",K9)</f>
        <v>University Enrol. No:</v>
      </c>
      <c r="L31" s="30"/>
      <c r="M31" s="31" t="str">
        <f ca="1">IFERROR(VLOOKUP(B30,INDIRECT($F$8),3,0),"")</f>
        <v>UTU/2501103983</v>
      </c>
      <c r="N31" s="31"/>
    </row>
    <row r="32" spans="1:26" ht="15" x14ac:dyDescent="0.2">
      <c r="A32" s="30"/>
      <c r="B32" s="30"/>
      <c r="C32" s="30"/>
      <c r="D32" s="30"/>
      <c r="E32" s="30"/>
      <c r="F32" s="30"/>
      <c r="G32" s="30"/>
      <c r="H32" s="30"/>
      <c r="I32" s="31"/>
      <c r="J32" s="31"/>
      <c r="K32" s="30"/>
      <c r="L32" s="30"/>
      <c r="M32" s="31"/>
      <c r="N32" s="31"/>
    </row>
    <row r="33" spans="1:31" ht="11.5" customHeight="1" x14ac:dyDescent="0.2">
      <c r="A33" s="28" t="str">
        <f ca="1">IF(ISERROR(F30),"",A11)</f>
        <v>Subject Code</v>
      </c>
      <c r="B33" s="28" t="str">
        <f ca="1">IF(ISERROR(F30),"",B11)</f>
        <v>Subject Name</v>
      </c>
      <c r="C33" s="28"/>
      <c r="D33" s="28"/>
      <c r="E33" s="28"/>
      <c r="F33" s="28" t="str">
        <f ca="1">IF(ISERROR(F30),"",F11)</f>
        <v>Credits</v>
      </c>
      <c r="G33" s="28" t="str">
        <f ca="1">IF(ISERROR(F30),"",G11)</f>
        <v>External Marks</v>
      </c>
      <c r="H33" s="28"/>
      <c r="I33" s="28" t="str">
        <f ca="1">IF(ISERROR(F30),"",I11)</f>
        <v>Sessional Marks</v>
      </c>
      <c r="J33" s="28"/>
      <c r="K33" s="28" t="str">
        <f ca="1">IF(ISERROR(F30),"",K11)</f>
        <v>Total Marks</v>
      </c>
      <c r="L33" s="28"/>
      <c r="M33" s="28" t="str">
        <f ca="1">IF(ISERROR(F30),"",M11)</f>
        <v>Grade</v>
      </c>
      <c r="N33" s="28" t="str">
        <f ca="1">IF(ISERROR(F30),"",N11)</f>
        <v>Grade Points</v>
      </c>
    </row>
    <row r="34" spans="1:31" ht="11.5" customHeight="1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W34">
        <f ca="1">IF(ISNUMBER(MATCH($F$8,{"I","III","V","VII"},0)),10,10-INDEX(INDIRECT(_xlfn.TEXTJOIN("",TRUE,"SEM_",$G$8,"!",ADDRESS(6,4+$I$8*3+4),":",ADDRESS(5+$H$8,4+$I$8*3+4))),MATCH(INDIRECT(_xlfn.TEXTJOIN("",TRUE,"TC_",$F$8,"!",ADDRESS(ROW(I31),COLUMN(I31)))),INDIRECT(_xlfn.TEXTJOIN("",TRUE,"SEM_",$G$8,"!",ADDRESS(6,2),":",ADDRESS(5+$H$8,2))))))</f>
        <v>10</v>
      </c>
    </row>
    <row r="35" spans="1:31" ht="11.5" customHeight="1" x14ac:dyDescent="0.2">
      <c r="A35" s="7" t="str">
        <f ca="1">IF(ISERROR(F30),"",VLOOKUP(C30,INDIRECT($F$8),6+(O35-1)*3,0))</f>
        <v>AHT 002</v>
      </c>
      <c r="B35" s="24" t="str">
        <f ca="1">IF(ISERROR(F30),"",VLOOKUP(D30,INDIRECT($F$8),6+(O35-1)*3,0))</f>
        <v>Engineering Chemistry</v>
      </c>
      <c r="C35" s="24"/>
      <c r="D35" s="24"/>
      <c r="E35" s="24"/>
      <c r="F35" s="7">
        <f ca="1">IF(ISERROR(F30),"",VLOOKUP(E30,INDIRECT($F$8),6+(O35-1)*3,0))</f>
        <v>4</v>
      </c>
      <c r="G35" s="25" t="str">
        <f ca="1">IF(ISERROR(F30),"",_xlfn.TEXTJOIN("/",FALSE,P35,S35))</f>
        <v>49/100</v>
      </c>
      <c r="H35" s="25"/>
      <c r="I35" s="25" t="str">
        <f ca="1">IF(ISERROR(F30),"",_xlfn.TEXTJOIN("/",FALSE,Q35,T35))</f>
        <v>37/50</v>
      </c>
      <c r="J35" s="25"/>
      <c r="K35" s="25" t="str">
        <f ca="1">IF(ISERROR(F30),"",_xlfn.TEXTJOIN("/",FALSE,R35,U35))</f>
        <v>86/150</v>
      </c>
      <c r="L35" s="25"/>
      <c r="M35" s="7" t="str">
        <f ca="1">IF(ISERROR(F30)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D</v>
      </c>
      <c r="N35" s="8">
        <f ca="1">INDEX($Z$2:$Z$17,MATCH(M35,$Y$2:$Y$17,0))</f>
        <v>6</v>
      </c>
      <c r="O35">
        <v>1</v>
      </c>
      <c r="P35" s="1">
        <f ca="1">IF(ISERROR(F30),"",IF(ISTEXT(VLOOKUP(B30,INDIRECT($F$8),6+(O35-1)*3)),(VLOOKUP(B30,INDIRECT($F$8),6+(O35-1)*3)),SUM(VLOOKUP(B30,INDIRECT($F$8),6+(O35-1)*3),IF(W48,W35,0))))</f>
        <v>49</v>
      </c>
      <c r="Q35" s="1">
        <f ca="1">IF(ISERROR(F30),"",VLOOKUP(B30,INDIRECT($F$8),7+(O35-1)*3))</f>
        <v>37</v>
      </c>
      <c r="R35" s="1">
        <f ca="1">IF(ISERROR(F30),"",SUM(P35:Q35))</f>
        <v>86</v>
      </c>
      <c r="S35" s="1">
        <f ca="1">IF(ISERROR(F30),"",VLOOKUP(A30,INDIRECT($F$8),6+(O35-1)*3))</f>
        <v>100</v>
      </c>
      <c r="T35" s="1">
        <f ca="1">IF(ISERROR(F30),"",VLOOKUP(A30,INDIRECT($F$8),7+(O35-1)*3))</f>
        <v>50</v>
      </c>
      <c r="U35" s="1">
        <f ca="1">IF(ISERROR(F30),"",VLOOKUP(A30,INDIRECT($F$8),8+(O35-1)*3))</f>
        <v>150</v>
      </c>
      <c r="V35" s="1" t="str">
        <f ca="1">IF(ISERROR(F30),"",IF(N35=0,A35,""))</f>
        <v/>
      </c>
      <c r="W35" s="1">
        <f ca="1">IF(ISERROR(F30),"",IF(ISTEXT(VLOOKUP(B30,INDIRECT($F$8),6+(O35-1)*3)),11,IF(VLOOKUP(B30,INDIRECT($F$8),6+(O35-1)*3)&lt;S35*0.3,IF(VLOOKUP(B30,INDIRECT($F$8),8+(O35-1)*3)&lt;U35*0.4,IF(AND(0.4*U35-VLOOKUP(B30,INDIRECT($F$8),8+(O35-1)*3)&lt;=5,0.3*S35-VLOOKUP(B30,INDIRECT($F$8),6+(O35-1)*3)&lt;=5),MAX(0.4*U35-VLOOKUP(B30,INDIRECT($F$8),8+(O35-1)*3),0.3*S35-VLOOKUP(B30,INDIRECT($F$8),6+(O35-1)*3)),11),IF(0.3*S35-VLOOKUP(B30,INDIRECT($F$8),6+(O35-1)*3)&lt;=5,0.3*S35-VLOOKUP(B30,INDIRECT($F$8),6+(O35-1)*3),11)),IF(VLOOKUP(B30,INDIRECT($F$8),8+(O35-1)*3)&lt;U35*0.4,IF(U35*0.4-VLOOKUP(B30,INDIRECT($F$8),8+(O35-1)*3)&lt;=5,U35*0.4-VLOOKUP(B30,INDIRECT($F$8),8+(O35-1)*3),11),0))))</f>
        <v>0</v>
      </c>
      <c r="X35" s="1" t="str">
        <f ca="1">IF(ISERROR(F30),"",IF(W35=0,"",_xlfn.TEXTJOIN("",FALSE," G+",W35," in ",A35)))</f>
        <v/>
      </c>
    </row>
    <row r="36" spans="1:31" ht="11.5" customHeight="1" x14ac:dyDescent="0.2">
      <c r="A36" s="7" t="str">
        <f ca="1">IF(ISERROR(F30),"",VLOOKUP(C30,INDIRECT($F$8),6+(O36-1)*3,0))</f>
        <v>AHT 003</v>
      </c>
      <c r="B36" s="24" t="str">
        <f ca="1">IF(ISERROR(F30),"",VLOOKUP(D30,INDIRECT($F$8),6+(O36-1)*3,0))</f>
        <v>Introduction to Engineering Mathematics</v>
      </c>
      <c r="C36" s="24"/>
      <c r="D36" s="24"/>
      <c r="E36" s="24"/>
      <c r="F36" s="7">
        <f ca="1">IF(ISERROR(F30),"",VLOOKUP(E30,INDIRECT($F$8),6+(O36-1)*3,0))</f>
        <v>4</v>
      </c>
      <c r="G36" s="25" t="str">
        <f ca="1">IF(ISERROR(F30),"",_xlfn.TEXTJOIN("/",FALSE,P36,S36))</f>
        <v>32/100</v>
      </c>
      <c r="H36" s="25"/>
      <c r="I36" s="25" t="str">
        <f ca="1">IF(ISERROR(F30),"",_xlfn.TEXTJOIN("/",FALSE,Q36,T36))</f>
        <v>20/50</v>
      </c>
      <c r="J36" s="25"/>
      <c r="K36" s="25" t="str">
        <f ca="1">IF(ISERROR(F30),"",_xlfn.TEXTJOIN("/",FALSE,R36,U36))</f>
        <v>52/150</v>
      </c>
      <c r="L36" s="25"/>
      <c r="M36" s="7" t="str">
        <f ca="1">IF(ISERROR(F30)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F</v>
      </c>
      <c r="N36" s="8">
        <f t="shared" ref="N36:N45" ca="1" si="2">INDEX($Z$2:$Z$17,MATCH(M36,$Y$2:$Y$17,0))</f>
        <v>0</v>
      </c>
      <c r="O36">
        <f>O35+1</f>
        <v>2</v>
      </c>
      <c r="P36" s="1">
        <f ca="1">IF(ISERROR(F30),"",IF(ISTEXT(VLOOKUP(B30,INDIRECT($F$8),6+(O36-1)*3)),(VLOOKUP(B30,INDIRECT($F$8),6+(O36-1)*3)),SUM(VLOOKUP(B30,INDIRECT($F$8),6+(O36-1)*3),IF(W48,W36,0))))</f>
        <v>32</v>
      </c>
      <c r="Q36" s="1">
        <f ca="1">IF(ISERROR(F30),"",VLOOKUP(B30,INDIRECT($F$8),7+(O36-1)*3))</f>
        <v>20</v>
      </c>
      <c r="R36" s="1">
        <f ca="1">IF(ISERROR(F30),"",SUM(P36:Q36))</f>
        <v>52</v>
      </c>
      <c r="S36" s="1">
        <f ca="1">IF(ISERROR(F30),"",VLOOKUP(A30,INDIRECT($F$8),6+(O36-1)*3))</f>
        <v>100</v>
      </c>
      <c r="T36" s="1">
        <f ca="1">IF(ISERROR(F30),"",VLOOKUP(A30,INDIRECT($F$8),7+(O36-1)*3))</f>
        <v>50</v>
      </c>
      <c r="U36" s="1">
        <f ca="1">IF(ISERROR(F30),"",VLOOKUP(A30,INDIRECT($F$8),8+(O36-1)*3))</f>
        <v>150</v>
      </c>
      <c r="V36" s="1" t="str">
        <f ca="1">IF(ISERROR(F30),"",IF(N36=0,A36,""))</f>
        <v>AHT 003</v>
      </c>
      <c r="W36" s="1">
        <f ca="1">IF(ISERROR(F30),"",IF(ISTEXT(VLOOKUP(B30,INDIRECT($F$8),6+(O36-1)*3)),11,IF(VLOOKUP(B30,INDIRECT($F$8),6+(O36-1)*3)&lt;S36*0.3,IF(VLOOKUP(B30,INDIRECT($F$8),8+(O36-1)*3)&lt;U36*0.4,IF(AND(0.4*U36-VLOOKUP(B30,INDIRECT($F$8),8+(O36-1)*3)&lt;=5,0.3*S36-VLOOKUP(B30,INDIRECT($F$8),6+(O36-1)*3)&lt;=5),MAX(0.4*U36-VLOOKUP(B30,INDIRECT($F$8),8+(O36-1)*3),0.3*S36-VLOOKUP(B30,INDIRECT($F$8),6+(O36-1)*3)),11),IF(0.3*S36-VLOOKUP(B30,INDIRECT($F$8),6+(O36-1)*3)&lt;=5,0.3*S36-VLOOKUP(B30,INDIRECT($F$8),6+(O36-1)*3),11)),IF(VLOOKUP(B30,INDIRECT($F$8),8+(O36-1)*3)&lt;U36*0.4,IF(U36*0.4-VLOOKUP(B30,INDIRECT($F$8),8+(O36-1)*3)&lt;=5,U36*0.4-VLOOKUP(B30,INDIRECT($F$8),8+(O36-1)*3),11),0))))</f>
        <v>11</v>
      </c>
      <c r="X36" s="1" t="str">
        <f ca="1">IF(ISERROR(F30),"",IF(W36=0,"",_xlfn.TEXTJOIN("",FALSE," G+",W36," in ",A36)))</f>
        <v xml:space="preserve"> G+11 in AHT 003</v>
      </c>
    </row>
    <row r="37" spans="1:31" ht="11.5" customHeight="1" x14ac:dyDescent="0.2">
      <c r="A37" s="7" t="str">
        <f ca="1">IF(ISERROR(F30),"",VLOOKUP(C30,INDIRECT($F$8),6+(O37-1)*3,0))</f>
        <v>ECT 001</v>
      </c>
      <c r="B37" s="24" t="str">
        <f ca="1">IF(ISERROR(F30),"",VLOOKUP(D30,INDIRECT($F$8),6+(O37-1)*3,0))</f>
        <v>Basic Electronics Engineering</v>
      </c>
      <c r="C37" s="24"/>
      <c r="D37" s="24"/>
      <c r="E37" s="24"/>
      <c r="F37" s="7">
        <f ca="1">IF(ISERROR(F30),"",VLOOKUP(E30,INDIRECT($F$8),6+(O37-1)*3,0))</f>
        <v>4</v>
      </c>
      <c r="G37" s="25" t="str">
        <f ca="1">IF(ISERROR(F30),"",_xlfn.TEXTJOIN("/",FALSE,P37,S37))</f>
        <v>47/100</v>
      </c>
      <c r="H37" s="25"/>
      <c r="I37" s="25" t="str">
        <f ca="1">IF(ISERROR(F30),"",_xlfn.TEXTJOIN("/",FALSE,Q37,T37))</f>
        <v>42/50</v>
      </c>
      <c r="J37" s="25"/>
      <c r="K37" s="25" t="str">
        <f ca="1">IF(ISERROR(F30),"",_xlfn.TEXTJOIN("/",FALSE,R37,U37))</f>
        <v>89/150</v>
      </c>
      <c r="L37" s="25"/>
      <c r="M37" s="7" t="str">
        <f ca="1">IF(ISERROR(F30)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D</v>
      </c>
      <c r="N37" s="8">
        <f t="shared" ca="1" si="2"/>
        <v>6</v>
      </c>
      <c r="O37">
        <f>O36+1</f>
        <v>3</v>
      </c>
      <c r="P37" s="1">
        <f ca="1">IF(ISERROR(F30),"",IF(ISTEXT(VLOOKUP(B30,INDIRECT($F$8),6+(O37-1)*3)),(VLOOKUP(B30,INDIRECT($F$8),6+(O37-1)*3)),SUM(VLOOKUP(B30,INDIRECT($F$8),6+(O37-1)*3),IF(W48,W37,0))))</f>
        <v>47</v>
      </c>
      <c r="Q37" s="1">
        <f ca="1">IF(ISERROR(F30),"",VLOOKUP(B30,INDIRECT($F$8),7+(O37-1)*3))</f>
        <v>42</v>
      </c>
      <c r="R37" s="1">
        <f ca="1">IF(ISERROR(F30),"",SUM(P37:Q37))</f>
        <v>89</v>
      </c>
      <c r="S37" s="1">
        <f ca="1">IF(ISERROR(F30),"",VLOOKUP(A30,INDIRECT($F$8),6+(O37-1)*3))</f>
        <v>100</v>
      </c>
      <c r="T37" s="1">
        <f ca="1">IF(ISERROR(F30),"",VLOOKUP(A30,INDIRECT($F$8),7+(O37-1)*3))</f>
        <v>50</v>
      </c>
      <c r="U37" s="1">
        <f ca="1">IF(ISERROR(F30),"",VLOOKUP(A30,INDIRECT($F$8),8+(O37-1)*3))</f>
        <v>150</v>
      </c>
      <c r="V37" s="1" t="str">
        <f ca="1">IF(ISERROR(F30),"",IF(N37=0,A37,""))</f>
        <v/>
      </c>
      <c r="W37" s="1">
        <f ca="1">IF(ISERROR(F30),"",IF(ISTEXT(VLOOKUP(B30,INDIRECT($F$8),6+(O37-1)*3)),11,IF(VLOOKUP(B30,INDIRECT($F$8),6+(O37-1)*3)&lt;S37*0.3,IF(VLOOKUP(B30,INDIRECT($F$8),8+(O37-1)*3)&lt;U37*0.4,IF(AND(0.4*U37-VLOOKUP(B30,INDIRECT($F$8),8+(O37-1)*3)&lt;=5,0.3*S37-VLOOKUP(B30,INDIRECT($F$8),6+(O37-1)*3)&lt;=5),MAX(0.4*U37-VLOOKUP(B30,INDIRECT($F$8),8+(O37-1)*3),0.3*S37-VLOOKUP(B30,INDIRECT($F$8),6+(O37-1)*3)),11),IF(0.3*S37-VLOOKUP(B30,INDIRECT($F$8),6+(O37-1)*3)&lt;=5,0.3*S37-VLOOKUP(B30,INDIRECT($F$8),6+(O37-1)*3),11)),IF(VLOOKUP(B30,INDIRECT($F$8),8+(O37-1)*3)&lt;U37*0.4,IF(U37*0.4-VLOOKUP(B30,INDIRECT($F$8),8+(O37-1)*3)&lt;=5,U37*0.4-VLOOKUP(B30,INDIRECT($F$8),8+(O37-1)*3),11),0))))</f>
        <v>0</v>
      </c>
      <c r="X37" s="1" t="str">
        <f ca="1">IF(ISERROR(F30),"",IF(W37=0,"",_xlfn.TEXTJOIN("",FALSE," G+",W37," in ",A37)))</f>
        <v/>
      </c>
    </row>
    <row r="38" spans="1:31" ht="11.5" customHeight="1" x14ac:dyDescent="0.2">
      <c r="A38" s="7" t="str">
        <f ca="1">IF(ISERROR(F30),"",VLOOKUP(C30,INDIRECT($F$8),6+(O38-1)*3,0))</f>
        <v>MET 001</v>
      </c>
      <c r="B38" s="24" t="str">
        <f ca="1">IF(ISERROR(F30),"",VLOOKUP(D30,INDIRECT($F$8),6+(O38-1)*3,0))</f>
        <v>Basic Mechanical Engineering</v>
      </c>
      <c r="C38" s="24"/>
      <c r="D38" s="24"/>
      <c r="E38" s="24"/>
      <c r="F38" s="7">
        <f ca="1">IF(ISERROR(F30),"",VLOOKUP(E30,INDIRECT($F$8),6+(O38-1)*3,0))</f>
        <v>4</v>
      </c>
      <c r="G38" s="25" t="str">
        <f ca="1">IF(ISERROR(F30),"",_xlfn.TEXTJOIN("/",FALSE,P38,S38))</f>
        <v>59/100</v>
      </c>
      <c r="H38" s="25"/>
      <c r="I38" s="25" t="str">
        <f ca="1">IF(ISERROR(F30),"",_xlfn.TEXTJOIN("/",FALSE,Q38,T38))</f>
        <v>47/50</v>
      </c>
      <c r="J38" s="25"/>
      <c r="K38" s="25" t="str">
        <f ca="1">IF(ISERROR(F30),"",_xlfn.TEXTJOIN("/",FALSE,R38,U38))</f>
        <v>106/150</v>
      </c>
      <c r="L38" s="25"/>
      <c r="M38" s="7" t="str">
        <f ca="1">IF(ISERROR(F30)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C+</v>
      </c>
      <c r="N38" s="8">
        <f t="shared" ca="1" si="2"/>
        <v>7.5</v>
      </c>
      <c r="O38">
        <f>O37+1</f>
        <v>4</v>
      </c>
      <c r="P38" s="1">
        <f ca="1">IF(ISERROR(F30),"",IF(ISTEXT(VLOOKUP(B30,INDIRECT($F$8),6+(O38-1)*3)),(VLOOKUP(B30,INDIRECT($F$8),6+(O38-1)*3)),SUM(VLOOKUP(B30,INDIRECT($F$8),6+(O38-1)*3),IF(W48,W38,0))))</f>
        <v>59</v>
      </c>
      <c r="Q38" s="1">
        <f ca="1">IF(ISERROR(F30),"",VLOOKUP(B30,INDIRECT($F$8),7+(O38-1)*3))</f>
        <v>47</v>
      </c>
      <c r="R38" s="1">
        <f ca="1">IF(ISERROR(F30),"",SUM(P38:Q38))</f>
        <v>106</v>
      </c>
      <c r="S38" s="1">
        <f ca="1">IF(ISERROR(F30),"",VLOOKUP(A30,INDIRECT($F$8),6+(O38-1)*3))</f>
        <v>100</v>
      </c>
      <c r="T38" s="1">
        <f ca="1">IF(ISERROR(F30),"",VLOOKUP(A30,INDIRECT($F$8),7+(O38-1)*3))</f>
        <v>50</v>
      </c>
      <c r="U38" s="1">
        <f ca="1">IF(ISERROR(F30),"",VLOOKUP(A30,INDIRECT($F$8),8+(O38-1)*3))</f>
        <v>150</v>
      </c>
      <c r="V38" s="1" t="str">
        <f ca="1">IF(ISERROR(F30),"",IF(N38=0,A38,""))</f>
        <v/>
      </c>
      <c r="W38" s="1">
        <f ca="1">IF(ISERROR(F30),"",IF(ISTEXT(VLOOKUP(B30,INDIRECT($F$8),6+(O38-1)*3)),11,IF(VLOOKUP(B30,INDIRECT($F$8),6+(O38-1)*3)&lt;S38*0.3,IF(VLOOKUP(B30,INDIRECT($F$8),8+(O38-1)*3)&lt;U38*0.4,IF(AND(0.4*U38-VLOOKUP(B30,INDIRECT($F$8),8+(O38-1)*3)&lt;=5,0.3*S38-VLOOKUP(B30,INDIRECT($F$8),6+(O38-1)*3)&lt;=5),MAX(0.4*U38-VLOOKUP(B30,INDIRECT($F$8),8+(O38-1)*3),0.3*S38-VLOOKUP(B30,INDIRECT($F$8),6+(O38-1)*3)),11),IF(0.3*S38-VLOOKUP(B30,INDIRECT($F$8),6+(O38-1)*3)&lt;=5,0.3*S38-VLOOKUP(B30,INDIRECT($F$8),6+(O38-1)*3),11)),IF(VLOOKUP(B30,INDIRECT($F$8),8+(O38-1)*3)&lt;U38*0.4,IF(U38*0.4-VLOOKUP(B30,INDIRECT($F$8),8+(O38-1)*3)&lt;=5,U38*0.4-VLOOKUP(B30,INDIRECT($F$8),8+(O38-1)*3),11),0))))</f>
        <v>0</v>
      </c>
      <c r="X38" s="1" t="str">
        <f ca="1">IF(ISERROR(F30),"",IF(W38=0,"",_xlfn.TEXTJOIN("",FALSE," G+",W38," in ",A38)))</f>
        <v/>
      </c>
    </row>
    <row r="39" spans="1:31" ht="11.5" customHeight="1" x14ac:dyDescent="0.2">
      <c r="A39" s="7" t="str">
        <f ca="1">IF(ISERROR(F30),"",VLOOKUP(C30,INDIRECT($F$8),6+(O39-1)*3,0))</f>
        <v>AHT 000</v>
      </c>
      <c r="B39" s="24" t="str">
        <f ca="1">IF(ISERROR(F30),"",VLOOKUP(D30,INDIRECT($F$8),6+(O39-1)*3,0))</f>
        <v>Basic Mathematics (Bridge Course) ($)</v>
      </c>
      <c r="C39" s="24"/>
      <c r="D39" s="24"/>
      <c r="E39" s="24"/>
      <c r="F39" s="7">
        <f ca="1">IF(ISERROR(F30),"",VLOOKUP(E30,INDIRECT($F$8),6+(O39-1)*3,0))</f>
        <v>0</v>
      </c>
      <c r="G39" s="25" t="str">
        <f ca="1">IF(ISERROR(F30),"",_xlfn.TEXTJOIN("/",FALSE,P39,S39))</f>
        <v>58/100</v>
      </c>
      <c r="H39" s="25"/>
      <c r="I39" s="25" t="str">
        <f ca="1">IF(ISERROR(F30),"",_xlfn.TEXTJOIN("/",FALSE,Q39,T39))</f>
        <v>34/50</v>
      </c>
      <c r="J39" s="25"/>
      <c r="K39" s="25" t="str">
        <f ca="1">IF(ISERROR(F30),"",_xlfn.TEXTJOIN("/",FALSE,R39,U39))</f>
        <v>92/150</v>
      </c>
      <c r="L39" s="25"/>
      <c r="M39" s="7" t="str">
        <f ca="1">IF(ISERROR(F30)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D+</v>
      </c>
      <c r="N39" s="8">
        <f t="shared" ca="1" si="2"/>
        <v>6.5</v>
      </c>
      <c r="O39" cm="1">
        <f t="array" aca="1" ref="O39" ca="1">IF(NOT(ISBLANK(INDIRECT("SEM_I!R"&amp;INT((ROW(O39)-17)/22)+6))),5,
IF(NOT(ISBLANK(INDIRECT("SEM_I!U"&amp;INT((ROW(O39)-17)/22)+6))),6))</f>
        <v>5</v>
      </c>
      <c r="P39" s="1">
        <f ca="1">IF(ISERROR(F30),"",IF(ISTEXT(VLOOKUP(B30,INDIRECT($F$8),6+(O39-1)*3)),(VLOOKUP(B30,INDIRECT($F$8),6+(O39-1)*3)),SUM(VLOOKUP(B30,INDIRECT($F$8),6+(O39-1)*3),IF(W48,W39,0))))</f>
        <v>58</v>
      </c>
      <c r="Q39" s="1">
        <f ca="1">IF(ISERROR(F30),"",VLOOKUP(B30,INDIRECT($F$8),7+(O39-1)*3))</f>
        <v>34</v>
      </c>
      <c r="R39" s="1">
        <f ca="1">IF(ISERROR(F30),"",SUM(P39:Q39))</f>
        <v>92</v>
      </c>
      <c r="S39" s="1">
        <f ca="1">IF(ISERROR(F30),"",VLOOKUP(A30,INDIRECT($F$8),6+(O39-1)*3))</f>
        <v>100</v>
      </c>
      <c r="T39" s="1">
        <f ca="1">IF(ISERROR(F30),"",VLOOKUP(A30,INDIRECT($F$8),7+(O39-1)*3))</f>
        <v>50</v>
      </c>
      <c r="U39" s="1">
        <f ca="1">IF(ISERROR(F30),"",VLOOKUP(A30,INDIRECT($F$8),8+(O39-1)*3))</f>
        <v>150</v>
      </c>
      <c r="V39" s="1" t="str">
        <f ca="1">IF(ISERROR(F30),"",IF(N39=0,A39,""))</f>
        <v/>
      </c>
      <c r="W39" s="1">
        <f ca="1">IF(ISERROR(F30),"",IF(ISTEXT(VLOOKUP(B30,INDIRECT($F$8),6+(O39-1)*3)),11,IF(VLOOKUP(B30,INDIRECT($F$8),6+(O39-1)*3)&lt;S39*0.3,IF(VLOOKUP(B30,INDIRECT($F$8),8+(O39-1)*3)&lt;U39*0.4,IF(AND(0.4*U39-VLOOKUP(B30,INDIRECT($F$8),8+(O39-1)*3)&lt;=5,0.3*S39-VLOOKUP(B30,INDIRECT($F$8),6+(O39-1)*3)&lt;=5),MAX(0.4*U39-VLOOKUP(B30,INDIRECT($F$8),8+(O39-1)*3),0.3*S39-VLOOKUP(B30,INDIRECT($F$8),6+(O39-1)*3)),11),IF(0.3*S39-VLOOKUP(B30,INDIRECT($F$8),6+(O39-1)*3)&lt;=5,0.3*S39-VLOOKUP(B30,INDIRECT($F$8),6+(O39-1)*3),11)),IF(VLOOKUP(B30,INDIRECT($F$8),8+(O39-1)*3)&lt;U39*0.4,IF(U39*0.4-VLOOKUP(B30,INDIRECT($F$8),8+(O39-1)*3)&lt;=5,U39*0.4-VLOOKUP(B30,INDIRECT($F$8),8+(O39-1)*3),11),0))))</f>
        <v>0</v>
      </c>
      <c r="X39" s="1" t="str">
        <f ca="1">IF(ISERROR(F30),"",IF(W39=0,"",_xlfn.TEXTJOIN("",FALSE," G+",W39," in ",A39)))</f>
        <v/>
      </c>
    </row>
    <row r="40" spans="1:31" ht="11.5" customHeight="1" x14ac:dyDescent="0.2">
      <c r="A40" s="7" t="str">
        <f ca="1">IF(ISERROR(F30),"",VLOOKUP(C30,INDIRECT($F$8),6+(O40-1)*3,0))</f>
        <v>AHP 002</v>
      </c>
      <c r="B40" s="24" t="str">
        <f ca="1">IF(ISERROR(F30),"",VLOOKUP(D30,INDIRECT($F$8),6+(O40-1)*3,0))</f>
        <v>Engineering Chemistry Lab</v>
      </c>
      <c r="C40" s="24"/>
      <c r="D40" s="24"/>
      <c r="E40" s="24"/>
      <c r="F40" s="7">
        <f ca="1">IF(ISERROR(F30),"",VLOOKUP(E30,INDIRECT($F$8),6+(O40-1)*3,0))</f>
        <v>1</v>
      </c>
      <c r="G40" s="25" t="str">
        <f ca="1">IF(ISERROR(F30),"",_xlfn.TEXTJOIN("/",FALSE,P40,S40))</f>
        <v>19/25</v>
      </c>
      <c r="H40" s="25"/>
      <c r="I40" s="25" t="str">
        <f ca="1">IF(ISERROR(F30),"",_xlfn.TEXTJOIN("/",FALSE,Q40,T40))</f>
        <v>17/25</v>
      </c>
      <c r="J40" s="25"/>
      <c r="K40" s="25" t="str">
        <f ca="1">IF(ISERROR(F30),"",_xlfn.TEXTJOIN("/",FALSE,R40,U40))</f>
        <v>36/50</v>
      </c>
      <c r="L40" s="25"/>
      <c r="M40" s="7" t="str">
        <f ca="1">IF(ISERROR(F30)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C+</v>
      </c>
      <c r="N40" s="8">
        <f t="shared" ca="1" si="2"/>
        <v>7.5</v>
      </c>
      <c r="O40">
        <f ca="1">IF(O39&gt;0,7)</f>
        <v>7</v>
      </c>
      <c r="P40" s="1">
        <f ca="1">IF(ISERROR(F30),"",IF(ISTEXT(VLOOKUP(B30,INDIRECT($F$8),6+(O40-1)*3)),(VLOOKUP(B30,INDIRECT($F$8),6+(O40-1)*3)),SUM(VLOOKUP(B30,INDIRECT($F$8),6+(O40-1)*3),IF(W48,W40,0))))</f>
        <v>19</v>
      </c>
      <c r="Q40" s="1">
        <f ca="1">IF(ISERROR(F30),"",VLOOKUP(B30,INDIRECT($F$8),7+(O40-1)*3))</f>
        <v>17</v>
      </c>
      <c r="R40" s="1">
        <f ca="1">IF(ISERROR(F30),"",SUM(P40:Q40))</f>
        <v>36</v>
      </c>
      <c r="S40" s="1">
        <f ca="1">IF(ISERROR(F30),"",VLOOKUP(A30,INDIRECT($F$8),6+(O40-1)*3))</f>
        <v>25</v>
      </c>
      <c r="T40" s="1">
        <f ca="1">IF(ISERROR(F30),"",VLOOKUP(A30,INDIRECT($F$8),7+(O40-1)*3))</f>
        <v>25</v>
      </c>
      <c r="U40" s="1">
        <f ca="1">IF(ISERROR(F30),"",VLOOKUP(A30,INDIRECT($F$8),8+(O40-1)*3))</f>
        <v>50</v>
      </c>
      <c r="V40" s="1" t="str">
        <f ca="1">IF(ISERROR(F30),"",IF(N40=0,A40,""))</f>
        <v/>
      </c>
      <c r="W40" s="1">
        <f ca="1">IF(ISERROR(F30),"",IF(ISTEXT(VLOOKUP(B30,INDIRECT($F$8),6+(O40-1)*3)),11,IF(VLOOKUP(B30,INDIRECT($F$8),6+(O40-1)*3)&lt;S40*0.3,IF(VLOOKUP(B30,INDIRECT($F$8),8+(O40-1)*3)&lt;U40*0.4,IF(AND(0.4*U40-VLOOKUP(B30,INDIRECT($F$8),8+(O40-1)*3)&lt;=5,0.3*S40-VLOOKUP(B30,INDIRECT($F$8),6+(O40-1)*3)&lt;=5),MAX(0.4*U40-VLOOKUP(B30,INDIRECT($F$8),8+(O40-1)*3),0.3*S40-VLOOKUP(B30,INDIRECT($F$8),6+(O40-1)*3)),11),IF(0.3*S40-VLOOKUP(B30,INDIRECT($F$8),6+(O40-1)*3)&lt;=5,0.3*S40-VLOOKUP(B30,INDIRECT($F$8),6+(O40-1)*3),11)),IF(VLOOKUP(B30,INDIRECT($F$8),8+(O40-1)*3)&lt;U40*0.4,IF(U40*0.4-VLOOKUP(B30,INDIRECT($F$8),8+(O40-1)*3)&lt;=5,U40*0.4-VLOOKUP(B30,INDIRECT($F$8),8+(O40-1)*3),11),0))))</f>
        <v>0</v>
      </c>
      <c r="X40" s="1" t="str">
        <f ca="1">IF(ISERROR(F30),"",IF(W40=0,"",_xlfn.TEXTJOIN("",FALSE," G+",W40," in ",A40)))</f>
        <v/>
      </c>
    </row>
    <row r="41" spans="1:31" ht="11.5" customHeight="1" x14ac:dyDescent="0.2">
      <c r="A41" s="7" t="str">
        <f ca="1">IF(ISERROR(F30),"",VLOOKUP(C30,INDIRECT($F$8),6+(O41-1)*3,0))</f>
        <v>ECP 001</v>
      </c>
      <c r="B41" s="24" t="str">
        <f ca="1">IF(ISERROR(F30),"",VLOOKUP(D30,INDIRECT($F$8),6+(O41-1)*3,0))</f>
        <v>Basic Electronics Engineering Lab</v>
      </c>
      <c r="C41" s="24"/>
      <c r="D41" s="24"/>
      <c r="E41" s="24"/>
      <c r="F41" s="7">
        <f ca="1">IF(ISERROR(F30),"",VLOOKUP(E30,INDIRECT($F$8),6+(O41-1)*3,0))</f>
        <v>1</v>
      </c>
      <c r="G41" s="25" t="str">
        <f ca="1">IF(ISERROR(F30),"",_xlfn.TEXTJOIN("/",FALSE,P41,S41))</f>
        <v>20/25</v>
      </c>
      <c r="H41" s="25"/>
      <c r="I41" s="25" t="str">
        <f ca="1">IF(ISERROR(F30),"",_xlfn.TEXTJOIN("/",FALSE,Q41,T41))</f>
        <v>21/25</v>
      </c>
      <c r="J41" s="25"/>
      <c r="K41" s="25" t="str">
        <f ca="1">IF(ISERROR(F30),"",_xlfn.TEXTJOIN("/",FALSE,R41,U41))</f>
        <v>41/50</v>
      </c>
      <c r="L41" s="25"/>
      <c r="M41" s="7" t="str">
        <f ca="1">IF(ISERROR(F30)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B+</v>
      </c>
      <c r="N41" s="8">
        <f t="shared" ca="1" si="2"/>
        <v>8.5</v>
      </c>
      <c r="O41">
        <f t="shared" ref="O41:O47" ca="1" si="3">O40+1</f>
        <v>8</v>
      </c>
      <c r="P41" s="1">
        <f ca="1">IF(ISERROR(F30),"",IF(ISTEXT(VLOOKUP(B30,INDIRECT($F$8),6+(O41-1)*3)),(VLOOKUP(B30,INDIRECT($F$8),6+(O41-1)*3)),SUM(VLOOKUP(B30,INDIRECT($F$8),6+(O41-1)*3),IF(W48,W41,0))))</f>
        <v>20</v>
      </c>
      <c r="Q41" s="1">
        <f ca="1">IF(ISERROR(F30),"",VLOOKUP(B30,INDIRECT($F$8),7+(O41-1)*3))</f>
        <v>21</v>
      </c>
      <c r="R41" s="1">
        <f ca="1">IF(ISERROR(F30),"",SUM(P41:Q41))</f>
        <v>41</v>
      </c>
      <c r="S41" s="1">
        <f ca="1">IF(ISERROR(F30),"",VLOOKUP(A30,INDIRECT($F$8),6+(O41-1)*3))</f>
        <v>25</v>
      </c>
      <c r="T41" s="1">
        <f ca="1">IF(ISERROR(F30),"",VLOOKUP(A30,INDIRECT($F$8),7+(O41-1)*3))</f>
        <v>25</v>
      </c>
      <c r="U41" s="1">
        <f ca="1">IF(ISERROR(F30),"",VLOOKUP(A30,INDIRECT($F$8),8+(O41-1)*3))</f>
        <v>50</v>
      </c>
      <c r="V41" s="1" t="str">
        <f ca="1">IF(ISERROR(F30),"",IF(N41=0,A41,""))</f>
        <v/>
      </c>
      <c r="W41" s="1">
        <f ca="1">IF(ISERROR(F30),"",IF(ISTEXT(VLOOKUP(B30,INDIRECT($F$8),6+(O41-1)*3)),11,IF(VLOOKUP(B30,INDIRECT($F$8),6+(O41-1)*3)&lt;S41*0.3,IF(VLOOKUP(B30,INDIRECT($F$8),8+(O41-1)*3)&lt;U41*0.4,IF(AND(0.4*U41-VLOOKUP(B30,INDIRECT($F$8),8+(O41-1)*3)&lt;=5,0.3*S41-VLOOKUP(B30,INDIRECT($F$8),6+(O41-1)*3)&lt;=5),MAX(0.4*U41-VLOOKUP(B30,INDIRECT($F$8),8+(O41-1)*3),0.3*S41-VLOOKUP(B30,INDIRECT($F$8),6+(O41-1)*3)),11),IF(0.3*S41-VLOOKUP(B30,INDIRECT($F$8),6+(O41-1)*3)&lt;=5,0.3*S41-VLOOKUP(B30,INDIRECT($F$8),6+(O41-1)*3),11)),IF(VLOOKUP(B30,INDIRECT($F$8),8+(O41-1)*3)&lt;U41*0.4,IF(U41*0.4-VLOOKUP(B30,INDIRECT($F$8),8+(O41-1)*3)&lt;=5,U41*0.4-VLOOKUP(B30,INDIRECT($F$8),8+(O41-1)*3),11),0))))</f>
        <v>0</v>
      </c>
      <c r="X41" s="1" t="str">
        <f ca="1">IF(ISERROR(F30),"",IF(W41=0,"",_xlfn.TEXTJOIN("",FALSE," G+",W41," in ",A41)))</f>
        <v/>
      </c>
    </row>
    <row r="42" spans="1:31" ht="11.5" customHeight="1" x14ac:dyDescent="0.2">
      <c r="A42" s="7" t="str">
        <f ca="1">IF(ISERROR(F30),"",VLOOKUP(C30,INDIRECT($F$8),6+(O42-1)*3,0))</f>
        <v>MEP 001</v>
      </c>
      <c r="B42" s="24" t="str">
        <f ca="1">IF(ISERROR(F30),"",VLOOKUP(D30,INDIRECT($F$8),6+(O42-1)*3,0))</f>
        <v>Basic Mechanical Engineering Lab</v>
      </c>
      <c r="C42" s="24"/>
      <c r="D42" s="24"/>
      <c r="E42" s="24"/>
      <c r="F42" s="7">
        <f ca="1">IF(ISERROR(F30),"",VLOOKUP(E30,INDIRECT($F$8),6+(O42-1)*3,0))</f>
        <v>1</v>
      </c>
      <c r="G42" s="25" t="str">
        <f ca="1">IF(ISERROR(F30),"",_xlfn.TEXTJOIN("/",FALSE,P42,S42))</f>
        <v>22/25</v>
      </c>
      <c r="H42" s="25"/>
      <c r="I42" s="25" t="str">
        <f ca="1">IF(ISERROR(F30),"",_xlfn.TEXTJOIN("/",FALSE,Q42,T42))</f>
        <v>22/25</v>
      </c>
      <c r="J42" s="25"/>
      <c r="K42" s="25" t="str">
        <f ca="1">IF(ISERROR(F30),"",_xlfn.TEXTJOIN("/",FALSE,R42,U42))</f>
        <v>44/50</v>
      </c>
      <c r="L42" s="25"/>
      <c r="M42" s="7" t="str">
        <f ca="1">IF(ISERROR(F30)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A</v>
      </c>
      <c r="N42" s="8">
        <f t="shared" ca="1" si="2"/>
        <v>9</v>
      </c>
      <c r="O42">
        <f t="shared" ca="1" si="3"/>
        <v>9</v>
      </c>
      <c r="P42" s="1">
        <f ca="1">IF(ISERROR(F30),"",IF(ISTEXT(VLOOKUP(B30,INDIRECT($F$8),6+(O42-1)*3)),(VLOOKUP(B30,INDIRECT($F$8),6+(O42-1)*3)),SUM(VLOOKUP(B30,INDIRECT($F$8),6+(O42-1)*3),IF(W48,W42,0))))</f>
        <v>22</v>
      </c>
      <c r="Q42" s="1">
        <f ca="1">IF(ISERROR(F30),"",VLOOKUP(B30,INDIRECT($F$8),7+(O42-1)*3))</f>
        <v>22</v>
      </c>
      <c r="R42" s="1">
        <f ca="1">IF(ISERROR(F30),"",SUM(P42:Q42))</f>
        <v>44</v>
      </c>
      <c r="S42" s="1">
        <f ca="1">IF(ISERROR(F30),"",VLOOKUP(A30,INDIRECT($F$8),6+(O42-1)*3))</f>
        <v>25</v>
      </c>
      <c r="T42" s="1">
        <f ca="1">IF(ISERROR(F30),"",VLOOKUP(A30,INDIRECT($F$8),7+(O42-1)*3))</f>
        <v>25</v>
      </c>
      <c r="U42" s="1">
        <f ca="1">IF(ISERROR(F30),"",VLOOKUP(A30,INDIRECT($F$8),8+(O42-1)*3))</f>
        <v>50</v>
      </c>
      <c r="V42" s="1" t="str">
        <f ca="1">IF(ISERROR(F30),"",IF(N42=0,A42,""))</f>
        <v/>
      </c>
      <c r="W42" s="1">
        <f ca="1">IF(ISERROR(F30),"",IF(ISTEXT(VLOOKUP(B30,INDIRECT($F$8),6+(O42-1)*3)),11,IF(VLOOKUP(B30,INDIRECT($F$8),6+(O42-1)*3)&lt;S42*0.3,IF(VLOOKUP(B30,INDIRECT($F$8),8+(O42-1)*3)&lt;U42*0.4,IF(AND(0.4*U42-VLOOKUP(B30,INDIRECT($F$8),8+(O42-1)*3)&lt;=5,0.3*S42-VLOOKUP(B30,INDIRECT($F$8),6+(O42-1)*3)&lt;=5),MAX(0.4*U42-VLOOKUP(B30,INDIRECT($F$8),8+(O42-1)*3),0.3*S42-VLOOKUP(B30,INDIRECT($F$8),6+(O42-1)*3)),11),IF(0.3*S42-VLOOKUP(B30,INDIRECT($F$8),6+(O42-1)*3)&lt;=5,0.3*S42-VLOOKUP(B30,INDIRECT($F$8),6+(O42-1)*3),11)),IF(VLOOKUP(B30,INDIRECT($F$8),8+(O42-1)*3)&lt;U42*0.4,IF(U42*0.4-VLOOKUP(B30,INDIRECT($F$8),8+(O42-1)*3)&lt;=5,U42*0.4-VLOOKUP(B30,INDIRECT($F$8),8+(O42-1)*3),11),0))))</f>
        <v>0</v>
      </c>
      <c r="X42" s="1" t="str">
        <f ca="1">IF(ISERROR(F30),"",IF(W42=0,"",_xlfn.TEXTJOIN("",FALSE," G+",W42," in ",A42)))</f>
        <v/>
      </c>
      <c r="Y42">
        <v>0</v>
      </c>
      <c r="Z42">
        <f t="shared" ref="Z42:Z44" si="4">IF(OR($F$8="CSE_III",$F$8="AIML_III"),1,0)</f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1.5" customHeight="1" x14ac:dyDescent="0.2">
      <c r="A43" s="7" t="str">
        <f ca="1">IF(ISERROR(F30),"",VLOOKUP(C30,INDIRECT($F$8),6+(O43-1)*3,0))</f>
        <v>MEP 003</v>
      </c>
      <c r="B43" s="24" t="str">
        <f ca="1">IF(ISERROR(F30),"",VLOOKUP(D30,INDIRECT($F$8),6+(O43-1)*3-Z43,0))</f>
        <v>Workshop Practices Lab</v>
      </c>
      <c r="C43" s="24"/>
      <c r="D43" s="24"/>
      <c r="E43" s="24"/>
      <c r="F43" s="7">
        <f ca="1">IF(ISERROR(F30),"",VLOOKUP(E30,INDIRECT($F$8),6+(O43-1)*3,0))</f>
        <v>2</v>
      </c>
      <c r="G43" s="25" t="str">
        <f ca="1">IF(ISERROR(F30),"",_xlfn.TEXTJOIN("/",FALSE,P43,S43))</f>
        <v>43/50</v>
      </c>
      <c r="H43" s="25"/>
      <c r="I43" s="25" t="str">
        <f ca="1">IF(ISERROR(F30),"",_xlfn.TEXTJOIN("/",FALSE,Q43,T43))</f>
        <v>40/50</v>
      </c>
      <c r="J43" s="25"/>
      <c r="K43" s="25" t="str">
        <f ca="1">IF(ISERROR(F30),"",_xlfn.TEXTJOIN("/",FALSE,R43,U43))</f>
        <v>83/100</v>
      </c>
      <c r="L43" s="25"/>
      <c r="M43" s="7" t="str">
        <f ca="1">IF(ISERROR(F30)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B+</v>
      </c>
      <c r="N43" s="8">
        <f t="shared" ca="1" si="2"/>
        <v>8.5</v>
      </c>
      <c r="O43">
        <f t="shared" ca="1" si="3"/>
        <v>10</v>
      </c>
      <c r="P43" s="1">
        <f ca="1">IF(ISERROR(F30),"",IF(ISTEXT(VLOOKUP(B30,INDIRECT($F$8),6+(O43-1)*3)),(VLOOKUP(B30,INDIRECT($F$8),6+(O43-1)*3)),SUM(VLOOKUP(B30,INDIRECT($F$8),6+(O43-1)*3),IF(W48,W43,0))))</f>
        <v>43</v>
      </c>
      <c r="Q43" s="1">
        <f ca="1">IF(ISERROR(F30),"",VLOOKUP(B30,INDIRECT($F$8),7+(O43-1)*3))</f>
        <v>40</v>
      </c>
      <c r="R43" s="1">
        <f ca="1">IF(ISERROR(F30),"",SUM(P43:Q43))</f>
        <v>83</v>
      </c>
      <c r="S43" s="1">
        <f ca="1">IF(ISERROR(F30),"",VLOOKUP(A30,INDIRECT($F$8),6+(O43-1)*3))</f>
        <v>50</v>
      </c>
      <c r="T43" s="1">
        <f ca="1">IF(ISERROR(F30),"",VLOOKUP(A30,INDIRECT($F$8),7+(O43-1)*3))</f>
        <v>50</v>
      </c>
      <c r="U43" s="1">
        <f ca="1">IF(ISERROR(F30),"",VLOOKUP(A30,INDIRECT($F$8),8+(O43-1)*3))</f>
        <v>100</v>
      </c>
      <c r="V43" s="1" t="str">
        <f ca="1">IF(ISERROR(F30),"",IF(N43=0,A43,""))</f>
        <v/>
      </c>
      <c r="W43" s="1">
        <f ca="1">IF(ISERROR(F30),"",IF(ISTEXT(VLOOKUP(B30,INDIRECT($F$8),6+(O43-1)*3)),11,IF(VLOOKUP(B30,INDIRECT($F$8),6+(O43-1)*3)&lt;S43*0.3,IF(VLOOKUP(B30,INDIRECT($F$8),8+(O43-1)*3)&lt;U43*0.4,IF(AND(0.4*U43-VLOOKUP(B30,INDIRECT($F$8),8+(O43-1)*3)&lt;=5,0.3*S43-VLOOKUP(B30,INDIRECT($F$8),6+(O43-1)*3)&lt;=5),MAX(0.4*U43-VLOOKUP(B30,INDIRECT($F$8),8+(O43-1)*3),0.3*S43-VLOOKUP(B30,INDIRECT($F$8),6+(O43-1)*3)),11),IF(0.3*S43-VLOOKUP(B30,INDIRECT($F$8),6+(O43-1)*3)&lt;=5,0.3*S43-VLOOKUP(B30,INDIRECT($F$8),6+(O43-1)*3),11)),IF(VLOOKUP(B30,INDIRECT($F$8),8+(O43-1)*3)&lt;U43*0.4,IF(U43*0.4-VLOOKUP(B30,INDIRECT($F$8),8+(O43-1)*3)&lt;=5,U43*0.4-VLOOKUP(B30,INDIRECT($F$8),8+(O43-1)*3),11),0))))</f>
        <v>0</v>
      </c>
      <c r="X43" s="1" t="str">
        <f ca="1">IF(ISERROR(F30),"",IF(W43=0,"",_xlfn.TEXTJOIN("",FALSE," G+",W43," in ",A43)))</f>
        <v/>
      </c>
    </row>
    <row r="44" spans="1:31" ht="11.5" customHeight="1" x14ac:dyDescent="0.2">
      <c r="A44" s="7" t="str">
        <f ca="1">IF(ISERROR(F30),"",VLOOKUP(C30,INDIRECT($F$8),6+(O44-1)*3,0))</f>
        <v>AHP 004</v>
      </c>
      <c r="B44" s="24" t="str">
        <f ca="1">IF(ISERROR(F30),"",VLOOKUP(D30,INDIRECT($F$8),6+(O44-1)*3-Z44,0))</f>
        <v>Emerging Technologies in Engineering Lab</v>
      </c>
      <c r="C44" s="24"/>
      <c r="D44" s="24"/>
      <c r="E44" s="24"/>
      <c r="F44" s="7">
        <f ca="1">IF(ISERROR(F30),"",VLOOKUP(E30,INDIRECT($F$8),6+(O44-1)*3,0))</f>
        <v>1</v>
      </c>
      <c r="G44" s="25" t="str">
        <f ca="1">IF(ISERROR(F30),"",_xlfn.TEXTJOIN("/",FALSE,P44,S44))</f>
        <v>20/25</v>
      </c>
      <c r="H44" s="25"/>
      <c r="I44" s="25" t="str">
        <f ca="1">IF(ISERROR(F30),"",_xlfn.TEXTJOIN("/",FALSE,Q44,T44))</f>
        <v>22/25</v>
      </c>
      <c r="J44" s="25"/>
      <c r="K44" s="25" t="str">
        <f ca="1">IF(ISERROR(F30),"",_xlfn.TEXTJOIN("/",FALSE,R44,U44))</f>
        <v>42/50</v>
      </c>
      <c r="L44" s="25"/>
      <c r="M44" s="7" t="str">
        <f ca="1">IF(ISERROR(F30)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B+</v>
      </c>
      <c r="N44" s="8">
        <f t="shared" ca="1" si="2"/>
        <v>8.5</v>
      </c>
      <c r="O44">
        <f t="shared" ca="1" si="3"/>
        <v>11</v>
      </c>
      <c r="P44" s="1">
        <f ca="1">IF(ISERROR(F30),"",IF(ISTEXT(VLOOKUP(B30,INDIRECT($F$8),6+(O44-1)*3)),(VLOOKUP(B30,INDIRECT($F$8),6+(O44-1)*3)),SUM(VLOOKUP(B30,INDIRECT($F$8),6+(O44-1)*3),IF(W48,W44,0))))</f>
        <v>20</v>
      </c>
      <c r="Q44" s="1">
        <f ca="1">IF(ISERROR(F30),"",VLOOKUP(B30,INDIRECT($F$8),7+(O44-1)*3))</f>
        <v>22</v>
      </c>
      <c r="R44" s="1">
        <f ca="1">IF(ISERROR(F30),"",SUM(P44:Q44))</f>
        <v>42</v>
      </c>
      <c r="S44" s="1">
        <f ca="1">IF(ISERROR(F30),"",VLOOKUP(A30,INDIRECT($F$8),6+(O44-1)*3))</f>
        <v>25</v>
      </c>
      <c r="T44" s="1">
        <f ca="1">IF(ISERROR(F30),"",VLOOKUP(A30,INDIRECT($F$8),7+(O44-1)*3))</f>
        <v>25</v>
      </c>
      <c r="U44" s="1">
        <f ca="1">IF(ISERROR(F30),"",VLOOKUP(A30,INDIRECT($F$8),8+(O44-1)*3))</f>
        <v>50</v>
      </c>
      <c r="V44" s="1" t="str">
        <f ca="1">IF(ISERROR(F30),"",IF(N44=0,A44,""))</f>
        <v/>
      </c>
      <c r="W44" s="1">
        <f ca="1">IF(ISERROR(F30),"",IF(ISTEXT(VLOOKUP(B30,INDIRECT($F$8),6+(O44-1)*3)),11,IF(VLOOKUP(B30,INDIRECT($F$8),6+(O44-1)*3)&lt;S44*0.3,IF(VLOOKUP(B30,INDIRECT($F$8),8+(O44-1)*3)&lt;U44*0.4,IF(AND(0.4*U44-VLOOKUP(B30,INDIRECT($F$8),8+(O44-1)*3)&lt;=5,0.3*S44-VLOOKUP(B30,INDIRECT($F$8),6+(O44-1)*3)&lt;=5),MAX(0.4*U44-VLOOKUP(B30,INDIRECT($F$8),8+(O44-1)*3),0.3*S44-VLOOKUP(B30,INDIRECT($F$8),6+(O44-1)*3)),11),IF(0.3*S44-VLOOKUP(B30,INDIRECT($F$8),6+(O44-1)*3)&lt;=5,0.3*S44-VLOOKUP(B30,INDIRECT($F$8),6+(O44-1)*3),11)),IF(VLOOKUP(B30,INDIRECT($F$8),8+(O44-1)*3)&lt;U44*0.4,IF(U44*0.4-VLOOKUP(B30,INDIRECT($F$8),8+(O44-1)*3)&lt;=5,U44*0.4-VLOOKUP(B30,INDIRECT($F$8),8+(O44-1)*3),11),0))))</f>
        <v>0</v>
      </c>
      <c r="X44" s="1" t="str">
        <f ca="1">IF(ISERROR(F30),"",IF(W44=0,"",_xlfn.TEXTJOIN("",FALSE," G+",W44," in ",A44)))</f>
        <v/>
      </c>
      <c r="Y44">
        <v>0</v>
      </c>
      <c r="Z44">
        <f t="shared" si="4"/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ht="11.5" customHeight="1" x14ac:dyDescent="0.2">
      <c r="A45" s="7" t="str">
        <f ca="1">IF(ISERROR(F30),"",VLOOKUP(C30,INDIRECT($F$8),6+(O45-1)*3,0))</f>
        <v>CSP 002</v>
      </c>
      <c r="B45" s="24" t="str">
        <f ca="1">IF(ISERROR(F30),"",VLOOKUP(D30,INDIRECT($F$8),6+(O45-1)*3,0))</f>
        <v>Computer Applications and IOT</v>
      </c>
      <c r="C45" s="24"/>
      <c r="D45" s="24"/>
      <c r="E45" s="24"/>
      <c r="F45" s="7">
        <f ca="1">IF(ISERROR(F30),"",VLOOKUP(E30,INDIRECT($F$8),6+(O45-1)*3,0))</f>
        <v>1</v>
      </c>
      <c r="G45" s="25" t="str">
        <f ca="1">IF(ISERROR(F30),"",_xlfn.TEXTJOIN("/",FALSE,P45,S45))</f>
        <v>23/25</v>
      </c>
      <c r="H45" s="25"/>
      <c r="I45" s="25" t="str">
        <f ca="1">IF(ISERROR(F30),"",_xlfn.TEXTJOIN("/",FALSE,Q45,T45))</f>
        <v>23/25</v>
      </c>
      <c r="J45" s="25"/>
      <c r="K45" s="25" t="str">
        <f ca="1">IF(ISERROR(F30),"",_xlfn.TEXTJOIN("/",FALSE,R45,U45))</f>
        <v>46/50</v>
      </c>
      <c r="L45" s="25"/>
      <c r="M45" s="7" t="str">
        <f ca="1">IF(ISERROR(F30),"",IF(ISTEXT(P45),IF(P45="A","Ab",IF(P45="D","Dt",IF(P45="UFM","UFM",IF(P45="NA","")))),IF(AND(ISBLANK(P45),ISBLANK(R45)),"",IF(P45&lt;0.3*S45,"F",IF(ISBLANK(R45),"",IF(ISTEXT(R45),R45,IF(R45&gt;=0.95*U45,"O",IF(R45&gt;=0.9*U45,"A+",IF(R45&gt;=0.85*U45,"A",IF(R45&gt;=0.8*U45,"B+",IF(R45&gt;=0.75*U45,"B",IF(R45&gt;=0.7*U45,"C+",IF(R45&gt;=0.65*U45,"C",IF(R45&gt;=0.6*U45,"D+",IF(R45&gt;=0.55*U45,"D",IF(R45&gt;=0.5*U45,"E+",IF(R45&gt;=0.45*U45,"E",IF(R45&gt;=0.4*U45,"P",IF(R45&lt;0.4*U45,"F",R45)))))))))))))))))))</f>
        <v>A+</v>
      </c>
      <c r="N45" s="8">
        <f t="shared" ca="1" si="2"/>
        <v>9.5</v>
      </c>
      <c r="O45">
        <f t="shared" ca="1" si="3"/>
        <v>12</v>
      </c>
      <c r="P45" s="1">
        <f ca="1">IF(ISERROR(F30),"",IF(ISTEXT(VLOOKUP(B30,INDIRECT($F$8),6+(O45-1)*3)),(VLOOKUP(B30,INDIRECT($F$8),6+(O45-1)*3)),SUM(VLOOKUP(B30,INDIRECT($F$8),6+(O45-1)*3),IF(W48,W45,0))))</f>
        <v>23</v>
      </c>
      <c r="Q45" s="1">
        <f ca="1">IF(ISERROR(F30),"",VLOOKUP(B30,INDIRECT($F$8),7+(O45-1)*3))</f>
        <v>23</v>
      </c>
      <c r="R45" s="1">
        <f ca="1">IF(ISERROR(F30),"",SUM(P45:Q45))</f>
        <v>46</v>
      </c>
      <c r="S45" s="1">
        <f ca="1">IF(ISERROR(F30),"",VLOOKUP(A30,INDIRECT($F$8),6+(O45-1)*3))</f>
        <v>25</v>
      </c>
      <c r="T45" s="1">
        <f ca="1">IF(ISERROR(F30),"",VLOOKUP(A30,INDIRECT($F$8),7+(O45-1)*3))</f>
        <v>25</v>
      </c>
      <c r="U45" s="1">
        <f ca="1">IF(ISERROR(F30),"",VLOOKUP(A30,INDIRECT($F$8),8+(O45-1)*3))</f>
        <v>50</v>
      </c>
      <c r="V45" s="1" t="str">
        <f ca="1">IF(ISERROR(F30),"",IF(N45=0,A45,""))</f>
        <v/>
      </c>
      <c r="W45" s="1">
        <f ca="1">IF(ISERROR(F30),"",IF(ISTEXT(VLOOKUP(B30,INDIRECT($F$8),6+(O45-1)*3)),11,IF(VLOOKUP(B30,INDIRECT($F$8),6+(O45-1)*3)&lt;S45*0.3,IF(VLOOKUP(B30,INDIRECT($F$8),8+(O45-1)*3)&lt;U45*0.4,IF(AND(0.4*U45-VLOOKUP(B30,INDIRECT($F$8),8+(O45-1)*3)&lt;=5,0.3*S45-VLOOKUP(B30,INDIRECT($F$8),6+(O45-1)*3)&lt;=5),MAX(0.4*U45-VLOOKUP(B30,INDIRECT($F$8),8+(O45-1)*3),0.3*S45-VLOOKUP(B30,INDIRECT($F$8),6+(O45-1)*3)),11),IF(0.3*S45-VLOOKUP(B30,INDIRECT($F$8),6+(O45-1)*3)&lt;=5,0.3*S45-VLOOKUP(B30,INDIRECT($F$8),6+(O45-1)*3),11)),IF(VLOOKUP(B30,INDIRECT($F$8),8+(O45-1)*3)&lt;U45*0.4,IF(U45*0.4-VLOOKUP(B30,INDIRECT($F$8),8+(O45-1)*3)&lt;=5,U45*0.4-VLOOKUP(B30,INDIRECT($F$8),8+(O45-1)*3),11),0))))</f>
        <v>0</v>
      </c>
      <c r="X45" s="1" t="str">
        <f ca="1">IF(ISERROR(F30),"",IF(W45=0,"",_xlfn.TEXTJOIN("",FALSE," G+",W45," in ",A45)))</f>
        <v/>
      </c>
    </row>
    <row r="46" spans="1:31" ht="11.5" customHeight="1" x14ac:dyDescent="0.2">
      <c r="A46" s="7" t="str">
        <f ca="1">IF(ISERROR(F30),"",VLOOKUP(C30,INDIRECT($F$8),6+(O46-1)*3,0))</f>
        <v>AHP 006</v>
      </c>
      <c r="B46" s="24" t="str">
        <f ca="1">IF(ISERROR(F30),"",VLOOKUP(D30,INDIRECT($F$8),6+(O46-1)*3,0))</f>
        <v>English Language Lab ($)</v>
      </c>
      <c r="C46" s="24"/>
      <c r="D46" s="24"/>
      <c r="E46" s="24"/>
      <c r="F46" s="7">
        <f ca="1">IF(ISERROR(F30),"",VLOOKUP(E30,INDIRECT($F$8),6+(O46-1)*3,0))</f>
        <v>0</v>
      </c>
      <c r="G46" s="25" t="str">
        <f ca="1">IF(ISERROR(F30),"",_xlfn.TEXTJOIN("/",FALSE,P46,S46))</f>
        <v>16/25</v>
      </c>
      <c r="H46" s="25"/>
      <c r="I46" s="25" t="str">
        <f ca="1">IF(ISERROR(F30),"",_xlfn.TEXTJOIN("/",FALSE,Q46,T46))</f>
        <v>33/50</v>
      </c>
      <c r="J46" s="25"/>
      <c r="K46" s="25" t="str">
        <f ca="1">IF(ISERROR(F30),"",_xlfn.TEXTJOIN("/",FALSE,R46,U46))</f>
        <v>49/75</v>
      </c>
      <c r="L46" s="25"/>
      <c r="M46" s="7" t="str">
        <f ca="1">IF(ISERROR(F30),"",IF(ISTEXT(P46),IF(P46="A","Ab",IF(P46="D","Dt",IF(P46="UFM","UFM",IF(P46="NA","")))),IF(AND(ISBLANK(P46),ISBLANK(R46)),"",IF(P46&lt;0.3*S46,"F",IF(ISBLANK(R46),"",IF(ISTEXT(R46),R46,IF(R46&gt;=0.95*U46,"O",IF(R46&gt;=0.9*U46,"A+",IF(R46&gt;=0.85*U46,"A",IF(R46&gt;=0.8*U46,"B+",IF(R46&gt;=0.75*U46,"B",IF(R46&gt;=0.7*U46,"C+",IF(R46&gt;=0.65*U46,"C",IF(R46&gt;=0.6*U46,"D+",IF(R46&gt;=0.55*U46,"D",IF(R46&gt;=0.5*U46,"E+",IF(R46&gt;=0.45*U46,"E",IF(R46&gt;=0.4*U46,"P",IF(R46&lt;0.4*U46,"F",R46)))))))))))))))))))</f>
        <v>C</v>
      </c>
      <c r="N46" s="8">
        <f ca="1">INDEX($Z$2:$Z$17,MATCH(M46,$Y$2:$Y$17,0))</f>
        <v>7</v>
      </c>
      <c r="O46">
        <f t="shared" ca="1" si="3"/>
        <v>13</v>
      </c>
      <c r="P46" s="1">
        <f ca="1">IF(ISERROR(F30),"",IF(ISTEXT(VLOOKUP(B30,INDIRECT($F$8),6+(O46-1)*3)),(VLOOKUP(B30,INDIRECT($F$8),6+(O46-1)*3)),SUM(VLOOKUP(B30,INDIRECT($F$8),6+(O46-1)*3),IF(W48,W46,0))))</f>
        <v>16</v>
      </c>
      <c r="Q46" s="1">
        <f ca="1">IF(ISERROR(F30),"",VLOOKUP(B30,INDIRECT($F$8),7+(O46-1)*3))</f>
        <v>33</v>
      </c>
      <c r="R46" s="1">
        <f ca="1">IF(ISERROR(F30),"",SUM(P46:Q46))</f>
        <v>49</v>
      </c>
      <c r="S46" s="1">
        <f ca="1">IF(ISERROR(F30),"",VLOOKUP(A30,INDIRECT($F$8),6+(O46-1)*3))</f>
        <v>25</v>
      </c>
      <c r="T46" s="1">
        <f ca="1">IF(ISERROR(F30),"",VLOOKUP(A30,INDIRECT($F$8),7+(O46-1)*3))</f>
        <v>50</v>
      </c>
      <c r="U46" s="1">
        <f ca="1">IF(ISERROR(F30),"",VLOOKUP(A30,INDIRECT($F$8),8+(O46-1)*3))</f>
        <v>75</v>
      </c>
      <c r="V46" s="1"/>
      <c r="W46" s="1">
        <f ca="1">IF(ISERROR(F30),"",IF(ISTEXT(VLOOKUP(B30,INDIRECT($F$8),6+(O46-1)*3)),11,IF(VLOOKUP(B30,INDIRECT($F$8),6+(O46-1)*3)&lt;S46*0.3,IF(VLOOKUP(B30,INDIRECT($F$8),8+(O46-1)*3)&lt;U46*0.4,IF(AND(0.4*U46-VLOOKUP(B30,INDIRECT($F$8),8+(O46-1)*3)&lt;=5,0.3*S46-VLOOKUP(B30,INDIRECT($F$8),6+(O46-1)*3)&lt;=5),MAX(0.4*U46-VLOOKUP(B30,INDIRECT($F$8),8+(O46-1)*3),0.3*S46-VLOOKUP(B30,INDIRECT($F$8),6+(O46-1)*3)),11),IF(0.3*S46-VLOOKUP(B30,INDIRECT($F$8),6+(O46-1)*3)&lt;=5,0.3*S46-VLOOKUP(B30,INDIRECT($F$8),6+(O46-1)*3),11)),IF(VLOOKUP(B30,INDIRECT($F$8),8+(O46-1)*3)&lt;U46*0.4,IF(U46*0.4-VLOOKUP(B30,INDIRECT($F$8),8+(O46-1)*3)&lt;=5,U46*0.4-VLOOKUP(B30,INDIRECT($F$8),8+(O46-1)*3),11),0))))</f>
        <v>0</v>
      </c>
      <c r="X46" s="1" t="str">
        <f ca="1">IF(ISERROR(F30),"",IF(W46=0,"",_xlfn.TEXTJOIN("",FALSE," G+",W46," in ",A46)))</f>
        <v/>
      </c>
      <c r="Y46">
        <v>0</v>
      </c>
      <c r="Z46">
        <v>0</v>
      </c>
      <c r="AA46">
        <v>0</v>
      </c>
      <c r="AB46">
        <v>0</v>
      </c>
      <c r="AC46">
        <f>IF(OR($F$8="CSE_I",$F$8="AIML_I",$F$8="ME_I"),1,0)</f>
        <v>0</v>
      </c>
      <c r="AD46">
        <f>IF(OR($F$8="CSE_I",$F$8="AIML_I",$F$8="ME_I"),2,0)</f>
        <v>0</v>
      </c>
      <c r="AE46">
        <v>0</v>
      </c>
    </row>
    <row r="47" spans="1:31" ht="11.5" customHeight="1" x14ac:dyDescent="0.2">
      <c r="A47" s="7" t="str">
        <f ca="1">IF(ISERROR(F30),"",VLOOKUP(C30,INDIRECT($F$8),6+(O47-1)*3-Y47,0))</f>
        <v>GP 01</v>
      </c>
      <c r="B47" s="24" t="str">
        <f ca="1">IF(ISERROR(F30),"",VLOOKUP(D30,INDIRECT($F$8),6+(O47-1)*3-Z47,0))</f>
        <v>General Proficiency ($)</v>
      </c>
      <c r="C47" s="24"/>
      <c r="D47" s="24"/>
      <c r="E47" s="24"/>
      <c r="F47" s="7">
        <f ca="1">IF(ISERROR(F30),"",VLOOKUP(E30,INDIRECT($F$8),6+(O47-1)*3-AA47,0))</f>
        <v>0</v>
      </c>
      <c r="G47" s="25" t="str">
        <f ca="1">IF(ISERROR(F30),"","-")</f>
        <v>-</v>
      </c>
      <c r="H47" s="25"/>
      <c r="I47" s="25" t="str">
        <f ca="1">IF(ISERROR(F30),"",_xlfn.TEXTJOIN("/",FALSE,Q47,T47))</f>
        <v>47/50</v>
      </c>
      <c r="J47" s="25"/>
      <c r="K47" s="25" t="str">
        <f ca="1">IF(ISERROR(F30),"",_xlfn.TEXTJOIN("/",FALSE,R47,U47))</f>
        <v>47/50</v>
      </c>
      <c r="L47" s="25"/>
      <c r="M47" s="25" t="str">
        <f ca="1">IF(ISBLANK(R47),"",IF(ISTEXT(R47),R47,IF(R47&gt;=0.8*U47,"Excellent",IF(R47&gt;=0.6*U47,"Very Good",IF(R47&gt;=0.4*U47,"Good",IF(R47&gt;=0.2*U47,"Satisfactory","Average"))))))</f>
        <v>Excellent</v>
      </c>
      <c r="N47" s="25"/>
      <c r="O47">
        <f t="shared" ca="1" si="3"/>
        <v>14</v>
      </c>
      <c r="P47" s="1">
        <f ca="1">IF(ISERROR(F30),"",IF(ISTEXT(VLOOKUP(B\28,INDIRECT($F$8),6+(O47-1)*3)),(VLOOKUP(B30,INDIRECT($F$8),6+(O47-1)*3)),SUM(VLOOKUP(B30,INDIRECT($F$8),6+(O47-1)*3),IF(W48,W48,0))))</f>
        <v>0</v>
      </c>
      <c r="Q47" s="1">
        <f ca="1">IF(ISERROR(F30),"",VLOOKUP(B30,INDIRECT($F$8),7+(O47-1)*3))</f>
        <v>47</v>
      </c>
      <c r="R47" s="1">
        <f ca="1">IF(ISERROR(F30),"",SUM(P47:Q47))</f>
        <v>47</v>
      </c>
      <c r="S47" s="1">
        <f ca="1">IF(ISERROR(F30),"",VLOOKUP(A30,INDIRECT($F$8),6+(O47-1)*3))</f>
        <v>0</v>
      </c>
      <c r="T47" s="1">
        <f ca="1">IF(ISERROR(F30),"",VLOOKUP(A30,INDIRECT($F$8),7+(O47-1)*3))</f>
        <v>50</v>
      </c>
      <c r="U47" s="1">
        <f ca="1">IF(ISERROR(F30),"",VLOOKUP(A30,INDIRECT($F$8),8+(O47-1)*3))</f>
        <v>50</v>
      </c>
      <c r="V47" s="1"/>
      <c r="W47" s="1"/>
      <c r="X47" s="1" t="str">
        <f ca="1">IF(ISERROR(F30),"",IF(W47=0,"",_xlfn.TEXTJOIN("",FALSE," G+",W47," in ",A47)))</f>
        <v/>
      </c>
      <c r="Y47">
        <v>0</v>
      </c>
      <c r="Z47">
        <v>0</v>
      </c>
      <c r="AA47">
        <v>0</v>
      </c>
      <c r="AB47">
        <v>0</v>
      </c>
      <c r="AC47">
        <f>IF(OR($F$8="EE_I",$F$8="CE_I",$F$8="MEMF_I",$F$8="ECE_I",$F$8="BT_I"),1,0)</f>
        <v>0</v>
      </c>
      <c r="AD47">
        <f>IF(OR($F$8="EE_I",$F$8="CE_I",$F$8="MEMF_I",$F$8="ECE_I",$F$8="BT_I"),2,0)</f>
        <v>0</v>
      </c>
      <c r="AE47">
        <v>0</v>
      </c>
    </row>
    <row r="48" spans="1:31" ht="11.5" customHeight="1" x14ac:dyDescent="0.2">
      <c r="A48" s="26" t="str">
        <f ca="1">IF(ISERROR(F30),"",A26)</f>
        <v>Total Credits/ Marks/ Total Grade Points</v>
      </c>
      <c r="B48" s="26"/>
      <c r="C48" s="26"/>
      <c r="D48" s="26"/>
      <c r="E48" s="26"/>
      <c r="F48" s="10">
        <f ca="1">IF(ISERROR(F30),"",SUM(F35:F46))</f>
        <v>23</v>
      </c>
      <c r="G48" s="27" t="str">
        <f ca="1">IF(ISERROR(F30),"",_xlfn.TEXTJOIN("/",TRUE,SUMIF(F35:F47,"&gt;0",P35:P47),SUMIF(F35:F47,"&gt;0",S35:S47)))</f>
        <v>334/575</v>
      </c>
      <c r="H48" s="27"/>
      <c r="I48" s="27" t="str">
        <f ca="1">IF(ISERROR(F30),"",_xlfn.TEXTJOIN("/",TRUE,SUMIF(F35:F47,"&gt;0",Q35:Q47),SUMIF(F35:F47,"&gt;0",T35:T47)))</f>
        <v>291/375</v>
      </c>
      <c r="J48" s="27"/>
      <c r="K48" s="27" t="str">
        <f ca="1">IF(ISERROR(F30),"",_xlfn.TEXTJOIN("/",TRUE,SUMIF(F35:F47,"&gt;0",R35:R47),SUMIF(F35:F47,"&gt;0",U35:U47)))</f>
        <v>625/950</v>
      </c>
      <c r="L48" s="27"/>
      <c r="M48" s="26">
        <f ca="1">IF(ISERROR(F30),"",SUMPRODUCT(N35:N46,F35:F46))</f>
        <v>138</v>
      </c>
      <c r="N48" s="26"/>
      <c r="V48" s="1" t="str">
        <f ca="1">_xlfn.TEXTJOIN(", ",TRUE,V35:V47)</f>
        <v>AHT 003</v>
      </c>
      <c r="W48" t="b">
        <f ca="1">IF(SUM(W35:W47)&lt;=W34,TRUE,FALSE)</f>
        <v>0</v>
      </c>
      <c r="X48" s="1" t="str">
        <f ca="1">IF(ISERROR(F30),"",_xlfn.TEXTJOIN(",",TRUE,X35:X47))</f>
        <v xml:space="preserve"> G+11 in AHT 003</v>
      </c>
    </row>
    <row r="49" spans="1:24" ht="11.5" customHeight="1" x14ac:dyDescent="0.2">
      <c r="A49" s="26" t="str">
        <f ca="1">IF(ISERROR(F30),"",A27)</f>
        <v>Result:</v>
      </c>
      <c r="B49" s="28" t="str" cm="1">
        <f t="array" aca="1" ref="B49" ca="1">IF(SUM(COUNTIF(M35:M46,{"Ab","Dt"}))=12, "Not Promoted to IInd Semester", IF(V48="", "PASS", "CARRY OVER"))</f>
        <v>CARRY OVER</v>
      </c>
      <c r="C49" s="28"/>
      <c r="D49" s="26" t="str">
        <f ca="1">IF(ISERROR(F30),"",D27)</f>
        <v>Remark:</v>
      </c>
      <c r="E49" s="28" t="str">
        <f ca="1">IF(ISERROR(F30),"",IF(V48="",IF(X48="","",X48),_xlfn.TEXTJOIN(" ",TRUE,"BACK IN",V48)))</f>
        <v>BACK IN AHT 003</v>
      </c>
      <c r="F49" s="28"/>
      <c r="G49" s="26" t="str">
        <f ca="1">IF(ISERROR(F30),"",G27)</f>
        <v>SGPA:</v>
      </c>
      <c r="H49" s="29">
        <f ca="1">IF(ISERROR(F30),"",M48/F48)</f>
        <v>6</v>
      </c>
      <c r="I49" s="26" t="str">
        <f ca="1">IF(ISERROR(F30),"",I27)</f>
        <v>CGPA:</v>
      </c>
      <c r="J49" s="29">
        <f ca="1">IF(ISERROR(F30),"",VLOOKUP(B30,INDIRECT($F$8),12+(O47-1)*3,0))</f>
        <v>6</v>
      </c>
      <c r="K49" s="28" t="str">
        <f ca="1">IF(ISERROR(F30),"",K27)</f>
        <v>Earned Credits:</v>
      </c>
      <c r="L49" s="26">
        <f ca="1">IF(ISERROR(F30),"",SUMIF(N35:N46,"&gt;0",F35:F46))</f>
        <v>19</v>
      </c>
      <c r="M49" s="28" t="str">
        <f ca="1">IF(ISERROR(F30),"",M27)</f>
        <v>Cuml. Earned Credits:</v>
      </c>
      <c r="N49" s="26">
        <f ca="1">IF(ISERROR(F30),"",VLOOKUP(B30,INDIRECT($F$8),10+(O47-1)*3,0))</f>
        <v>19</v>
      </c>
    </row>
    <row r="50" spans="1:24" ht="15" x14ac:dyDescent="0.2">
      <c r="A50" s="26"/>
      <c r="B50" s="28"/>
      <c r="C50" s="28"/>
      <c r="D50" s="26"/>
      <c r="E50" s="28"/>
      <c r="F50" s="28"/>
      <c r="G50" s="26"/>
      <c r="H50" s="29"/>
      <c r="I50" s="26"/>
      <c r="J50" s="29"/>
      <c r="K50" s="28"/>
      <c r="L50" s="26"/>
      <c r="M50" s="28"/>
      <c r="N50" s="26"/>
    </row>
    <row r="51" spans="1:24" ht="31" customHeight="1" x14ac:dyDescent="0.2">
      <c r="A51" s="26"/>
      <c r="B51" s="28"/>
      <c r="C51" s="28"/>
      <c r="D51" s="26"/>
      <c r="E51" s="28"/>
      <c r="F51" s="28"/>
      <c r="G51" s="26"/>
      <c r="H51" s="29"/>
      <c r="I51" s="26"/>
      <c r="J51" s="29"/>
      <c r="K51" s="28"/>
      <c r="L51" s="26"/>
      <c r="M51" s="28"/>
      <c r="N51" s="26"/>
    </row>
    <row r="52" spans="1:24" ht="11.5" customHeight="1" x14ac:dyDescent="0.2">
      <c r="A52" s="11" t="str">
        <f>A30</f>
        <v>MM</v>
      </c>
      <c r="B52" s="11">
        <f>B30+1</f>
        <v>3</v>
      </c>
      <c r="C52" s="11" t="str">
        <f>C30</f>
        <v>SC</v>
      </c>
      <c r="D52" s="11" t="str">
        <f>D30</f>
        <v>SN</v>
      </c>
      <c r="E52" s="11" t="str">
        <f>E30</f>
        <v>C</v>
      </c>
      <c r="F52" s="11" t="str">
        <f ca="1">VLOOKUP(B52,INDIRECT($F$8),4,0)</f>
        <v>AKSHITA TOMAR</v>
      </c>
    </row>
    <row r="53" spans="1:24" ht="11.5" customHeight="1" x14ac:dyDescent="0.2">
      <c r="A53" s="30" t="str">
        <f ca="1">IF(ISERROR(F52),"",A31)</f>
        <v>Name:</v>
      </c>
      <c r="B53" s="30" t="str">
        <f ca="1">IFERROR(VLOOKUP(B52,INDIRECT($F$8),4,0),"")</f>
        <v>AKSHITA TOMAR</v>
      </c>
      <c r="C53" s="30"/>
      <c r="D53" s="30" t="str">
        <f ca="1">IF(ISERROR(F52),"",D31)</f>
        <v>Father's Name:</v>
      </c>
      <c r="E53" s="30" t="str">
        <f ca="1">IFERROR(VLOOKUP(B52,INDIRECT($F$8),5,0),"")</f>
        <v>RAVINDRA TOMAR</v>
      </c>
      <c r="F53" s="30"/>
      <c r="G53" s="30" t="str">
        <f ca="1">IF(ISERROR(F52),"",G31)</f>
        <v>University Roll No:</v>
      </c>
      <c r="H53" s="30"/>
      <c r="I53" s="31">
        <f ca="1">IFERROR(VLOOKUP(B52,INDIRECT($F$8),2,0),"")</f>
        <v>250090120003</v>
      </c>
      <c r="J53" s="31"/>
      <c r="K53" s="30" t="str">
        <f ca="1">IF(ISERROR(F52),"",K31)</f>
        <v>University Enrol. No:</v>
      </c>
      <c r="L53" s="30"/>
      <c r="M53" s="31" t="str">
        <f ca="1">IFERROR(VLOOKUP(B52,INDIRECT($F$8),3,0),"")</f>
        <v>UTU/2501104245</v>
      </c>
      <c r="N53" s="31"/>
    </row>
    <row r="54" spans="1:24" ht="11.5" customHeight="1" x14ac:dyDescent="0.2">
      <c r="A54" s="30"/>
      <c r="B54" s="30"/>
      <c r="C54" s="30"/>
      <c r="D54" s="30"/>
      <c r="E54" s="30"/>
      <c r="F54" s="30"/>
      <c r="G54" s="30"/>
      <c r="H54" s="30"/>
      <c r="I54" s="31"/>
      <c r="J54" s="31"/>
      <c r="K54" s="30"/>
      <c r="L54" s="30"/>
      <c r="M54" s="31"/>
      <c r="N54" s="31"/>
    </row>
    <row r="55" spans="1:24" ht="11.5" customHeight="1" x14ac:dyDescent="0.2">
      <c r="A55" s="28" t="str">
        <f ca="1">IF(ISERROR(F52),"",A33)</f>
        <v>Subject Code</v>
      </c>
      <c r="B55" s="28" t="str">
        <f ca="1">IF(ISERROR(F52),"",B33)</f>
        <v>Subject Name</v>
      </c>
      <c r="C55" s="28"/>
      <c r="D55" s="28"/>
      <c r="E55" s="28"/>
      <c r="F55" s="28" t="str">
        <f ca="1">IF(ISERROR(F52),"",F33)</f>
        <v>Credits</v>
      </c>
      <c r="G55" s="28" t="str">
        <f ca="1">IF(ISERROR(F52),"",G33)</f>
        <v>External Marks</v>
      </c>
      <c r="H55" s="28"/>
      <c r="I55" s="28" t="str">
        <f ca="1">IF(ISERROR(F52),"",I33)</f>
        <v>Sessional Marks</v>
      </c>
      <c r="J55" s="28"/>
      <c r="K55" s="28" t="str">
        <f ca="1">IF(ISERROR(F52),"",K33)</f>
        <v>Total Marks</v>
      </c>
      <c r="L55" s="28"/>
      <c r="M55" s="28" t="str">
        <f ca="1">IF(ISERROR(F52),"",M33)</f>
        <v>Grade</v>
      </c>
      <c r="N55" s="28" t="str">
        <f ca="1">IF(ISERROR(F52),"",N33)</f>
        <v>Grade Points</v>
      </c>
    </row>
    <row r="56" spans="1:24" ht="11.5" customHeight="1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W56">
        <f ca="1">IF(ISNUMBER(MATCH($F$8,{"I","III","V","VII"},0)),10,10-INDEX(INDIRECT(_xlfn.TEXTJOIN("",TRUE,"SEM_",$G$8,"!",ADDRESS(6,4+$I$8*3+4),":",ADDRESS(5+$H$8,4+$I$8*3+4))),MATCH(INDIRECT(_xlfn.TEXTJOIN("",TRUE,"TC_",$F$8,"!",ADDRESS(ROW(I53),COLUMN(I53)))),INDIRECT(_xlfn.TEXTJOIN("",TRUE,"SEM_",$G$8,"!",ADDRESS(6,2),":",ADDRESS(5+$H$8,2))))))</f>
        <v>10</v>
      </c>
    </row>
    <row r="57" spans="1:24" ht="11.5" customHeight="1" x14ac:dyDescent="0.2">
      <c r="A57" s="7" t="str">
        <f ca="1">IF(ISERROR(F52),"",VLOOKUP(C52,INDIRECT($F$8),6+(O57-1)*3,0))</f>
        <v>AHT 002</v>
      </c>
      <c r="B57" s="24" t="str">
        <f ca="1">IF(ISERROR(F52),"",VLOOKUP(D52,INDIRECT($F$8),6+(O57-1)*3,0))</f>
        <v>Engineering Chemistry</v>
      </c>
      <c r="C57" s="24"/>
      <c r="D57" s="24"/>
      <c r="E57" s="24"/>
      <c r="F57" s="7">
        <f ca="1">IF(ISERROR(F52),"",VLOOKUP(E52,INDIRECT($F$8),6+(O57-1)*3,0))</f>
        <v>4</v>
      </c>
      <c r="G57" s="25" t="str">
        <f ca="1">IF(ISERROR(F52),"",_xlfn.TEXTJOIN("/",FALSE,P57,S57))</f>
        <v>30/100</v>
      </c>
      <c r="H57" s="25"/>
      <c r="I57" s="25" t="str">
        <f ca="1">IF(ISERROR(F52),"",_xlfn.TEXTJOIN("/",FALSE,Q57,T57))</f>
        <v>33/50</v>
      </c>
      <c r="J57" s="25"/>
      <c r="K57" s="25" t="str">
        <f ca="1">IF(ISERROR(F52),"",_xlfn.TEXTJOIN("/",FALSE,R57,U57))</f>
        <v>63/150</v>
      </c>
      <c r="L57" s="25"/>
      <c r="M57" s="7" t="str">
        <f ca="1">IF(ISERROR(F52)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P</v>
      </c>
      <c r="N57" s="8">
        <f ca="1">INDEX($Z$2:$Z$17,MATCH(M57,$Y$2:$Y$17,0))</f>
        <v>4.5</v>
      </c>
      <c r="O57">
        <v>1</v>
      </c>
      <c r="P57" s="1">
        <f ca="1">IF(ISERROR(F52),"",IF(ISTEXT(VLOOKUP(B52,INDIRECT($F$8),6+(O57-1)*3)),(VLOOKUP(B52,INDIRECT($F$8),6+(O57-1)*3)),SUM(VLOOKUP(B52,INDIRECT($F$8),6+(O57-1)*3),IF(W70,W57,0))))</f>
        <v>30</v>
      </c>
      <c r="Q57" s="1">
        <f ca="1">IF(ISERROR(F52),"",VLOOKUP(B52,INDIRECT($F$8),7+(O57-1)*3))</f>
        <v>33</v>
      </c>
      <c r="R57" s="1">
        <f ca="1">IF(ISERROR(F52),"",SUM(P57:Q57))</f>
        <v>63</v>
      </c>
      <c r="S57" s="1">
        <f ca="1">IF(ISERROR(F52),"",VLOOKUP(A52,INDIRECT($F$8),6+(O57-1)*3))</f>
        <v>100</v>
      </c>
      <c r="T57" s="1">
        <f ca="1">IF(ISERROR(F52),"",VLOOKUP(A52,INDIRECT($F$8),7+(O57-1)*3))</f>
        <v>50</v>
      </c>
      <c r="U57" s="1">
        <f ca="1">IF(ISERROR(F52),"",VLOOKUP(A52,INDIRECT($F$8),8+(O57-1)*3))</f>
        <v>150</v>
      </c>
      <c r="V57" s="1" t="str">
        <f ca="1">IF(ISERROR(F52),"",IF(N57=0,A57,""))</f>
        <v/>
      </c>
      <c r="W57" s="1">
        <f ca="1">IF(ISERROR(F52),"",IF(ISTEXT(VLOOKUP(B52,INDIRECT($F$8),6+(O57-1)*3)),11,IF(VLOOKUP(B52,INDIRECT($F$8),6+(O57-1)*3)&lt;S57*0.3,IF(VLOOKUP(B52,INDIRECT($F$8),8+(O57-1)*3)&lt;U57*0.4,IF(AND(0.4*U57-VLOOKUP(B52,INDIRECT($F$8),8+(O57-1)*3)&lt;=5,0.3*S57-VLOOKUP(B52,INDIRECT($F$8),6+(O57-1)*3)&lt;=5),MAX(0.4*U57-VLOOKUP(B52,INDIRECT($F$8),8+(O57-1)*3),0.3*S57-VLOOKUP(B52,INDIRECT($F$8),6+(O57-1)*3)),11),IF(0.3*S57-VLOOKUP(B52,INDIRECT($F$8),6+(O57-1)*3)&lt;=5,0.3*S57-VLOOKUP(B52,INDIRECT($F$8),6+(O57-1)*3),11)),IF(VLOOKUP(B52,INDIRECT($F$8),8+(O57-1)*3)&lt;U57*0.4,IF(U57*0.4-VLOOKUP(B52,INDIRECT($F$8),8+(O57-1)*3)&lt;=5,U57*0.4-VLOOKUP(B52,INDIRECT($F$8),8+(O57-1)*3),11),0))))</f>
        <v>0</v>
      </c>
      <c r="X57" s="1" t="str">
        <f ca="1">IF(ISERROR(F52),"",IF(W57=0,"",_xlfn.TEXTJOIN("",FALSE," G+",W57," in ",A57)))</f>
        <v/>
      </c>
    </row>
    <row r="58" spans="1:24" ht="11.5" customHeight="1" x14ac:dyDescent="0.2">
      <c r="A58" s="7" t="str">
        <f ca="1">IF(ISERROR(F52),"",VLOOKUP(C52,INDIRECT($F$8),6+(O58-1)*3,0))</f>
        <v>AHT 003</v>
      </c>
      <c r="B58" s="24" t="str">
        <f ca="1">IF(ISERROR(F52),"",VLOOKUP(D52,INDIRECT($F$8),6+(O58-1)*3,0))</f>
        <v>Introduction to Engineering Mathematics</v>
      </c>
      <c r="C58" s="24"/>
      <c r="D58" s="24"/>
      <c r="E58" s="24"/>
      <c r="F58" s="7">
        <f ca="1">IF(ISERROR(F52),"",VLOOKUP(E52,INDIRECT($F$8),6+(O58-1)*3,0))</f>
        <v>4</v>
      </c>
      <c r="G58" s="25" t="str">
        <f ca="1">IF(ISERROR(F52),"",_xlfn.TEXTJOIN("/",FALSE,P58,S58))</f>
        <v>16/100</v>
      </c>
      <c r="H58" s="25"/>
      <c r="I58" s="25" t="str">
        <f ca="1">IF(ISERROR(F52),"",_xlfn.TEXTJOIN("/",FALSE,Q58,T58))</f>
        <v>20/50</v>
      </c>
      <c r="J58" s="25"/>
      <c r="K58" s="25" t="str">
        <f ca="1">IF(ISERROR(F52),"",_xlfn.TEXTJOIN("/",FALSE,R58,U58))</f>
        <v>36/150</v>
      </c>
      <c r="L58" s="25"/>
      <c r="M58" s="7" t="str">
        <f ca="1">IF(ISERROR(F52)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F</v>
      </c>
      <c r="N58" s="8">
        <f t="shared" ref="N58:N67" ca="1" si="5">INDEX($Z$2:$Z$17,MATCH(M58,$Y$2:$Y$17,0))</f>
        <v>0</v>
      </c>
      <c r="O58">
        <f>O57+1</f>
        <v>2</v>
      </c>
      <c r="P58" s="1">
        <f ca="1">IF(ISERROR(F52),"",IF(ISTEXT(VLOOKUP(B52,INDIRECT($F$8),6+(O58-1)*3)),(VLOOKUP(B52,INDIRECT($F$8),6+(O58-1)*3)),SUM(VLOOKUP(B52,INDIRECT($F$8),6+(O58-1)*3),IF(W70,W58,0))))</f>
        <v>16</v>
      </c>
      <c r="Q58" s="1">
        <f ca="1">IF(ISERROR(F52),"",VLOOKUP(B52,INDIRECT($F$8),7+(O58-1)*3))</f>
        <v>20</v>
      </c>
      <c r="R58" s="1">
        <f ca="1">IF(ISERROR(F52),"",SUM(P58:Q58))</f>
        <v>36</v>
      </c>
      <c r="S58" s="1">
        <f ca="1">IF(ISERROR(F52),"",VLOOKUP(A52,INDIRECT($F$8),6+(O58-1)*3))</f>
        <v>100</v>
      </c>
      <c r="T58" s="1">
        <f ca="1">IF(ISERROR(F52),"",VLOOKUP(A52,INDIRECT($F$8),7+(O58-1)*3))</f>
        <v>50</v>
      </c>
      <c r="U58" s="1">
        <f ca="1">IF(ISERROR(F52),"",VLOOKUP(A52,INDIRECT($F$8),8+(O58-1)*3))</f>
        <v>150</v>
      </c>
      <c r="V58" s="1" t="str">
        <f ca="1">IF(ISERROR(F52),"",IF(N58=0,A58,""))</f>
        <v>AHT 003</v>
      </c>
      <c r="W58" s="1">
        <f ca="1">IF(ISERROR(F52),"",IF(ISTEXT(VLOOKUP(B52,INDIRECT($F$8),6+(O58-1)*3)),11,IF(VLOOKUP(B52,INDIRECT($F$8),6+(O58-1)*3)&lt;S58*0.3,IF(VLOOKUP(B52,INDIRECT($F$8),8+(O58-1)*3)&lt;U58*0.4,IF(AND(0.4*U58-VLOOKUP(B52,INDIRECT($F$8),8+(O58-1)*3)&lt;=5,0.3*S58-VLOOKUP(B52,INDIRECT($F$8),6+(O58-1)*3)&lt;=5),MAX(0.4*U58-VLOOKUP(B52,INDIRECT($F$8),8+(O58-1)*3),0.3*S58-VLOOKUP(B52,INDIRECT($F$8),6+(O58-1)*3)),11),IF(0.3*S58-VLOOKUP(B52,INDIRECT($F$8),6+(O58-1)*3)&lt;=5,0.3*S58-VLOOKUP(B52,INDIRECT($F$8),6+(O58-1)*3),11)),IF(VLOOKUP(B52,INDIRECT($F$8),8+(O58-1)*3)&lt;U58*0.4,IF(U58*0.4-VLOOKUP(B52,INDIRECT($F$8),8+(O58-1)*3)&lt;=5,U58*0.4-VLOOKUP(B52,INDIRECT($F$8),8+(O58-1)*3),11),0))))</f>
        <v>11</v>
      </c>
      <c r="X58" s="1" t="str">
        <f ca="1">IF(ISERROR(F52),"",IF(W58=0,"",_xlfn.TEXTJOIN("",FALSE," G+",W58," in ",A58)))</f>
        <v xml:space="preserve"> G+11 in AHT 003</v>
      </c>
    </row>
    <row r="59" spans="1:24" ht="11.5" customHeight="1" x14ac:dyDescent="0.2">
      <c r="A59" s="7" t="str">
        <f ca="1">IF(ISERROR(F52),"",VLOOKUP(C52,INDIRECT($F$8),6+(O59-1)*3,0))</f>
        <v>ECT 001</v>
      </c>
      <c r="B59" s="24" t="str">
        <f ca="1">IF(ISERROR(F52),"",VLOOKUP(D52,INDIRECT($F$8),6+(O59-1)*3,0))</f>
        <v>Basic Electronics Engineering</v>
      </c>
      <c r="C59" s="24"/>
      <c r="D59" s="24"/>
      <c r="E59" s="24"/>
      <c r="F59" s="7">
        <f ca="1">IF(ISERROR(F52),"",VLOOKUP(E52,INDIRECT($F$8),6+(O59-1)*3,0))</f>
        <v>4</v>
      </c>
      <c r="G59" s="25" t="str">
        <f ca="1">IF(ISERROR(F52),"",_xlfn.TEXTJOIN("/",FALSE,P59,S59))</f>
        <v>43/100</v>
      </c>
      <c r="H59" s="25"/>
      <c r="I59" s="25" t="str">
        <f ca="1">IF(ISERROR(F52),"",_xlfn.TEXTJOIN("/",FALSE,Q59,T59))</f>
        <v>32/50</v>
      </c>
      <c r="J59" s="25"/>
      <c r="K59" s="25" t="str">
        <f ca="1">IF(ISERROR(F52),"",_xlfn.TEXTJOIN("/",FALSE,R59,U59))</f>
        <v>75/150</v>
      </c>
      <c r="L59" s="25"/>
      <c r="M59" s="7" t="str">
        <f ca="1">IF(ISERROR(F52)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E+</v>
      </c>
      <c r="N59" s="8">
        <f t="shared" ca="1" si="5"/>
        <v>5.5</v>
      </c>
      <c r="O59">
        <f>O58+1</f>
        <v>3</v>
      </c>
      <c r="P59" s="1">
        <f ca="1">IF(ISERROR(F52),"",IF(ISTEXT(VLOOKUP(B52,INDIRECT($F$8),6+(O59-1)*3)),(VLOOKUP(B52,INDIRECT($F$8),6+(O59-1)*3)),SUM(VLOOKUP(B52,INDIRECT($F$8),6+(O59-1)*3),IF(W70,W59,0))))</f>
        <v>43</v>
      </c>
      <c r="Q59" s="1">
        <f ca="1">IF(ISERROR(F52),"",VLOOKUP(B52,INDIRECT($F$8),7+(O59-1)*3))</f>
        <v>32</v>
      </c>
      <c r="R59" s="1">
        <f ca="1">IF(ISERROR(F52),"",SUM(P59:Q59))</f>
        <v>75</v>
      </c>
      <c r="S59" s="1">
        <f ca="1">IF(ISERROR(F52),"",VLOOKUP(A52,INDIRECT($F$8),6+(O59-1)*3))</f>
        <v>100</v>
      </c>
      <c r="T59" s="1">
        <f ca="1">IF(ISERROR(F52),"",VLOOKUP(A52,INDIRECT($F$8),7+(O59-1)*3))</f>
        <v>50</v>
      </c>
      <c r="U59" s="1">
        <f ca="1">IF(ISERROR(F52),"",VLOOKUP(A52,INDIRECT($F$8),8+(O59-1)*3))</f>
        <v>150</v>
      </c>
      <c r="V59" s="1" t="str">
        <f ca="1">IF(ISERROR(F52),"",IF(N59=0,A59,""))</f>
        <v/>
      </c>
      <c r="W59" s="1">
        <f ca="1">IF(ISERROR(F52),"",IF(ISTEXT(VLOOKUP(B52,INDIRECT($F$8),6+(O59-1)*3)),11,IF(VLOOKUP(B52,INDIRECT($F$8),6+(O59-1)*3)&lt;S59*0.3,IF(VLOOKUP(B52,INDIRECT($F$8),8+(O59-1)*3)&lt;U59*0.4,IF(AND(0.4*U59-VLOOKUP(B52,INDIRECT($F$8),8+(O59-1)*3)&lt;=5,0.3*S59-VLOOKUP(B52,INDIRECT($F$8),6+(O59-1)*3)&lt;=5),MAX(0.4*U59-VLOOKUP(B52,INDIRECT($F$8),8+(O59-1)*3),0.3*S59-VLOOKUP(B52,INDIRECT($F$8),6+(O59-1)*3)),11),IF(0.3*S59-VLOOKUP(B52,INDIRECT($F$8),6+(O59-1)*3)&lt;=5,0.3*S59-VLOOKUP(B52,INDIRECT($F$8),6+(O59-1)*3),11)),IF(VLOOKUP(B52,INDIRECT($F$8),8+(O59-1)*3)&lt;U59*0.4,IF(U59*0.4-VLOOKUP(B52,INDIRECT($F$8),8+(O59-1)*3)&lt;=5,U59*0.4-VLOOKUP(B52,INDIRECT($F$8),8+(O59-1)*3),11),0))))</f>
        <v>0</v>
      </c>
      <c r="X59" s="1" t="str">
        <f ca="1">IF(ISERROR(F52),"",IF(W59=0,"",_xlfn.TEXTJOIN("",FALSE," G+",W59," in ",A59)))</f>
        <v/>
      </c>
    </row>
    <row r="60" spans="1:24" ht="11.5" customHeight="1" x14ac:dyDescent="0.2">
      <c r="A60" s="7" t="str">
        <f ca="1">IF(ISERROR(F52),"",VLOOKUP(C52,INDIRECT($F$8),6+(O60-1)*3,0))</f>
        <v>MET 001</v>
      </c>
      <c r="B60" s="24" t="str">
        <f ca="1">IF(ISERROR(F52),"",VLOOKUP(D52,INDIRECT($F$8),6+(O60-1)*3,0))</f>
        <v>Basic Mechanical Engineering</v>
      </c>
      <c r="C60" s="24"/>
      <c r="D60" s="24"/>
      <c r="E60" s="24"/>
      <c r="F60" s="7">
        <f ca="1">IF(ISERROR(F52),"",VLOOKUP(E52,INDIRECT($F$8),6+(O60-1)*3,0))</f>
        <v>4</v>
      </c>
      <c r="G60" s="25" t="str">
        <f ca="1">IF(ISERROR(F52),"",_xlfn.TEXTJOIN("/",FALSE,P60,S60))</f>
        <v>59/100</v>
      </c>
      <c r="H60" s="25"/>
      <c r="I60" s="25" t="str">
        <f ca="1">IF(ISERROR(F52),"",_xlfn.TEXTJOIN("/",FALSE,Q60,T60))</f>
        <v>40/50</v>
      </c>
      <c r="J60" s="25"/>
      <c r="K60" s="25" t="str">
        <f ca="1">IF(ISERROR(F52),"",_xlfn.TEXTJOIN("/",FALSE,R60,U60))</f>
        <v>99/150</v>
      </c>
      <c r="L60" s="25"/>
      <c r="M60" s="7" t="str">
        <f ca="1">IF(ISERROR(F52)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C</v>
      </c>
      <c r="N60" s="8">
        <f t="shared" ca="1" si="5"/>
        <v>7</v>
      </c>
      <c r="O60">
        <f>O59+1</f>
        <v>4</v>
      </c>
      <c r="P60" s="1">
        <f ca="1">IF(ISERROR(F52),"",IF(ISTEXT(VLOOKUP(B52,INDIRECT($F$8),6+(O60-1)*3)),(VLOOKUP(B52,INDIRECT($F$8),6+(O60-1)*3)),SUM(VLOOKUP(B52,INDIRECT($F$8),6+(O60-1)*3),IF(W70,W60,0))))</f>
        <v>59</v>
      </c>
      <c r="Q60" s="1">
        <f ca="1">IF(ISERROR(F52),"",VLOOKUP(B52,INDIRECT($F$8),7+(O60-1)*3))</f>
        <v>40</v>
      </c>
      <c r="R60" s="1">
        <f ca="1">IF(ISERROR(F52),"",SUM(P60:Q60))</f>
        <v>99</v>
      </c>
      <c r="S60" s="1">
        <f ca="1">IF(ISERROR(F52),"",VLOOKUP(A52,INDIRECT($F$8),6+(O60-1)*3))</f>
        <v>100</v>
      </c>
      <c r="T60" s="1">
        <f ca="1">IF(ISERROR(F52),"",VLOOKUP(A52,INDIRECT($F$8),7+(O60-1)*3))</f>
        <v>50</v>
      </c>
      <c r="U60" s="1">
        <f ca="1">IF(ISERROR(F52),"",VLOOKUP(A52,INDIRECT($F$8),8+(O60-1)*3))</f>
        <v>150</v>
      </c>
      <c r="V60" s="1" t="str">
        <f ca="1">IF(ISERROR(F52),"",IF(N60=0,A60,""))</f>
        <v/>
      </c>
      <c r="W60" s="1">
        <f ca="1">IF(ISERROR(F52),"",IF(ISTEXT(VLOOKUP(B52,INDIRECT($F$8),6+(O60-1)*3)),11,IF(VLOOKUP(B52,INDIRECT($F$8),6+(O60-1)*3)&lt;S60*0.3,IF(VLOOKUP(B52,INDIRECT($F$8),8+(O60-1)*3)&lt;U60*0.4,IF(AND(0.4*U60-VLOOKUP(B52,INDIRECT($F$8),8+(O60-1)*3)&lt;=5,0.3*S60-VLOOKUP(B52,INDIRECT($F$8),6+(O60-1)*3)&lt;=5),MAX(0.4*U60-VLOOKUP(B52,INDIRECT($F$8),8+(O60-1)*3),0.3*S60-VLOOKUP(B52,INDIRECT($F$8),6+(O60-1)*3)),11),IF(0.3*S60-VLOOKUP(B52,INDIRECT($F$8),6+(O60-1)*3)&lt;=5,0.3*S60-VLOOKUP(B52,INDIRECT($F$8),6+(O60-1)*3),11)),IF(VLOOKUP(B52,INDIRECT($F$8),8+(O60-1)*3)&lt;U60*0.4,IF(U60*0.4-VLOOKUP(B52,INDIRECT($F$8),8+(O60-1)*3)&lt;=5,U60*0.4-VLOOKUP(B52,INDIRECT($F$8),8+(O60-1)*3),11),0))))</f>
        <v>0</v>
      </c>
      <c r="X60" s="1" t="str">
        <f ca="1">IF(ISERROR(F52),"",IF(W60=0,"",_xlfn.TEXTJOIN("",FALSE," G+",W60," in ",A60)))</f>
        <v/>
      </c>
    </row>
    <row r="61" spans="1:24" ht="11.5" customHeight="1" x14ac:dyDescent="0.2">
      <c r="A61" s="7" t="str">
        <f ca="1">IF(ISERROR(F52),"",VLOOKUP(C52,INDIRECT($F$8),6+(O61-1)*3,0))</f>
        <v>AHT 000</v>
      </c>
      <c r="B61" s="24" t="str">
        <f ca="1">IF(ISERROR(F52),"",VLOOKUP(D52,INDIRECT($F$8),6+(O61-1)*3,0))</f>
        <v>Basic Mathematics (Bridge Course) ($)</v>
      </c>
      <c r="C61" s="24"/>
      <c r="D61" s="24"/>
      <c r="E61" s="24"/>
      <c r="F61" s="7">
        <f ca="1">IF(ISERROR(F52),"",VLOOKUP(E52,INDIRECT($F$8),6+(O61-1)*3,0))</f>
        <v>0</v>
      </c>
      <c r="G61" s="25" t="str">
        <f ca="1">IF(ISERROR(F52),"",_xlfn.TEXTJOIN("/",FALSE,P61,S61))</f>
        <v>45/100</v>
      </c>
      <c r="H61" s="25"/>
      <c r="I61" s="25" t="str">
        <f ca="1">IF(ISERROR(F52),"",_xlfn.TEXTJOIN("/",FALSE,Q61,T61))</f>
        <v>31/50</v>
      </c>
      <c r="J61" s="25"/>
      <c r="K61" s="25" t="str">
        <f ca="1">IF(ISERROR(F52),"",_xlfn.TEXTJOIN("/",FALSE,R61,U61))</f>
        <v>76/150</v>
      </c>
      <c r="L61" s="25"/>
      <c r="M61" s="7" t="str">
        <f ca="1">IF(ISERROR(F52)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E+</v>
      </c>
      <c r="N61" s="8">
        <f t="shared" ca="1" si="5"/>
        <v>5.5</v>
      </c>
      <c r="O61" cm="1">
        <f t="array" aca="1" ref="O61" ca="1">IF(NOT(ISBLANK(INDIRECT("SEM_I!R"&amp;INT((ROW(O61)-17)/22)+6))),5,
IF(NOT(ISBLANK(INDIRECT("SEM_I!U"&amp;INT((ROW(O61)-17)/22)+6))),6))</f>
        <v>5</v>
      </c>
      <c r="P61" s="1">
        <f ca="1">IF(ISERROR(F52),"",IF(ISTEXT(VLOOKUP(B52,INDIRECT($F$8),6+(O61-1)*3)),(VLOOKUP(B52,INDIRECT($F$8),6+(O61-1)*3)),SUM(VLOOKUP(B52,INDIRECT($F$8),6+(O61-1)*3),IF(W70,W61,0))))</f>
        <v>45</v>
      </c>
      <c r="Q61" s="1">
        <f ca="1">IF(ISERROR(F52),"",VLOOKUP(B52,INDIRECT($F$8),7+(O61-1)*3))</f>
        <v>31</v>
      </c>
      <c r="R61" s="1">
        <f ca="1">IF(ISERROR(F52),"",SUM(P61:Q61))</f>
        <v>76</v>
      </c>
      <c r="S61" s="1">
        <f ca="1">IF(ISERROR(F52),"",VLOOKUP(A52,INDIRECT($F$8),6+(O61-1)*3))</f>
        <v>100</v>
      </c>
      <c r="T61" s="1">
        <f ca="1">IF(ISERROR(F52),"",VLOOKUP(A52,INDIRECT($F$8),7+(O61-1)*3))</f>
        <v>50</v>
      </c>
      <c r="U61" s="1">
        <f ca="1">IF(ISERROR(F52),"",VLOOKUP(A52,INDIRECT($F$8),8+(O61-1)*3))</f>
        <v>150</v>
      </c>
      <c r="V61" s="1" t="str">
        <f ca="1">IF(ISERROR(F52),"",IF(N61=0,A61,""))</f>
        <v/>
      </c>
      <c r="W61" s="1">
        <f ca="1">IF(ISERROR(F52),"",IF(ISTEXT(VLOOKUP(B52,INDIRECT($F$8),6+(O61-1)*3)),11,IF(VLOOKUP(B52,INDIRECT($F$8),6+(O61-1)*3)&lt;S61*0.3,IF(VLOOKUP(B52,INDIRECT($F$8),8+(O61-1)*3)&lt;U61*0.4,IF(AND(0.4*U61-VLOOKUP(B52,INDIRECT($F$8),8+(O61-1)*3)&lt;=5,0.3*S61-VLOOKUP(B52,INDIRECT($F$8),6+(O61-1)*3)&lt;=5),MAX(0.4*U61-VLOOKUP(B52,INDIRECT($F$8),8+(O61-1)*3),0.3*S61-VLOOKUP(B52,INDIRECT($F$8),6+(O61-1)*3)),11),IF(0.3*S61-VLOOKUP(B52,INDIRECT($F$8),6+(O61-1)*3)&lt;=5,0.3*S61-VLOOKUP(B52,INDIRECT($F$8),6+(O61-1)*3),11)),IF(VLOOKUP(B52,INDIRECT($F$8),8+(O61-1)*3)&lt;U61*0.4,IF(U61*0.4-VLOOKUP(B52,INDIRECT($F$8),8+(O61-1)*3)&lt;=5,U61*0.4-VLOOKUP(B52,INDIRECT($F$8),8+(O61-1)*3),11),0))))</f>
        <v>0</v>
      </c>
      <c r="X61" s="1" t="str">
        <f ca="1">IF(ISERROR(F52),"",IF(W61=0,"",_xlfn.TEXTJOIN("",FALSE," G+",W61," in ",A61)))</f>
        <v/>
      </c>
    </row>
    <row r="62" spans="1:24" ht="11.5" customHeight="1" x14ac:dyDescent="0.2">
      <c r="A62" s="7" t="str">
        <f ca="1">IF(ISERROR(F52),"",VLOOKUP(C52,INDIRECT($F$8),6+(O62-1)*3,0))</f>
        <v>AHP 002</v>
      </c>
      <c r="B62" s="24" t="str">
        <f ca="1">IF(ISERROR(F52),"",VLOOKUP(D52,INDIRECT($F$8),6+(O62-1)*3,0))</f>
        <v>Engineering Chemistry Lab</v>
      </c>
      <c r="C62" s="24"/>
      <c r="D62" s="24"/>
      <c r="E62" s="24"/>
      <c r="F62" s="7">
        <f ca="1">IF(ISERROR(F52),"",VLOOKUP(E52,INDIRECT($F$8),6+(O62-1)*3,0))</f>
        <v>1</v>
      </c>
      <c r="G62" s="25" t="str">
        <f ca="1">IF(ISERROR(F52),"",_xlfn.TEXTJOIN("/",FALSE,P62,S62))</f>
        <v>19/25</v>
      </c>
      <c r="H62" s="25"/>
      <c r="I62" s="25" t="str">
        <f ca="1">IF(ISERROR(F52),"",_xlfn.TEXTJOIN("/",FALSE,Q62,T62))</f>
        <v>15/25</v>
      </c>
      <c r="J62" s="25"/>
      <c r="K62" s="25" t="str">
        <f ca="1">IF(ISERROR(F52),"",_xlfn.TEXTJOIN("/",FALSE,R62,U62))</f>
        <v>34/50</v>
      </c>
      <c r="L62" s="25"/>
      <c r="M62" s="7" t="str">
        <f ca="1">IF(ISERROR(F52)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C</v>
      </c>
      <c r="N62" s="8">
        <f t="shared" ca="1" si="5"/>
        <v>7</v>
      </c>
      <c r="O62">
        <f ca="1">IF(O61&gt;0,7)</f>
        <v>7</v>
      </c>
      <c r="P62" s="1">
        <f ca="1">IF(ISERROR(F52),"",IF(ISTEXT(VLOOKUP(B52,INDIRECT($F$8),6+(O62-1)*3)),(VLOOKUP(B52,INDIRECT($F$8),6+(O62-1)*3)),SUM(VLOOKUP(B52,INDIRECT($F$8),6+(O62-1)*3),IF(W70,W62,0))))</f>
        <v>19</v>
      </c>
      <c r="Q62" s="1">
        <f ca="1">IF(ISERROR(F52),"",VLOOKUP(B52,INDIRECT($F$8),7+(O62-1)*3))</f>
        <v>15</v>
      </c>
      <c r="R62" s="1">
        <f ca="1">IF(ISERROR(F52),"",SUM(P62:Q62))</f>
        <v>34</v>
      </c>
      <c r="S62" s="1">
        <f ca="1">IF(ISERROR(F52),"",VLOOKUP(A52,INDIRECT($F$8),6+(O62-1)*3))</f>
        <v>25</v>
      </c>
      <c r="T62" s="1">
        <f ca="1">IF(ISERROR(F52),"",VLOOKUP(A52,INDIRECT($F$8),7+(O62-1)*3))</f>
        <v>25</v>
      </c>
      <c r="U62" s="1">
        <f ca="1">IF(ISERROR(F52),"",VLOOKUP(A52,INDIRECT($F$8),8+(O62-1)*3))</f>
        <v>50</v>
      </c>
      <c r="V62" s="1" t="str">
        <f ca="1">IF(ISERROR(F52),"",IF(N62=0,A62,""))</f>
        <v/>
      </c>
      <c r="W62" s="1">
        <f ca="1">IF(ISERROR(F52),"",IF(ISTEXT(VLOOKUP(B52,INDIRECT($F$8),6+(O62-1)*3)),11,IF(VLOOKUP(B52,INDIRECT($F$8),6+(O62-1)*3)&lt;S62*0.3,IF(VLOOKUP(B52,INDIRECT($F$8),8+(O62-1)*3)&lt;U62*0.4,IF(AND(0.4*U62-VLOOKUP(B52,INDIRECT($F$8),8+(O62-1)*3)&lt;=5,0.3*S62-VLOOKUP(B52,INDIRECT($F$8),6+(O62-1)*3)&lt;=5),MAX(0.4*U62-VLOOKUP(B52,INDIRECT($F$8),8+(O62-1)*3),0.3*S62-VLOOKUP(B52,INDIRECT($F$8),6+(O62-1)*3)),11),IF(0.3*S62-VLOOKUP(B52,INDIRECT($F$8),6+(O62-1)*3)&lt;=5,0.3*S62-VLOOKUP(B52,INDIRECT($F$8),6+(O62-1)*3),11)),IF(VLOOKUP(B52,INDIRECT($F$8),8+(O62-1)*3)&lt;U62*0.4,IF(U62*0.4-VLOOKUP(B52,INDIRECT($F$8),8+(O62-1)*3)&lt;=5,U62*0.4-VLOOKUP(B52,INDIRECT($F$8),8+(O62-1)*3),11),0))))</f>
        <v>0</v>
      </c>
      <c r="X62" s="1" t="str">
        <f ca="1">IF(ISERROR(F52),"",IF(W62=0,"",_xlfn.TEXTJOIN("",FALSE," G+",W62," in ",A62)))</f>
        <v/>
      </c>
    </row>
    <row r="63" spans="1:24" ht="11.5" customHeight="1" x14ac:dyDescent="0.2">
      <c r="A63" s="7" t="str">
        <f ca="1">IF(ISERROR(F52),"",VLOOKUP(C52,INDIRECT($F$8),6+(O63-1)*3,0))</f>
        <v>ECP 001</v>
      </c>
      <c r="B63" s="24" t="str">
        <f ca="1">IF(ISERROR(F52),"",VLOOKUP(D52,INDIRECT($F$8),6+(O63-1)*3,0))</f>
        <v>Basic Electronics Engineering Lab</v>
      </c>
      <c r="C63" s="24"/>
      <c r="D63" s="24"/>
      <c r="E63" s="24"/>
      <c r="F63" s="7">
        <f ca="1">IF(ISERROR(F52),"",VLOOKUP(E52,INDIRECT($F$8),6+(O63-1)*3,0))</f>
        <v>1</v>
      </c>
      <c r="G63" s="25" t="str">
        <f ca="1">IF(ISERROR(F52),"",_xlfn.TEXTJOIN("/",FALSE,P63,S63))</f>
        <v>20/25</v>
      </c>
      <c r="H63" s="25"/>
      <c r="I63" s="25" t="str">
        <f ca="1">IF(ISERROR(F52),"",_xlfn.TEXTJOIN("/",FALSE,Q63,T63))</f>
        <v>21/25</v>
      </c>
      <c r="J63" s="25"/>
      <c r="K63" s="25" t="str">
        <f ca="1">IF(ISERROR(F52),"",_xlfn.TEXTJOIN("/",FALSE,R63,U63))</f>
        <v>41/50</v>
      </c>
      <c r="L63" s="25"/>
      <c r="M63" s="7" t="str">
        <f ca="1">IF(ISERROR(F52)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B+</v>
      </c>
      <c r="N63" s="8">
        <f t="shared" ca="1" si="5"/>
        <v>8.5</v>
      </c>
      <c r="O63">
        <f t="shared" ref="O63:O69" ca="1" si="6">O62+1</f>
        <v>8</v>
      </c>
      <c r="P63" s="1">
        <f ca="1">IF(ISERROR(F52),"",IF(ISTEXT(VLOOKUP(B52,INDIRECT($F$8),6+(O63-1)*3)),(VLOOKUP(B52,INDIRECT($F$8),6+(O63-1)*3)),SUM(VLOOKUP(B52,INDIRECT($F$8),6+(O63-1)*3),IF(W70,W63,0))))</f>
        <v>20</v>
      </c>
      <c r="Q63" s="1">
        <f ca="1">IF(ISERROR(F52),"",VLOOKUP(B52,INDIRECT($F$8),7+(O63-1)*3))</f>
        <v>21</v>
      </c>
      <c r="R63" s="1">
        <f ca="1">IF(ISERROR(F52),"",SUM(P63:Q63))</f>
        <v>41</v>
      </c>
      <c r="S63" s="1">
        <f ca="1">IF(ISERROR(F52),"",VLOOKUP(A52,INDIRECT($F$8),6+(O63-1)*3))</f>
        <v>25</v>
      </c>
      <c r="T63" s="1">
        <f ca="1">IF(ISERROR(F52),"",VLOOKUP(A52,INDIRECT($F$8),7+(O63-1)*3))</f>
        <v>25</v>
      </c>
      <c r="U63" s="1">
        <f ca="1">IF(ISERROR(F52),"",VLOOKUP(A52,INDIRECT($F$8),8+(O63-1)*3))</f>
        <v>50</v>
      </c>
      <c r="V63" s="1" t="str">
        <f ca="1">IF(ISERROR(F52),"",IF(N63=0,A63,""))</f>
        <v/>
      </c>
      <c r="W63" s="1">
        <f ca="1">IF(ISERROR(F52),"",IF(ISTEXT(VLOOKUP(B52,INDIRECT($F$8),6+(O63-1)*3)),11,IF(VLOOKUP(B52,INDIRECT($F$8),6+(O63-1)*3)&lt;S63*0.3,IF(VLOOKUP(B52,INDIRECT($F$8),8+(O63-1)*3)&lt;U63*0.4,IF(AND(0.4*U63-VLOOKUP(B52,INDIRECT($F$8),8+(O63-1)*3)&lt;=5,0.3*S63-VLOOKUP(B52,INDIRECT($F$8),6+(O63-1)*3)&lt;=5),MAX(0.4*U63-VLOOKUP(B52,INDIRECT($F$8),8+(O63-1)*3),0.3*S63-VLOOKUP(B52,INDIRECT($F$8),6+(O63-1)*3)),11),IF(0.3*S63-VLOOKUP(B52,INDIRECT($F$8),6+(O63-1)*3)&lt;=5,0.3*S63-VLOOKUP(B52,INDIRECT($F$8),6+(O63-1)*3),11)),IF(VLOOKUP(B52,INDIRECT($F$8),8+(O63-1)*3)&lt;U63*0.4,IF(U63*0.4-VLOOKUP(B52,INDIRECT($F$8),8+(O63-1)*3)&lt;=5,U63*0.4-VLOOKUP(B52,INDIRECT($F$8),8+(O63-1)*3),11),0))))</f>
        <v>0</v>
      </c>
      <c r="X63" s="1" t="str">
        <f ca="1">IF(ISERROR(F52),"",IF(W63=0,"",_xlfn.TEXTJOIN("",FALSE," G+",W63," in ",A63)))</f>
        <v/>
      </c>
    </row>
    <row r="64" spans="1:24" ht="11.5" customHeight="1" x14ac:dyDescent="0.2">
      <c r="A64" s="7" t="str">
        <f ca="1">IF(ISERROR(F52),"",VLOOKUP(C52,INDIRECT($F$8),6+(O64-1)*3,0))</f>
        <v>MEP 001</v>
      </c>
      <c r="B64" s="24" t="str">
        <f ca="1">IF(ISERROR(F52),"",VLOOKUP(D52,INDIRECT($F$8),6+(O64-1)*3,0))</f>
        <v>Basic Mechanical Engineering Lab</v>
      </c>
      <c r="C64" s="24"/>
      <c r="D64" s="24"/>
      <c r="E64" s="24"/>
      <c r="F64" s="7">
        <f ca="1">IF(ISERROR(F52),"",VLOOKUP(E52,INDIRECT($F$8),6+(O64-1)*3,0))</f>
        <v>1</v>
      </c>
      <c r="G64" s="25" t="str">
        <f ca="1">IF(ISERROR(F52),"",_xlfn.TEXTJOIN("/",FALSE,P64,S64))</f>
        <v>22/25</v>
      </c>
      <c r="H64" s="25"/>
      <c r="I64" s="25" t="str">
        <f ca="1">IF(ISERROR(F52),"",_xlfn.TEXTJOIN("/",FALSE,Q64,T64))</f>
        <v>23/25</v>
      </c>
      <c r="J64" s="25"/>
      <c r="K64" s="25" t="str">
        <f ca="1">IF(ISERROR(F52),"",_xlfn.TEXTJOIN("/",FALSE,R64,U64))</f>
        <v>45/50</v>
      </c>
      <c r="L64" s="25"/>
      <c r="M64" s="7" t="str">
        <f ca="1">IF(ISERROR(F52)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A+</v>
      </c>
      <c r="N64" s="8">
        <f t="shared" ca="1" si="5"/>
        <v>9.5</v>
      </c>
      <c r="O64">
        <f t="shared" ca="1" si="6"/>
        <v>9</v>
      </c>
      <c r="P64" s="1">
        <f ca="1">IF(ISERROR(F52),"",IF(ISTEXT(VLOOKUP(B52,INDIRECT($F$8),6+(O64-1)*3)),(VLOOKUP(B52,INDIRECT($F$8),6+(O64-1)*3)),SUM(VLOOKUP(B52,INDIRECT($F$8),6+(O64-1)*3),IF(W70,W64,0))))</f>
        <v>22</v>
      </c>
      <c r="Q64" s="1">
        <f ca="1">IF(ISERROR(F52),"",VLOOKUP(B52,INDIRECT($F$8),7+(O64-1)*3))</f>
        <v>23</v>
      </c>
      <c r="R64" s="1">
        <f ca="1">IF(ISERROR(F52),"",SUM(P64:Q64))</f>
        <v>45</v>
      </c>
      <c r="S64" s="1">
        <f ca="1">IF(ISERROR(F52),"",VLOOKUP(A52,INDIRECT($F$8),6+(O64-1)*3))</f>
        <v>25</v>
      </c>
      <c r="T64" s="1">
        <f ca="1">IF(ISERROR(F52),"",VLOOKUP(A52,INDIRECT($F$8),7+(O64-1)*3))</f>
        <v>25</v>
      </c>
      <c r="U64" s="1">
        <f ca="1">IF(ISERROR(F52),"",VLOOKUP(A52,INDIRECT($F$8),8+(O64-1)*3))</f>
        <v>50</v>
      </c>
      <c r="V64" s="1" t="str">
        <f ca="1">IF(ISERROR(F52),"",IF(N64=0,A64,""))</f>
        <v/>
      </c>
      <c r="W64" s="1">
        <f ca="1">IF(ISERROR(F52),"",IF(ISTEXT(VLOOKUP(B52,INDIRECT($F$8),6+(O64-1)*3)),11,IF(VLOOKUP(B52,INDIRECT($F$8),6+(O64-1)*3)&lt;S64*0.3,IF(VLOOKUP(B52,INDIRECT($F$8),8+(O64-1)*3)&lt;U64*0.4,IF(AND(0.4*U64-VLOOKUP(B52,INDIRECT($F$8),8+(O64-1)*3)&lt;=5,0.3*S64-VLOOKUP(B52,INDIRECT($F$8),6+(O64-1)*3)&lt;=5),MAX(0.4*U64-VLOOKUP(B52,INDIRECT($F$8),8+(O64-1)*3),0.3*S64-VLOOKUP(B52,INDIRECT($F$8),6+(O64-1)*3)),11),IF(0.3*S64-VLOOKUP(B52,INDIRECT($F$8),6+(O64-1)*3)&lt;=5,0.3*S64-VLOOKUP(B52,INDIRECT($F$8),6+(O64-1)*3),11)),IF(VLOOKUP(B52,INDIRECT($F$8),8+(O64-1)*3)&lt;U64*0.4,IF(U64*0.4-VLOOKUP(B52,INDIRECT($F$8),8+(O64-1)*3)&lt;=5,U64*0.4-VLOOKUP(B52,INDIRECT($F$8),8+(O64-1)*3),11),0))))</f>
        <v>0</v>
      </c>
      <c r="X64" s="1" t="str">
        <f ca="1">IF(ISERROR(F52),"",IF(W64=0,"",_xlfn.TEXTJOIN("",FALSE," G+",W64," in ",A64)))</f>
        <v/>
      </c>
    </row>
    <row r="65" spans="1:24" ht="11.5" customHeight="1" x14ac:dyDescent="0.2">
      <c r="A65" s="7" t="str">
        <f ca="1">IF(ISERROR(F52),"",VLOOKUP(C52,INDIRECT($F$8),6+(O65-1)*3,0))</f>
        <v>MEP 003</v>
      </c>
      <c r="B65" s="24" t="str">
        <f ca="1">IF(ISERROR(F52),"",VLOOKUP(D52,INDIRECT($F$8),6+(O65-1)*3-Z65,0))</f>
        <v>Workshop Practices Lab</v>
      </c>
      <c r="C65" s="24"/>
      <c r="D65" s="24"/>
      <c r="E65" s="24"/>
      <c r="F65" s="7">
        <f ca="1">IF(ISERROR(F52),"",VLOOKUP(E52,INDIRECT($F$8),6+(O65-1)*3,0))</f>
        <v>2</v>
      </c>
      <c r="G65" s="25" t="str">
        <f ca="1">IF(ISERROR(F52),"",_xlfn.TEXTJOIN("/",FALSE,P65,S65))</f>
        <v>46/50</v>
      </c>
      <c r="H65" s="25"/>
      <c r="I65" s="25" t="str">
        <f ca="1">IF(ISERROR(F52),"",_xlfn.TEXTJOIN("/",FALSE,Q65,T65))</f>
        <v>45/50</v>
      </c>
      <c r="J65" s="25"/>
      <c r="K65" s="25" t="str">
        <f ca="1">IF(ISERROR(F52),"",_xlfn.TEXTJOIN("/",FALSE,R65,U65))</f>
        <v>91/100</v>
      </c>
      <c r="L65" s="25"/>
      <c r="M65" s="7" t="str">
        <f ca="1">IF(ISERROR(F52)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A+</v>
      </c>
      <c r="N65" s="8">
        <f t="shared" ca="1" si="5"/>
        <v>9.5</v>
      </c>
      <c r="O65">
        <f t="shared" ca="1" si="6"/>
        <v>10</v>
      </c>
      <c r="P65" s="1">
        <f ca="1">IF(ISERROR(F52),"",IF(ISTEXT(VLOOKUP(B52,INDIRECT($F$8),6+(O65-1)*3)),(VLOOKUP(B52,INDIRECT($F$8),6+(O65-1)*3)),SUM(VLOOKUP(B52,INDIRECT($F$8),6+(O65-1)*3),IF(W70,W65,0))))</f>
        <v>46</v>
      </c>
      <c r="Q65" s="1">
        <f ca="1">IF(ISERROR(F52),"",VLOOKUP(B52,INDIRECT($F$8),7+(O65-1)*3))</f>
        <v>45</v>
      </c>
      <c r="R65" s="1">
        <f ca="1">IF(ISERROR(F52),"",SUM(P65:Q65))</f>
        <v>91</v>
      </c>
      <c r="S65" s="1">
        <f ca="1">IF(ISERROR(F52),"",VLOOKUP(A52,INDIRECT($F$8),6+(O65-1)*3))</f>
        <v>50</v>
      </c>
      <c r="T65" s="1">
        <f ca="1">IF(ISERROR(F52),"",VLOOKUP(A52,INDIRECT($F$8),7+(O65-1)*3))</f>
        <v>50</v>
      </c>
      <c r="U65" s="1">
        <f ca="1">IF(ISERROR(F52),"",VLOOKUP(A52,INDIRECT($F$8),8+(O65-1)*3))</f>
        <v>100</v>
      </c>
      <c r="V65" s="1" t="str">
        <f ca="1">IF(ISERROR(F52),"",IF(N65=0,A65,""))</f>
        <v/>
      </c>
      <c r="W65" s="1">
        <f ca="1">IF(ISERROR(F52),"",IF(ISTEXT(VLOOKUP(B52,INDIRECT($F$8),6+(O65-1)*3)),11,IF(VLOOKUP(B52,INDIRECT($F$8),6+(O65-1)*3)&lt;S65*0.3,IF(VLOOKUP(B52,INDIRECT($F$8),8+(O65-1)*3)&lt;U65*0.4,IF(AND(0.4*U65-VLOOKUP(B52,INDIRECT($F$8),8+(O65-1)*3)&lt;=5,0.3*S65-VLOOKUP(B52,INDIRECT($F$8),6+(O65-1)*3)&lt;=5),MAX(0.4*U65-VLOOKUP(B52,INDIRECT($F$8),8+(O65-1)*3),0.3*S65-VLOOKUP(B52,INDIRECT($F$8),6+(O65-1)*3)),11),IF(0.3*S65-VLOOKUP(B52,INDIRECT($F$8),6+(O65-1)*3)&lt;=5,0.3*S65-VLOOKUP(B52,INDIRECT($F$8),6+(O65-1)*3),11)),IF(VLOOKUP(B52,INDIRECT($F$8),8+(O65-1)*3)&lt;U65*0.4,IF(U65*0.4-VLOOKUP(B52,INDIRECT($F$8),8+(O65-1)*3)&lt;=5,U65*0.4-VLOOKUP(B52,INDIRECT($F$8),8+(O65-1)*3),11),0))))</f>
        <v>0</v>
      </c>
      <c r="X65" s="1" t="str">
        <f ca="1">IF(ISERROR(F52),"",IF(W65=0,"",_xlfn.TEXTJOIN("",FALSE," G+",W65," in ",A65)))</f>
        <v/>
      </c>
    </row>
    <row r="66" spans="1:24" ht="11.5" customHeight="1" x14ac:dyDescent="0.2">
      <c r="A66" s="7" t="str">
        <f ca="1">IF(ISERROR(F52),"",VLOOKUP(C52,INDIRECT($F$8),6+(O66-1)*3,0))</f>
        <v>AHP 004</v>
      </c>
      <c r="B66" s="24" t="str">
        <f ca="1">IF(ISERROR(F52),"",VLOOKUP(D52,INDIRECT($F$8),6+(O66-1)*3-Z66,0))</f>
        <v>Emerging Technologies in Engineering Lab</v>
      </c>
      <c r="C66" s="24"/>
      <c r="D66" s="24"/>
      <c r="E66" s="24"/>
      <c r="F66" s="7">
        <f ca="1">IF(ISERROR(F52),"",VLOOKUP(E52,INDIRECT($F$8),6+(O66-1)*3,0))</f>
        <v>1</v>
      </c>
      <c r="G66" s="25" t="str">
        <f ca="1">IF(ISERROR(F52),"",_xlfn.TEXTJOIN("/",FALSE,P66,S66))</f>
        <v>20/25</v>
      </c>
      <c r="H66" s="25"/>
      <c r="I66" s="25" t="str">
        <f ca="1">IF(ISERROR(F52),"",_xlfn.TEXTJOIN("/",FALSE,Q66,T66))</f>
        <v>22/25</v>
      </c>
      <c r="J66" s="25"/>
      <c r="K66" s="25" t="str">
        <f ca="1">IF(ISERROR(F52),"",_xlfn.TEXTJOIN("/",FALSE,R66,U66))</f>
        <v>42/50</v>
      </c>
      <c r="L66" s="25"/>
      <c r="M66" s="7" t="str">
        <f ca="1">IF(ISERROR(F52),"",IF(ISTEXT(P66),IF(P66="A","Ab",IF(P66="D","Dt",IF(P66="UFM","UFM",IF(P66="NA","")))),IF(AND(ISBLANK(P66),ISBLANK(R66)),"",IF(P66&lt;0.3*S66,"F",IF(ISBLANK(R66),"",IF(ISTEXT(R66),R66,IF(R66&gt;=0.95*U66,"O",IF(R66&gt;=0.9*U66,"A+",IF(R66&gt;=0.85*U66,"A",IF(R66&gt;=0.8*U66,"B+",IF(R66&gt;=0.75*U66,"B",IF(R66&gt;=0.7*U66,"C+",IF(R66&gt;=0.65*U66,"C",IF(R66&gt;=0.6*U66,"D+",IF(R66&gt;=0.55*U66,"D",IF(R66&gt;=0.5*U66,"E+",IF(R66&gt;=0.45*U66,"E",IF(R66&gt;=0.4*U66,"P",IF(R66&lt;0.4*U66,"F",R66)))))))))))))))))))</f>
        <v>B+</v>
      </c>
      <c r="N66" s="8">
        <f t="shared" ca="1" si="5"/>
        <v>8.5</v>
      </c>
      <c r="O66">
        <f t="shared" ca="1" si="6"/>
        <v>11</v>
      </c>
      <c r="P66" s="1">
        <f ca="1">IF(ISERROR(F52),"",IF(ISTEXT(VLOOKUP(B52,INDIRECT($F$8),6+(O66-1)*3)),(VLOOKUP(B52,INDIRECT($F$8),6+(O66-1)*3)),SUM(VLOOKUP(B52,INDIRECT($F$8),6+(O66-1)*3),IF(W70,W66,0))))</f>
        <v>20</v>
      </c>
      <c r="Q66" s="1">
        <f ca="1">IF(ISERROR(F52),"",VLOOKUP(B52,INDIRECT($F$8),7+(O66-1)*3))</f>
        <v>22</v>
      </c>
      <c r="R66" s="1">
        <f ca="1">IF(ISERROR(F52),"",SUM(P66:Q66))</f>
        <v>42</v>
      </c>
      <c r="S66" s="1">
        <f ca="1">IF(ISERROR(F52),"",VLOOKUP(A52,INDIRECT($F$8),6+(O66-1)*3))</f>
        <v>25</v>
      </c>
      <c r="T66" s="1">
        <f ca="1">IF(ISERROR(F52),"",VLOOKUP(A52,INDIRECT($F$8),7+(O66-1)*3))</f>
        <v>25</v>
      </c>
      <c r="U66" s="1">
        <f ca="1">IF(ISERROR(F52),"",VLOOKUP(A52,INDIRECT($F$8),8+(O66-1)*3))</f>
        <v>50</v>
      </c>
      <c r="V66" s="1" t="str">
        <f ca="1">IF(ISERROR(F52),"",IF(N66=0,A66,""))</f>
        <v/>
      </c>
      <c r="W66" s="1">
        <f ca="1">IF(ISERROR(F52),"",IF(ISTEXT(VLOOKUP(B52,INDIRECT($F$8),6+(O66-1)*3)),11,IF(VLOOKUP(B52,INDIRECT($F$8),6+(O66-1)*3)&lt;S66*0.3,IF(VLOOKUP(B52,INDIRECT($F$8),8+(O66-1)*3)&lt;U66*0.4,IF(AND(0.4*U66-VLOOKUP(B52,INDIRECT($F$8),8+(O66-1)*3)&lt;=5,0.3*S66-VLOOKUP(B52,INDIRECT($F$8),6+(O66-1)*3)&lt;=5),MAX(0.4*U66-VLOOKUP(B52,INDIRECT($F$8),8+(O66-1)*3),0.3*S66-VLOOKUP(B52,INDIRECT($F$8),6+(O66-1)*3)),11),IF(0.3*S66-VLOOKUP(B52,INDIRECT($F$8),6+(O66-1)*3)&lt;=5,0.3*S66-VLOOKUP(B52,INDIRECT($F$8),6+(O66-1)*3),11)),IF(VLOOKUP(B52,INDIRECT($F$8),8+(O66-1)*3)&lt;U66*0.4,IF(U66*0.4-VLOOKUP(B52,INDIRECT($F$8),8+(O66-1)*3)&lt;=5,U66*0.4-VLOOKUP(B52,INDIRECT($F$8),8+(O66-1)*3),11),0))))</f>
        <v>0</v>
      </c>
      <c r="X66" s="1" t="str">
        <f ca="1">IF(ISERROR(F52),"",IF(W66=0,"",_xlfn.TEXTJOIN("",FALSE," G+",W66," in ",A66)))</f>
        <v/>
      </c>
    </row>
    <row r="67" spans="1:24" ht="11.5" customHeight="1" x14ac:dyDescent="0.2">
      <c r="A67" s="7" t="str">
        <f ca="1">IF(ISERROR(F52),"",VLOOKUP(C52,INDIRECT($F$8),6+(O67-1)*3,0))</f>
        <v>CSP 002</v>
      </c>
      <c r="B67" s="24" t="str">
        <f ca="1">IF(ISERROR(F52),"",VLOOKUP(D52,INDIRECT($F$8),6+(O67-1)*3,0))</f>
        <v>Computer Applications and IOT</v>
      </c>
      <c r="C67" s="24"/>
      <c r="D67" s="24"/>
      <c r="E67" s="24"/>
      <c r="F67" s="7">
        <f ca="1">IF(ISERROR(F52),"",VLOOKUP(E52,INDIRECT($F$8),6+(O67-1)*3,0))</f>
        <v>1</v>
      </c>
      <c r="G67" s="25" t="str">
        <f ca="1">IF(ISERROR(F52),"",_xlfn.TEXTJOIN("/",FALSE,P67,S67))</f>
        <v>24/25</v>
      </c>
      <c r="H67" s="25"/>
      <c r="I67" s="25" t="str">
        <f ca="1">IF(ISERROR(F52),"",_xlfn.TEXTJOIN("/",FALSE,Q67,T67))</f>
        <v>24/25</v>
      </c>
      <c r="J67" s="25"/>
      <c r="K67" s="25" t="str">
        <f ca="1">IF(ISERROR(F52),"",_xlfn.TEXTJOIN("/",FALSE,R67,U67))</f>
        <v>48/50</v>
      </c>
      <c r="L67" s="25"/>
      <c r="M67" s="7" t="str">
        <f ca="1">IF(ISERROR(F52),"",IF(ISTEXT(P67),IF(P67="A","Ab",IF(P67="D","Dt",IF(P67="UFM","UFM",IF(P67="NA","")))),IF(AND(ISBLANK(P67),ISBLANK(R67)),"",IF(P67&lt;0.3*S67,"F",IF(ISBLANK(R67),"",IF(ISTEXT(R67),R67,IF(R67&gt;=0.95*U67,"O",IF(R67&gt;=0.9*U67,"A+",IF(R67&gt;=0.85*U67,"A",IF(R67&gt;=0.8*U67,"B+",IF(R67&gt;=0.75*U67,"B",IF(R67&gt;=0.7*U67,"C+",IF(R67&gt;=0.65*U67,"C",IF(R67&gt;=0.6*U67,"D+",IF(R67&gt;=0.55*U67,"D",IF(R67&gt;=0.5*U67,"E+",IF(R67&gt;=0.45*U67,"E",IF(R67&gt;=0.4*U67,"P",IF(R67&lt;0.4*U67,"F",R67)))))))))))))))))))</f>
        <v>O</v>
      </c>
      <c r="N67" s="8">
        <f t="shared" ca="1" si="5"/>
        <v>10</v>
      </c>
      <c r="O67">
        <f t="shared" ca="1" si="6"/>
        <v>12</v>
      </c>
      <c r="P67" s="1">
        <f ca="1">IF(ISERROR(F52),"",IF(ISTEXT(VLOOKUP(B52,INDIRECT($F$8),6+(O67-1)*3)),(VLOOKUP(B52,INDIRECT($F$8),6+(O67-1)*3)),SUM(VLOOKUP(B52,INDIRECT($F$8),6+(O67-1)*3),IF(W70,W67,0))))</f>
        <v>24</v>
      </c>
      <c r="Q67" s="1">
        <f ca="1">IF(ISERROR(F52),"",VLOOKUP(B52,INDIRECT($F$8),7+(O67-1)*3))</f>
        <v>24</v>
      </c>
      <c r="R67" s="1">
        <f ca="1">IF(ISERROR(F52),"",SUM(P67:Q67))</f>
        <v>48</v>
      </c>
      <c r="S67" s="1">
        <f ca="1">IF(ISERROR(F52),"",VLOOKUP(A52,INDIRECT($F$8),6+(O67-1)*3))</f>
        <v>25</v>
      </c>
      <c r="T67" s="1">
        <f ca="1">IF(ISERROR(F52),"",VLOOKUP(A52,INDIRECT($F$8),7+(O67-1)*3))</f>
        <v>25</v>
      </c>
      <c r="U67" s="1">
        <f ca="1">IF(ISERROR(F52),"",VLOOKUP(A52,INDIRECT($F$8),8+(O67-1)*3))</f>
        <v>50</v>
      </c>
      <c r="V67" s="1" t="str">
        <f ca="1">IF(ISERROR(F52),"",IF(N67=0,A67,""))</f>
        <v/>
      </c>
      <c r="W67" s="1">
        <f ca="1">IF(ISERROR(F52),"",IF(ISTEXT(VLOOKUP(B52,INDIRECT($F$8),6+(O67-1)*3)),11,IF(VLOOKUP(B52,INDIRECT($F$8),6+(O67-1)*3)&lt;S67*0.3,IF(VLOOKUP(B52,INDIRECT($F$8),8+(O67-1)*3)&lt;U67*0.4,IF(AND(0.4*U67-VLOOKUP(B52,INDIRECT($F$8),8+(O67-1)*3)&lt;=5,0.3*S67-VLOOKUP(B52,INDIRECT($F$8),6+(O67-1)*3)&lt;=5),MAX(0.4*U67-VLOOKUP(B52,INDIRECT($F$8),8+(O67-1)*3),0.3*S67-VLOOKUP(B52,INDIRECT($F$8),6+(O67-1)*3)),11),IF(0.3*S67-VLOOKUP(B52,INDIRECT($F$8),6+(O67-1)*3)&lt;=5,0.3*S67-VLOOKUP(B52,INDIRECT($F$8),6+(O67-1)*3),11)),IF(VLOOKUP(B52,INDIRECT($F$8),8+(O67-1)*3)&lt;U67*0.4,IF(U67*0.4-VLOOKUP(B52,INDIRECT($F$8),8+(O67-1)*3)&lt;=5,U67*0.4-VLOOKUP(B52,INDIRECT($F$8),8+(O67-1)*3),11),0))))</f>
        <v>0</v>
      </c>
      <c r="X67" s="1" t="str">
        <f ca="1">IF(ISERROR(F52),"",IF(W67=0,"",_xlfn.TEXTJOIN("",FALSE," G+",W67," in ",A67)))</f>
        <v/>
      </c>
    </row>
    <row r="68" spans="1:24" ht="11.5" customHeight="1" x14ac:dyDescent="0.2">
      <c r="A68" s="7" t="str">
        <f ca="1">IF(ISERROR(F52),"",VLOOKUP(C52,INDIRECT($F$8),6+(O68-1)*3,0))</f>
        <v>AHP 006</v>
      </c>
      <c r="B68" s="24" t="str">
        <f ca="1">IF(ISERROR(F52),"",VLOOKUP(D52,INDIRECT($F$8),6+(O68-1)*3,0))</f>
        <v>English Language Lab ($)</v>
      </c>
      <c r="C68" s="24"/>
      <c r="D68" s="24"/>
      <c r="E68" s="24"/>
      <c r="F68" s="7">
        <f ca="1">IF(ISERROR(F52),"",VLOOKUP(E52,INDIRECT($F$8),6+(O68-1)*3,0))</f>
        <v>0</v>
      </c>
      <c r="G68" s="25" t="str">
        <f ca="1">IF(ISERROR(F52),"",_xlfn.TEXTJOIN("/",FALSE,P68,S68))</f>
        <v>19/25</v>
      </c>
      <c r="H68" s="25"/>
      <c r="I68" s="25" t="str">
        <f ca="1">IF(ISERROR(F52),"",_xlfn.TEXTJOIN("/",FALSE,Q68,T68))</f>
        <v>37/50</v>
      </c>
      <c r="J68" s="25"/>
      <c r="K68" s="25" t="str">
        <f ca="1">IF(ISERROR(F52),"",_xlfn.TEXTJOIN("/",FALSE,R68,U68))</f>
        <v>56/75</v>
      </c>
      <c r="L68" s="25"/>
      <c r="M68" s="7" t="str">
        <f ca="1">IF(ISERROR(F52),"",IF(ISTEXT(P68),IF(P68="A","Ab",IF(P68="D","Dt",IF(P68="UFM","UFM",IF(P68="NA","")))),IF(AND(ISBLANK(P68),ISBLANK(R68)),"",IF(P68&lt;0.3*S68,"F",IF(ISBLANK(R68),"",IF(ISTEXT(R68),R68,IF(R68&gt;=0.95*U68,"O",IF(R68&gt;=0.9*U68,"A+",IF(R68&gt;=0.85*U68,"A",IF(R68&gt;=0.8*U68,"B+",IF(R68&gt;=0.75*U68,"B",IF(R68&gt;=0.7*U68,"C+",IF(R68&gt;=0.65*U68,"C",IF(R68&gt;=0.6*U68,"D+",IF(R68&gt;=0.55*U68,"D",IF(R68&gt;=0.5*U68,"E+",IF(R68&gt;=0.45*U68,"E",IF(R68&gt;=0.4*U68,"P",IF(R68&lt;0.4*U68,"F",R68)))))))))))))))))))</f>
        <v>C+</v>
      </c>
      <c r="N68" s="8">
        <f ca="1">INDEX($Z$2:$Z$17,MATCH(M68,$Y$2:$Y$17,0))</f>
        <v>7.5</v>
      </c>
      <c r="O68">
        <f t="shared" ca="1" si="6"/>
        <v>13</v>
      </c>
      <c r="P68" s="1">
        <f ca="1">IF(ISERROR(F52),"",IF(ISTEXT(VLOOKUP(B52,INDIRECT($F$8),6+(O68-1)*3)),(VLOOKUP(B52,INDIRECT($F$8),6+(O68-1)*3)),SUM(VLOOKUP(B52,INDIRECT($F$8),6+(O68-1)*3),IF(W70,W68,0))))</f>
        <v>19</v>
      </c>
      <c r="Q68" s="1">
        <f ca="1">IF(ISERROR(F52),"",VLOOKUP(B52,INDIRECT($F$8),7+(O68-1)*3))</f>
        <v>37</v>
      </c>
      <c r="R68" s="1">
        <f ca="1">IF(ISERROR(F52),"",SUM(P68:Q68))</f>
        <v>56</v>
      </c>
      <c r="S68" s="1">
        <f ca="1">IF(ISERROR(F52),"",VLOOKUP(A52,INDIRECT($F$8),6+(O68-1)*3))</f>
        <v>25</v>
      </c>
      <c r="T68" s="1">
        <f ca="1">IF(ISERROR(F52),"",VLOOKUP(A52,INDIRECT($F$8),7+(O68-1)*3))</f>
        <v>50</v>
      </c>
      <c r="U68" s="1">
        <f ca="1">IF(ISERROR(F52),"",VLOOKUP(A52,INDIRECT($F$8),8+(O68-1)*3))</f>
        <v>75</v>
      </c>
      <c r="V68" s="1"/>
      <c r="W68" s="1">
        <f ca="1">IF(ISERROR(F52),"",IF(ISTEXT(VLOOKUP(B52,INDIRECT($F$8),6+(O68-1)*3)),11,IF(VLOOKUP(B52,INDIRECT($F$8),6+(O68-1)*3)&lt;S68*0.3,IF(VLOOKUP(B52,INDIRECT($F$8),8+(O68-1)*3)&lt;U68*0.4,IF(AND(0.4*U68-VLOOKUP(B52,INDIRECT($F$8),8+(O68-1)*3)&lt;=5,0.3*S68-VLOOKUP(B52,INDIRECT($F$8),6+(O68-1)*3)&lt;=5),MAX(0.4*U68-VLOOKUP(B52,INDIRECT($F$8),8+(O68-1)*3),0.3*S68-VLOOKUP(B52,INDIRECT($F$8),6+(O68-1)*3)),11),IF(0.3*S68-VLOOKUP(B52,INDIRECT($F$8),6+(O68-1)*3)&lt;=5,0.3*S68-VLOOKUP(B52,INDIRECT($F$8),6+(O68-1)*3),11)),IF(VLOOKUP(B52,INDIRECT($F$8),8+(O68-1)*3)&lt;U68*0.4,IF(U68*0.4-VLOOKUP(B52,INDIRECT($F$8),8+(O68-1)*3)&lt;=5,U68*0.4-VLOOKUP(B52,INDIRECT($F$8),8+(O68-1)*3),11),0))))</f>
        <v>0</v>
      </c>
      <c r="X68" s="1" t="str">
        <f ca="1">IF(ISERROR(F52),"",IF(W68=0,"",_xlfn.TEXTJOIN("",FALSE," G+",W68," in ",A68)))</f>
        <v/>
      </c>
    </row>
    <row r="69" spans="1:24" ht="11.5" customHeight="1" x14ac:dyDescent="0.2">
      <c r="A69" s="7" t="str">
        <f ca="1">IF(ISERROR(F52),"",VLOOKUP(C52,INDIRECT($F$8),6+(O69-1)*3-Y69,0))</f>
        <v>GP 01</v>
      </c>
      <c r="B69" s="24" t="str">
        <f ca="1">IF(ISERROR(F52),"",VLOOKUP(D52,INDIRECT($F$8),6+(O69-1)*3-Z69,0))</f>
        <v>General Proficiency ($)</v>
      </c>
      <c r="C69" s="24"/>
      <c r="D69" s="24"/>
      <c r="E69" s="24"/>
      <c r="F69" s="7">
        <f ca="1">IF(ISERROR(F52),"",VLOOKUP(E52,INDIRECT($F$8),6+(O69-1)*3-AA69,0))</f>
        <v>0</v>
      </c>
      <c r="G69" s="25" t="str">
        <f ca="1">IF(ISERROR(F52),"","-")</f>
        <v>-</v>
      </c>
      <c r="H69" s="25"/>
      <c r="I69" s="25" t="str">
        <f ca="1">IF(ISERROR(F52),"",_xlfn.TEXTJOIN("/",FALSE,Q69,T69))</f>
        <v>49/50</v>
      </c>
      <c r="J69" s="25"/>
      <c r="K69" s="25" t="str">
        <f ca="1">IF(ISERROR(F52),"",_xlfn.TEXTJOIN("/",FALSE,R69,U69))</f>
        <v>49/50</v>
      </c>
      <c r="L69" s="25"/>
      <c r="M69" s="25" t="str">
        <f ca="1">IF(ISBLANK(R69),"",IF(ISTEXT(R69),R69,IF(R69&gt;=0.8*U69,"Excellent",IF(R69&gt;=0.6*U69,"Very Good",IF(R69&gt;=0.4*U69,"Good",IF(R69&gt;=0.2*U69,"Satisfactory","Average"))))))</f>
        <v>Excellent</v>
      </c>
      <c r="N69" s="25"/>
      <c r="O69">
        <f t="shared" ca="1" si="6"/>
        <v>14</v>
      </c>
      <c r="P69" s="1">
        <f ca="1">IF(ISERROR(F52),"",IF(ISTEXT(VLOOKUP(B\28,INDIRECT($F$8),6+(O69-1)*3)),(VLOOKUP(B52,INDIRECT($F$8),6+(O69-1)*3)),SUM(VLOOKUP(B52,INDIRECT($F$8),6+(O69-1)*3),IF(W70,W70,0))))</f>
        <v>0</v>
      </c>
      <c r="Q69" s="1">
        <f ca="1">IF(ISERROR(F52),"",VLOOKUP(B52,INDIRECT($F$8),7+(O69-1)*3))</f>
        <v>49</v>
      </c>
      <c r="R69" s="1">
        <f ca="1">IF(ISERROR(F52),"",SUM(P69:Q69))</f>
        <v>49</v>
      </c>
      <c r="S69" s="1">
        <f ca="1">IF(ISERROR(F52),"",VLOOKUP(A52,INDIRECT($F$8),6+(O69-1)*3))</f>
        <v>0</v>
      </c>
      <c r="T69" s="1">
        <f ca="1">IF(ISERROR(F52),"",VLOOKUP(A52,INDIRECT($F$8),7+(O69-1)*3))</f>
        <v>50</v>
      </c>
      <c r="U69" s="1">
        <f ca="1">IF(ISERROR(F52),"",VLOOKUP(A52,INDIRECT($F$8),8+(O69-1)*3))</f>
        <v>50</v>
      </c>
      <c r="V69" s="1"/>
      <c r="W69" s="1"/>
      <c r="X69" s="1" t="str">
        <f ca="1">IF(ISERROR(F52),"",IF(W69=0,"",_xlfn.TEXTJOIN("",FALSE," G+",W69," in ",A69)))</f>
        <v/>
      </c>
    </row>
    <row r="70" spans="1:24" ht="11.5" customHeight="1" x14ac:dyDescent="0.2">
      <c r="A70" s="26" t="str">
        <f ca="1">IF(ISERROR(F52),"",A48)</f>
        <v>Total Credits/ Marks/ Total Grade Points</v>
      </c>
      <c r="B70" s="26"/>
      <c r="C70" s="26"/>
      <c r="D70" s="26"/>
      <c r="E70" s="26"/>
      <c r="F70" s="10">
        <f ca="1">IF(ISERROR(F52),"",SUM(F57:F68))</f>
        <v>23</v>
      </c>
      <c r="G70" s="27" t="str">
        <f ca="1">IF(ISERROR(F52),"",_xlfn.TEXTJOIN("/",TRUE,SUMIF(F57:F69,"&gt;0",P57:P69),SUMIF(F57:F69,"&gt;0",S57:S69)))</f>
        <v>299/575</v>
      </c>
      <c r="H70" s="27"/>
      <c r="I70" s="27" t="str">
        <f ca="1">IF(ISERROR(F52),"",_xlfn.TEXTJOIN("/",TRUE,SUMIF(F57:F69,"&gt;0",Q57:Q69),SUMIF(F57:F69,"&gt;0",T57:T69)))</f>
        <v>275/375</v>
      </c>
      <c r="J70" s="27"/>
      <c r="K70" s="27" t="str">
        <f ca="1">IF(ISERROR(F52),"",_xlfn.TEXTJOIN("/",TRUE,SUMIF(F57:F69,"&gt;0",R57:R69),SUMIF(F57:F69,"&gt;0",U57:U69)))</f>
        <v>574/950</v>
      </c>
      <c r="L70" s="27"/>
      <c r="M70" s="26">
        <f ca="1">IF(ISERROR(F52),"",SUMPRODUCT(N57:N68,F57:F68))</f>
        <v>130.5</v>
      </c>
      <c r="N70" s="26"/>
      <c r="V70" s="1" t="str">
        <f ca="1">_xlfn.TEXTJOIN(", ",TRUE,V57:V69)</f>
        <v>AHT 003</v>
      </c>
      <c r="W70" t="b">
        <f ca="1">IF(SUM(W57:W69)&lt;=W56,TRUE,FALSE)</f>
        <v>0</v>
      </c>
      <c r="X70" s="1" t="str">
        <f ca="1">IF(ISERROR(F52),"",_xlfn.TEXTJOIN(",",TRUE,X57:X69))</f>
        <v xml:space="preserve"> G+11 in AHT 003</v>
      </c>
    </row>
    <row r="71" spans="1:24" ht="11.5" customHeight="1" x14ac:dyDescent="0.2">
      <c r="A71" s="26" t="str">
        <f ca="1">IF(ISERROR(F52),"",A49)</f>
        <v>Result:</v>
      </c>
      <c r="B71" s="28" t="str" cm="1">
        <f t="array" aca="1" ref="B71" ca="1">IF(SUM(COUNTIF(M57:M68,{"Ab","Dt"}))=12, "Not Promoted to IInd Semester", IF(V70="", "PASS", "CARRY OVER"))</f>
        <v>CARRY OVER</v>
      </c>
      <c r="C71" s="28"/>
      <c r="D71" s="26" t="str">
        <f ca="1">IF(ISERROR(F52),"",D49)</f>
        <v>Remark:</v>
      </c>
      <c r="E71" s="28" t="str">
        <f ca="1">IF(ISERROR(F52),"",IF(V70="",IF(X70="","",X70),_xlfn.TEXTJOIN(" ",TRUE,"BACK IN",V70)))</f>
        <v>BACK IN AHT 003</v>
      </c>
      <c r="F71" s="28"/>
      <c r="G71" s="26" t="str">
        <f ca="1">IF(ISERROR(F52),"",G49)</f>
        <v>SGPA:</v>
      </c>
      <c r="H71" s="29">
        <f ca="1">IF(ISERROR(F52),"",M70/F70)</f>
        <v>5.6739130434782608</v>
      </c>
      <c r="I71" s="26" t="str">
        <f ca="1">IF(ISERROR(F52),"",I49)</f>
        <v>CGPA:</v>
      </c>
      <c r="J71" s="29">
        <f ca="1">IF(ISERROR(F52),"",VLOOKUP(B52,INDIRECT($F$8),12+(O69-1)*3,0))</f>
        <v>5.6739130434782608</v>
      </c>
      <c r="K71" s="28" t="str">
        <f ca="1">IF(ISERROR(F52),"",K49)</f>
        <v>Earned Credits:</v>
      </c>
      <c r="L71" s="26">
        <f ca="1">IF(ISERROR(F52),"",SUMIF(N57:N68,"&gt;0",F57:F68))</f>
        <v>19</v>
      </c>
      <c r="M71" s="28" t="str">
        <f ca="1">IF(ISERROR(F52),"",M49)</f>
        <v>Cuml. Earned Credits:</v>
      </c>
      <c r="N71" s="26">
        <f ca="1">IF(ISERROR(F52),"",VLOOKUP(B52,INDIRECT($F$8),10+(O69-1)*3,0))</f>
        <v>19</v>
      </c>
    </row>
    <row r="72" spans="1:24" ht="11.5" customHeight="1" x14ac:dyDescent="0.2">
      <c r="A72" s="26"/>
      <c r="B72" s="28"/>
      <c r="C72" s="28"/>
      <c r="D72" s="26"/>
      <c r="E72" s="28"/>
      <c r="F72" s="28"/>
      <c r="G72" s="26"/>
      <c r="H72" s="29"/>
      <c r="I72" s="26"/>
      <c r="J72" s="29"/>
      <c r="K72" s="28"/>
      <c r="L72" s="26"/>
      <c r="M72" s="28"/>
      <c r="N72" s="26"/>
    </row>
    <row r="73" spans="1:24" ht="23" customHeight="1" x14ac:dyDescent="0.2">
      <c r="A73" s="26"/>
      <c r="B73" s="28"/>
      <c r="C73" s="28"/>
      <c r="D73" s="26"/>
      <c r="E73" s="28"/>
      <c r="F73" s="28"/>
      <c r="G73" s="26"/>
      <c r="H73" s="29"/>
      <c r="I73" s="26"/>
      <c r="J73" s="29"/>
      <c r="K73" s="28"/>
      <c r="L73" s="26"/>
      <c r="M73" s="28"/>
      <c r="N73" s="26"/>
    </row>
    <row r="74" spans="1:24" ht="11.5" customHeight="1" x14ac:dyDescent="0.2">
      <c r="A74" s="11" t="str">
        <f>A52</f>
        <v>MM</v>
      </c>
      <c r="B74" s="11">
        <f>B52+1</f>
        <v>4</v>
      </c>
      <c r="C74" s="11" t="str">
        <f>C52</f>
        <v>SC</v>
      </c>
      <c r="D74" s="11" t="str">
        <f>D52</f>
        <v>SN</v>
      </c>
      <c r="E74" s="11" t="str">
        <f>E52</f>
        <v>C</v>
      </c>
      <c r="F74" s="11" t="str">
        <f ca="1">VLOOKUP(B74,INDIRECT($F$8),4,0)</f>
        <v>ANSHIKA SHARMA</v>
      </c>
    </row>
    <row r="75" spans="1:24" ht="11.5" customHeight="1" x14ac:dyDescent="0.2">
      <c r="A75" s="30" t="str">
        <f ca="1">IF(ISERROR(F74),"",A53)</f>
        <v>Name:</v>
      </c>
      <c r="B75" s="30" t="str">
        <f ca="1">IFERROR(VLOOKUP(B74,INDIRECT($F$8),4,0),"")</f>
        <v>ANSHIKA SHARMA</v>
      </c>
      <c r="C75" s="30"/>
      <c r="D75" s="30" t="str">
        <f ca="1">IF(ISERROR(F74),"",D53)</f>
        <v>Father's Name:</v>
      </c>
      <c r="E75" s="30" t="str">
        <f ca="1">IFERROR(VLOOKUP(B74,INDIRECT($F$8),5,0),"")</f>
        <v>SANJ EEV SHARMA</v>
      </c>
      <c r="F75" s="30"/>
      <c r="G75" s="30" t="str">
        <f ca="1">IF(ISERROR(F74),"",G53)</f>
        <v>University Roll No:</v>
      </c>
      <c r="H75" s="30"/>
      <c r="I75" s="31">
        <f ca="1">IFERROR(VLOOKUP(B74,INDIRECT($F$8),2,0),"")</f>
        <v>250090120004</v>
      </c>
      <c r="J75" s="31"/>
      <c r="K75" s="30" t="str">
        <f ca="1">IF(ISERROR(F74),"",K53)</f>
        <v>University Enrol. No:</v>
      </c>
      <c r="L75" s="30"/>
      <c r="M75" s="31" t="str">
        <f ca="1">IFERROR(VLOOKUP(B74,INDIRECT($F$8),3,0),"")</f>
        <v>UTU/2501104042</v>
      </c>
      <c r="N75" s="31"/>
    </row>
    <row r="76" spans="1:24" ht="15" x14ac:dyDescent="0.2">
      <c r="A76" s="30"/>
      <c r="B76" s="30"/>
      <c r="C76" s="30"/>
      <c r="D76" s="30"/>
      <c r="E76" s="30"/>
      <c r="F76" s="30"/>
      <c r="G76" s="30"/>
      <c r="H76" s="30"/>
      <c r="I76" s="31"/>
      <c r="J76" s="31"/>
      <c r="K76" s="30"/>
      <c r="L76" s="30"/>
      <c r="M76" s="31"/>
      <c r="N76" s="31"/>
    </row>
    <row r="77" spans="1:24" ht="11.5" customHeight="1" x14ac:dyDescent="0.2">
      <c r="A77" s="28" t="str">
        <f ca="1">IF(ISERROR(F74),"",A55)</f>
        <v>Subject Code</v>
      </c>
      <c r="B77" s="28" t="str">
        <f ca="1">IF(ISERROR(F74),"",B55)</f>
        <v>Subject Name</v>
      </c>
      <c r="C77" s="28"/>
      <c r="D77" s="28"/>
      <c r="E77" s="28"/>
      <c r="F77" s="28" t="str">
        <f ca="1">IF(ISERROR(F74),"",F55)</f>
        <v>Credits</v>
      </c>
      <c r="G77" s="28" t="str">
        <f ca="1">IF(ISERROR(F74),"",G55)</f>
        <v>External Marks</v>
      </c>
      <c r="H77" s="28"/>
      <c r="I77" s="28" t="str">
        <f ca="1">IF(ISERROR(F74),"",I55)</f>
        <v>Sessional Marks</v>
      </c>
      <c r="J77" s="28"/>
      <c r="K77" s="28" t="str">
        <f ca="1">IF(ISERROR(F74),"",K55)</f>
        <v>Total Marks</v>
      </c>
      <c r="L77" s="28"/>
      <c r="M77" s="28" t="str">
        <f ca="1">IF(ISERROR(F74),"",M55)</f>
        <v>Grade</v>
      </c>
      <c r="N77" s="28" t="str">
        <f ca="1">IF(ISERROR(F74),"",N55)</f>
        <v>Grade Points</v>
      </c>
    </row>
    <row r="78" spans="1:24" ht="11.5" customHeight="1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W78">
        <f ca="1">IF(ISNUMBER(MATCH($F$8,{"I","III","V","VII"},0)),10,10-INDEX(INDIRECT(_xlfn.TEXTJOIN("",TRUE,"SEM_",$G$8,"!",ADDRESS(6,4+$I$8*3+4),":",ADDRESS(5+$H$8,4+$I$8*3+4))),MATCH(INDIRECT(_xlfn.TEXTJOIN("",TRUE,"TC_",$F$8,"!",ADDRESS(ROW(I75),COLUMN(I75)))),INDIRECT(_xlfn.TEXTJOIN("",TRUE,"SEM_",$G$8,"!",ADDRESS(6,2),":",ADDRESS(5+$H$8,2))))))</f>
        <v>10</v>
      </c>
    </row>
    <row r="79" spans="1:24" ht="11.5" customHeight="1" x14ac:dyDescent="0.2">
      <c r="A79" s="7" t="str">
        <f ca="1">IF(ISERROR(F74),"",VLOOKUP(C74,INDIRECT($F$8),6+(O79-1)*3,0))</f>
        <v>AHT 002</v>
      </c>
      <c r="B79" s="24" t="str">
        <f ca="1">IF(ISERROR(F74),"",VLOOKUP(D74,INDIRECT($F$8),6+(O79-1)*3,0))</f>
        <v>Engineering Chemistry</v>
      </c>
      <c r="C79" s="24"/>
      <c r="D79" s="24"/>
      <c r="E79" s="24"/>
      <c r="F79" s="7">
        <f ca="1">IF(ISERROR(F74),"",VLOOKUP(E74,INDIRECT($F$8),6+(O79-1)*3,0))</f>
        <v>4</v>
      </c>
      <c r="G79" s="25" t="str">
        <f ca="1">IF(ISERROR(F74),"",_xlfn.TEXTJOIN("/",FALSE,P79,S79))</f>
        <v>51/100</v>
      </c>
      <c r="H79" s="25"/>
      <c r="I79" s="25" t="str">
        <f ca="1">IF(ISERROR(F74),"",_xlfn.TEXTJOIN("/",FALSE,Q79,T79))</f>
        <v>38/50</v>
      </c>
      <c r="J79" s="25"/>
      <c r="K79" s="25" t="str">
        <f ca="1">IF(ISERROR(F74),"",_xlfn.TEXTJOIN("/",FALSE,R79,U79))</f>
        <v>89/150</v>
      </c>
      <c r="L79" s="25"/>
      <c r="M79" s="7" t="str">
        <f ca="1">IF(ISERROR(F74)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D</v>
      </c>
      <c r="N79" s="8">
        <f ca="1">INDEX($Z$2:$Z$17,MATCH(M79,$Y$2:$Y$17,0))</f>
        <v>6</v>
      </c>
      <c r="O79">
        <v>1</v>
      </c>
      <c r="P79" s="1">
        <f ca="1">IF(ISERROR(F74),"",IF(ISTEXT(VLOOKUP(B74,INDIRECT($F$8),6+(O79-1)*3)),(VLOOKUP(B74,INDIRECT($F$8),6+(O79-1)*3)),SUM(VLOOKUP(B74,INDIRECT($F$8),6+(O79-1)*3),IF(W92,W79,0))))</f>
        <v>51</v>
      </c>
      <c r="Q79" s="1">
        <f ca="1">IF(ISERROR(F74),"",VLOOKUP(B74,INDIRECT($F$8),7+(O79-1)*3))</f>
        <v>38</v>
      </c>
      <c r="R79" s="1">
        <f ca="1">IF(ISERROR(F74),"",SUM(P79:Q79))</f>
        <v>89</v>
      </c>
      <c r="S79" s="1">
        <f ca="1">IF(ISERROR(F74),"",VLOOKUP(A74,INDIRECT($F$8),6+(O79-1)*3))</f>
        <v>100</v>
      </c>
      <c r="T79" s="1">
        <f ca="1">IF(ISERROR(F74),"",VLOOKUP(A74,INDIRECT($F$8),7+(O79-1)*3))</f>
        <v>50</v>
      </c>
      <c r="U79" s="1">
        <f ca="1">IF(ISERROR(F74),"",VLOOKUP(A74,INDIRECT($F$8),8+(O79-1)*3))</f>
        <v>150</v>
      </c>
      <c r="V79" s="1" t="str">
        <f ca="1">IF(ISERROR(F74),"",IF(N79=0,A79,""))</f>
        <v/>
      </c>
      <c r="W79" s="1">
        <f ca="1">IF(ISERROR(F74),"",IF(ISTEXT(VLOOKUP(B74,INDIRECT($F$8),6+(O79-1)*3)),11,IF(VLOOKUP(B74,INDIRECT($F$8),6+(O79-1)*3)&lt;S79*0.3,IF(VLOOKUP(B74,INDIRECT($F$8),8+(O79-1)*3)&lt;U79*0.4,IF(AND(0.4*U79-VLOOKUP(B74,INDIRECT($F$8),8+(O79-1)*3)&lt;=5,0.3*S79-VLOOKUP(B74,INDIRECT($F$8),6+(O79-1)*3)&lt;=5),MAX(0.4*U79-VLOOKUP(B74,INDIRECT($F$8),8+(O79-1)*3),0.3*S79-VLOOKUP(B74,INDIRECT($F$8),6+(O79-1)*3)),11),IF(0.3*S79-VLOOKUP(B74,INDIRECT($F$8),6+(O79-1)*3)&lt;=5,0.3*S79-VLOOKUP(B74,INDIRECT($F$8),6+(O79-1)*3),11)),IF(VLOOKUP(B74,INDIRECT($F$8),8+(O79-1)*3)&lt;U79*0.4,IF(U79*0.4-VLOOKUP(B74,INDIRECT($F$8),8+(O79-1)*3)&lt;=5,U79*0.4-VLOOKUP(B74,INDIRECT($F$8),8+(O79-1)*3),11),0))))</f>
        <v>0</v>
      </c>
      <c r="X79" s="1" t="str">
        <f ca="1">IF(ISERROR(F74),"",IF(W79=0,"",_xlfn.TEXTJOIN("",FALSE," G+",W79," in ",A79)))</f>
        <v/>
      </c>
    </row>
    <row r="80" spans="1:24" ht="11.5" customHeight="1" x14ac:dyDescent="0.2">
      <c r="A80" s="7" t="str">
        <f ca="1">IF(ISERROR(F74),"",VLOOKUP(C74,INDIRECT($F$8),6+(O80-1)*3,0))</f>
        <v>AHT 003</v>
      </c>
      <c r="B80" s="24" t="str">
        <f ca="1">IF(ISERROR(F74),"",VLOOKUP(D74,INDIRECT($F$8),6+(O80-1)*3,0))</f>
        <v>Introduction to Engineering Mathematics</v>
      </c>
      <c r="C80" s="24"/>
      <c r="D80" s="24"/>
      <c r="E80" s="24"/>
      <c r="F80" s="7">
        <f ca="1">IF(ISERROR(F74),"",VLOOKUP(E74,INDIRECT($F$8),6+(O80-1)*3,0))</f>
        <v>4</v>
      </c>
      <c r="G80" s="25" t="str">
        <f ca="1">IF(ISERROR(F74),"",_xlfn.TEXTJOIN("/",FALSE,P80,S80))</f>
        <v>19/100</v>
      </c>
      <c r="H80" s="25"/>
      <c r="I80" s="25" t="str">
        <f ca="1">IF(ISERROR(F74),"",_xlfn.TEXTJOIN("/",FALSE,Q80,T80))</f>
        <v>20/50</v>
      </c>
      <c r="J80" s="25"/>
      <c r="K80" s="25" t="str">
        <f ca="1">IF(ISERROR(F74),"",_xlfn.TEXTJOIN("/",FALSE,R80,U80))</f>
        <v>39/150</v>
      </c>
      <c r="L80" s="25"/>
      <c r="M80" s="7" t="str">
        <f ca="1">IF(ISERROR(F74)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F</v>
      </c>
      <c r="N80" s="8">
        <f t="shared" ref="N80:N89" ca="1" si="7">INDEX($Z$2:$Z$17,MATCH(M80,$Y$2:$Y$17,0))</f>
        <v>0</v>
      </c>
      <c r="O80">
        <f>O79+1</f>
        <v>2</v>
      </c>
      <c r="P80" s="1">
        <f ca="1">IF(ISERROR(F74),"",IF(ISTEXT(VLOOKUP(B74,INDIRECT($F$8),6+(O80-1)*3)),(VLOOKUP(B74,INDIRECT($F$8),6+(O80-1)*3)),SUM(VLOOKUP(B74,INDIRECT($F$8),6+(O80-1)*3),IF(W92,W80,0))))</f>
        <v>19</v>
      </c>
      <c r="Q80" s="1">
        <f ca="1">IF(ISERROR(F74),"",VLOOKUP(B74,INDIRECT($F$8),7+(O80-1)*3))</f>
        <v>20</v>
      </c>
      <c r="R80" s="1">
        <f ca="1">IF(ISERROR(F74),"",SUM(P80:Q80))</f>
        <v>39</v>
      </c>
      <c r="S80" s="1">
        <f ca="1">IF(ISERROR(F74),"",VLOOKUP(A74,INDIRECT($F$8),6+(O80-1)*3))</f>
        <v>100</v>
      </c>
      <c r="T80" s="1">
        <f ca="1">IF(ISERROR(F74),"",VLOOKUP(A74,INDIRECT($F$8),7+(O80-1)*3))</f>
        <v>50</v>
      </c>
      <c r="U80" s="1">
        <f ca="1">IF(ISERROR(F74),"",VLOOKUP(A74,INDIRECT($F$8),8+(O80-1)*3))</f>
        <v>150</v>
      </c>
      <c r="V80" s="1" t="str">
        <f ca="1">IF(ISERROR(F74),"",IF(N80=0,A80,""))</f>
        <v>AHT 003</v>
      </c>
      <c r="W80" s="1">
        <f ca="1">IF(ISERROR(F74),"",IF(ISTEXT(VLOOKUP(B74,INDIRECT($F$8),6+(O80-1)*3)),11,IF(VLOOKUP(B74,INDIRECT($F$8),6+(O80-1)*3)&lt;S80*0.3,IF(VLOOKUP(B74,INDIRECT($F$8),8+(O80-1)*3)&lt;U80*0.4,IF(AND(0.4*U80-VLOOKUP(B74,INDIRECT($F$8),8+(O80-1)*3)&lt;=5,0.3*S80-VLOOKUP(B74,INDIRECT($F$8),6+(O80-1)*3)&lt;=5),MAX(0.4*U80-VLOOKUP(B74,INDIRECT($F$8),8+(O80-1)*3),0.3*S80-VLOOKUP(B74,INDIRECT($F$8),6+(O80-1)*3)),11),IF(0.3*S80-VLOOKUP(B74,INDIRECT($F$8),6+(O80-1)*3)&lt;=5,0.3*S80-VLOOKUP(B74,INDIRECT($F$8),6+(O80-1)*3),11)),IF(VLOOKUP(B74,INDIRECT($F$8),8+(O80-1)*3)&lt;U80*0.4,IF(U80*0.4-VLOOKUP(B74,INDIRECT($F$8),8+(O80-1)*3)&lt;=5,U80*0.4-VLOOKUP(B74,INDIRECT($F$8),8+(O80-1)*3),11),0))))</f>
        <v>11</v>
      </c>
      <c r="X80" s="1" t="str">
        <f ca="1">IF(ISERROR(F74),"",IF(W80=0,"",_xlfn.TEXTJOIN("",FALSE," G+",W80," in ",A80)))</f>
        <v xml:space="preserve"> G+11 in AHT 003</v>
      </c>
    </row>
    <row r="81" spans="1:24" ht="11.5" customHeight="1" x14ac:dyDescent="0.2">
      <c r="A81" s="7" t="str">
        <f ca="1">IF(ISERROR(F74),"",VLOOKUP(C74,INDIRECT($F$8),6+(O81-1)*3,0))</f>
        <v>ECT 001</v>
      </c>
      <c r="B81" s="24" t="str">
        <f ca="1">IF(ISERROR(F74),"",VLOOKUP(D74,INDIRECT($F$8),6+(O81-1)*3,0))</f>
        <v>Basic Electronics Engineering</v>
      </c>
      <c r="C81" s="24"/>
      <c r="D81" s="24"/>
      <c r="E81" s="24"/>
      <c r="F81" s="7">
        <f ca="1">IF(ISERROR(F74),"",VLOOKUP(E74,INDIRECT($F$8),6+(O81-1)*3,0))</f>
        <v>4</v>
      </c>
      <c r="G81" s="25" t="str">
        <f ca="1">IF(ISERROR(F74),"",_xlfn.TEXTJOIN("/",FALSE,P81,S81))</f>
        <v>46/100</v>
      </c>
      <c r="H81" s="25"/>
      <c r="I81" s="25" t="str">
        <f ca="1">IF(ISERROR(F74),"",_xlfn.TEXTJOIN("/",FALSE,Q81,T81))</f>
        <v>33/50</v>
      </c>
      <c r="J81" s="25"/>
      <c r="K81" s="25" t="str">
        <f ca="1">IF(ISERROR(F74),"",_xlfn.TEXTJOIN("/",FALSE,R81,U81))</f>
        <v>79/150</v>
      </c>
      <c r="L81" s="25"/>
      <c r="M81" s="7" t="str">
        <f ca="1">IF(ISERROR(F74)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E+</v>
      </c>
      <c r="N81" s="8">
        <f t="shared" ca="1" si="7"/>
        <v>5.5</v>
      </c>
      <c r="O81">
        <f>O80+1</f>
        <v>3</v>
      </c>
      <c r="P81" s="1">
        <f ca="1">IF(ISERROR(F74),"",IF(ISTEXT(VLOOKUP(B74,INDIRECT($F$8),6+(O81-1)*3)),(VLOOKUP(B74,INDIRECT($F$8),6+(O81-1)*3)),SUM(VLOOKUP(B74,INDIRECT($F$8),6+(O81-1)*3),IF(W92,W81,0))))</f>
        <v>46</v>
      </c>
      <c r="Q81" s="1">
        <f ca="1">IF(ISERROR(F74),"",VLOOKUP(B74,INDIRECT($F$8),7+(O81-1)*3))</f>
        <v>33</v>
      </c>
      <c r="R81" s="1">
        <f ca="1">IF(ISERROR(F74),"",SUM(P81:Q81))</f>
        <v>79</v>
      </c>
      <c r="S81" s="1">
        <f ca="1">IF(ISERROR(F74),"",VLOOKUP(A74,INDIRECT($F$8),6+(O81-1)*3))</f>
        <v>100</v>
      </c>
      <c r="T81" s="1">
        <f ca="1">IF(ISERROR(F74),"",VLOOKUP(A74,INDIRECT($F$8),7+(O81-1)*3))</f>
        <v>50</v>
      </c>
      <c r="U81" s="1">
        <f ca="1">IF(ISERROR(F74),"",VLOOKUP(A74,INDIRECT($F$8),8+(O81-1)*3))</f>
        <v>150</v>
      </c>
      <c r="V81" s="1" t="str">
        <f ca="1">IF(ISERROR(F74),"",IF(N81=0,A81,""))</f>
        <v/>
      </c>
      <c r="W81" s="1">
        <f ca="1">IF(ISERROR(F74),"",IF(ISTEXT(VLOOKUP(B74,INDIRECT($F$8),6+(O81-1)*3)),11,IF(VLOOKUP(B74,INDIRECT($F$8),6+(O81-1)*3)&lt;S81*0.3,IF(VLOOKUP(B74,INDIRECT($F$8),8+(O81-1)*3)&lt;U81*0.4,IF(AND(0.4*U81-VLOOKUP(B74,INDIRECT($F$8),8+(O81-1)*3)&lt;=5,0.3*S81-VLOOKUP(B74,INDIRECT($F$8),6+(O81-1)*3)&lt;=5),MAX(0.4*U81-VLOOKUP(B74,INDIRECT($F$8),8+(O81-1)*3),0.3*S81-VLOOKUP(B74,INDIRECT($F$8),6+(O81-1)*3)),11),IF(0.3*S81-VLOOKUP(B74,INDIRECT($F$8),6+(O81-1)*3)&lt;=5,0.3*S81-VLOOKUP(B74,INDIRECT($F$8),6+(O81-1)*3),11)),IF(VLOOKUP(B74,INDIRECT($F$8),8+(O81-1)*3)&lt;U81*0.4,IF(U81*0.4-VLOOKUP(B74,INDIRECT($F$8),8+(O81-1)*3)&lt;=5,U81*0.4-VLOOKUP(B74,INDIRECT($F$8),8+(O81-1)*3),11),0))))</f>
        <v>0</v>
      </c>
      <c r="X81" s="1" t="str">
        <f ca="1">IF(ISERROR(F74),"",IF(W81=0,"",_xlfn.TEXTJOIN("",FALSE," G+",W81," in ",A81)))</f>
        <v/>
      </c>
    </row>
    <row r="82" spans="1:24" ht="11.5" customHeight="1" x14ac:dyDescent="0.2">
      <c r="A82" s="7" t="str">
        <f ca="1">IF(ISERROR(F74),"",VLOOKUP(C74,INDIRECT($F$8),6+(O82-1)*3,0))</f>
        <v>MET 001</v>
      </c>
      <c r="B82" s="24" t="str">
        <f ca="1">IF(ISERROR(F74),"",VLOOKUP(D74,INDIRECT($F$8),6+(O82-1)*3,0))</f>
        <v>Basic Mechanical Engineering</v>
      </c>
      <c r="C82" s="24"/>
      <c r="D82" s="24"/>
      <c r="E82" s="24"/>
      <c r="F82" s="7">
        <f ca="1">IF(ISERROR(F74),"",VLOOKUP(E74,INDIRECT($F$8),6+(O82-1)*3,0))</f>
        <v>4</v>
      </c>
      <c r="G82" s="25" t="str">
        <f ca="1">IF(ISERROR(F74),"",_xlfn.TEXTJOIN("/",FALSE,P82,S82))</f>
        <v>52/100</v>
      </c>
      <c r="H82" s="25"/>
      <c r="I82" s="25" t="str">
        <f ca="1">IF(ISERROR(F74),"",_xlfn.TEXTJOIN("/",FALSE,Q82,T82))</f>
        <v>41/50</v>
      </c>
      <c r="J82" s="25"/>
      <c r="K82" s="25" t="str">
        <f ca="1">IF(ISERROR(F74),"",_xlfn.TEXTJOIN("/",FALSE,R82,U82))</f>
        <v>93/150</v>
      </c>
      <c r="L82" s="25"/>
      <c r="M82" s="7" t="str">
        <f ca="1">IF(ISERROR(F74)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D+</v>
      </c>
      <c r="N82" s="8">
        <f t="shared" ca="1" si="7"/>
        <v>6.5</v>
      </c>
      <c r="O82">
        <f>O81+1</f>
        <v>4</v>
      </c>
      <c r="P82" s="1">
        <f ca="1">IF(ISERROR(F74),"",IF(ISTEXT(VLOOKUP(B74,INDIRECT($F$8),6+(O82-1)*3)),(VLOOKUP(B74,INDIRECT($F$8),6+(O82-1)*3)),SUM(VLOOKUP(B74,INDIRECT($F$8),6+(O82-1)*3),IF(W92,W82,0))))</f>
        <v>52</v>
      </c>
      <c r="Q82" s="1">
        <f ca="1">IF(ISERROR(F74),"",VLOOKUP(B74,INDIRECT($F$8),7+(O82-1)*3))</f>
        <v>41</v>
      </c>
      <c r="R82" s="1">
        <f ca="1">IF(ISERROR(F74),"",SUM(P82:Q82))</f>
        <v>93</v>
      </c>
      <c r="S82" s="1">
        <f ca="1">IF(ISERROR(F74),"",VLOOKUP(A74,INDIRECT($F$8),6+(O82-1)*3))</f>
        <v>100</v>
      </c>
      <c r="T82" s="1">
        <f ca="1">IF(ISERROR(F74),"",VLOOKUP(A74,INDIRECT($F$8),7+(O82-1)*3))</f>
        <v>50</v>
      </c>
      <c r="U82" s="1">
        <f ca="1">IF(ISERROR(F74),"",VLOOKUP(A74,INDIRECT($F$8),8+(O82-1)*3))</f>
        <v>150</v>
      </c>
      <c r="V82" s="1" t="str">
        <f ca="1">IF(ISERROR(F74),"",IF(N82=0,A82,""))</f>
        <v/>
      </c>
      <c r="W82" s="1">
        <f ca="1">IF(ISERROR(F74),"",IF(ISTEXT(VLOOKUP(B74,INDIRECT($F$8),6+(O82-1)*3)),11,IF(VLOOKUP(B74,INDIRECT($F$8),6+(O82-1)*3)&lt;S82*0.3,IF(VLOOKUP(B74,INDIRECT($F$8),8+(O82-1)*3)&lt;U82*0.4,IF(AND(0.4*U82-VLOOKUP(B74,INDIRECT($F$8),8+(O82-1)*3)&lt;=5,0.3*S82-VLOOKUP(B74,INDIRECT($F$8),6+(O82-1)*3)&lt;=5),MAX(0.4*U82-VLOOKUP(B74,INDIRECT($F$8),8+(O82-1)*3),0.3*S82-VLOOKUP(B74,INDIRECT($F$8),6+(O82-1)*3)),11),IF(0.3*S82-VLOOKUP(B74,INDIRECT($F$8),6+(O82-1)*3)&lt;=5,0.3*S82-VLOOKUP(B74,INDIRECT($F$8),6+(O82-1)*3),11)),IF(VLOOKUP(B74,INDIRECT($F$8),8+(O82-1)*3)&lt;U82*0.4,IF(U82*0.4-VLOOKUP(B74,INDIRECT($F$8),8+(O82-1)*3)&lt;=5,U82*0.4-VLOOKUP(B74,INDIRECT($F$8),8+(O82-1)*3),11),0))))</f>
        <v>0</v>
      </c>
      <c r="X82" s="1" t="str">
        <f ca="1">IF(ISERROR(F74),"",IF(W82=0,"",_xlfn.TEXTJOIN("",FALSE," G+",W82," in ",A82)))</f>
        <v/>
      </c>
    </row>
    <row r="83" spans="1:24" ht="11.5" customHeight="1" x14ac:dyDescent="0.2">
      <c r="A83" s="7" t="str">
        <f ca="1">IF(ISERROR(F74),"",VLOOKUP(C74,INDIRECT($F$8),6+(O83-1)*3,0))</f>
        <v>AHT 000</v>
      </c>
      <c r="B83" s="24" t="str">
        <f ca="1">IF(ISERROR(F74),"",VLOOKUP(D74,INDIRECT($F$8),6+(O83-1)*3,0))</f>
        <v>Basic Mathematics (Bridge Course) ($)</v>
      </c>
      <c r="C83" s="24"/>
      <c r="D83" s="24"/>
      <c r="E83" s="24"/>
      <c r="F83" s="7">
        <f ca="1">IF(ISERROR(F74),"",VLOOKUP(E74,INDIRECT($F$8),6+(O83-1)*3,0))</f>
        <v>0</v>
      </c>
      <c r="G83" s="25" t="str">
        <f ca="1">IF(ISERROR(F74),"",_xlfn.TEXTJOIN("/",FALSE,P83,S83))</f>
        <v>71/100</v>
      </c>
      <c r="H83" s="25"/>
      <c r="I83" s="25" t="str">
        <f ca="1">IF(ISERROR(F74),"",_xlfn.TEXTJOIN("/",FALSE,Q83,T83))</f>
        <v>33/50</v>
      </c>
      <c r="J83" s="25"/>
      <c r="K83" s="25" t="str">
        <f ca="1">IF(ISERROR(F74),"",_xlfn.TEXTJOIN("/",FALSE,R83,U83))</f>
        <v>104/150</v>
      </c>
      <c r="L83" s="25"/>
      <c r="M83" s="7" t="str">
        <f ca="1">IF(ISERROR(F74)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C</v>
      </c>
      <c r="N83" s="8">
        <f t="shared" ca="1" si="7"/>
        <v>7</v>
      </c>
      <c r="O83" cm="1">
        <f t="array" aca="1" ref="O83" ca="1">IF(NOT(ISBLANK(INDIRECT("SEM_I!R"&amp;INT((ROW(O83)-17)/22)+6))),5,
IF(NOT(ISBLANK(INDIRECT("SEM_I!U"&amp;INT((ROW(O83)-17)/22)+6))),6))</f>
        <v>5</v>
      </c>
      <c r="P83" s="1">
        <f ca="1">IF(ISERROR(F74),"",IF(ISTEXT(VLOOKUP(B74,INDIRECT($F$8),6+(O83-1)*3)),(VLOOKUP(B74,INDIRECT($F$8),6+(O83-1)*3)),SUM(VLOOKUP(B74,INDIRECT($F$8),6+(O83-1)*3),IF(W92,W83,0))))</f>
        <v>71</v>
      </c>
      <c r="Q83" s="1">
        <f ca="1">IF(ISERROR(F74),"",VLOOKUP(B74,INDIRECT($F$8),7+(O83-1)*3))</f>
        <v>33</v>
      </c>
      <c r="R83" s="1">
        <f ca="1">IF(ISERROR(F74),"",SUM(P83:Q83))</f>
        <v>104</v>
      </c>
      <c r="S83" s="1">
        <f ca="1">IF(ISERROR(F74),"",VLOOKUP(A74,INDIRECT($F$8),6+(O83-1)*3))</f>
        <v>100</v>
      </c>
      <c r="T83" s="1">
        <f ca="1">IF(ISERROR(F74),"",VLOOKUP(A74,INDIRECT($F$8),7+(O83-1)*3))</f>
        <v>50</v>
      </c>
      <c r="U83" s="1">
        <f ca="1">IF(ISERROR(F74),"",VLOOKUP(A74,INDIRECT($F$8),8+(O83-1)*3))</f>
        <v>150</v>
      </c>
      <c r="V83" s="1" t="str">
        <f ca="1">IF(ISERROR(F74),"",IF(N83=0,A83,""))</f>
        <v/>
      </c>
      <c r="W83" s="1">
        <f ca="1">IF(ISERROR(F74),"",IF(ISTEXT(VLOOKUP(B74,INDIRECT($F$8),6+(O83-1)*3)),11,IF(VLOOKUP(B74,INDIRECT($F$8),6+(O83-1)*3)&lt;S83*0.3,IF(VLOOKUP(B74,INDIRECT($F$8),8+(O83-1)*3)&lt;U83*0.4,IF(AND(0.4*U83-VLOOKUP(B74,INDIRECT($F$8),8+(O83-1)*3)&lt;=5,0.3*S83-VLOOKUP(B74,INDIRECT($F$8),6+(O83-1)*3)&lt;=5),MAX(0.4*U83-VLOOKUP(B74,INDIRECT($F$8),8+(O83-1)*3),0.3*S83-VLOOKUP(B74,INDIRECT($F$8),6+(O83-1)*3)),11),IF(0.3*S83-VLOOKUP(B74,INDIRECT($F$8),6+(O83-1)*3)&lt;=5,0.3*S83-VLOOKUP(B74,INDIRECT($F$8),6+(O83-1)*3),11)),IF(VLOOKUP(B74,INDIRECT($F$8),8+(O83-1)*3)&lt;U83*0.4,IF(U83*0.4-VLOOKUP(B74,INDIRECT($F$8),8+(O83-1)*3)&lt;=5,U83*0.4-VLOOKUP(B74,INDIRECT($F$8),8+(O83-1)*3),11),0))))</f>
        <v>0</v>
      </c>
      <c r="X83" s="1" t="str">
        <f ca="1">IF(ISERROR(F74),"",IF(W83=0,"",_xlfn.TEXTJOIN("",FALSE," G+",W83," in ",A83)))</f>
        <v/>
      </c>
    </row>
    <row r="84" spans="1:24" ht="11.5" customHeight="1" x14ac:dyDescent="0.2">
      <c r="A84" s="7" t="str">
        <f ca="1">IF(ISERROR(F74),"",VLOOKUP(C74,INDIRECT($F$8),6+(O84-1)*3,0))</f>
        <v>AHP 002</v>
      </c>
      <c r="B84" s="24" t="str">
        <f ca="1">IF(ISERROR(F74),"",VLOOKUP(D74,INDIRECT($F$8),6+(O84-1)*3,0))</f>
        <v>Engineering Chemistry Lab</v>
      </c>
      <c r="C84" s="24"/>
      <c r="D84" s="24"/>
      <c r="E84" s="24"/>
      <c r="F84" s="7">
        <f ca="1">IF(ISERROR(F74),"",VLOOKUP(E74,INDIRECT($F$8),6+(O84-1)*3,0))</f>
        <v>1</v>
      </c>
      <c r="G84" s="25" t="str">
        <f ca="1">IF(ISERROR(F74),"",_xlfn.TEXTJOIN("/",FALSE,P84,S84))</f>
        <v>18/25</v>
      </c>
      <c r="H84" s="25"/>
      <c r="I84" s="25" t="str">
        <f ca="1">IF(ISERROR(F74),"",_xlfn.TEXTJOIN("/",FALSE,Q84,T84))</f>
        <v>15/25</v>
      </c>
      <c r="J84" s="25"/>
      <c r="K84" s="25" t="str">
        <f ca="1">IF(ISERROR(F74),"",_xlfn.TEXTJOIN("/",FALSE,R84,U84))</f>
        <v>33/50</v>
      </c>
      <c r="L84" s="25"/>
      <c r="M84" s="7" t="str">
        <f ca="1">IF(ISERROR(F74)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C</v>
      </c>
      <c r="N84" s="8">
        <f t="shared" ca="1" si="7"/>
        <v>7</v>
      </c>
      <c r="O84">
        <f ca="1">IF(O83&gt;0,7)</f>
        <v>7</v>
      </c>
      <c r="P84" s="1">
        <f ca="1">IF(ISERROR(F74),"",IF(ISTEXT(VLOOKUP(B74,INDIRECT($F$8),6+(O84-1)*3)),(VLOOKUP(B74,INDIRECT($F$8),6+(O84-1)*3)),SUM(VLOOKUP(B74,INDIRECT($F$8),6+(O84-1)*3),IF(W92,W84,0))))</f>
        <v>18</v>
      </c>
      <c r="Q84" s="1">
        <f ca="1">IF(ISERROR(F74),"",VLOOKUP(B74,INDIRECT($F$8),7+(O84-1)*3))</f>
        <v>15</v>
      </c>
      <c r="R84" s="1">
        <f ca="1">IF(ISERROR(F74),"",SUM(P84:Q84))</f>
        <v>33</v>
      </c>
      <c r="S84" s="1">
        <f ca="1">IF(ISERROR(F74),"",VLOOKUP(A74,INDIRECT($F$8),6+(O84-1)*3))</f>
        <v>25</v>
      </c>
      <c r="T84" s="1">
        <f ca="1">IF(ISERROR(F74),"",VLOOKUP(A74,INDIRECT($F$8),7+(O84-1)*3))</f>
        <v>25</v>
      </c>
      <c r="U84" s="1">
        <f ca="1">IF(ISERROR(F74),"",VLOOKUP(A74,INDIRECT($F$8),8+(O84-1)*3))</f>
        <v>50</v>
      </c>
      <c r="V84" s="1" t="str">
        <f ca="1">IF(ISERROR(F74),"",IF(N84=0,A84,""))</f>
        <v/>
      </c>
      <c r="W84" s="1">
        <f ca="1">IF(ISERROR(F74),"",IF(ISTEXT(VLOOKUP(B74,INDIRECT($F$8),6+(O84-1)*3)),11,IF(VLOOKUP(B74,INDIRECT($F$8),6+(O84-1)*3)&lt;S84*0.3,IF(VLOOKUP(B74,INDIRECT($F$8),8+(O84-1)*3)&lt;U84*0.4,IF(AND(0.4*U84-VLOOKUP(B74,INDIRECT($F$8),8+(O84-1)*3)&lt;=5,0.3*S84-VLOOKUP(B74,INDIRECT($F$8),6+(O84-1)*3)&lt;=5),MAX(0.4*U84-VLOOKUP(B74,INDIRECT($F$8),8+(O84-1)*3),0.3*S84-VLOOKUP(B74,INDIRECT($F$8),6+(O84-1)*3)),11),IF(0.3*S84-VLOOKUP(B74,INDIRECT($F$8),6+(O84-1)*3)&lt;=5,0.3*S84-VLOOKUP(B74,INDIRECT($F$8),6+(O84-1)*3),11)),IF(VLOOKUP(B74,INDIRECT($F$8),8+(O84-1)*3)&lt;U84*0.4,IF(U84*0.4-VLOOKUP(B74,INDIRECT($F$8),8+(O84-1)*3)&lt;=5,U84*0.4-VLOOKUP(B74,INDIRECT($F$8),8+(O84-1)*3),11),0))))</f>
        <v>0</v>
      </c>
      <c r="X84" s="1" t="str">
        <f ca="1">IF(ISERROR(F74),"",IF(W84=0,"",_xlfn.TEXTJOIN("",FALSE," G+",W84," in ",A84)))</f>
        <v/>
      </c>
    </row>
    <row r="85" spans="1:24" ht="11.5" customHeight="1" x14ac:dyDescent="0.2">
      <c r="A85" s="7" t="str">
        <f ca="1">IF(ISERROR(F74),"",VLOOKUP(C74,INDIRECT($F$8),6+(O85-1)*3,0))</f>
        <v>ECP 001</v>
      </c>
      <c r="B85" s="24" t="str">
        <f ca="1">IF(ISERROR(F74),"",VLOOKUP(D74,INDIRECT($F$8),6+(O85-1)*3,0))</f>
        <v>Basic Electronics Engineering Lab</v>
      </c>
      <c r="C85" s="24"/>
      <c r="D85" s="24"/>
      <c r="E85" s="24"/>
      <c r="F85" s="7">
        <f ca="1">IF(ISERROR(F74),"",VLOOKUP(E74,INDIRECT($F$8),6+(O85-1)*3,0))</f>
        <v>1</v>
      </c>
      <c r="G85" s="25" t="str">
        <f ca="1">IF(ISERROR(F74),"",_xlfn.TEXTJOIN("/",FALSE,P85,S85))</f>
        <v>21/25</v>
      </c>
      <c r="H85" s="25"/>
      <c r="I85" s="25" t="str">
        <f ca="1">IF(ISERROR(F74),"",_xlfn.TEXTJOIN("/",FALSE,Q85,T85))</f>
        <v>22/25</v>
      </c>
      <c r="J85" s="25"/>
      <c r="K85" s="25" t="str">
        <f ca="1">IF(ISERROR(F74),"",_xlfn.TEXTJOIN("/",FALSE,R85,U85))</f>
        <v>43/50</v>
      </c>
      <c r="L85" s="25"/>
      <c r="M85" s="7" t="str">
        <f ca="1">IF(ISERROR(F74)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A</v>
      </c>
      <c r="N85" s="8">
        <f t="shared" ca="1" si="7"/>
        <v>9</v>
      </c>
      <c r="O85">
        <f t="shared" ref="O85:O91" ca="1" si="8">O84+1</f>
        <v>8</v>
      </c>
      <c r="P85" s="1">
        <f ca="1">IF(ISERROR(F74),"",IF(ISTEXT(VLOOKUP(B74,INDIRECT($F$8),6+(O85-1)*3)),(VLOOKUP(B74,INDIRECT($F$8),6+(O85-1)*3)),SUM(VLOOKUP(B74,INDIRECT($F$8),6+(O85-1)*3),IF(W92,W85,0))))</f>
        <v>21</v>
      </c>
      <c r="Q85" s="1">
        <f ca="1">IF(ISERROR(F74),"",VLOOKUP(B74,INDIRECT($F$8),7+(O85-1)*3))</f>
        <v>22</v>
      </c>
      <c r="R85" s="1">
        <f ca="1">IF(ISERROR(F74),"",SUM(P85:Q85))</f>
        <v>43</v>
      </c>
      <c r="S85" s="1">
        <f ca="1">IF(ISERROR(F74),"",VLOOKUP(A74,INDIRECT($F$8),6+(O85-1)*3))</f>
        <v>25</v>
      </c>
      <c r="T85" s="1">
        <f ca="1">IF(ISERROR(F74),"",VLOOKUP(A74,INDIRECT($F$8),7+(O85-1)*3))</f>
        <v>25</v>
      </c>
      <c r="U85" s="1">
        <f ca="1">IF(ISERROR(F74),"",VLOOKUP(A74,INDIRECT($F$8),8+(O85-1)*3))</f>
        <v>50</v>
      </c>
      <c r="V85" s="1" t="str">
        <f ca="1">IF(ISERROR(F74),"",IF(N85=0,A85,""))</f>
        <v/>
      </c>
      <c r="W85" s="1">
        <f ca="1">IF(ISERROR(F74),"",IF(ISTEXT(VLOOKUP(B74,INDIRECT($F$8),6+(O85-1)*3)),11,IF(VLOOKUP(B74,INDIRECT($F$8),6+(O85-1)*3)&lt;S85*0.3,IF(VLOOKUP(B74,INDIRECT($F$8),8+(O85-1)*3)&lt;U85*0.4,IF(AND(0.4*U85-VLOOKUP(B74,INDIRECT($F$8),8+(O85-1)*3)&lt;=5,0.3*S85-VLOOKUP(B74,INDIRECT($F$8),6+(O85-1)*3)&lt;=5),MAX(0.4*U85-VLOOKUP(B74,INDIRECT($F$8),8+(O85-1)*3),0.3*S85-VLOOKUP(B74,INDIRECT($F$8),6+(O85-1)*3)),11),IF(0.3*S85-VLOOKUP(B74,INDIRECT($F$8),6+(O85-1)*3)&lt;=5,0.3*S85-VLOOKUP(B74,INDIRECT($F$8),6+(O85-1)*3),11)),IF(VLOOKUP(B74,INDIRECT($F$8),8+(O85-1)*3)&lt;U85*0.4,IF(U85*0.4-VLOOKUP(B74,INDIRECT($F$8),8+(O85-1)*3)&lt;=5,U85*0.4-VLOOKUP(B74,INDIRECT($F$8),8+(O85-1)*3),11),0))))</f>
        <v>0</v>
      </c>
      <c r="X85" s="1" t="str">
        <f ca="1">IF(ISERROR(F74),"",IF(W85=0,"",_xlfn.TEXTJOIN("",FALSE," G+",W85," in ",A85)))</f>
        <v/>
      </c>
    </row>
    <row r="86" spans="1:24" ht="11.5" customHeight="1" x14ac:dyDescent="0.2">
      <c r="A86" s="7" t="str">
        <f ca="1">IF(ISERROR(F74),"",VLOOKUP(C74,INDIRECT($F$8),6+(O86-1)*3,0))</f>
        <v>MEP 001</v>
      </c>
      <c r="B86" s="24" t="str">
        <f ca="1">IF(ISERROR(F74),"",VLOOKUP(D74,INDIRECT($F$8),6+(O86-1)*3,0))</f>
        <v>Basic Mechanical Engineering Lab</v>
      </c>
      <c r="C86" s="24"/>
      <c r="D86" s="24"/>
      <c r="E86" s="24"/>
      <c r="F86" s="7">
        <f ca="1">IF(ISERROR(F74),"",VLOOKUP(E74,INDIRECT($F$8),6+(O86-1)*3,0))</f>
        <v>1</v>
      </c>
      <c r="G86" s="25" t="str">
        <f ca="1">IF(ISERROR(F74),"",_xlfn.TEXTJOIN("/",FALSE,P86,S86))</f>
        <v>20/25</v>
      </c>
      <c r="H86" s="25"/>
      <c r="I86" s="25" t="str">
        <f ca="1">IF(ISERROR(F74),"",_xlfn.TEXTJOIN("/",FALSE,Q86,T86))</f>
        <v>21/25</v>
      </c>
      <c r="J86" s="25"/>
      <c r="K86" s="25" t="str">
        <f ca="1">IF(ISERROR(F74),"",_xlfn.TEXTJOIN("/",FALSE,R86,U86))</f>
        <v>41/50</v>
      </c>
      <c r="L86" s="25"/>
      <c r="M86" s="7" t="str">
        <f ca="1">IF(ISERROR(F74)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B+</v>
      </c>
      <c r="N86" s="8">
        <f t="shared" ca="1" si="7"/>
        <v>8.5</v>
      </c>
      <c r="O86">
        <f t="shared" ca="1" si="8"/>
        <v>9</v>
      </c>
      <c r="P86" s="1">
        <f ca="1">IF(ISERROR(F74),"",IF(ISTEXT(VLOOKUP(B74,INDIRECT($F$8),6+(O86-1)*3)),(VLOOKUP(B74,INDIRECT($F$8),6+(O86-1)*3)),SUM(VLOOKUP(B74,INDIRECT($F$8),6+(O86-1)*3),IF(W92,W86,0))))</f>
        <v>20</v>
      </c>
      <c r="Q86" s="1">
        <f ca="1">IF(ISERROR(F74),"",VLOOKUP(B74,INDIRECT($F$8),7+(O86-1)*3))</f>
        <v>21</v>
      </c>
      <c r="R86" s="1">
        <f ca="1">IF(ISERROR(F74),"",SUM(P86:Q86))</f>
        <v>41</v>
      </c>
      <c r="S86" s="1">
        <f ca="1">IF(ISERROR(F74),"",VLOOKUP(A74,INDIRECT($F$8),6+(O86-1)*3))</f>
        <v>25</v>
      </c>
      <c r="T86" s="1">
        <f ca="1">IF(ISERROR(F74),"",VLOOKUP(A74,INDIRECT($F$8),7+(O86-1)*3))</f>
        <v>25</v>
      </c>
      <c r="U86" s="1">
        <f ca="1">IF(ISERROR(F74),"",VLOOKUP(A74,INDIRECT($F$8),8+(O86-1)*3))</f>
        <v>50</v>
      </c>
      <c r="V86" s="1" t="str">
        <f ca="1">IF(ISERROR(F74),"",IF(N86=0,A86,""))</f>
        <v/>
      </c>
      <c r="W86" s="1">
        <f ca="1">IF(ISERROR(F74),"",IF(ISTEXT(VLOOKUP(B74,INDIRECT($F$8),6+(O86-1)*3)),11,IF(VLOOKUP(B74,INDIRECT($F$8),6+(O86-1)*3)&lt;S86*0.3,IF(VLOOKUP(B74,INDIRECT($F$8),8+(O86-1)*3)&lt;U86*0.4,IF(AND(0.4*U86-VLOOKUP(B74,INDIRECT($F$8),8+(O86-1)*3)&lt;=5,0.3*S86-VLOOKUP(B74,INDIRECT($F$8),6+(O86-1)*3)&lt;=5),MAX(0.4*U86-VLOOKUP(B74,INDIRECT($F$8),8+(O86-1)*3),0.3*S86-VLOOKUP(B74,INDIRECT($F$8),6+(O86-1)*3)),11),IF(0.3*S86-VLOOKUP(B74,INDIRECT($F$8),6+(O86-1)*3)&lt;=5,0.3*S86-VLOOKUP(B74,INDIRECT($F$8),6+(O86-1)*3),11)),IF(VLOOKUP(B74,INDIRECT($F$8),8+(O86-1)*3)&lt;U86*0.4,IF(U86*0.4-VLOOKUP(B74,INDIRECT($F$8),8+(O86-1)*3)&lt;=5,U86*0.4-VLOOKUP(B74,INDIRECT($F$8),8+(O86-1)*3),11),0))))</f>
        <v>0</v>
      </c>
      <c r="X86" s="1" t="str">
        <f ca="1">IF(ISERROR(F74),"",IF(W86=0,"",_xlfn.TEXTJOIN("",FALSE," G+",W86," in ",A86)))</f>
        <v/>
      </c>
    </row>
    <row r="87" spans="1:24" ht="11.5" customHeight="1" x14ac:dyDescent="0.2">
      <c r="A87" s="7" t="str">
        <f ca="1">IF(ISERROR(F74),"",VLOOKUP(C74,INDIRECT($F$8),6+(O87-1)*3,0))</f>
        <v>MEP 003</v>
      </c>
      <c r="B87" s="24" t="str">
        <f ca="1">IF(ISERROR(F74),"",VLOOKUP(D74,INDIRECT($F$8),6+(O87-1)*3-Z87,0))</f>
        <v>Workshop Practices Lab</v>
      </c>
      <c r="C87" s="24"/>
      <c r="D87" s="24"/>
      <c r="E87" s="24"/>
      <c r="F87" s="7">
        <f ca="1">IF(ISERROR(F74),"",VLOOKUP(E74,INDIRECT($F$8),6+(O87-1)*3,0))</f>
        <v>2</v>
      </c>
      <c r="G87" s="25" t="str">
        <f ca="1">IF(ISERROR(F74),"",_xlfn.TEXTJOIN("/",FALSE,P87,S87))</f>
        <v>44/50</v>
      </c>
      <c r="H87" s="25"/>
      <c r="I87" s="25" t="str">
        <f ca="1">IF(ISERROR(F74),"",_xlfn.TEXTJOIN("/",FALSE,Q87,T87))</f>
        <v>40/50</v>
      </c>
      <c r="J87" s="25"/>
      <c r="K87" s="25" t="str">
        <f ca="1">IF(ISERROR(F74),"",_xlfn.TEXTJOIN("/",FALSE,R87,U87))</f>
        <v>84/100</v>
      </c>
      <c r="L87" s="25"/>
      <c r="M87" s="7" t="str">
        <f ca="1">IF(ISERROR(F74),"",IF(ISTEXT(P87),IF(P87="A","Ab",IF(P87="D","Dt",IF(P87="UFM","UFM",IF(P87="NA","")))),IF(AND(ISBLANK(P87),ISBLANK(R87)),"",IF(P87&lt;0.3*S87,"F",IF(ISBLANK(R87),"",IF(ISTEXT(R87),R87,IF(R87&gt;=0.95*U87,"O",IF(R87&gt;=0.9*U87,"A+",IF(R87&gt;=0.85*U87,"A",IF(R87&gt;=0.8*U87,"B+",IF(R87&gt;=0.75*U87,"B",IF(R87&gt;=0.7*U87,"C+",IF(R87&gt;=0.65*U87,"C",IF(R87&gt;=0.6*U87,"D+",IF(R87&gt;=0.55*U87,"D",IF(R87&gt;=0.5*U87,"E+",IF(R87&gt;=0.45*U87,"E",IF(R87&gt;=0.4*U87,"P",IF(R87&lt;0.4*U87,"F",R87)))))))))))))))))))</f>
        <v>B+</v>
      </c>
      <c r="N87" s="8">
        <f t="shared" ca="1" si="7"/>
        <v>8.5</v>
      </c>
      <c r="O87">
        <f t="shared" ca="1" si="8"/>
        <v>10</v>
      </c>
      <c r="P87" s="1">
        <f ca="1">IF(ISERROR(F74),"",IF(ISTEXT(VLOOKUP(B74,INDIRECT($F$8),6+(O87-1)*3)),(VLOOKUP(B74,INDIRECT($F$8),6+(O87-1)*3)),SUM(VLOOKUP(B74,INDIRECT($F$8),6+(O87-1)*3),IF(W92,W87,0))))</f>
        <v>44</v>
      </c>
      <c r="Q87" s="1">
        <f ca="1">IF(ISERROR(F74),"",VLOOKUP(B74,INDIRECT($F$8),7+(O87-1)*3))</f>
        <v>40</v>
      </c>
      <c r="R87" s="1">
        <f ca="1">IF(ISERROR(F74),"",SUM(P87:Q87))</f>
        <v>84</v>
      </c>
      <c r="S87" s="1">
        <f ca="1">IF(ISERROR(F74),"",VLOOKUP(A74,INDIRECT($F$8),6+(O87-1)*3))</f>
        <v>50</v>
      </c>
      <c r="T87" s="1">
        <f ca="1">IF(ISERROR(F74),"",VLOOKUP(A74,INDIRECT($F$8),7+(O87-1)*3))</f>
        <v>50</v>
      </c>
      <c r="U87" s="1">
        <f ca="1">IF(ISERROR(F74),"",VLOOKUP(A74,INDIRECT($F$8),8+(O87-1)*3))</f>
        <v>100</v>
      </c>
      <c r="V87" s="1" t="str">
        <f ca="1">IF(ISERROR(F74),"",IF(N87=0,A87,""))</f>
        <v/>
      </c>
      <c r="W87" s="1">
        <f ca="1">IF(ISERROR(F74),"",IF(ISTEXT(VLOOKUP(B74,INDIRECT($F$8),6+(O87-1)*3)),11,IF(VLOOKUP(B74,INDIRECT($F$8),6+(O87-1)*3)&lt;S87*0.3,IF(VLOOKUP(B74,INDIRECT($F$8),8+(O87-1)*3)&lt;U87*0.4,IF(AND(0.4*U87-VLOOKUP(B74,INDIRECT($F$8),8+(O87-1)*3)&lt;=5,0.3*S87-VLOOKUP(B74,INDIRECT($F$8),6+(O87-1)*3)&lt;=5),MAX(0.4*U87-VLOOKUP(B74,INDIRECT($F$8),8+(O87-1)*3),0.3*S87-VLOOKUP(B74,INDIRECT($F$8),6+(O87-1)*3)),11),IF(0.3*S87-VLOOKUP(B74,INDIRECT($F$8),6+(O87-1)*3)&lt;=5,0.3*S87-VLOOKUP(B74,INDIRECT($F$8),6+(O87-1)*3),11)),IF(VLOOKUP(B74,INDIRECT($F$8),8+(O87-1)*3)&lt;U87*0.4,IF(U87*0.4-VLOOKUP(B74,INDIRECT($F$8),8+(O87-1)*3)&lt;=5,U87*0.4-VLOOKUP(B74,INDIRECT($F$8),8+(O87-1)*3),11),0))))</f>
        <v>0</v>
      </c>
      <c r="X87" s="1" t="str">
        <f ca="1">IF(ISERROR(F74),"",IF(W87=0,"",_xlfn.TEXTJOIN("",FALSE," G+",W87," in ",A87)))</f>
        <v/>
      </c>
    </row>
    <row r="88" spans="1:24" ht="11.5" customHeight="1" x14ac:dyDescent="0.2">
      <c r="A88" s="7" t="str">
        <f ca="1">IF(ISERROR(F74),"",VLOOKUP(C74,INDIRECT($F$8),6+(O88-1)*3,0))</f>
        <v>AHP 004</v>
      </c>
      <c r="B88" s="24" t="str">
        <f ca="1">IF(ISERROR(F74),"",VLOOKUP(D74,INDIRECT($F$8),6+(O88-1)*3-Z88,0))</f>
        <v>Emerging Technologies in Engineering Lab</v>
      </c>
      <c r="C88" s="24"/>
      <c r="D88" s="24"/>
      <c r="E88" s="24"/>
      <c r="F88" s="7">
        <f ca="1">IF(ISERROR(F74),"",VLOOKUP(E74,INDIRECT($F$8),6+(O88-1)*3,0))</f>
        <v>1</v>
      </c>
      <c r="G88" s="25" t="str">
        <f ca="1">IF(ISERROR(F74),"",_xlfn.TEXTJOIN("/",FALSE,P88,S88))</f>
        <v>21/25</v>
      </c>
      <c r="H88" s="25"/>
      <c r="I88" s="25" t="str">
        <f ca="1">IF(ISERROR(F74),"",_xlfn.TEXTJOIN("/",FALSE,Q88,T88))</f>
        <v>21/25</v>
      </c>
      <c r="J88" s="25"/>
      <c r="K88" s="25" t="str">
        <f ca="1">IF(ISERROR(F74),"",_xlfn.TEXTJOIN("/",FALSE,R88,U88))</f>
        <v>42/50</v>
      </c>
      <c r="L88" s="25"/>
      <c r="M88" s="7" t="str">
        <f ca="1">IF(ISERROR(F74),"",IF(ISTEXT(P88),IF(P88="A","Ab",IF(P88="D","Dt",IF(P88="UFM","UFM",IF(P88="NA","")))),IF(AND(ISBLANK(P88),ISBLANK(R88)),"",IF(P88&lt;0.3*S88,"F",IF(ISBLANK(R88),"",IF(ISTEXT(R88),R88,IF(R88&gt;=0.95*U88,"O",IF(R88&gt;=0.9*U88,"A+",IF(R88&gt;=0.85*U88,"A",IF(R88&gt;=0.8*U88,"B+",IF(R88&gt;=0.75*U88,"B",IF(R88&gt;=0.7*U88,"C+",IF(R88&gt;=0.65*U88,"C",IF(R88&gt;=0.6*U88,"D+",IF(R88&gt;=0.55*U88,"D",IF(R88&gt;=0.5*U88,"E+",IF(R88&gt;=0.45*U88,"E",IF(R88&gt;=0.4*U88,"P",IF(R88&lt;0.4*U88,"F",R88)))))))))))))))))))</f>
        <v>B+</v>
      </c>
      <c r="N88" s="8">
        <f t="shared" ca="1" si="7"/>
        <v>8.5</v>
      </c>
      <c r="O88">
        <f t="shared" ca="1" si="8"/>
        <v>11</v>
      </c>
      <c r="P88" s="1">
        <f ca="1">IF(ISERROR(F74),"",IF(ISTEXT(VLOOKUP(B74,INDIRECT($F$8),6+(O88-1)*3)),(VLOOKUP(B74,INDIRECT($F$8),6+(O88-1)*3)),SUM(VLOOKUP(B74,INDIRECT($F$8),6+(O88-1)*3),IF(W92,W88,0))))</f>
        <v>21</v>
      </c>
      <c r="Q88" s="1">
        <f ca="1">IF(ISERROR(F74),"",VLOOKUP(B74,INDIRECT($F$8),7+(O88-1)*3))</f>
        <v>21</v>
      </c>
      <c r="R88" s="1">
        <f ca="1">IF(ISERROR(F74),"",SUM(P88:Q88))</f>
        <v>42</v>
      </c>
      <c r="S88" s="1">
        <f ca="1">IF(ISERROR(F74),"",VLOOKUP(A74,INDIRECT($F$8),6+(O88-1)*3))</f>
        <v>25</v>
      </c>
      <c r="T88" s="1">
        <f ca="1">IF(ISERROR(F74),"",VLOOKUP(A74,INDIRECT($F$8),7+(O88-1)*3))</f>
        <v>25</v>
      </c>
      <c r="U88" s="1">
        <f ca="1">IF(ISERROR(F74),"",VLOOKUP(A74,INDIRECT($F$8),8+(O88-1)*3))</f>
        <v>50</v>
      </c>
      <c r="V88" s="1" t="str">
        <f ca="1">IF(ISERROR(F74),"",IF(N88=0,A88,""))</f>
        <v/>
      </c>
      <c r="W88" s="1">
        <f ca="1">IF(ISERROR(F74),"",IF(ISTEXT(VLOOKUP(B74,INDIRECT($F$8),6+(O88-1)*3)),11,IF(VLOOKUP(B74,INDIRECT($F$8),6+(O88-1)*3)&lt;S88*0.3,IF(VLOOKUP(B74,INDIRECT($F$8),8+(O88-1)*3)&lt;U88*0.4,IF(AND(0.4*U88-VLOOKUP(B74,INDIRECT($F$8),8+(O88-1)*3)&lt;=5,0.3*S88-VLOOKUP(B74,INDIRECT($F$8),6+(O88-1)*3)&lt;=5),MAX(0.4*U88-VLOOKUP(B74,INDIRECT($F$8),8+(O88-1)*3),0.3*S88-VLOOKUP(B74,INDIRECT($F$8),6+(O88-1)*3)),11),IF(0.3*S88-VLOOKUP(B74,INDIRECT($F$8),6+(O88-1)*3)&lt;=5,0.3*S88-VLOOKUP(B74,INDIRECT($F$8),6+(O88-1)*3),11)),IF(VLOOKUP(B74,INDIRECT($F$8),8+(O88-1)*3)&lt;U88*0.4,IF(U88*0.4-VLOOKUP(B74,INDIRECT($F$8),8+(O88-1)*3)&lt;=5,U88*0.4-VLOOKUP(B74,INDIRECT($F$8),8+(O88-1)*3),11),0))))</f>
        <v>0</v>
      </c>
      <c r="X88" s="1" t="str">
        <f ca="1">IF(ISERROR(F74),"",IF(W88=0,"",_xlfn.TEXTJOIN("",FALSE," G+",W88," in ",A88)))</f>
        <v/>
      </c>
    </row>
    <row r="89" spans="1:24" ht="11.5" customHeight="1" x14ac:dyDescent="0.2">
      <c r="A89" s="7" t="str">
        <f ca="1">IF(ISERROR(F74),"",VLOOKUP(C74,INDIRECT($F$8),6+(O89-1)*3,0))</f>
        <v>CSP 002</v>
      </c>
      <c r="B89" s="24" t="str">
        <f ca="1">IF(ISERROR(F74),"",VLOOKUP(D74,INDIRECT($F$8),6+(O89-1)*3,0))</f>
        <v>Computer Applications and IOT</v>
      </c>
      <c r="C89" s="24"/>
      <c r="D89" s="24"/>
      <c r="E89" s="24"/>
      <c r="F89" s="7">
        <f ca="1">IF(ISERROR(F74),"",VLOOKUP(E74,INDIRECT($F$8),6+(O89-1)*3,0))</f>
        <v>1</v>
      </c>
      <c r="G89" s="25" t="str">
        <f ca="1">IF(ISERROR(F74),"",_xlfn.TEXTJOIN("/",FALSE,P89,S89))</f>
        <v>24/25</v>
      </c>
      <c r="H89" s="25"/>
      <c r="I89" s="25" t="str">
        <f ca="1">IF(ISERROR(F74),"",_xlfn.TEXTJOIN("/",FALSE,Q89,T89))</f>
        <v>24/25</v>
      </c>
      <c r="J89" s="25"/>
      <c r="K89" s="25" t="str">
        <f ca="1">IF(ISERROR(F74),"",_xlfn.TEXTJOIN("/",FALSE,R89,U89))</f>
        <v>48/50</v>
      </c>
      <c r="L89" s="25"/>
      <c r="M89" s="7" t="str">
        <f ca="1">IF(ISERROR(F74),"",IF(ISTEXT(P89),IF(P89="A","Ab",IF(P89="D","Dt",IF(P89="UFM","UFM",IF(P89="NA","")))),IF(AND(ISBLANK(P89),ISBLANK(R89)),"",IF(P89&lt;0.3*S89,"F",IF(ISBLANK(R89),"",IF(ISTEXT(R89),R89,IF(R89&gt;=0.95*U89,"O",IF(R89&gt;=0.9*U89,"A+",IF(R89&gt;=0.85*U89,"A",IF(R89&gt;=0.8*U89,"B+",IF(R89&gt;=0.75*U89,"B",IF(R89&gt;=0.7*U89,"C+",IF(R89&gt;=0.65*U89,"C",IF(R89&gt;=0.6*U89,"D+",IF(R89&gt;=0.55*U89,"D",IF(R89&gt;=0.5*U89,"E+",IF(R89&gt;=0.45*U89,"E",IF(R89&gt;=0.4*U89,"P",IF(R89&lt;0.4*U89,"F",R89)))))))))))))))))))</f>
        <v>O</v>
      </c>
      <c r="N89" s="8">
        <f t="shared" ca="1" si="7"/>
        <v>10</v>
      </c>
      <c r="O89">
        <f t="shared" ca="1" si="8"/>
        <v>12</v>
      </c>
      <c r="P89" s="1">
        <f ca="1">IF(ISERROR(F74),"",IF(ISTEXT(VLOOKUP(B74,INDIRECT($F$8),6+(O89-1)*3)),(VLOOKUP(B74,INDIRECT($F$8),6+(O89-1)*3)),SUM(VLOOKUP(B74,INDIRECT($F$8),6+(O89-1)*3),IF(W92,W89,0))))</f>
        <v>24</v>
      </c>
      <c r="Q89" s="1">
        <f ca="1">IF(ISERROR(F74),"",VLOOKUP(B74,INDIRECT($F$8),7+(O89-1)*3))</f>
        <v>24</v>
      </c>
      <c r="R89" s="1">
        <f ca="1">IF(ISERROR(F74),"",SUM(P89:Q89))</f>
        <v>48</v>
      </c>
      <c r="S89" s="1">
        <f ca="1">IF(ISERROR(F74),"",VLOOKUP(A74,INDIRECT($F$8),6+(O89-1)*3))</f>
        <v>25</v>
      </c>
      <c r="T89" s="1">
        <f ca="1">IF(ISERROR(F74),"",VLOOKUP(A74,INDIRECT($F$8),7+(O89-1)*3))</f>
        <v>25</v>
      </c>
      <c r="U89" s="1">
        <f ca="1">IF(ISERROR(F74),"",VLOOKUP(A74,INDIRECT($F$8),8+(O89-1)*3))</f>
        <v>50</v>
      </c>
      <c r="V89" s="1" t="str">
        <f ca="1">IF(ISERROR(F74),"",IF(N89=0,A89,""))</f>
        <v/>
      </c>
      <c r="W89" s="1">
        <f ca="1">IF(ISERROR(F74),"",IF(ISTEXT(VLOOKUP(B74,INDIRECT($F$8),6+(O89-1)*3)),11,IF(VLOOKUP(B74,INDIRECT($F$8),6+(O89-1)*3)&lt;S89*0.3,IF(VLOOKUP(B74,INDIRECT($F$8),8+(O89-1)*3)&lt;U89*0.4,IF(AND(0.4*U89-VLOOKUP(B74,INDIRECT($F$8),8+(O89-1)*3)&lt;=5,0.3*S89-VLOOKUP(B74,INDIRECT($F$8),6+(O89-1)*3)&lt;=5),MAX(0.4*U89-VLOOKUP(B74,INDIRECT($F$8),8+(O89-1)*3),0.3*S89-VLOOKUP(B74,INDIRECT($F$8),6+(O89-1)*3)),11),IF(0.3*S89-VLOOKUP(B74,INDIRECT($F$8),6+(O89-1)*3)&lt;=5,0.3*S89-VLOOKUP(B74,INDIRECT($F$8),6+(O89-1)*3),11)),IF(VLOOKUP(B74,INDIRECT($F$8),8+(O89-1)*3)&lt;U89*0.4,IF(U89*0.4-VLOOKUP(B74,INDIRECT($F$8),8+(O89-1)*3)&lt;=5,U89*0.4-VLOOKUP(B74,INDIRECT($F$8),8+(O89-1)*3),11),0))))</f>
        <v>0</v>
      </c>
      <c r="X89" s="1" t="str">
        <f ca="1">IF(ISERROR(F74),"",IF(W89=0,"",_xlfn.TEXTJOIN("",FALSE," G+",W89," in ",A89)))</f>
        <v/>
      </c>
    </row>
    <row r="90" spans="1:24" ht="11.5" customHeight="1" x14ac:dyDescent="0.2">
      <c r="A90" s="7" t="str">
        <f ca="1">IF(ISERROR(F74),"",VLOOKUP(C74,INDIRECT($F$8),6+(O90-1)*3,0))</f>
        <v>AHP 006</v>
      </c>
      <c r="B90" s="24" t="str">
        <f ca="1">IF(ISERROR(F74),"",VLOOKUP(D74,INDIRECT($F$8),6+(O90-1)*3,0))</f>
        <v>English Language Lab ($)</v>
      </c>
      <c r="C90" s="24"/>
      <c r="D90" s="24"/>
      <c r="E90" s="24"/>
      <c r="F90" s="7">
        <f ca="1">IF(ISERROR(F74),"",VLOOKUP(E74,INDIRECT($F$8),6+(O90-1)*3,0))</f>
        <v>0</v>
      </c>
      <c r="G90" s="25" t="str">
        <f ca="1">IF(ISERROR(F74),"",_xlfn.TEXTJOIN("/",FALSE,P90,S90))</f>
        <v>16/25</v>
      </c>
      <c r="H90" s="25"/>
      <c r="I90" s="25" t="str">
        <f ca="1">IF(ISERROR(F74),"",_xlfn.TEXTJOIN("/",FALSE,Q90,T90))</f>
        <v>36/50</v>
      </c>
      <c r="J90" s="25"/>
      <c r="K90" s="25" t="str">
        <f ca="1">IF(ISERROR(F74),"",_xlfn.TEXTJOIN("/",FALSE,R90,U90))</f>
        <v>52/75</v>
      </c>
      <c r="L90" s="25"/>
      <c r="M90" s="7" t="str">
        <f ca="1">IF(ISERROR(F74),"",IF(ISTEXT(P90),IF(P90="A","Ab",IF(P90="D","Dt",IF(P90="UFM","UFM",IF(P90="NA","")))),IF(AND(ISBLANK(P90),ISBLANK(R90)),"",IF(P90&lt;0.3*S90,"F",IF(ISBLANK(R90),"",IF(ISTEXT(R90),R90,IF(R90&gt;=0.95*U90,"O",IF(R90&gt;=0.9*U90,"A+",IF(R90&gt;=0.85*U90,"A",IF(R90&gt;=0.8*U90,"B+",IF(R90&gt;=0.75*U90,"B",IF(R90&gt;=0.7*U90,"C+",IF(R90&gt;=0.65*U90,"C",IF(R90&gt;=0.6*U90,"D+",IF(R90&gt;=0.55*U90,"D",IF(R90&gt;=0.5*U90,"E+",IF(R90&gt;=0.45*U90,"E",IF(R90&gt;=0.4*U90,"P",IF(R90&lt;0.4*U90,"F",R90)))))))))))))))))))</f>
        <v>C</v>
      </c>
      <c r="N90" s="8">
        <f ca="1">INDEX($Z$2:$Z$17,MATCH(M90,$Y$2:$Y$17,0))</f>
        <v>7</v>
      </c>
      <c r="O90">
        <f t="shared" ca="1" si="8"/>
        <v>13</v>
      </c>
      <c r="P90" s="1">
        <f ca="1">IF(ISERROR(F74),"",IF(ISTEXT(VLOOKUP(B74,INDIRECT($F$8),6+(O90-1)*3)),(VLOOKUP(B74,INDIRECT($F$8),6+(O90-1)*3)),SUM(VLOOKUP(B74,INDIRECT($F$8),6+(O90-1)*3),IF(W92,W90,0))))</f>
        <v>16</v>
      </c>
      <c r="Q90" s="1">
        <f ca="1">IF(ISERROR(F74),"",VLOOKUP(B74,INDIRECT($F$8),7+(O90-1)*3))</f>
        <v>36</v>
      </c>
      <c r="R90" s="1">
        <f ca="1">IF(ISERROR(F74),"",SUM(P90:Q90))</f>
        <v>52</v>
      </c>
      <c r="S90" s="1">
        <f ca="1">IF(ISERROR(F74),"",VLOOKUP(A74,INDIRECT($F$8),6+(O90-1)*3))</f>
        <v>25</v>
      </c>
      <c r="T90" s="1">
        <f ca="1">IF(ISERROR(F74),"",VLOOKUP(A74,INDIRECT($F$8),7+(O90-1)*3))</f>
        <v>50</v>
      </c>
      <c r="U90" s="1">
        <f ca="1">IF(ISERROR(F74),"",VLOOKUP(A74,INDIRECT($F$8),8+(O90-1)*3))</f>
        <v>75</v>
      </c>
      <c r="V90" s="1"/>
      <c r="W90" s="1">
        <f ca="1">IF(ISERROR(F74),"",IF(ISTEXT(VLOOKUP(B74,INDIRECT($F$8),6+(O90-1)*3)),11,IF(VLOOKUP(B74,INDIRECT($F$8),6+(O90-1)*3)&lt;S90*0.3,IF(VLOOKUP(B74,INDIRECT($F$8),8+(O90-1)*3)&lt;U90*0.4,IF(AND(0.4*U90-VLOOKUP(B74,INDIRECT($F$8),8+(O90-1)*3)&lt;=5,0.3*S90-VLOOKUP(B74,INDIRECT($F$8),6+(O90-1)*3)&lt;=5),MAX(0.4*U90-VLOOKUP(B74,INDIRECT($F$8),8+(O90-1)*3),0.3*S90-VLOOKUP(B74,INDIRECT($F$8),6+(O90-1)*3)),11),IF(0.3*S90-VLOOKUP(B74,INDIRECT($F$8),6+(O90-1)*3)&lt;=5,0.3*S90-VLOOKUP(B74,INDIRECT($F$8),6+(O90-1)*3),11)),IF(VLOOKUP(B74,INDIRECT($F$8),8+(O90-1)*3)&lt;U90*0.4,IF(U90*0.4-VLOOKUP(B74,INDIRECT($F$8),8+(O90-1)*3)&lt;=5,U90*0.4-VLOOKUP(B74,INDIRECT($F$8),8+(O90-1)*3),11),0))))</f>
        <v>0</v>
      </c>
      <c r="X90" s="1" t="str">
        <f ca="1">IF(ISERROR(F74),"",IF(W90=0,"",_xlfn.TEXTJOIN("",FALSE," G+",W90," in ",A90)))</f>
        <v/>
      </c>
    </row>
    <row r="91" spans="1:24" ht="11.5" customHeight="1" x14ac:dyDescent="0.2">
      <c r="A91" s="7" t="str">
        <f ca="1">IF(ISERROR(F74),"",VLOOKUP(C74,INDIRECT($F$8),6+(O91-1)*3-Y91,0))</f>
        <v>GP 01</v>
      </c>
      <c r="B91" s="24" t="str">
        <f ca="1">IF(ISERROR(F74),"",VLOOKUP(D74,INDIRECT($F$8),6+(O91-1)*3-Z91,0))</f>
        <v>General Proficiency ($)</v>
      </c>
      <c r="C91" s="24"/>
      <c r="D91" s="24"/>
      <c r="E91" s="24"/>
      <c r="F91" s="7">
        <f ca="1">IF(ISERROR(F74),"",VLOOKUP(E74,INDIRECT($F$8),6+(O91-1)*3-AA91,0))</f>
        <v>0</v>
      </c>
      <c r="G91" s="25" t="str">
        <f ca="1">IF(ISERROR(F74),"","-")</f>
        <v>-</v>
      </c>
      <c r="H91" s="25"/>
      <c r="I91" s="25" t="str">
        <f ca="1">IF(ISERROR(F74),"",_xlfn.TEXTJOIN("/",FALSE,Q91,T91))</f>
        <v>47/50</v>
      </c>
      <c r="J91" s="25"/>
      <c r="K91" s="25" t="str">
        <f ca="1">IF(ISERROR(F74),"",_xlfn.TEXTJOIN("/",FALSE,R91,U91))</f>
        <v>47/50</v>
      </c>
      <c r="L91" s="25"/>
      <c r="M91" s="25" t="str">
        <f ca="1">IF(ISBLANK(R91),"",IF(ISTEXT(R91),R91,IF(R91&gt;=0.8*U91,"Excellent",IF(R91&gt;=0.6*U91,"Very Good",IF(R91&gt;=0.4*U91,"Good",IF(R91&gt;=0.2*U91,"Satisfactory","Average"))))))</f>
        <v>Excellent</v>
      </c>
      <c r="N91" s="25"/>
      <c r="O91">
        <f t="shared" ca="1" si="8"/>
        <v>14</v>
      </c>
      <c r="P91" s="1">
        <f ca="1">IF(ISERROR(F74),"",IF(ISTEXT(VLOOKUP(B\28,INDIRECT($F$8),6+(O91-1)*3)),(VLOOKUP(B74,INDIRECT($F$8),6+(O91-1)*3)),SUM(VLOOKUP(B74,INDIRECT($F$8),6+(O91-1)*3),IF(W92,W92,0))))</f>
        <v>0</v>
      </c>
      <c r="Q91" s="1">
        <f ca="1">IF(ISERROR(F74),"",VLOOKUP(B74,INDIRECT($F$8),7+(O91-1)*3))</f>
        <v>47</v>
      </c>
      <c r="R91" s="1">
        <f ca="1">IF(ISERROR(F74),"",SUM(P91:Q91))</f>
        <v>47</v>
      </c>
      <c r="S91" s="1">
        <f ca="1">IF(ISERROR(F74),"",VLOOKUP(A74,INDIRECT($F$8),6+(O91-1)*3))</f>
        <v>0</v>
      </c>
      <c r="T91" s="1">
        <f ca="1">IF(ISERROR(F74),"",VLOOKUP(A74,INDIRECT($F$8),7+(O91-1)*3))</f>
        <v>50</v>
      </c>
      <c r="U91" s="1">
        <f ca="1">IF(ISERROR(F74),"",VLOOKUP(A74,INDIRECT($F$8),8+(O91-1)*3))</f>
        <v>50</v>
      </c>
      <c r="V91" s="1"/>
      <c r="W91" s="1"/>
      <c r="X91" s="1" t="str">
        <f ca="1">IF(ISERROR(F74),"",IF(W91=0,"",_xlfn.TEXTJOIN("",FALSE," G+",W91," in ",A91)))</f>
        <v/>
      </c>
    </row>
    <row r="92" spans="1:24" ht="11.5" customHeight="1" x14ac:dyDescent="0.2">
      <c r="A92" s="26" t="str">
        <f ca="1">IF(ISERROR(F74),"",A70)</f>
        <v>Total Credits/ Marks/ Total Grade Points</v>
      </c>
      <c r="B92" s="26"/>
      <c r="C92" s="26"/>
      <c r="D92" s="26"/>
      <c r="E92" s="26"/>
      <c r="F92" s="10">
        <f ca="1">IF(ISERROR(F74),"",SUM(F79:F90))</f>
        <v>23</v>
      </c>
      <c r="G92" s="27" t="str">
        <f ca="1">IF(ISERROR(F74),"",_xlfn.TEXTJOIN("/",TRUE,SUMIF(F79:F91,"&gt;0",P79:P91),SUMIF(F79:F91,"&gt;0",S79:S91)))</f>
        <v>316/575</v>
      </c>
      <c r="H92" s="27"/>
      <c r="I92" s="27" t="str">
        <f ca="1">IF(ISERROR(F74),"",_xlfn.TEXTJOIN("/",TRUE,SUMIF(F79:F91,"&gt;0",Q79:Q91),SUMIF(F79:F91,"&gt;0",T79:T91)))</f>
        <v>275/375</v>
      </c>
      <c r="J92" s="27"/>
      <c r="K92" s="27" t="str">
        <f ca="1">IF(ISERROR(F74),"",_xlfn.TEXTJOIN("/",TRUE,SUMIF(F79:F91,"&gt;0",R79:R91),SUMIF(F79:F91,"&gt;0",U79:U91)))</f>
        <v>591/950</v>
      </c>
      <c r="L92" s="27"/>
      <c r="M92" s="26">
        <f ca="1">IF(ISERROR(F74),"",SUMPRODUCT(N79:N90,F79:F90))</f>
        <v>132</v>
      </c>
      <c r="N92" s="26"/>
      <c r="V92" s="1" t="str">
        <f ca="1">_xlfn.TEXTJOIN(", ",TRUE,V79:V91)</f>
        <v>AHT 003</v>
      </c>
      <c r="W92" t="b">
        <f ca="1">IF(SUM(W79:W91)&lt;=W78,TRUE,FALSE)</f>
        <v>0</v>
      </c>
      <c r="X92" s="1" t="str">
        <f ca="1">IF(ISERROR(F74),"",_xlfn.TEXTJOIN(",",TRUE,X79:X91))</f>
        <v xml:space="preserve"> G+11 in AHT 003</v>
      </c>
    </row>
    <row r="93" spans="1:24" ht="11.5" customHeight="1" x14ac:dyDescent="0.2">
      <c r="A93" s="26" t="str">
        <f ca="1">IF(ISERROR(F74),"",A71)</f>
        <v>Result:</v>
      </c>
      <c r="B93" s="28" t="str" cm="1">
        <f t="array" aca="1" ref="B93" ca="1">IF(SUM(COUNTIF(M79:M90,{"Ab","Dt"}))=12, "Not Promoted to IInd Semester", IF(V92="", "PASS", "CARRY OVER"))</f>
        <v>CARRY OVER</v>
      </c>
      <c r="C93" s="28"/>
      <c r="D93" s="26" t="str">
        <f ca="1">IF(ISERROR(F74),"",D71)</f>
        <v>Remark:</v>
      </c>
      <c r="E93" s="28" t="str">
        <f ca="1">IF(ISERROR(F74),"",IF(V92="",IF(X92="","",X92),_xlfn.TEXTJOIN(" ",TRUE,"BACK IN",V92)))</f>
        <v>BACK IN AHT 003</v>
      </c>
      <c r="F93" s="28"/>
      <c r="G93" s="26" t="str">
        <f ca="1">IF(ISERROR(F74),"",G71)</f>
        <v>SGPA:</v>
      </c>
      <c r="H93" s="29">
        <f ca="1">IF(ISERROR(F74),"",M92/F92)</f>
        <v>5.7391304347826084</v>
      </c>
      <c r="I93" s="26" t="str">
        <f ca="1">IF(ISERROR(F74),"",I71)</f>
        <v>CGPA:</v>
      </c>
      <c r="J93" s="29">
        <f ca="1">IF(ISERROR(F74),"",VLOOKUP(B74,INDIRECT($F$8),12+(O91-1)*3,0))</f>
        <v>5.7391304347826084</v>
      </c>
      <c r="K93" s="28" t="str">
        <f ca="1">IF(ISERROR(F74),"",K71)</f>
        <v>Earned Credits:</v>
      </c>
      <c r="L93" s="26">
        <f ca="1">IF(ISERROR(F74),"",SUMIF(N79:N90,"&gt;0",F79:F90))</f>
        <v>19</v>
      </c>
      <c r="M93" s="28" t="str">
        <f ca="1">IF(ISERROR(F74),"",M71)</f>
        <v>Cuml. Earned Credits:</v>
      </c>
      <c r="N93" s="26">
        <f ca="1">IF(ISERROR(F74),"",VLOOKUP(B74,INDIRECT($F$8),10+(O91-1)*3,0))</f>
        <v>19</v>
      </c>
    </row>
    <row r="94" spans="1:24" ht="11.5" customHeight="1" x14ac:dyDescent="0.2">
      <c r="A94" s="26"/>
      <c r="B94" s="28"/>
      <c r="C94" s="28"/>
      <c r="D94" s="26"/>
      <c r="E94" s="28"/>
      <c r="F94" s="28"/>
      <c r="G94" s="26"/>
      <c r="H94" s="29"/>
      <c r="I94" s="26"/>
      <c r="J94" s="29"/>
      <c r="K94" s="28"/>
      <c r="L94" s="26"/>
      <c r="M94" s="28"/>
      <c r="N94" s="26"/>
    </row>
    <row r="95" spans="1:24" ht="20" customHeight="1" x14ac:dyDescent="0.2">
      <c r="A95" s="26"/>
      <c r="B95" s="28"/>
      <c r="C95" s="28"/>
      <c r="D95" s="26"/>
      <c r="E95" s="28"/>
      <c r="F95" s="28"/>
      <c r="G95" s="26"/>
      <c r="H95" s="29"/>
      <c r="I95" s="26"/>
      <c r="J95" s="29"/>
      <c r="K95" s="28"/>
      <c r="L95" s="26"/>
      <c r="M95" s="28"/>
      <c r="N95" s="26"/>
    </row>
    <row r="96" spans="1:24" ht="11.5" customHeight="1" x14ac:dyDescent="0.2">
      <c r="A96" s="11" t="str">
        <f>A74</f>
        <v>MM</v>
      </c>
      <c r="B96" s="11">
        <f>B74+1</f>
        <v>5</v>
      </c>
      <c r="C96" s="11" t="str">
        <f>C74</f>
        <v>SC</v>
      </c>
      <c r="D96" s="11" t="str">
        <f>D74</f>
        <v>SN</v>
      </c>
      <c r="E96" s="11" t="str">
        <f>E74</f>
        <v>C</v>
      </c>
      <c r="F96" s="11" t="str">
        <f ca="1">VLOOKUP(B96,INDIRECT($F$8),4,0)</f>
        <v>ANUBHAV KESTWAL</v>
      </c>
    </row>
    <row r="97" spans="1:24" ht="11.5" customHeight="1" x14ac:dyDescent="0.2">
      <c r="A97" s="30" t="str">
        <f ca="1">IF(ISERROR(F96),"",A75)</f>
        <v>Name:</v>
      </c>
      <c r="B97" s="30" t="str">
        <f ca="1">IFERROR(VLOOKUP(B96,INDIRECT($F$8),4,0),"")</f>
        <v>ANUBHAV KESTWAL</v>
      </c>
      <c r="C97" s="30"/>
      <c r="D97" s="30" t="str">
        <f ca="1">IF(ISERROR(F96),"",D75)</f>
        <v>Father's Name:</v>
      </c>
      <c r="E97" s="30" t="str">
        <f ca="1">IFERROR(VLOOKUP(B96,INDIRECT($F$8),5,0),"")</f>
        <v>SANJAY KESTWAL</v>
      </c>
      <c r="F97" s="30"/>
      <c r="G97" s="30" t="str">
        <f ca="1">IF(ISERROR(F96),"",G75)</f>
        <v>University Roll No:</v>
      </c>
      <c r="H97" s="30"/>
      <c r="I97" s="31">
        <f ca="1">IFERROR(VLOOKUP(B96,INDIRECT($F$8),2,0),"")</f>
        <v>250090120005</v>
      </c>
      <c r="J97" s="31"/>
      <c r="K97" s="30" t="str">
        <f ca="1">IF(ISERROR(F96),"",K75)</f>
        <v>University Enrol. No:</v>
      </c>
      <c r="L97" s="30"/>
      <c r="M97" s="31" t="str">
        <f ca="1">IFERROR(VLOOKUP(B96,INDIRECT($F$8),3,0),"")</f>
        <v>UTU/2501104203</v>
      </c>
      <c r="N97" s="31"/>
    </row>
    <row r="98" spans="1:24" ht="15" x14ac:dyDescent="0.2">
      <c r="A98" s="30"/>
      <c r="B98" s="30"/>
      <c r="C98" s="30"/>
      <c r="D98" s="30"/>
      <c r="E98" s="30"/>
      <c r="F98" s="30"/>
      <c r="G98" s="30"/>
      <c r="H98" s="30"/>
      <c r="I98" s="31"/>
      <c r="J98" s="31"/>
      <c r="K98" s="30"/>
      <c r="L98" s="30"/>
      <c r="M98" s="31"/>
      <c r="N98" s="31"/>
    </row>
    <row r="99" spans="1:24" ht="11.5" customHeight="1" x14ac:dyDescent="0.2">
      <c r="A99" s="28" t="str">
        <f ca="1">IF(ISERROR(F96),"",A77)</f>
        <v>Subject Code</v>
      </c>
      <c r="B99" s="28" t="str">
        <f ca="1">IF(ISERROR(F96),"",B77)</f>
        <v>Subject Name</v>
      </c>
      <c r="C99" s="28"/>
      <c r="D99" s="28"/>
      <c r="E99" s="28"/>
      <c r="F99" s="28" t="str">
        <f ca="1">IF(ISERROR(F96),"",F77)</f>
        <v>Credits</v>
      </c>
      <c r="G99" s="28" t="str">
        <f ca="1">IF(ISERROR(F96),"",G77)</f>
        <v>External Marks</v>
      </c>
      <c r="H99" s="28"/>
      <c r="I99" s="28" t="str">
        <f ca="1">IF(ISERROR(F96),"",I77)</f>
        <v>Sessional Marks</v>
      </c>
      <c r="J99" s="28"/>
      <c r="K99" s="28" t="str">
        <f ca="1">IF(ISERROR(F96),"",K77)</f>
        <v>Total Marks</v>
      </c>
      <c r="L99" s="28"/>
      <c r="M99" s="28" t="str">
        <f ca="1">IF(ISERROR(F96),"",M77)</f>
        <v>Grade</v>
      </c>
      <c r="N99" s="28" t="str">
        <f ca="1">IF(ISERROR(F96),"",N77)</f>
        <v>Grade Points</v>
      </c>
    </row>
    <row r="100" spans="1:24" ht="11.5" customHeight="1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W100">
        <f ca="1">IF(ISNUMBER(MATCH($F$8,{"I","III","V","VII"},0)),10,10-INDEX(INDIRECT(_xlfn.TEXTJOIN("",TRUE,"SEM_",$G$8,"!",ADDRESS(6,4+$I$8*3+4),":",ADDRESS(5+$H$8,4+$I$8*3+4))),MATCH(INDIRECT(_xlfn.TEXTJOIN("",TRUE,"TC_",$F$8,"!",ADDRESS(ROW(I97),COLUMN(I97)))),INDIRECT(_xlfn.TEXTJOIN("",TRUE,"SEM_",$G$8,"!",ADDRESS(6,2),":",ADDRESS(5+$H$8,2))))))</f>
        <v>10</v>
      </c>
    </row>
    <row r="101" spans="1:24" ht="11.5" customHeight="1" x14ac:dyDescent="0.2">
      <c r="A101" s="7" t="str">
        <f ca="1">IF(ISERROR(F96),"",VLOOKUP(C96,INDIRECT($F$8),6+(O101-1)*3,0))</f>
        <v>AHT 002</v>
      </c>
      <c r="B101" s="24" t="str">
        <f ca="1">IF(ISERROR(F96),"",VLOOKUP(D96,INDIRECT($F$8),6+(O101-1)*3,0))</f>
        <v>Engineering Chemistry</v>
      </c>
      <c r="C101" s="24"/>
      <c r="D101" s="24"/>
      <c r="E101" s="24"/>
      <c r="F101" s="7">
        <f ca="1">IF(ISERROR(F96),"",VLOOKUP(E96,INDIRECT($F$8),6+(O101-1)*3,0))</f>
        <v>4</v>
      </c>
      <c r="G101" s="25" t="str">
        <f ca="1">IF(ISERROR(F96),"",_xlfn.TEXTJOIN("/",FALSE,P101,S101))</f>
        <v>58/100</v>
      </c>
      <c r="H101" s="25"/>
      <c r="I101" s="25" t="str">
        <f ca="1">IF(ISERROR(F96),"",_xlfn.TEXTJOIN("/",FALSE,Q101,T101))</f>
        <v>34/50</v>
      </c>
      <c r="J101" s="25"/>
      <c r="K101" s="25" t="str">
        <f ca="1">IF(ISERROR(F96),"",_xlfn.TEXTJOIN("/",FALSE,R101,U101))</f>
        <v>92/150</v>
      </c>
      <c r="L101" s="25"/>
      <c r="M101" s="7" t="str">
        <f ca="1">IF(ISERROR(F96)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D+</v>
      </c>
      <c r="N101" s="8">
        <f ca="1">INDEX($Z$2:$Z$17,MATCH(M101,$Y$2:$Y$17,0))</f>
        <v>6.5</v>
      </c>
      <c r="O101">
        <v>1</v>
      </c>
      <c r="P101" s="1">
        <f ca="1">IF(ISERROR(F96),"",IF(ISTEXT(VLOOKUP(B96,INDIRECT($F$8),6+(O101-1)*3)),(VLOOKUP(B96,INDIRECT($F$8),6+(O101-1)*3)),SUM(VLOOKUP(B96,INDIRECT($F$8),6+(O101-1)*3),IF(W114,W101,0))))</f>
        <v>58</v>
      </c>
      <c r="Q101" s="1">
        <f ca="1">IF(ISERROR(F96),"",VLOOKUP(B96,INDIRECT($F$8),7+(O101-1)*3))</f>
        <v>34</v>
      </c>
      <c r="R101" s="1">
        <f ca="1">IF(ISERROR(F96),"",SUM(P101:Q101))</f>
        <v>92</v>
      </c>
      <c r="S101" s="1">
        <f ca="1">IF(ISERROR(F96),"",VLOOKUP(A96,INDIRECT($F$8),6+(O101-1)*3))</f>
        <v>100</v>
      </c>
      <c r="T101" s="1">
        <f ca="1">IF(ISERROR(F96),"",VLOOKUP(A96,INDIRECT($F$8),7+(O101-1)*3))</f>
        <v>50</v>
      </c>
      <c r="U101" s="1">
        <f ca="1">IF(ISERROR(F96),"",VLOOKUP(A96,INDIRECT($F$8),8+(O101-1)*3))</f>
        <v>150</v>
      </c>
      <c r="V101" s="1" t="str">
        <f ca="1">IF(ISERROR(F96),"",IF(N101=0,A101,""))</f>
        <v/>
      </c>
      <c r="W101" s="1">
        <f ca="1">IF(ISERROR(F96),"",IF(ISTEXT(VLOOKUP(B96,INDIRECT($F$8),6+(O101-1)*3)),11,IF(VLOOKUP(B96,INDIRECT($F$8),6+(O101-1)*3)&lt;S101*0.3,IF(VLOOKUP(B96,INDIRECT($F$8),8+(O101-1)*3)&lt;U101*0.4,IF(AND(0.4*U101-VLOOKUP(B96,INDIRECT($F$8),8+(O101-1)*3)&lt;=5,0.3*S101-VLOOKUP(B96,INDIRECT($F$8),6+(O101-1)*3)&lt;=5),MAX(0.4*U101-VLOOKUP(B96,INDIRECT($F$8),8+(O101-1)*3),0.3*S101-VLOOKUP(B96,INDIRECT($F$8),6+(O101-1)*3)),11),IF(0.3*S101-VLOOKUP(B96,INDIRECT($F$8),6+(O101-1)*3)&lt;=5,0.3*S101-VLOOKUP(B96,INDIRECT($F$8),6+(O101-1)*3),11)),IF(VLOOKUP(B96,INDIRECT($F$8),8+(O101-1)*3)&lt;U101*0.4,IF(U101*0.4-VLOOKUP(B96,INDIRECT($F$8),8+(O101-1)*3)&lt;=5,U101*0.4-VLOOKUP(B96,INDIRECT($F$8),8+(O101-1)*3),11),0))))</f>
        <v>0</v>
      </c>
      <c r="X101" s="1" t="str">
        <f ca="1">IF(ISERROR(F96),"",IF(W101=0,"",_xlfn.TEXTJOIN("",FALSE," G+",W101," in ",A101)))</f>
        <v/>
      </c>
    </row>
    <row r="102" spans="1:24" ht="11.5" customHeight="1" x14ac:dyDescent="0.2">
      <c r="A102" s="7" t="str">
        <f ca="1">IF(ISERROR(F96),"",VLOOKUP(C96,INDIRECT($F$8),6+(O102-1)*3,0))</f>
        <v>AHT 003</v>
      </c>
      <c r="B102" s="24" t="str">
        <f ca="1">IF(ISERROR(F96),"",VLOOKUP(D96,INDIRECT($F$8),6+(O102-1)*3,0))</f>
        <v>Introduction to Engineering Mathematics</v>
      </c>
      <c r="C102" s="24"/>
      <c r="D102" s="24"/>
      <c r="E102" s="24"/>
      <c r="F102" s="7">
        <f ca="1">IF(ISERROR(F96),"",VLOOKUP(E96,INDIRECT($F$8),6+(O102-1)*3,0))</f>
        <v>4</v>
      </c>
      <c r="G102" s="25" t="str">
        <f ca="1">IF(ISERROR(F96),"",_xlfn.TEXTJOIN("/",FALSE,P102,S102))</f>
        <v>17/100</v>
      </c>
      <c r="H102" s="25"/>
      <c r="I102" s="25" t="str">
        <f ca="1">IF(ISERROR(F96),"",_xlfn.TEXTJOIN("/",FALSE,Q102,T102))</f>
        <v>18/50</v>
      </c>
      <c r="J102" s="25"/>
      <c r="K102" s="25" t="str">
        <f ca="1">IF(ISERROR(F96),"",_xlfn.TEXTJOIN("/",FALSE,R102,U102))</f>
        <v>35/150</v>
      </c>
      <c r="L102" s="25"/>
      <c r="M102" s="7" t="str">
        <f ca="1">IF(ISERROR(F96)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F</v>
      </c>
      <c r="N102" s="8">
        <f t="shared" ref="N102:N111" ca="1" si="9">INDEX($Z$2:$Z$17,MATCH(M102,$Y$2:$Y$17,0))</f>
        <v>0</v>
      </c>
      <c r="O102">
        <f>O101+1</f>
        <v>2</v>
      </c>
      <c r="P102" s="1">
        <f ca="1">IF(ISERROR(F96),"",IF(ISTEXT(VLOOKUP(B96,INDIRECT($F$8),6+(O102-1)*3)),(VLOOKUP(B96,INDIRECT($F$8),6+(O102-1)*3)),SUM(VLOOKUP(B96,INDIRECT($F$8),6+(O102-1)*3),IF(W114,W102,0))))</f>
        <v>17</v>
      </c>
      <c r="Q102" s="1">
        <f ca="1">IF(ISERROR(F96),"",VLOOKUP(B96,INDIRECT($F$8),7+(O102-1)*3))</f>
        <v>18</v>
      </c>
      <c r="R102" s="1">
        <f ca="1">IF(ISERROR(F96),"",SUM(P102:Q102))</f>
        <v>35</v>
      </c>
      <c r="S102" s="1">
        <f ca="1">IF(ISERROR(F96),"",VLOOKUP(A96,INDIRECT($F$8),6+(O102-1)*3))</f>
        <v>100</v>
      </c>
      <c r="T102" s="1">
        <f ca="1">IF(ISERROR(F96),"",VLOOKUP(A96,INDIRECT($F$8),7+(O102-1)*3))</f>
        <v>50</v>
      </c>
      <c r="U102" s="1">
        <f ca="1">IF(ISERROR(F96),"",VLOOKUP(A96,INDIRECT($F$8),8+(O102-1)*3))</f>
        <v>150</v>
      </c>
      <c r="V102" s="1" t="str">
        <f ca="1">IF(ISERROR(F96),"",IF(N102=0,A102,""))</f>
        <v>AHT 003</v>
      </c>
      <c r="W102" s="1">
        <f ca="1">IF(ISERROR(F96),"",IF(ISTEXT(VLOOKUP(B96,INDIRECT($F$8),6+(O102-1)*3)),11,IF(VLOOKUP(B96,INDIRECT($F$8),6+(O102-1)*3)&lt;S102*0.3,IF(VLOOKUP(B96,INDIRECT($F$8),8+(O102-1)*3)&lt;U102*0.4,IF(AND(0.4*U102-VLOOKUP(B96,INDIRECT($F$8),8+(O102-1)*3)&lt;=5,0.3*S102-VLOOKUP(B96,INDIRECT($F$8),6+(O102-1)*3)&lt;=5),MAX(0.4*U102-VLOOKUP(B96,INDIRECT($F$8),8+(O102-1)*3),0.3*S102-VLOOKUP(B96,INDIRECT($F$8),6+(O102-1)*3)),11),IF(0.3*S102-VLOOKUP(B96,INDIRECT($F$8),6+(O102-1)*3)&lt;=5,0.3*S102-VLOOKUP(B96,INDIRECT($F$8),6+(O102-1)*3),11)),IF(VLOOKUP(B96,INDIRECT($F$8),8+(O102-1)*3)&lt;U102*0.4,IF(U102*0.4-VLOOKUP(B96,INDIRECT($F$8),8+(O102-1)*3)&lt;=5,U102*0.4-VLOOKUP(B96,INDIRECT($F$8),8+(O102-1)*3),11),0))))</f>
        <v>11</v>
      </c>
      <c r="X102" s="1" t="str">
        <f ca="1">IF(ISERROR(F96),"",IF(W102=0,"",_xlfn.TEXTJOIN("",FALSE," G+",W102," in ",A102)))</f>
        <v xml:space="preserve"> G+11 in AHT 003</v>
      </c>
    </row>
    <row r="103" spans="1:24" ht="11.5" customHeight="1" x14ac:dyDescent="0.2">
      <c r="A103" s="7" t="str">
        <f ca="1">IF(ISERROR(F96),"",VLOOKUP(C96,INDIRECT($F$8),6+(O103-1)*3,0))</f>
        <v>ECT 001</v>
      </c>
      <c r="B103" s="24" t="str">
        <f ca="1">IF(ISERROR(F96),"",VLOOKUP(D96,INDIRECT($F$8),6+(O103-1)*3,0))</f>
        <v>Basic Electronics Engineering</v>
      </c>
      <c r="C103" s="24"/>
      <c r="D103" s="24"/>
      <c r="E103" s="24"/>
      <c r="F103" s="7">
        <f ca="1">IF(ISERROR(F96),"",VLOOKUP(E96,INDIRECT($F$8),6+(O103-1)*3,0))</f>
        <v>4</v>
      </c>
      <c r="G103" s="25" t="str">
        <f ca="1">IF(ISERROR(F96),"",_xlfn.TEXTJOIN("/",FALSE,P103,S103))</f>
        <v>46/100</v>
      </c>
      <c r="H103" s="25"/>
      <c r="I103" s="25" t="str">
        <f ca="1">IF(ISERROR(F96),"",_xlfn.TEXTJOIN("/",FALSE,Q103,T103))</f>
        <v>32/50</v>
      </c>
      <c r="J103" s="25"/>
      <c r="K103" s="25" t="str">
        <f ca="1">IF(ISERROR(F96),"",_xlfn.TEXTJOIN("/",FALSE,R103,U103))</f>
        <v>78/150</v>
      </c>
      <c r="L103" s="25"/>
      <c r="M103" s="7" t="str">
        <f ca="1">IF(ISERROR(F96)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E+</v>
      </c>
      <c r="N103" s="8">
        <f t="shared" ca="1" si="9"/>
        <v>5.5</v>
      </c>
      <c r="O103">
        <f>O102+1</f>
        <v>3</v>
      </c>
      <c r="P103" s="1">
        <f ca="1">IF(ISERROR(F96),"",IF(ISTEXT(VLOOKUP(B96,INDIRECT($F$8),6+(O103-1)*3)),(VLOOKUP(B96,INDIRECT($F$8),6+(O103-1)*3)),SUM(VLOOKUP(B96,INDIRECT($F$8),6+(O103-1)*3),IF(W114,W103,0))))</f>
        <v>46</v>
      </c>
      <c r="Q103" s="1">
        <f ca="1">IF(ISERROR(F96),"",VLOOKUP(B96,INDIRECT($F$8),7+(O103-1)*3))</f>
        <v>32</v>
      </c>
      <c r="R103" s="1">
        <f ca="1">IF(ISERROR(F96),"",SUM(P103:Q103))</f>
        <v>78</v>
      </c>
      <c r="S103" s="1">
        <f ca="1">IF(ISERROR(F96),"",VLOOKUP(A96,INDIRECT($F$8),6+(O103-1)*3))</f>
        <v>100</v>
      </c>
      <c r="T103" s="1">
        <f ca="1">IF(ISERROR(F96),"",VLOOKUP(A96,INDIRECT($F$8),7+(O103-1)*3))</f>
        <v>50</v>
      </c>
      <c r="U103" s="1">
        <f ca="1">IF(ISERROR(F96),"",VLOOKUP(A96,INDIRECT($F$8),8+(O103-1)*3))</f>
        <v>150</v>
      </c>
      <c r="V103" s="1" t="str">
        <f ca="1">IF(ISERROR(F96),"",IF(N103=0,A103,""))</f>
        <v/>
      </c>
      <c r="W103" s="1">
        <f ca="1">IF(ISERROR(F96),"",IF(ISTEXT(VLOOKUP(B96,INDIRECT($F$8),6+(O103-1)*3)),11,IF(VLOOKUP(B96,INDIRECT($F$8),6+(O103-1)*3)&lt;S103*0.3,IF(VLOOKUP(B96,INDIRECT($F$8),8+(O103-1)*3)&lt;U103*0.4,IF(AND(0.4*U103-VLOOKUP(B96,INDIRECT($F$8),8+(O103-1)*3)&lt;=5,0.3*S103-VLOOKUP(B96,INDIRECT($F$8),6+(O103-1)*3)&lt;=5),MAX(0.4*U103-VLOOKUP(B96,INDIRECT($F$8),8+(O103-1)*3),0.3*S103-VLOOKUP(B96,INDIRECT($F$8),6+(O103-1)*3)),11),IF(0.3*S103-VLOOKUP(B96,INDIRECT($F$8),6+(O103-1)*3)&lt;=5,0.3*S103-VLOOKUP(B96,INDIRECT($F$8),6+(O103-1)*3),11)),IF(VLOOKUP(B96,INDIRECT($F$8),8+(O103-1)*3)&lt;U103*0.4,IF(U103*0.4-VLOOKUP(B96,INDIRECT($F$8),8+(O103-1)*3)&lt;=5,U103*0.4-VLOOKUP(B96,INDIRECT($F$8),8+(O103-1)*3),11),0))))</f>
        <v>0</v>
      </c>
      <c r="X103" s="1" t="str">
        <f ca="1">IF(ISERROR(F96),"",IF(W103=0,"",_xlfn.TEXTJOIN("",FALSE," G+",W103," in ",A103)))</f>
        <v/>
      </c>
    </row>
    <row r="104" spans="1:24" ht="11.5" customHeight="1" x14ac:dyDescent="0.2">
      <c r="A104" s="7" t="str">
        <f ca="1">IF(ISERROR(F96),"",VLOOKUP(C96,INDIRECT($F$8),6+(O104-1)*3,0))</f>
        <v>MET 001</v>
      </c>
      <c r="B104" s="24" t="str">
        <f ca="1">IF(ISERROR(F96),"",VLOOKUP(D96,INDIRECT($F$8),6+(O104-1)*3,0))</f>
        <v>Basic Mechanical Engineering</v>
      </c>
      <c r="C104" s="24"/>
      <c r="D104" s="24"/>
      <c r="E104" s="24"/>
      <c r="F104" s="7">
        <f ca="1">IF(ISERROR(F96),"",VLOOKUP(E96,INDIRECT($F$8),6+(O104-1)*3,0))</f>
        <v>4</v>
      </c>
      <c r="G104" s="25" t="str">
        <f ca="1">IF(ISERROR(F96),"",_xlfn.TEXTJOIN("/",FALSE,P104,S104))</f>
        <v>61/100</v>
      </c>
      <c r="H104" s="25"/>
      <c r="I104" s="25" t="str">
        <f ca="1">IF(ISERROR(F96),"",_xlfn.TEXTJOIN("/",FALSE,Q104,T104))</f>
        <v>39/50</v>
      </c>
      <c r="J104" s="25"/>
      <c r="K104" s="25" t="str">
        <f ca="1">IF(ISERROR(F96),"",_xlfn.TEXTJOIN("/",FALSE,R104,U104))</f>
        <v>100/150</v>
      </c>
      <c r="L104" s="25"/>
      <c r="M104" s="7" t="str">
        <f ca="1">IF(ISERROR(F96)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C</v>
      </c>
      <c r="N104" s="8">
        <f t="shared" ca="1" si="9"/>
        <v>7</v>
      </c>
      <c r="O104">
        <f>O103+1</f>
        <v>4</v>
      </c>
      <c r="P104" s="1">
        <f ca="1">IF(ISERROR(F96),"",IF(ISTEXT(VLOOKUP(B96,INDIRECT($F$8),6+(O104-1)*3)),(VLOOKUP(B96,INDIRECT($F$8),6+(O104-1)*3)),SUM(VLOOKUP(B96,INDIRECT($F$8),6+(O104-1)*3),IF(W114,W104,0))))</f>
        <v>61</v>
      </c>
      <c r="Q104" s="1">
        <f ca="1">IF(ISERROR(F96),"",VLOOKUP(B96,INDIRECT($F$8),7+(O104-1)*3))</f>
        <v>39</v>
      </c>
      <c r="R104" s="1">
        <f ca="1">IF(ISERROR(F96),"",SUM(P104:Q104))</f>
        <v>100</v>
      </c>
      <c r="S104" s="1">
        <f ca="1">IF(ISERROR(F96),"",VLOOKUP(A96,INDIRECT($F$8),6+(O104-1)*3))</f>
        <v>100</v>
      </c>
      <c r="T104" s="1">
        <f ca="1">IF(ISERROR(F96),"",VLOOKUP(A96,INDIRECT($F$8),7+(O104-1)*3))</f>
        <v>50</v>
      </c>
      <c r="U104" s="1">
        <f ca="1">IF(ISERROR(F96),"",VLOOKUP(A96,INDIRECT($F$8),8+(O104-1)*3))</f>
        <v>150</v>
      </c>
      <c r="V104" s="1" t="str">
        <f ca="1">IF(ISERROR(F96),"",IF(N104=0,A104,""))</f>
        <v/>
      </c>
      <c r="W104" s="1">
        <f ca="1">IF(ISERROR(F96),"",IF(ISTEXT(VLOOKUP(B96,INDIRECT($F$8),6+(O104-1)*3)),11,IF(VLOOKUP(B96,INDIRECT($F$8),6+(O104-1)*3)&lt;S104*0.3,IF(VLOOKUP(B96,INDIRECT($F$8),8+(O104-1)*3)&lt;U104*0.4,IF(AND(0.4*U104-VLOOKUP(B96,INDIRECT($F$8),8+(O104-1)*3)&lt;=5,0.3*S104-VLOOKUP(B96,INDIRECT($F$8),6+(O104-1)*3)&lt;=5),MAX(0.4*U104-VLOOKUP(B96,INDIRECT($F$8),8+(O104-1)*3),0.3*S104-VLOOKUP(B96,INDIRECT($F$8),6+(O104-1)*3)),11),IF(0.3*S104-VLOOKUP(B96,INDIRECT($F$8),6+(O104-1)*3)&lt;=5,0.3*S104-VLOOKUP(B96,INDIRECT($F$8),6+(O104-1)*3),11)),IF(VLOOKUP(B96,INDIRECT($F$8),8+(O104-1)*3)&lt;U104*0.4,IF(U104*0.4-VLOOKUP(B96,INDIRECT($F$8),8+(O104-1)*3)&lt;=5,U104*0.4-VLOOKUP(B96,INDIRECT($F$8),8+(O104-1)*3),11),0))))</f>
        <v>0</v>
      </c>
      <c r="X104" s="1" t="str">
        <f ca="1">IF(ISERROR(F96),"",IF(W104=0,"",_xlfn.TEXTJOIN("",FALSE," G+",W104," in ",A104)))</f>
        <v/>
      </c>
    </row>
    <row r="105" spans="1:24" ht="11.5" customHeight="1" x14ac:dyDescent="0.2">
      <c r="A105" s="7" t="str">
        <f ca="1">IF(ISERROR(F96),"",VLOOKUP(C96,INDIRECT($F$8),6+(O105-1)*3,0))</f>
        <v>AHT 000</v>
      </c>
      <c r="B105" s="24" t="str">
        <f ca="1">IF(ISERROR(F96),"",VLOOKUP(D96,INDIRECT($F$8),6+(O105-1)*3,0))</f>
        <v>Basic Mathematics (Bridge Course) ($)</v>
      </c>
      <c r="C105" s="24"/>
      <c r="D105" s="24"/>
      <c r="E105" s="24"/>
      <c r="F105" s="7">
        <f ca="1">IF(ISERROR(F96),"",VLOOKUP(E96,INDIRECT($F$8),6+(O105-1)*3,0))</f>
        <v>0</v>
      </c>
      <c r="G105" s="25" t="str">
        <f ca="1">IF(ISERROR(F96),"",_xlfn.TEXTJOIN("/",FALSE,P105,S105))</f>
        <v>67/100</v>
      </c>
      <c r="H105" s="25"/>
      <c r="I105" s="25" t="str">
        <f ca="1">IF(ISERROR(F96),"",_xlfn.TEXTJOIN("/",FALSE,Q105,T105))</f>
        <v>41/50</v>
      </c>
      <c r="J105" s="25"/>
      <c r="K105" s="25" t="str">
        <f ca="1">IF(ISERROR(F96),"",_xlfn.TEXTJOIN("/",FALSE,R105,U105))</f>
        <v>108/150</v>
      </c>
      <c r="L105" s="25"/>
      <c r="M105" s="7" t="str">
        <f ca="1">IF(ISERROR(F96)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C+</v>
      </c>
      <c r="N105" s="8">
        <f t="shared" ca="1" si="9"/>
        <v>7.5</v>
      </c>
      <c r="O105" cm="1">
        <f t="array" aca="1" ref="O105" ca="1">IF(NOT(ISBLANK(INDIRECT("SEM_I!R"&amp;INT((ROW(O105)-17)/22)+6))),5,
IF(NOT(ISBLANK(INDIRECT("SEM_I!U"&amp;INT((ROW(O105)-17)/22)+6))),6))</f>
        <v>5</v>
      </c>
      <c r="P105" s="1">
        <f ca="1">IF(ISERROR(F96),"",IF(ISTEXT(VLOOKUP(B96,INDIRECT($F$8),6+(O105-1)*3)),(VLOOKUP(B96,INDIRECT($F$8),6+(O105-1)*3)),SUM(VLOOKUP(B96,INDIRECT($F$8),6+(O105-1)*3),IF(W114,W105,0))))</f>
        <v>67</v>
      </c>
      <c r="Q105" s="1">
        <f ca="1">IF(ISERROR(F96),"",VLOOKUP(B96,INDIRECT($F$8),7+(O105-1)*3))</f>
        <v>41</v>
      </c>
      <c r="R105" s="1">
        <f ca="1">IF(ISERROR(F96),"",SUM(P105:Q105))</f>
        <v>108</v>
      </c>
      <c r="S105" s="1">
        <f ca="1">IF(ISERROR(F96),"",VLOOKUP(A96,INDIRECT($F$8),6+(O105-1)*3))</f>
        <v>100</v>
      </c>
      <c r="T105" s="1">
        <f ca="1">IF(ISERROR(F96),"",VLOOKUP(A96,INDIRECT($F$8),7+(O105-1)*3))</f>
        <v>50</v>
      </c>
      <c r="U105" s="1">
        <f ca="1">IF(ISERROR(F96),"",VLOOKUP(A96,INDIRECT($F$8),8+(O105-1)*3))</f>
        <v>150</v>
      </c>
      <c r="V105" s="1" t="str">
        <f ca="1">IF(ISERROR(F96),"",IF(N105=0,A105,""))</f>
        <v/>
      </c>
      <c r="W105" s="1">
        <f ca="1">IF(ISERROR(F96),"",IF(ISTEXT(VLOOKUP(B96,INDIRECT($F$8),6+(O105-1)*3)),11,IF(VLOOKUP(B96,INDIRECT($F$8),6+(O105-1)*3)&lt;S105*0.3,IF(VLOOKUP(B96,INDIRECT($F$8),8+(O105-1)*3)&lt;U105*0.4,IF(AND(0.4*U105-VLOOKUP(B96,INDIRECT($F$8),8+(O105-1)*3)&lt;=5,0.3*S105-VLOOKUP(B96,INDIRECT($F$8),6+(O105-1)*3)&lt;=5),MAX(0.4*U105-VLOOKUP(B96,INDIRECT($F$8),8+(O105-1)*3),0.3*S105-VLOOKUP(B96,INDIRECT($F$8),6+(O105-1)*3)),11),IF(0.3*S105-VLOOKUP(B96,INDIRECT($F$8),6+(O105-1)*3)&lt;=5,0.3*S105-VLOOKUP(B96,INDIRECT($F$8),6+(O105-1)*3),11)),IF(VLOOKUP(B96,INDIRECT($F$8),8+(O105-1)*3)&lt;U105*0.4,IF(U105*0.4-VLOOKUP(B96,INDIRECT($F$8),8+(O105-1)*3)&lt;=5,U105*0.4-VLOOKUP(B96,INDIRECT($F$8),8+(O105-1)*3),11),0))))</f>
        <v>0</v>
      </c>
      <c r="X105" s="1" t="str">
        <f ca="1">IF(ISERROR(F96),"",IF(W105=0,"",_xlfn.TEXTJOIN("",FALSE," G+",W105," in ",A105)))</f>
        <v/>
      </c>
    </row>
    <row r="106" spans="1:24" ht="11.5" customHeight="1" x14ac:dyDescent="0.2">
      <c r="A106" s="7" t="str">
        <f ca="1">IF(ISERROR(F96),"",VLOOKUP(C96,INDIRECT($F$8),6+(O106-1)*3,0))</f>
        <v>AHP 002</v>
      </c>
      <c r="B106" s="24" t="str">
        <f ca="1">IF(ISERROR(F96),"",VLOOKUP(D96,INDIRECT($F$8),6+(O106-1)*3,0))</f>
        <v>Engineering Chemistry Lab</v>
      </c>
      <c r="C106" s="24"/>
      <c r="D106" s="24"/>
      <c r="E106" s="24"/>
      <c r="F106" s="7">
        <f ca="1">IF(ISERROR(F96),"",VLOOKUP(E96,INDIRECT($F$8),6+(O106-1)*3,0))</f>
        <v>1</v>
      </c>
      <c r="G106" s="25" t="str">
        <f ca="1">IF(ISERROR(F96),"",_xlfn.TEXTJOIN("/",FALSE,P106,S106))</f>
        <v>19/25</v>
      </c>
      <c r="H106" s="25"/>
      <c r="I106" s="25" t="str">
        <f ca="1">IF(ISERROR(F96),"",_xlfn.TEXTJOIN("/",FALSE,Q106,T106))</f>
        <v>15/25</v>
      </c>
      <c r="J106" s="25"/>
      <c r="K106" s="25" t="str">
        <f ca="1">IF(ISERROR(F96),"",_xlfn.TEXTJOIN("/",FALSE,R106,U106))</f>
        <v>34/50</v>
      </c>
      <c r="L106" s="25"/>
      <c r="M106" s="7" t="str">
        <f ca="1">IF(ISERROR(F96)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C</v>
      </c>
      <c r="N106" s="8">
        <f t="shared" ca="1" si="9"/>
        <v>7</v>
      </c>
      <c r="O106">
        <f ca="1">IF(O105&gt;0,7)</f>
        <v>7</v>
      </c>
      <c r="P106" s="1">
        <f ca="1">IF(ISERROR(F96),"",IF(ISTEXT(VLOOKUP(B96,INDIRECT($F$8),6+(O106-1)*3)),(VLOOKUP(B96,INDIRECT($F$8),6+(O106-1)*3)),SUM(VLOOKUP(B96,INDIRECT($F$8),6+(O106-1)*3),IF(W114,W106,0))))</f>
        <v>19</v>
      </c>
      <c r="Q106" s="1">
        <f ca="1">IF(ISERROR(F96),"",VLOOKUP(B96,INDIRECT($F$8),7+(O106-1)*3))</f>
        <v>15</v>
      </c>
      <c r="R106" s="1">
        <f ca="1">IF(ISERROR(F96),"",SUM(P106:Q106))</f>
        <v>34</v>
      </c>
      <c r="S106" s="1">
        <f ca="1">IF(ISERROR(F96),"",VLOOKUP(A96,INDIRECT($F$8),6+(O106-1)*3))</f>
        <v>25</v>
      </c>
      <c r="T106" s="1">
        <f ca="1">IF(ISERROR(F96),"",VLOOKUP(A96,INDIRECT($F$8),7+(O106-1)*3))</f>
        <v>25</v>
      </c>
      <c r="U106" s="1">
        <f ca="1">IF(ISERROR(F96),"",VLOOKUP(A96,INDIRECT($F$8),8+(O106-1)*3))</f>
        <v>50</v>
      </c>
      <c r="V106" s="1" t="str">
        <f ca="1">IF(ISERROR(F96),"",IF(N106=0,A106,""))</f>
        <v/>
      </c>
      <c r="W106" s="1">
        <f ca="1">IF(ISERROR(F96),"",IF(ISTEXT(VLOOKUP(B96,INDIRECT($F$8),6+(O106-1)*3)),11,IF(VLOOKUP(B96,INDIRECT($F$8),6+(O106-1)*3)&lt;S106*0.3,IF(VLOOKUP(B96,INDIRECT($F$8),8+(O106-1)*3)&lt;U106*0.4,IF(AND(0.4*U106-VLOOKUP(B96,INDIRECT($F$8),8+(O106-1)*3)&lt;=5,0.3*S106-VLOOKUP(B96,INDIRECT($F$8),6+(O106-1)*3)&lt;=5),MAX(0.4*U106-VLOOKUP(B96,INDIRECT($F$8),8+(O106-1)*3),0.3*S106-VLOOKUP(B96,INDIRECT($F$8),6+(O106-1)*3)),11),IF(0.3*S106-VLOOKUP(B96,INDIRECT($F$8),6+(O106-1)*3)&lt;=5,0.3*S106-VLOOKUP(B96,INDIRECT($F$8),6+(O106-1)*3),11)),IF(VLOOKUP(B96,INDIRECT($F$8),8+(O106-1)*3)&lt;U106*0.4,IF(U106*0.4-VLOOKUP(B96,INDIRECT($F$8),8+(O106-1)*3)&lt;=5,U106*0.4-VLOOKUP(B96,INDIRECT($F$8),8+(O106-1)*3),11),0))))</f>
        <v>0</v>
      </c>
      <c r="X106" s="1" t="str">
        <f ca="1">IF(ISERROR(F96),"",IF(W106=0,"",_xlfn.TEXTJOIN("",FALSE," G+",W106," in ",A106)))</f>
        <v/>
      </c>
    </row>
    <row r="107" spans="1:24" ht="11.5" customHeight="1" x14ac:dyDescent="0.2">
      <c r="A107" s="7" t="str">
        <f ca="1">IF(ISERROR(F96),"",VLOOKUP(C96,INDIRECT($F$8),6+(O107-1)*3,0))</f>
        <v>ECP 001</v>
      </c>
      <c r="B107" s="24" t="str">
        <f ca="1">IF(ISERROR(F96),"",VLOOKUP(D96,INDIRECT($F$8),6+(O107-1)*3,0))</f>
        <v>Basic Electronics Engineering Lab</v>
      </c>
      <c r="C107" s="24"/>
      <c r="D107" s="24"/>
      <c r="E107" s="24"/>
      <c r="F107" s="7">
        <f ca="1">IF(ISERROR(F96),"",VLOOKUP(E96,INDIRECT($F$8),6+(O107-1)*3,0))</f>
        <v>1</v>
      </c>
      <c r="G107" s="25" t="str">
        <f ca="1">IF(ISERROR(F96),"",_xlfn.TEXTJOIN("/",FALSE,P107,S107))</f>
        <v>16/25</v>
      </c>
      <c r="H107" s="25"/>
      <c r="I107" s="25" t="str">
        <f ca="1">IF(ISERROR(F96),"",_xlfn.TEXTJOIN("/",FALSE,Q107,T107))</f>
        <v>19/25</v>
      </c>
      <c r="J107" s="25"/>
      <c r="K107" s="25" t="str">
        <f ca="1">IF(ISERROR(F96),"",_xlfn.TEXTJOIN("/",FALSE,R107,U107))</f>
        <v>35/50</v>
      </c>
      <c r="L107" s="25"/>
      <c r="M107" s="7" t="str">
        <f ca="1">IF(ISERROR(F96)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C+</v>
      </c>
      <c r="N107" s="8">
        <f t="shared" ca="1" si="9"/>
        <v>7.5</v>
      </c>
      <c r="O107">
        <f t="shared" ref="O107:O113" ca="1" si="10">O106+1</f>
        <v>8</v>
      </c>
      <c r="P107" s="1">
        <f ca="1">IF(ISERROR(F96),"",IF(ISTEXT(VLOOKUP(B96,INDIRECT($F$8),6+(O107-1)*3)),(VLOOKUP(B96,INDIRECT($F$8),6+(O107-1)*3)),SUM(VLOOKUP(B96,INDIRECT($F$8),6+(O107-1)*3),IF(W114,W107,0))))</f>
        <v>16</v>
      </c>
      <c r="Q107" s="1">
        <f ca="1">IF(ISERROR(F96),"",VLOOKUP(B96,INDIRECT($F$8),7+(O107-1)*3))</f>
        <v>19</v>
      </c>
      <c r="R107" s="1">
        <f ca="1">IF(ISERROR(F96),"",SUM(P107:Q107))</f>
        <v>35</v>
      </c>
      <c r="S107" s="1">
        <f ca="1">IF(ISERROR(F96),"",VLOOKUP(A96,INDIRECT($F$8),6+(O107-1)*3))</f>
        <v>25</v>
      </c>
      <c r="T107" s="1">
        <f ca="1">IF(ISERROR(F96),"",VLOOKUP(A96,INDIRECT($F$8),7+(O107-1)*3))</f>
        <v>25</v>
      </c>
      <c r="U107" s="1">
        <f ca="1">IF(ISERROR(F96),"",VLOOKUP(A96,INDIRECT($F$8),8+(O107-1)*3))</f>
        <v>50</v>
      </c>
      <c r="V107" s="1" t="str">
        <f ca="1">IF(ISERROR(F96),"",IF(N107=0,A107,""))</f>
        <v/>
      </c>
      <c r="W107" s="1">
        <f ca="1">IF(ISERROR(F96),"",IF(ISTEXT(VLOOKUP(B96,INDIRECT($F$8),6+(O107-1)*3)),11,IF(VLOOKUP(B96,INDIRECT($F$8),6+(O107-1)*3)&lt;S107*0.3,IF(VLOOKUP(B96,INDIRECT($F$8),8+(O107-1)*3)&lt;U107*0.4,IF(AND(0.4*U107-VLOOKUP(B96,INDIRECT($F$8),8+(O107-1)*3)&lt;=5,0.3*S107-VLOOKUP(B96,INDIRECT($F$8),6+(O107-1)*3)&lt;=5),MAX(0.4*U107-VLOOKUP(B96,INDIRECT($F$8),8+(O107-1)*3),0.3*S107-VLOOKUP(B96,INDIRECT($F$8),6+(O107-1)*3)),11),IF(0.3*S107-VLOOKUP(B96,INDIRECT($F$8),6+(O107-1)*3)&lt;=5,0.3*S107-VLOOKUP(B96,INDIRECT($F$8),6+(O107-1)*3),11)),IF(VLOOKUP(B96,INDIRECT($F$8),8+(O107-1)*3)&lt;U107*0.4,IF(U107*0.4-VLOOKUP(B96,INDIRECT($F$8),8+(O107-1)*3)&lt;=5,U107*0.4-VLOOKUP(B96,INDIRECT($F$8),8+(O107-1)*3),11),0))))</f>
        <v>0</v>
      </c>
      <c r="X107" s="1" t="str">
        <f ca="1">IF(ISERROR(F96),"",IF(W107=0,"",_xlfn.TEXTJOIN("",FALSE," G+",W107," in ",A107)))</f>
        <v/>
      </c>
    </row>
    <row r="108" spans="1:24" ht="11.5" customHeight="1" x14ac:dyDescent="0.2">
      <c r="A108" s="7" t="str">
        <f ca="1">IF(ISERROR(F96),"",VLOOKUP(C96,INDIRECT($F$8),6+(O108-1)*3,0))</f>
        <v>MEP 001</v>
      </c>
      <c r="B108" s="24" t="str">
        <f ca="1">IF(ISERROR(F96),"",VLOOKUP(D96,INDIRECT($F$8),6+(O108-1)*3,0))</f>
        <v>Basic Mechanical Engineering Lab</v>
      </c>
      <c r="C108" s="24"/>
      <c r="D108" s="24"/>
      <c r="E108" s="24"/>
      <c r="F108" s="7">
        <f ca="1">IF(ISERROR(F96),"",VLOOKUP(E96,INDIRECT($F$8),6+(O108-1)*3,0))</f>
        <v>1</v>
      </c>
      <c r="G108" s="25" t="str">
        <f ca="1">IF(ISERROR(F96),"",_xlfn.TEXTJOIN("/",FALSE,P108,S108))</f>
        <v>18/25</v>
      </c>
      <c r="H108" s="25"/>
      <c r="I108" s="25" t="str">
        <f ca="1">IF(ISERROR(F96),"",_xlfn.TEXTJOIN("/",FALSE,Q108,T108))</f>
        <v>19/25</v>
      </c>
      <c r="J108" s="25"/>
      <c r="K108" s="25" t="str">
        <f ca="1">IF(ISERROR(F96),"",_xlfn.TEXTJOIN("/",FALSE,R108,U108))</f>
        <v>37/50</v>
      </c>
      <c r="L108" s="25"/>
      <c r="M108" s="7" t="str">
        <f ca="1">IF(ISERROR(F96),"",IF(ISTEXT(P108),IF(P108="A","Ab",IF(P108="D","Dt",IF(P108="UFM","UFM",IF(P108="NA","")))),IF(AND(ISBLANK(P108),ISBLANK(R108)),"",IF(P108&lt;0.3*S108,"F",IF(ISBLANK(R108),"",IF(ISTEXT(R108),R108,IF(R108&gt;=0.95*U108,"O",IF(R108&gt;=0.9*U108,"A+",IF(R108&gt;=0.85*U108,"A",IF(R108&gt;=0.8*U108,"B+",IF(R108&gt;=0.75*U108,"B",IF(R108&gt;=0.7*U108,"C+",IF(R108&gt;=0.65*U108,"C",IF(R108&gt;=0.6*U108,"D+",IF(R108&gt;=0.55*U108,"D",IF(R108&gt;=0.5*U108,"E+",IF(R108&gt;=0.45*U108,"E",IF(R108&gt;=0.4*U108,"P",IF(R108&lt;0.4*U108,"F",R108)))))))))))))))))))</f>
        <v>C+</v>
      </c>
      <c r="N108" s="8">
        <f t="shared" ca="1" si="9"/>
        <v>7.5</v>
      </c>
      <c r="O108">
        <f t="shared" ca="1" si="10"/>
        <v>9</v>
      </c>
      <c r="P108" s="1">
        <f ca="1">IF(ISERROR(F96),"",IF(ISTEXT(VLOOKUP(B96,INDIRECT($F$8),6+(O108-1)*3)),(VLOOKUP(B96,INDIRECT($F$8),6+(O108-1)*3)),SUM(VLOOKUP(B96,INDIRECT($F$8),6+(O108-1)*3),IF(W114,W108,0))))</f>
        <v>18</v>
      </c>
      <c r="Q108" s="1">
        <f ca="1">IF(ISERROR(F96),"",VLOOKUP(B96,INDIRECT($F$8),7+(O108-1)*3))</f>
        <v>19</v>
      </c>
      <c r="R108" s="1">
        <f ca="1">IF(ISERROR(F96),"",SUM(P108:Q108))</f>
        <v>37</v>
      </c>
      <c r="S108" s="1">
        <f ca="1">IF(ISERROR(F96),"",VLOOKUP(A96,INDIRECT($F$8),6+(O108-1)*3))</f>
        <v>25</v>
      </c>
      <c r="T108" s="1">
        <f ca="1">IF(ISERROR(F96),"",VLOOKUP(A96,INDIRECT($F$8),7+(O108-1)*3))</f>
        <v>25</v>
      </c>
      <c r="U108" s="1">
        <f ca="1">IF(ISERROR(F96),"",VLOOKUP(A96,INDIRECT($F$8),8+(O108-1)*3))</f>
        <v>50</v>
      </c>
      <c r="V108" s="1" t="str">
        <f ca="1">IF(ISERROR(F96),"",IF(N108=0,A108,""))</f>
        <v/>
      </c>
      <c r="W108" s="1">
        <f ca="1">IF(ISERROR(F96),"",IF(ISTEXT(VLOOKUP(B96,INDIRECT($F$8),6+(O108-1)*3)),11,IF(VLOOKUP(B96,INDIRECT($F$8),6+(O108-1)*3)&lt;S108*0.3,IF(VLOOKUP(B96,INDIRECT($F$8),8+(O108-1)*3)&lt;U108*0.4,IF(AND(0.4*U108-VLOOKUP(B96,INDIRECT($F$8),8+(O108-1)*3)&lt;=5,0.3*S108-VLOOKUP(B96,INDIRECT($F$8),6+(O108-1)*3)&lt;=5),MAX(0.4*U108-VLOOKUP(B96,INDIRECT($F$8),8+(O108-1)*3),0.3*S108-VLOOKUP(B96,INDIRECT($F$8),6+(O108-1)*3)),11),IF(0.3*S108-VLOOKUP(B96,INDIRECT($F$8),6+(O108-1)*3)&lt;=5,0.3*S108-VLOOKUP(B96,INDIRECT($F$8),6+(O108-1)*3),11)),IF(VLOOKUP(B96,INDIRECT($F$8),8+(O108-1)*3)&lt;U108*0.4,IF(U108*0.4-VLOOKUP(B96,INDIRECT($F$8),8+(O108-1)*3)&lt;=5,U108*0.4-VLOOKUP(B96,INDIRECT($F$8),8+(O108-1)*3),11),0))))</f>
        <v>0</v>
      </c>
      <c r="X108" s="1" t="str">
        <f ca="1">IF(ISERROR(F96),"",IF(W108=0,"",_xlfn.TEXTJOIN("",FALSE," G+",W108," in ",A108)))</f>
        <v/>
      </c>
    </row>
    <row r="109" spans="1:24" ht="11.5" customHeight="1" x14ac:dyDescent="0.2">
      <c r="A109" s="7" t="str">
        <f ca="1">IF(ISERROR(F96),"",VLOOKUP(C96,INDIRECT($F$8),6+(O109-1)*3,0))</f>
        <v>MEP 003</v>
      </c>
      <c r="B109" s="24" t="str">
        <f ca="1">IF(ISERROR(F96),"",VLOOKUP(D96,INDIRECT($F$8),6+(O109-1)*3-Z109,0))</f>
        <v>Workshop Practices Lab</v>
      </c>
      <c r="C109" s="24"/>
      <c r="D109" s="24"/>
      <c r="E109" s="24"/>
      <c r="F109" s="7">
        <f ca="1">IF(ISERROR(F96),"",VLOOKUP(E96,INDIRECT($F$8),6+(O109-1)*3,0))</f>
        <v>2</v>
      </c>
      <c r="G109" s="25" t="str">
        <f ca="1">IF(ISERROR(F96),"",_xlfn.TEXTJOIN("/",FALSE,P109,S109))</f>
        <v>48/50</v>
      </c>
      <c r="H109" s="25"/>
      <c r="I109" s="25" t="str">
        <f ca="1">IF(ISERROR(F96),"",_xlfn.TEXTJOIN("/",FALSE,Q109,T109))</f>
        <v>49/50</v>
      </c>
      <c r="J109" s="25"/>
      <c r="K109" s="25" t="str">
        <f ca="1">IF(ISERROR(F96),"",_xlfn.TEXTJOIN("/",FALSE,R109,U109))</f>
        <v>97/100</v>
      </c>
      <c r="L109" s="25"/>
      <c r="M109" s="7" t="str">
        <f ca="1">IF(ISERROR(F96),"",IF(ISTEXT(P109),IF(P109="A","Ab",IF(P109="D","Dt",IF(P109="UFM","UFM",IF(P109="NA","")))),IF(AND(ISBLANK(P109),ISBLANK(R109)),"",IF(P109&lt;0.3*S109,"F",IF(ISBLANK(R109),"",IF(ISTEXT(R109),R109,IF(R109&gt;=0.95*U109,"O",IF(R109&gt;=0.9*U109,"A+",IF(R109&gt;=0.85*U109,"A",IF(R109&gt;=0.8*U109,"B+",IF(R109&gt;=0.75*U109,"B",IF(R109&gt;=0.7*U109,"C+",IF(R109&gt;=0.65*U109,"C",IF(R109&gt;=0.6*U109,"D+",IF(R109&gt;=0.55*U109,"D",IF(R109&gt;=0.5*U109,"E+",IF(R109&gt;=0.45*U109,"E",IF(R109&gt;=0.4*U109,"P",IF(R109&lt;0.4*U109,"F",R109)))))))))))))))))))</f>
        <v>O</v>
      </c>
      <c r="N109" s="8">
        <f t="shared" ca="1" si="9"/>
        <v>10</v>
      </c>
      <c r="O109">
        <f t="shared" ca="1" si="10"/>
        <v>10</v>
      </c>
      <c r="P109" s="1">
        <f ca="1">IF(ISERROR(F96),"",IF(ISTEXT(VLOOKUP(B96,INDIRECT($F$8),6+(O109-1)*3)),(VLOOKUP(B96,INDIRECT($F$8),6+(O109-1)*3)),SUM(VLOOKUP(B96,INDIRECT($F$8),6+(O109-1)*3),IF(W114,W109,0))))</f>
        <v>48</v>
      </c>
      <c r="Q109" s="1">
        <f ca="1">IF(ISERROR(F96),"",VLOOKUP(B96,INDIRECT($F$8),7+(O109-1)*3))</f>
        <v>49</v>
      </c>
      <c r="R109" s="1">
        <f ca="1">IF(ISERROR(F96),"",SUM(P109:Q109))</f>
        <v>97</v>
      </c>
      <c r="S109" s="1">
        <f ca="1">IF(ISERROR(F96),"",VLOOKUP(A96,INDIRECT($F$8),6+(O109-1)*3))</f>
        <v>50</v>
      </c>
      <c r="T109" s="1">
        <f ca="1">IF(ISERROR(F96),"",VLOOKUP(A96,INDIRECT($F$8),7+(O109-1)*3))</f>
        <v>50</v>
      </c>
      <c r="U109" s="1">
        <f ca="1">IF(ISERROR(F96),"",VLOOKUP(A96,INDIRECT($F$8),8+(O109-1)*3))</f>
        <v>100</v>
      </c>
      <c r="V109" s="1" t="str">
        <f ca="1">IF(ISERROR(F96),"",IF(N109=0,A109,""))</f>
        <v/>
      </c>
      <c r="W109" s="1">
        <f ca="1">IF(ISERROR(F96),"",IF(ISTEXT(VLOOKUP(B96,INDIRECT($F$8),6+(O109-1)*3)),11,IF(VLOOKUP(B96,INDIRECT($F$8),6+(O109-1)*3)&lt;S109*0.3,IF(VLOOKUP(B96,INDIRECT($F$8),8+(O109-1)*3)&lt;U109*0.4,IF(AND(0.4*U109-VLOOKUP(B96,INDIRECT($F$8),8+(O109-1)*3)&lt;=5,0.3*S109-VLOOKUP(B96,INDIRECT($F$8),6+(O109-1)*3)&lt;=5),MAX(0.4*U109-VLOOKUP(B96,INDIRECT($F$8),8+(O109-1)*3),0.3*S109-VLOOKUP(B96,INDIRECT($F$8),6+(O109-1)*3)),11),IF(0.3*S109-VLOOKUP(B96,INDIRECT($F$8),6+(O109-1)*3)&lt;=5,0.3*S109-VLOOKUP(B96,INDIRECT($F$8),6+(O109-1)*3),11)),IF(VLOOKUP(B96,INDIRECT($F$8),8+(O109-1)*3)&lt;U109*0.4,IF(U109*0.4-VLOOKUP(B96,INDIRECT($F$8),8+(O109-1)*3)&lt;=5,U109*0.4-VLOOKUP(B96,INDIRECT($F$8),8+(O109-1)*3),11),0))))</f>
        <v>0</v>
      </c>
      <c r="X109" s="1" t="str">
        <f ca="1">IF(ISERROR(F96),"",IF(W109=0,"",_xlfn.TEXTJOIN("",FALSE," G+",W109," in ",A109)))</f>
        <v/>
      </c>
    </row>
    <row r="110" spans="1:24" ht="11.5" customHeight="1" x14ac:dyDescent="0.2">
      <c r="A110" s="7" t="str">
        <f ca="1">IF(ISERROR(F96),"",VLOOKUP(C96,INDIRECT($F$8),6+(O110-1)*3,0))</f>
        <v>AHP 004</v>
      </c>
      <c r="B110" s="24" t="str">
        <f ca="1">IF(ISERROR(F96),"",VLOOKUP(D96,INDIRECT($F$8),6+(O110-1)*3-Z110,0))</f>
        <v>Emerging Technologies in Engineering Lab</v>
      </c>
      <c r="C110" s="24"/>
      <c r="D110" s="24"/>
      <c r="E110" s="24"/>
      <c r="F110" s="7">
        <f ca="1">IF(ISERROR(F96),"",VLOOKUP(E96,INDIRECT($F$8),6+(O110-1)*3,0))</f>
        <v>1</v>
      </c>
      <c r="G110" s="25" t="str">
        <f ca="1">IF(ISERROR(F96),"",_xlfn.TEXTJOIN("/",FALSE,P110,S110))</f>
        <v>21/25</v>
      </c>
      <c r="H110" s="25"/>
      <c r="I110" s="25" t="str">
        <f ca="1">IF(ISERROR(F96),"",_xlfn.TEXTJOIN("/",FALSE,Q110,T110))</f>
        <v>20/25</v>
      </c>
      <c r="J110" s="25"/>
      <c r="K110" s="25" t="str">
        <f ca="1">IF(ISERROR(F96),"",_xlfn.TEXTJOIN("/",FALSE,R110,U110))</f>
        <v>41/50</v>
      </c>
      <c r="L110" s="25"/>
      <c r="M110" s="7" t="str">
        <f ca="1">IF(ISERROR(F96),"",IF(ISTEXT(P110),IF(P110="A","Ab",IF(P110="D","Dt",IF(P110="UFM","UFM",IF(P110="NA","")))),IF(AND(ISBLANK(P110),ISBLANK(R110)),"",IF(P110&lt;0.3*S110,"F",IF(ISBLANK(R110),"",IF(ISTEXT(R110),R110,IF(R110&gt;=0.95*U110,"O",IF(R110&gt;=0.9*U110,"A+",IF(R110&gt;=0.85*U110,"A",IF(R110&gt;=0.8*U110,"B+",IF(R110&gt;=0.75*U110,"B",IF(R110&gt;=0.7*U110,"C+",IF(R110&gt;=0.65*U110,"C",IF(R110&gt;=0.6*U110,"D+",IF(R110&gt;=0.55*U110,"D",IF(R110&gt;=0.5*U110,"E+",IF(R110&gt;=0.45*U110,"E",IF(R110&gt;=0.4*U110,"P",IF(R110&lt;0.4*U110,"F",R110)))))))))))))))))))</f>
        <v>B+</v>
      </c>
      <c r="N110" s="8">
        <f t="shared" ca="1" si="9"/>
        <v>8.5</v>
      </c>
      <c r="O110">
        <f t="shared" ca="1" si="10"/>
        <v>11</v>
      </c>
      <c r="P110" s="1">
        <f ca="1">IF(ISERROR(F96),"",IF(ISTEXT(VLOOKUP(B96,INDIRECT($F$8),6+(O110-1)*3)),(VLOOKUP(B96,INDIRECT($F$8),6+(O110-1)*3)),SUM(VLOOKUP(B96,INDIRECT($F$8),6+(O110-1)*3),IF(W114,W110,0))))</f>
        <v>21</v>
      </c>
      <c r="Q110" s="1">
        <f ca="1">IF(ISERROR(F96),"",VLOOKUP(B96,INDIRECT($F$8),7+(O110-1)*3))</f>
        <v>20</v>
      </c>
      <c r="R110" s="1">
        <f ca="1">IF(ISERROR(F96),"",SUM(P110:Q110))</f>
        <v>41</v>
      </c>
      <c r="S110" s="1">
        <f ca="1">IF(ISERROR(F96),"",VLOOKUP(A96,INDIRECT($F$8),6+(O110-1)*3))</f>
        <v>25</v>
      </c>
      <c r="T110" s="1">
        <f ca="1">IF(ISERROR(F96),"",VLOOKUP(A96,INDIRECT($F$8),7+(O110-1)*3))</f>
        <v>25</v>
      </c>
      <c r="U110" s="1">
        <f ca="1">IF(ISERROR(F96),"",VLOOKUP(A96,INDIRECT($F$8),8+(O110-1)*3))</f>
        <v>50</v>
      </c>
      <c r="V110" s="1" t="str">
        <f ca="1">IF(ISERROR(F96),"",IF(N110=0,A110,""))</f>
        <v/>
      </c>
      <c r="W110" s="1">
        <f ca="1">IF(ISERROR(F96),"",IF(ISTEXT(VLOOKUP(B96,INDIRECT($F$8),6+(O110-1)*3)),11,IF(VLOOKUP(B96,INDIRECT($F$8),6+(O110-1)*3)&lt;S110*0.3,IF(VLOOKUP(B96,INDIRECT($F$8),8+(O110-1)*3)&lt;U110*0.4,IF(AND(0.4*U110-VLOOKUP(B96,INDIRECT($F$8),8+(O110-1)*3)&lt;=5,0.3*S110-VLOOKUP(B96,INDIRECT($F$8),6+(O110-1)*3)&lt;=5),MAX(0.4*U110-VLOOKUP(B96,INDIRECT($F$8),8+(O110-1)*3),0.3*S110-VLOOKUP(B96,INDIRECT($F$8),6+(O110-1)*3)),11),IF(0.3*S110-VLOOKUP(B96,INDIRECT($F$8),6+(O110-1)*3)&lt;=5,0.3*S110-VLOOKUP(B96,INDIRECT($F$8),6+(O110-1)*3),11)),IF(VLOOKUP(B96,INDIRECT($F$8),8+(O110-1)*3)&lt;U110*0.4,IF(U110*0.4-VLOOKUP(B96,INDIRECT($F$8),8+(O110-1)*3)&lt;=5,U110*0.4-VLOOKUP(B96,INDIRECT($F$8),8+(O110-1)*3),11),0))))</f>
        <v>0</v>
      </c>
      <c r="X110" s="1" t="str">
        <f ca="1">IF(ISERROR(F96),"",IF(W110=0,"",_xlfn.TEXTJOIN("",FALSE," G+",W110," in ",A110)))</f>
        <v/>
      </c>
    </row>
    <row r="111" spans="1:24" ht="11.5" customHeight="1" x14ac:dyDescent="0.2">
      <c r="A111" s="7" t="str">
        <f ca="1">IF(ISERROR(F96),"",VLOOKUP(C96,INDIRECT($F$8),6+(O111-1)*3,0))</f>
        <v>CSP 002</v>
      </c>
      <c r="B111" s="24" t="str">
        <f ca="1">IF(ISERROR(F96),"",VLOOKUP(D96,INDIRECT($F$8),6+(O111-1)*3,0))</f>
        <v>Computer Applications and IOT</v>
      </c>
      <c r="C111" s="24"/>
      <c r="D111" s="24"/>
      <c r="E111" s="24"/>
      <c r="F111" s="7">
        <f ca="1">IF(ISERROR(F96),"",VLOOKUP(E96,INDIRECT($F$8),6+(O111-1)*3,0))</f>
        <v>1</v>
      </c>
      <c r="G111" s="25" t="str">
        <f ca="1">IF(ISERROR(F96),"",_xlfn.TEXTJOIN("/",FALSE,P111,S111))</f>
        <v>21/25</v>
      </c>
      <c r="H111" s="25"/>
      <c r="I111" s="25" t="str">
        <f ca="1">IF(ISERROR(F96),"",_xlfn.TEXTJOIN("/",FALSE,Q111,T111))</f>
        <v>21/25</v>
      </c>
      <c r="J111" s="25"/>
      <c r="K111" s="25" t="str">
        <f ca="1">IF(ISERROR(F96),"",_xlfn.TEXTJOIN("/",FALSE,R111,U111))</f>
        <v>42/50</v>
      </c>
      <c r="L111" s="25"/>
      <c r="M111" s="7" t="str">
        <f ca="1">IF(ISERROR(F96),"",IF(ISTEXT(P111),IF(P111="A","Ab",IF(P111="D","Dt",IF(P111="UFM","UFM",IF(P111="NA","")))),IF(AND(ISBLANK(P111),ISBLANK(R111)),"",IF(P111&lt;0.3*S111,"F",IF(ISBLANK(R111),"",IF(ISTEXT(R111),R111,IF(R111&gt;=0.95*U111,"O",IF(R111&gt;=0.9*U111,"A+",IF(R111&gt;=0.85*U111,"A",IF(R111&gt;=0.8*U111,"B+",IF(R111&gt;=0.75*U111,"B",IF(R111&gt;=0.7*U111,"C+",IF(R111&gt;=0.65*U111,"C",IF(R111&gt;=0.6*U111,"D+",IF(R111&gt;=0.55*U111,"D",IF(R111&gt;=0.5*U111,"E+",IF(R111&gt;=0.45*U111,"E",IF(R111&gt;=0.4*U111,"P",IF(R111&lt;0.4*U111,"F",R111)))))))))))))))))))</f>
        <v>B+</v>
      </c>
      <c r="N111" s="8">
        <f t="shared" ca="1" si="9"/>
        <v>8.5</v>
      </c>
      <c r="O111">
        <f t="shared" ca="1" si="10"/>
        <v>12</v>
      </c>
      <c r="P111" s="1">
        <f ca="1">IF(ISERROR(F96),"",IF(ISTEXT(VLOOKUP(B96,INDIRECT($F$8),6+(O111-1)*3)),(VLOOKUP(B96,INDIRECT($F$8),6+(O111-1)*3)),SUM(VLOOKUP(B96,INDIRECT($F$8),6+(O111-1)*3),IF(W114,W111,0))))</f>
        <v>21</v>
      </c>
      <c r="Q111" s="1">
        <f ca="1">IF(ISERROR(F96),"",VLOOKUP(B96,INDIRECT($F$8),7+(O111-1)*3))</f>
        <v>21</v>
      </c>
      <c r="R111" s="1">
        <f ca="1">IF(ISERROR(F96),"",SUM(P111:Q111))</f>
        <v>42</v>
      </c>
      <c r="S111" s="1">
        <f ca="1">IF(ISERROR(F96),"",VLOOKUP(A96,INDIRECT($F$8),6+(O111-1)*3))</f>
        <v>25</v>
      </c>
      <c r="T111" s="1">
        <f ca="1">IF(ISERROR(F96),"",VLOOKUP(A96,INDIRECT($F$8),7+(O111-1)*3))</f>
        <v>25</v>
      </c>
      <c r="U111" s="1">
        <f ca="1">IF(ISERROR(F96),"",VLOOKUP(A96,INDIRECT($F$8),8+(O111-1)*3))</f>
        <v>50</v>
      </c>
      <c r="V111" s="1" t="str">
        <f ca="1">IF(ISERROR(F96),"",IF(N111=0,A111,""))</f>
        <v/>
      </c>
      <c r="W111" s="1">
        <f ca="1">IF(ISERROR(F96),"",IF(ISTEXT(VLOOKUP(B96,INDIRECT($F$8),6+(O111-1)*3)),11,IF(VLOOKUP(B96,INDIRECT($F$8),6+(O111-1)*3)&lt;S111*0.3,IF(VLOOKUP(B96,INDIRECT($F$8),8+(O111-1)*3)&lt;U111*0.4,IF(AND(0.4*U111-VLOOKUP(B96,INDIRECT($F$8),8+(O111-1)*3)&lt;=5,0.3*S111-VLOOKUP(B96,INDIRECT($F$8),6+(O111-1)*3)&lt;=5),MAX(0.4*U111-VLOOKUP(B96,INDIRECT($F$8),8+(O111-1)*3),0.3*S111-VLOOKUP(B96,INDIRECT($F$8),6+(O111-1)*3)),11),IF(0.3*S111-VLOOKUP(B96,INDIRECT($F$8),6+(O111-1)*3)&lt;=5,0.3*S111-VLOOKUP(B96,INDIRECT($F$8),6+(O111-1)*3),11)),IF(VLOOKUP(B96,INDIRECT($F$8),8+(O111-1)*3)&lt;U111*0.4,IF(U111*0.4-VLOOKUP(B96,INDIRECT($F$8),8+(O111-1)*3)&lt;=5,U111*0.4-VLOOKUP(B96,INDIRECT($F$8),8+(O111-1)*3),11),0))))</f>
        <v>0</v>
      </c>
      <c r="X111" s="1" t="str">
        <f ca="1">IF(ISERROR(F96),"",IF(W111=0,"",_xlfn.TEXTJOIN("",FALSE," G+",W111," in ",A111)))</f>
        <v/>
      </c>
    </row>
    <row r="112" spans="1:24" ht="11.5" customHeight="1" x14ac:dyDescent="0.2">
      <c r="A112" s="7" t="str">
        <f ca="1">IF(ISERROR(F96),"",VLOOKUP(C96,INDIRECT($F$8),6+(O112-1)*3,0))</f>
        <v>AHP 006</v>
      </c>
      <c r="B112" s="24" t="str">
        <f ca="1">IF(ISERROR(F96),"",VLOOKUP(D96,INDIRECT($F$8),6+(O112-1)*3,0))</f>
        <v>English Language Lab ($)</v>
      </c>
      <c r="C112" s="24"/>
      <c r="D112" s="24"/>
      <c r="E112" s="24"/>
      <c r="F112" s="7">
        <f ca="1">IF(ISERROR(F96),"",VLOOKUP(E96,INDIRECT($F$8),6+(O112-1)*3,0))</f>
        <v>0</v>
      </c>
      <c r="G112" s="25" t="str">
        <f ca="1">IF(ISERROR(F96),"",_xlfn.TEXTJOIN("/",FALSE,P112,S112))</f>
        <v>16/25</v>
      </c>
      <c r="H112" s="25"/>
      <c r="I112" s="25" t="str">
        <f ca="1">IF(ISERROR(F96),"",_xlfn.TEXTJOIN("/",FALSE,Q112,T112))</f>
        <v>30/50</v>
      </c>
      <c r="J112" s="25"/>
      <c r="K112" s="25" t="str">
        <f ca="1">IF(ISERROR(F96),"",_xlfn.TEXTJOIN("/",FALSE,R112,U112))</f>
        <v>46/75</v>
      </c>
      <c r="L112" s="25"/>
      <c r="M112" s="7" t="str">
        <f ca="1">IF(ISERROR(F96),"",IF(ISTEXT(P112),IF(P112="A","Ab",IF(P112="D","Dt",IF(P112="UFM","UFM",IF(P112="NA","")))),IF(AND(ISBLANK(P112),ISBLANK(R112)),"",IF(P112&lt;0.3*S112,"F",IF(ISBLANK(R112),"",IF(ISTEXT(R112),R112,IF(R112&gt;=0.95*U112,"O",IF(R112&gt;=0.9*U112,"A+",IF(R112&gt;=0.85*U112,"A",IF(R112&gt;=0.8*U112,"B+",IF(R112&gt;=0.75*U112,"B",IF(R112&gt;=0.7*U112,"C+",IF(R112&gt;=0.65*U112,"C",IF(R112&gt;=0.6*U112,"D+",IF(R112&gt;=0.55*U112,"D",IF(R112&gt;=0.5*U112,"E+",IF(R112&gt;=0.45*U112,"E",IF(R112&gt;=0.4*U112,"P",IF(R112&lt;0.4*U112,"F",R112)))))))))))))))))))</f>
        <v>D+</v>
      </c>
      <c r="N112" s="8">
        <f ca="1">INDEX($Z$2:$Z$17,MATCH(M112,$Y$2:$Y$17,0))</f>
        <v>6.5</v>
      </c>
      <c r="O112">
        <f t="shared" ca="1" si="10"/>
        <v>13</v>
      </c>
      <c r="P112" s="1">
        <f ca="1">IF(ISERROR(F96),"",IF(ISTEXT(VLOOKUP(B96,INDIRECT($F$8),6+(O112-1)*3)),(VLOOKUP(B96,INDIRECT($F$8),6+(O112-1)*3)),SUM(VLOOKUP(B96,INDIRECT($F$8),6+(O112-1)*3),IF(W114,W112,0))))</f>
        <v>16</v>
      </c>
      <c r="Q112" s="1">
        <f ca="1">IF(ISERROR(F96),"",VLOOKUP(B96,INDIRECT($F$8),7+(O112-1)*3))</f>
        <v>30</v>
      </c>
      <c r="R112" s="1">
        <f ca="1">IF(ISERROR(F96),"",SUM(P112:Q112))</f>
        <v>46</v>
      </c>
      <c r="S112" s="1">
        <f ca="1">IF(ISERROR(F96),"",VLOOKUP(A96,INDIRECT($F$8),6+(O112-1)*3))</f>
        <v>25</v>
      </c>
      <c r="T112" s="1">
        <f ca="1">IF(ISERROR(F96),"",VLOOKUP(A96,INDIRECT($F$8),7+(O112-1)*3))</f>
        <v>50</v>
      </c>
      <c r="U112" s="1">
        <f ca="1">IF(ISERROR(F96),"",VLOOKUP(A96,INDIRECT($F$8),8+(O112-1)*3))</f>
        <v>75</v>
      </c>
      <c r="V112" s="1"/>
      <c r="W112" s="1">
        <f ca="1">IF(ISERROR(F96),"",IF(ISTEXT(VLOOKUP(B96,INDIRECT($F$8),6+(O112-1)*3)),11,IF(VLOOKUP(B96,INDIRECT($F$8),6+(O112-1)*3)&lt;S112*0.3,IF(VLOOKUP(B96,INDIRECT($F$8),8+(O112-1)*3)&lt;U112*0.4,IF(AND(0.4*U112-VLOOKUP(B96,INDIRECT($F$8),8+(O112-1)*3)&lt;=5,0.3*S112-VLOOKUP(B96,INDIRECT($F$8),6+(O112-1)*3)&lt;=5),MAX(0.4*U112-VLOOKUP(B96,INDIRECT($F$8),8+(O112-1)*3),0.3*S112-VLOOKUP(B96,INDIRECT($F$8),6+(O112-1)*3)),11),IF(0.3*S112-VLOOKUP(B96,INDIRECT($F$8),6+(O112-1)*3)&lt;=5,0.3*S112-VLOOKUP(B96,INDIRECT($F$8),6+(O112-1)*3),11)),IF(VLOOKUP(B96,INDIRECT($F$8),8+(O112-1)*3)&lt;U112*0.4,IF(U112*0.4-VLOOKUP(B96,INDIRECT($F$8),8+(O112-1)*3)&lt;=5,U112*0.4-VLOOKUP(B96,INDIRECT($F$8),8+(O112-1)*3),11),0))))</f>
        <v>0</v>
      </c>
      <c r="X112" s="1" t="str">
        <f ca="1">IF(ISERROR(F96),"",IF(W112=0,"",_xlfn.TEXTJOIN("",FALSE," G+",W112," in ",A112)))</f>
        <v/>
      </c>
    </row>
    <row r="113" spans="1:24" ht="11.5" customHeight="1" x14ac:dyDescent="0.2">
      <c r="A113" s="7" t="str">
        <f ca="1">IF(ISERROR(F96),"",VLOOKUP(C96,INDIRECT($F$8),6+(O113-1)*3-Y113,0))</f>
        <v>GP 01</v>
      </c>
      <c r="B113" s="24" t="str">
        <f ca="1">IF(ISERROR(F96),"",VLOOKUP(D96,INDIRECT($F$8),6+(O113-1)*3-Z113,0))</f>
        <v>General Proficiency ($)</v>
      </c>
      <c r="C113" s="24"/>
      <c r="D113" s="24"/>
      <c r="E113" s="24"/>
      <c r="F113" s="7">
        <f ca="1">IF(ISERROR(F96),"",VLOOKUP(E96,INDIRECT($F$8),6+(O113-1)*3-AA113,0))</f>
        <v>0</v>
      </c>
      <c r="G113" s="25" t="str">
        <f ca="1">IF(ISERROR(F96),"","-")</f>
        <v>-</v>
      </c>
      <c r="H113" s="25"/>
      <c r="I113" s="25" t="str">
        <f ca="1">IF(ISERROR(F96),"",_xlfn.TEXTJOIN("/",FALSE,Q113,T113))</f>
        <v>47/50</v>
      </c>
      <c r="J113" s="25"/>
      <c r="K113" s="25" t="str">
        <f ca="1">IF(ISERROR(F96),"",_xlfn.TEXTJOIN("/",FALSE,R113,U113))</f>
        <v>47/50</v>
      </c>
      <c r="L113" s="25"/>
      <c r="M113" s="25" t="str">
        <f ca="1">IF(ISBLANK(R113),"",IF(ISTEXT(R113),R113,IF(R113&gt;=0.8*U113,"Excellent",IF(R113&gt;=0.6*U113,"Very Good",IF(R113&gt;=0.4*U113,"Good",IF(R113&gt;=0.2*U113,"Satisfactory","Average"))))))</f>
        <v>Excellent</v>
      </c>
      <c r="N113" s="25"/>
      <c r="O113">
        <f t="shared" ca="1" si="10"/>
        <v>14</v>
      </c>
      <c r="P113" s="1">
        <f ca="1">IF(ISERROR(F96),"",IF(ISTEXT(VLOOKUP(B\28,INDIRECT($F$8),6+(O113-1)*3)),(VLOOKUP(B96,INDIRECT($F$8),6+(O113-1)*3)),SUM(VLOOKUP(B96,INDIRECT($F$8),6+(O113-1)*3),IF(W114,W114,0))))</f>
        <v>0</v>
      </c>
      <c r="Q113" s="1">
        <f ca="1">IF(ISERROR(F96),"",VLOOKUP(B96,INDIRECT($F$8),7+(O113-1)*3))</f>
        <v>47</v>
      </c>
      <c r="R113" s="1">
        <f ca="1">IF(ISERROR(F96),"",SUM(P113:Q113))</f>
        <v>47</v>
      </c>
      <c r="S113" s="1">
        <f ca="1">IF(ISERROR(F96),"",VLOOKUP(A96,INDIRECT($F$8),6+(O113-1)*3))</f>
        <v>0</v>
      </c>
      <c r="T113" s="1">
        <f ca="1">IF(ISERROR(F96),"",VLOOKUP(A96,INDIRECT($F$8),7+(O113-1)*3))</f>
        <v>50</v>
      </c>
      <c r="U113" s="1">
        <f ca="1">IF(ISERROR(F96),"",VLOOKUP(A96,INDIRECT($F$8),8+(O113-1)*3))</f>
        <v>50</v>
      </c>
      <c r="V113" s="1"/>
      <c r="W113" s="1"/>
      <c r="X113" s="1" t="str">
        <f ca="1">IF(ISERROR(F96),"",IF(W113=0,"",_xlfn.TEXTJOIN("",FALSE," G+",W113," in ",A113)))</f>
        <v/>
      </c>
    </row>
    <row r="114" spans="1:24" ht="11.5" customHeight="1" x14ac:dyDescent="0.2">
      <c r="A114" s="26" t="str">
        <f ca="1">IF(ISERROR(F96),"",A92)</f>
        <v>Total Credits/ Marks/ Total Grade Points</v>
      </c>
      <c r="B114" s="26"/>
      <c r="C114" s="26"/>
      <c r="D114" s="26"/>
      <c r="E114" s="26"/>
      <c r="F114" s="10">
        <f ca="1">IF(ISERROR(F96),"",SUM(F101:F112))</f>
        <v>23</v>
      </c>
      <c r="G114" s="27" t="str">
        <f ca="1">IF(ISERROR(F96),"",_xlfn.TEXTJOIN("/",TRUE,SUMIF(F101:F113,"&gt;0",P101:P113),SUMIF(F101:F113,"&gt;0",S101:S113)))</f>
        <v>325/575</v>
      </c>
      <c r="H114" s="27"/>
      <c r="I114" s="27" t="str">
        <f ca="1">IF(ISERROR(F96),"",_xlfn.TEXTJOIN("/",TRUE,SUMIF(F101:F113,"&gt;0",Q101:Q113),SUMIF(F101:F113,"&gt;0",T101:T113)))</f>
        <v>266/375</v>
      </c>
      <c r="J114" s="27"/>
      <c r="K114" s="27" t="str">
        <f ca="1">IF(ISERROR(F96),"",_xlfn.TEXTJOIN("/",TRUE,SUMIF(F101:F113,"&gt;0",R101:R113),SUMIF(F101:F113,"&gt;0",U101:U113)))</f>
        <v>591/950</v>
      </c>
      <c r="L114" s="27"/>
      <c r="M114" s="26">
        <f ca="1">IF(ISERROR(F96),"",SUMPRODUCT(N101:N112,F101:F112))</f>
        <v>135</v>
      </c>
      <c r="N114" s="26"/>
      <c r="V114" s="1" t="str">
        <f ca="1">_xlfn.TEXTJOIN(", ",TRUE,V101:V113)</f>
        <v>AHT 003</v>
      </c>
      <c r="W114" t="b">
        <f ca="1">IF(SUM(W101:W113)&lt;=W100,TRUE,FALSE)</f>
        <v>0</v>
      </c>
      <c r="X114" s="1" t="str">
        <f ca="1">IF(ISERROR(F96),"",_xlfn.TEXTJOIN(",",TRUE,X101:X113))</f>
        <v xml:space="preserve"> G+11 in AHT 003</v>
      </c>
    </row>
    <row r="115" spans="1:24" ht="11.5" customHeight="1" x14ac:dyDescent="0.2">
      <c r="A115" s="26" t="str">
        <f ca="1">IF(ISERROR(F96),"",A93)</f>
        <v>Result:</v>
      </c>
      <c r="B115" s="28" t="str" cm="1">
        <f t="array" aca="1" ref="B115" ca="1">IF(SUM(COUNTIF(M101:M112,{"Ab","Dt"}))=12, "Not Promoted to IInd Semester", IF(V114="", "PASS", "CARRY OVER"))</f>
        <v>CARRY OVER</v>
      </c>
      <c r="C115" s="28"/>
      <c r="D115" s="26" t="str">
        <f ca="1">IF(ISERROR(F96),"",D93)</f>
        <v>Remark:</v>
      </c>
      <c r="E115" s="28" t="str">
        <f ca="1">IF(ISERROR(F96),"",IF(V114="",IF(X114="","",X114),_xlfn.TEXTJOIN(" ",TRUE,"BACK IN",V114)))</f>
        <v>BACK IN AHT 003</v>
      </c>
      <c r="F115" s="28"/>
      <c r="G115" s="26" t="str">
        <f ca="1">IF(ISERROR(F96),"",G93)</f>
        <v>SGPA:</v>
      </c>
      <c r="H115" s="29">
        <f ca="1">IF(ISERROR(F96),"",M114/F114)</f>
        <v>5.8695652173913047</v>
      </c>
      <c r="I115" s="26" t="str">
        <f ca="1">IF(ISERROR(F96),"",I93)</f>
        <v>CGPA:</v>
      </c>
      <c r="J115" s="29">
        <f ca="1">IF(ISERROR(F96),"",VLOOKUP(B96,INDIRECT($F$8),12+(O113-1)*3,0))</f>
        <v>5.8695652173913047</v>
      </c>
      <c r="K115" s="28" t="str">
        <f ca="1">IF(ISERROR(F96),"",K93)</f>
        <v>Earned Credits:</v>
      </c>
      <c r="L115" s="26">
        <f ca="1">IF(ISERROR(F96),"",SUMIF(N101:N112,"&gt;0",F101:F112))</f>
        <v>19</v>
      </c>
      <c r="M115" s="28" t="str">
        <f ca="1">IF(ISERROR(F96),"",M93)</f>
        <v>Cuml. Earned Credits:</v>
      </c>
      <c r="N115" s="26">
        <f ca="1">IF(ISERROR(F96),"",VLOOKUP(B96,INDIRECT($F$8),10+(O113-1)*3,0))</f>
        <v>19</v>
      </c>
    </row>
    <row r="116" spans="1:24" ht="11.5" customHeight="1" x14ac:dyDescent="0.2">
      <c r="A116" s="26"/>
      <c r="B116" s="28"/>
      <c r="C116" s="28"/>
      <c r="D116" s="26"/>
      <c r="E116" s="28"/>
      <c r="F116" s="28"/>
      <c r="G116" s="26"/>
      <c r="H116" s="29"/>
      <c r="I116" s="26"/>
      <c r="J116" s="29"/>
      <c r="K116" s="28"/>
      <c r="L116" s="26"/>
      <c r="M116" s="28"/>
      <c r="N116" s="26"/>
    </row>
    <row r="117" spans="1:24" ht="22" customHeight="1" x14ac:dyDescent="0.2">
      <c r="A117" s="26"/>
      <c r="B117" s="28"/>
      <c r="C117" s="28"/>
      <c r="D117" s="26"/>
      <c r="E117" s="28"/>
      <c r="F117" s="28"/>
      <c r="G117" s="26"/>
      <c r="H117" s="29"/>
      <c r="I117" s="26"/>
      <c r="J117" s="29"/>
      <c r="K117" s="28"/>
      <c r="L117" s="26"/>
      <c r="M117" s="28"/>
      <c r="N117" s="26"/>
    </row>
    <row r="118" spans="1:24" ht="11.5" customHeight="1" x14ac:dyDescent="0.2">
      <c r="A118" s="11" t="str">
        <f>A96</f>
        <v>MM</v>
      </c>
      <c r="B118" s="11">
        <f>B96+1</f>
        <v>6</v>
      </c>
      <c r="C118" s="11" t="str">
        <f>C96</f>
        <v>SC</v>
      </c>
      <c r="D118" s="11" t="str">
        <f>D96</f>
        <v>SN</v>
      </c>
      <c r="E118" s="11" t="str">
        <f>E96</f>
        <v>C</v>
      </c>
      <c r="F118" s="11" t="str">
        <f ca="1">VLOOKUP(B118,INDIRECT($F$8),4,0)</f>
        <v>ANUSHKA BHATT</v>
      </c>
    </row>
    <row r="119" spans="1:24" ht="11.5" customHeight="1" x14ac:dyDescent="0.2">
      <c r="A119" s="30" t="str">
        <f ca="1">IF(ISERROR(F118),"",A97)</f>
        <v>Name:</v>
      </c>
      <c r="B119" s="30" t="str">
        <f ca="1">IFERROR(VLOOKUP(B118,INDIRECT($F$8),4,0),"")</f>
        <v>ANUSHKA BHATT</v>
      </c>
      <c r="C119" s="30"/>
      <c r="D119" s="30" t="str">
        <f ca="1">IF(ISERROR(F118),"",D97)</f>
        <v>Father's Name:</v>
      </c>
      <c r="E119" s="30" t="str">
        <f ca="1">IFERROR(VLOOKUP(B118,INDIRECT($F$8),5,0),"")</f>
        <v>HARISH CHANDRA BHATT</v>
      </c>
      <c r="F119" s="30"/>
      <c r="G119" s="30" t="str">
        <f ca="1">IF(ISERROR(F118),"",G97)</f>
        <v>University Roll No:</v>
      </c>
      <c r="H119" s="30"/>
      <c r="I119" s="31">
        <f ca="1">IFERROR(VLOOKUP(B118,INDIRECT($F$8),2,0),"")</f>
        <v>250090120006</v>
      </c>
      <c r="J119" s="31"/>
      <c r="K119" s="30" t="str">
        <f ca="1">IF(ISERROR(F118),"",K97)</f>
        <v>University Enrol. No:</v>
      </c>
      <c r="L119" s="30"/>
      <c r="M119" s="31" t="str">
        <f ca="1">IFERROR(VLOOKUP(B118,INDIRECT($F$8),3,0),"")</f>
        <v>UTU/2501103854</v>
      </c>
      <c r="N119" s="31"/>
    </row>
    <row r="120" spans="1:24" ht="15" x14ac:dyDescent="0.2">
      <c r="A120" s="30"/>
      <c r="B120" s="30"/>
      <c r="C120" s="30"/>
      <c r="D120" s="30"/>
      <c r="E120" s="30"/>
      <c r="F120" s="30"/>
      <c r="G120" s="30"/>
      <c r="H120" s="30"/>
      <c r="I120" s="31"/>
      <c r="J120" s="31"/>
      <c r="K120" s="30"/>
      <c r="L120" s="30"/>
      <c r="M120" s="31"/>
      <c r="N120" s="31"/>
    </row>
    <row r="121" spans="1:24" ht="11.5" customHeight="1" x14ac:dyDescent="0.2">
      <c r="A121" s="28" t="str">
        <f ca="1">IF(ISERROR(F118),"",A99)</f>
        <v>Subject Code</v>
      </c>
      <c r="B121" s="28" t="str">
        <f ca="1">IF(ISERROR(F118),"",B99)</f>
        <v>Subject Name</v>
      </c>
      <c r="C121" s="28"/>
      <c r="D121" s="28"/>
      <c r="E121" s="28"/>
      <c r="F121" s="28" t="str">
        <f ca="1">IF(ISERROR(F118),"",F99)</f>
        <v>Credits</v>
      </c>
      <c r="G121" s="28" t="str">
        <f ca="1">IF(ISERROR(F118),"",G99)</f>
        <v>External Marks</v>
      </c>
      <c r="H121" s="28"/>
      <c r="I121" s="28" t="str">
        <f ca="1">IF(ISERROR(F118),"",I99)</f>
        <v>Sessional Marks</v>
      </c>
      <c r="J121" s="28"/>
      <c r="K121" s="28" t="str">
        <f ca="1">IF(ISERROR(F118),"",K99)</f>
        <v>Total Marks</v>
      </c>
      <c r="L121" s="28"/>
      <c r="M121" s="28" t="str">
        <f ca="1">IF(ISERROR(F118),"",M99)</f>
        <v>Grade</v>
      </c>
      <c r="N121" s="28" t="str">
        <f ca="1">IF(ISERROR(F118),"",N99)</f>
        <v>Grade Points</v>
      </c>
    </row>
    <row r="122" spans="1:24" ht="11.5" customHeight="1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W122">
        <f ca="1">IF(ISNUMBER(MATCH($F$8,{"I","III","V","VII"},0)),10,10-INDEX(INDIRECT(_xlfn.TEXTJOIN("",TRUE,"SEM_",$G$8,"!",ADDRESS(6,4+$I$8*3+4),":",ADDRESS(5+$H$8,4+$I$8*3+4))),MATCH(INDIRECT(_xlfn.TEXTJOIN("",TRUE,"TC_",$F$8,"!",ADDRESS(ROW(I119),COLUMN(I119)))),INDIRECT(_xlfn.TEXTJOIN("",TRUE,"SEM_",$G$8,"!",ADDRESS(6,2),":",ADDRESS(5+$H$8,2))))))</f>
        <v>10</v>
      </c>
    </row>
    <row r="123" spans="1:24" ht="11.5" customHeight="1" x14ac:dyDescent="0.2">
      <c r="A123" s="7" t="str">
        <f ca="1">IF(ISERROR(F118),"",VLOOKUP(C118,INDIRECT($F$8),6+(O123-1)*3,0))</f>
        <v>AHT 002</v>
      </c>
      <c r="B123" s="24" t="str">
        <f ca="1">IF(ISERROR(F118),"",VLOOKUP(D118,INDIRECT($F$8),6+(O123-1)*3,0))</f>
        <v>Engineering Chemistry</v>
      </c>
      <c r="C123" s="24"/>
      <c r="D123" s="24"/>
      <c r="E123" s="24"/>
      <c r="F123" s="7">
        <f ca="1">IF(ISERROR(F118),"",VLOOKUP(E118,INDIRECT($F$8),6+(O123-1)*3,0))</f>
        <v>4</v>
      </c>
      <c r="G123" s="25" t="str">
        <f ca="1">IF(ISERROR(F118),"",_xlfn.TEXTJOIN("/",FALSE,P123,S123))</f>
        <v>52/100</v>
      </c>
      <c r="H123" s="25"/>
      <c r="I123" s="25" t="str">
        <f ca="1">IF(ISERROR(F118),"",_xlfn.TEXTJOIN("/",FALSE,Q123,T123))</f>
        <v>35/50</v>
      </c>
      <c r="J123" s="25"/>
      <c r="K123" s="25" t="str">
        <f ca="1">IF(ISERROR(F118),"",_xlfn.TEXTJOIN("/",FALSE,R123,U123))</f>
        <v>87/150</v>
      </c>
      <c r="L123" s="25"/>
      <c r="M123" s="7" t="str">
        <f ca="1">IF(ISERROR(F118)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D</v>
      </c>
      <c r="N123" s="8">
        <f ca="1">INDEX($Z$2:$Z$17,MATCH(M123,$Y$2:$Y$17,0))</f>
        <v>6</v>
      </c>
      <c r="O123">
        <v>1</v>
      </c>
      <c r="P123" s="1">
        <f ca="1">IF(ISERROR(F118),"",IF(ISTEXT(VLOOKUP(B118,INDIRECT($F$8),6+(O123-1)*3)),(VLOOKUP(B118,INDIRECT($F$8),6+(O123-1)*3)),SUM(VLOOKUP(B118,INDIRECT($F$8),6+(O123-1)*3),IF(W136,W123,0))))</f>
        <v>52</v>
      </c>
      <c r="Q123" s="1">
        <f ca="1">IF(ISERROR(F118),"",VLOOKUP(B118,INDIRECT($F$8),7+(O123-1)*3))</f>
        <v>35</v>
      </c>
      <c r="R123" s="1">
        <f ca="1">IF(ISERROR(F118),"",SUM(P123:Q123))</f>
        <v>87</v>
      </c>
      <c r="S123" s="1">
        <f ca="1">IF(ISERROR(F118),"",VLOOKUP(A118,INDIRECT($F$8),6+(O123-1)*3))</f>
        <v>100</v>
      </c>
      <c r="T123" s="1">
        <f ca="1">IF(ISERROR(F118),"",VLOOKUP(A118,INDIRECT($F$8),7+(O123-1)*3))</f>
        <v>50</v>
      </c>
      <c r="U123" s="1">
        <f ca="1">IF(ISERROR(F118),"",VLOOKUP(A118,INDIRECT($F$8),8+(O123-1)*3))</f>
        <v>150</v>
      </c>
      <c r="V123" s="1" t="str">
        <f ca="1">IF(ISERROR(F118),"",IF(N123=0,A123,""))</f>
        <v/>
      </c>
      <c r="W123" s="1">
        <f ca="1">IF(ISERROR(F118),"",IF(ISTEXT(VLOOKUP(B118,INDIRECT($F$8),6+(O123-1)*3)),11,IF(VLOOKUP(B118,INDIRECT($F$8),6+(O123-1)*3)&lt;S123*0.3,IF(VLOOKUP(B118,INDIRECT($F$8),8+(O123-1)*3)&lt;U123*0.4,IF(AND(0.4*U123-VLOOKUP(B118,INDIRECT($F$8),8+(O123-1)*3)&lt;=5,0.3*S123-VLOOKUP(B118,INDIRECT($F$8),6+(O123-1)*3)&lt;=5),MAX(0.4*U123-VLOOKUP(B118,INDIRECT($F$8),8+(O123-1)*3),0.3*S123-VLOOKUP(B118,INDIRECT($F$8),6+(O123-1)*3)),11),IF(0.3*S123-VLOOKUP(B118,INDIRECT($F$8),6+(O123-1)*3)&lt;=5,0.3*S123-VLOOKUP(B118,INDIRECT($F$8),6+(O123-1)*3),11)),IF(VLOOKUP(B118,INDIRECT($F$8),8+(O123-1)*3)&lt;U123*0.4,IF(U123*0.4-VLOOKUP(B118,INDIRECT($F$8),8+(O123-1)*3)&lt;=5,U123*0.4-VLOOKUP(B118,INDIRECT($F$8),8+(O123-1)*3),11),0))))</f>
        <v>0</v>
      </c>
      <c r="X123" s="1" t="str">
        <f ca="1">IF(ISERROR(F118),"",IF(W123=0,"",_xlfn.TEXTJOIN("",FALSE," G+",W123," in ",A123)))</f>
        <v/>
      </c>
    </row>
    <row r="124" spans="1:24" ht="11.5" customHeight="1" x14ac:dyDescent="0.2">
      <c r="A124" s="7" t="str">
        <f ca="1">IF(ISERROR(F118),"",VLOOKUP(C118,INDIRECT($F$8),6+(O124-1)*3,0))</f>
        <v>AHT 003</v>
      </c>
      <c r="B124" s="24" t="str">
        <f ca="1">IF(ISERROR(F118),"",VLOOKUP(D118,INDIRECT($F$8),6+(O124-1)*3,0))</f>
        <v>Introduction to Engineering Mathematics</v>
      </c>
      <c r="C124" s="24"/>
      <c r="D124" s="24"/>
      <c r="E124" s="24"/>
      <c r="F124" s="7">
        <f ca="1">IF(ISERROR(F118),"",VLOOKUP(E118,INDIRECT($F$8),6+(O124-1)*3,0))</f>
        <v>4</v>
      </c>
      <c r="G124" s="25" t="str">
        <f ca="1">IF(ISERROR(F118),"",_xlfn.TEXTJOIN("/",FALSE,P124,S124))</f>
        <v>29/100</v>
      </c>
      <c r="H124" s="25"/>
      <c r="I124" s="25" t="str">
        <f ca="1">IF(ISERROR(F118),"",_xlfn.TEXTJOIN("/",FALSE,Q124,T124))</f>
        <v>19/50</v>
      </c>
      <c r="J124" s="25"/>
      <c r="K124" s="25" t="str">
        <f ca="1">IF(ISERROR(F118),"",_xlfn.TEXTJOIN("/",FALSE,R124,U124))</f>
        <v>48/150</v>
      </c>
      <c r="L124" s="25"/>
      <c r="M124" s="7" t="str">
        <f ca="1">IF(ISERROR(F118)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F</v>
      </c>
      <c r="N124" s="8">
        <f t="shared" ref="N124:N133" ca="1" si="11">INDEX($Z$2:$Z$17,MATCH(M124,$Y$2:$Y$17,0))</f>
        <v>0</v>
      </c>
      <c r="O124">
        <f>O123+1</f>
        <v>2</v>
      </c>
      <c r="P124" s="1">
        <f ca="1">IF(ISERROR(F118),"",IF(ISTEXT(VLOOKUP(B118,INDIRECT($F$8),6+(O124-1)*3)),(VLOOKUP(B118,INDIRECT($F$8),6+(O124-1)*3)),SUM(VLOOKUP(B118,INDIRECT($F$8),6+(O124-1)*3),IF(W136,W124,0))))</f>
        <v>29</v>
      </c>
      <c r="Q124" s="1">
        <f ca="1">IF(ISERROR(F118),"",VLOOKUP(B118,INDIRECT($F$8),7+(O124-1)*3))</f>
        <v>19</v>
      </c>
      <c r="R124" s="1">
        <f ca="1">IF(ISERROR(F118),"",SUM(P124:Q124))</f>
        <v>48</v>
      </c>
      <c r="S124" s="1">
        <f ca="1">IF(ISERROR(F118),"",VLOOKUP(A118,INDIRECT($F$8),6+(O124-1)*3))</f>
        <v>100</v>
      </c>
      <c r="T124" s="1">
        <f ca="1">IF(ISERROR(F118),"",VLOOKUP(A118,INDIRECT($F$8),7+(O124-1)*3))</f>
        <v>50</v>
      </c>
      <c r="U124" s="1">
        <f ca="1">IF(ISERROR(F118),"",VLOOKUP(A118,INDIRECT($F$8),8+(O124-1)*3))</f>
        <v>150</v>
      </c>
      <c r="V124" s="1" t="str">
        <f ca="1">IF(ISERROR(F118),"",IF(N124=0,A124,""))</f>
        <v>AHT 003</v>
      </c>
      <c r="W124" s="1">
        <f ca="1">IF(ISERROR(F118),"",IF(ISTEXT(VLOOKUP(B118,INDIRECT($F$8),6+(O124-1)*3)),11,IF(VLOOKUP(B118,INDIRECT($F$8),6+(O124-1)*3)&lt;S124*0.3,IF(VLOOKUP(B118,INDIRECT($F$8),8+(O124-1)*3)&lt;U124*0.4,IF(AND(0.4*U124-VLOOKUP(B118,INDIRECT($F$8),8+(O124-1)*3)&lt;=5,0.3*S124-VLOOKUP(B118,INDIRECT($F$8),6+(O124-1)*3)&lt;=5),MAX(0.4*U124-VLOOKUP(B118,INDIRECT($F$8),8+(O124-1)*3),0.3*S124-VLOOKUP(B118,INDIRECT($F$8),6+(O124-1)*3)),11),IF(0.3*S124-VLOOKUP(B118,INDIRECT($F$8),6+(O124-1)*3)&lt;=5,0.3*S124-VLOOKUP(B118,INDIRECT($F$8),6+(O124-1)*3),11)),IF(VLOOKUP(B118,INDIRECT($F$8),8+(O124-1)*3)&lt;U124*0.4,IF(U124*0.4-VLOOKUP(B118,INDIRECT($F$8),8+(O124-1)*3)&lt;=5,U124*0.4-VLOOKUP(B118,INDIRECT($F$8),8+(O124-1)*3),11),0))))</f>
        <v>11</v>
      </c>
      <c r="X124" s="1" t="str">
        <f ca="1">IF(ISERROR(F118),"",IF(W124=0,"",_xlfn.TEXTJOIN("",FALSE," G+",W124," in ",A124)))</f>
        <v xml:space="preserve"> G+11 in AHT 003</v>
      </c>
    </row>
    <row r="125" spans="1:24" ht="11.5" customHeight="1" x14ac:dyDescent="0.2">
      <c r="A125" s="7" t="str">
        <f ca="1">IF(ISERROR(F118),"",VLOOKUP(C118,INDIRECT($F$8),6+(O125-1)*3,0))</f>
        <v>ECT 001</v>
      </c>
      <c r="B125" s="24" t="str">
        <f ca="1">IF(ISERROR(F118),"",VLOOKUP(D118,INDIRECT($F$8),6+(O125-1)*3,0))</f>
        <v>Basic Electronics Engineering</v>
      </c>
      <c r="C125" s="24"/>
      <c r="D125" s="24"/>
      <c r="E125" s="24"/>
      <c r="F125" s="7">
        <f ca="1">IF(ISERROR(F118),"",VLOOKUP(E118,INDIRECT($F$8),6+(O125-1)*3,0))</f>
        <v>4</v>
      </c>
      <c r="G125" s="25" t="str">
        <f ca="1">IF(ISERROR(F118),"",_xlfn.TEXTJOIN("/",FALSE,P125,S125))</f>
        <v>40/100</v>
      </c>
      <c r="H125" s="25"/>
      <c r="I125" s="25" t="str">
        <f ca="1">IF(ISERROR(F118),"",_xlfn.TEXTJOIN("/",FALSE,Q125,T125))</f>
        <v>39/50</v>
      </c>
      <c r="J125" s="25"/>
      <c r="K125" s="25" t="str">
        <f ca="1">IF(ISERROR(F118),"",_xlfn.TEXTJOIN("/",FALSE,R125,U125))</f>
        <v>79/150</v>
      </c>
      <c r="L125" s="25"/>
      <c r="M125" s="7" t="str">
        <f ca="1">IF(ISERROR(F118)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E+</v>
      </c>
      <c r="N125" s="8">
        <f t="shared" ca="1" si="11"/>
        <v>5.5</v>
      </c>
      <c r="O125">
        <f>O124+1</f>
        <v>3</v>
      </c>
      <c r="P125" s="1">
        <f ca="1">IF(ISERROR(F118),"",IF(ISTEXT(VLOOKUP(B118,INDIRECT($F$8),6+(O125-1)*3)),(VLOOKUP(B118,INDIRECT($F$8),6+(O125-1)*3)),SUM(VLOOKUP(B118,INDIRECT($F$8),6+(O125-1)*3),IF(W136,W125,0))))</f>
        <v>40</v>
      </c>
      <c r="Q125" s="1">
        <f ca="1">IF(ISERROR(F118),"",VLOOKUP(B118,INDIRECT($F$8),7+(O125-1)*3))</f>
        <v>39</v>
      </c>
      <c r="R125" s="1">
        <f ca="1">IF(ISERROR(F118),"",SUM(P125:Q125))</f>
        <v>79</v>
      </c>
      <c r="S125" s="1">
        <f ca="1">IF(ISERROR(F118),"",VLOOKUP(A118,INDIRECT($F$8),6+(O125-1)*3))</f>
        <v>100</v>
      </c>
      <c r="T125" s="1">
        <f ca="1">IF(ISERROR(F118),"",VLOOKUP(A118,INDIRECT($F$8),7+(O125-1)*3))</f>
        <v>50</v>
      </c>
      <c r="U125" s="1">
        <f ca="1">IF(ISERROR(F118),"",VLOOKUP(A118,INDIRECT($F$8),8+(O125-1)*3))</f>
        <v>150</v>
      </c>
      <c r="V125" s="1" t="str">
        <f ca="1">IF(ISERROR(F118),"",IF(N125=0,A125,""))</f>
        <v/>
      </c>
      <c r="W125" s="1">
        <f ca="1">IF(ISERROR(F118),"",IF(ISTEXT(VLOOKUP(B118,INDIRECT($F$8),6+(O125-1)*3)),11,IF(VLOOKUP(B118,INDIRECT($F$8),6+(O125-1)*3)&lt;S125*0.3,IF(VLOOKUP(B118,INDIRECT($F$8),8+(O125-1)*3)&lt;U125*0.4,IF(AND(0.4*U125-VLOOKUP(B118,INDIRECT($F$8),8+(O125-1)*3)&lt;=5,0.3*S125-VLOOKUP(B118,INDIRECT($F$8),6+(O125-1)*3)&lt;=5),MAX(0.4*U125-VLOOKUP(B118,INDIRECT($F$8),8+(O125-1)*3),0.3*S125-VLOOKUP(B118,INDIRECT($F$8),6+(O125-1)*3)),11),IF(0.3*S125-VLOOKUP(B118,INDIRECT($F$8),6+(O125-1)*3)&lt;=5,0.3*S125-VLOOKUP(B118,INDIRECT($F$8),6+(O125-1)*3),11)),IF(VLOOKUP(B118,INDIRECT($F$8),8+(O125-1)*3)&lt;U125*0.4,IF(U125*0.4-VLOOKUP(B118,INDIRECT($F$8),8+(O125-1)*3)&lt;=5,U125*0.4-VLOOKUP(B118,INDIRECT($F$8),8+(O125-1)*3),11),0))))</f>
        <v>0</v>
      </c>
      <c r="X125" s="1" t="str">
        <f ca="1">IF(ISERROR(F118),"",IF(W125=0,"",_xlfn.TEXTJOIN("",FALSE," G+",W125," in ",A125)))</f>
        <v/>
      </c>
    </row>
    <row r="126" spans="1:24" ht="11.5" customHeight="1" x14ac:dyDescent="0.2">
      <c r="A126" s="7" t="str">
        <f ca="1">IF(ISERROR(F118),"",VLOOKUP(C118,INDIRECT($F$8),6+(O126-1)*3,0))</f>
        <v>MET 001</v>
      </c>
      <c r="B126" s="24" t="str">
        <f ca="1">IF(ISERROR(F118),"",VLOOKUP(D118,INDIRECT($F$8),6+(O126-1)*3,0))</f>
        <v>Basic Mechanical Engineering</v>
      </c>
      <c r="C126" s="24"/>
      <c r="D126" s="24"/>
      <c r="E126" s="24"/>
      <c r="F126" s="7">
        <f ca="1">IF(ISERROR(F118),"",VLOOKUP(E118,INDIRECT($F$8),6+(O126-1)*3,0))</f>
        <v>4</v>
      </c>
      <c r="G126" s="25" t="str">
        <f ca="1">IF(ISERROR(F118),"",_xlfn.TEXTJOIN("/",FALSE,P126,S126))</f>
        <v>58/100</v>
      </c>
      <c r="H126" s="25"/>
      <c r="I126" s="25" t="str">
        <f ca="1">IF(ISERROR(F118),"",_xlfn.TEXTJOIN("/",FALSE,Q126,T126))</f>
        <v>37/50</v>
      </c>
      <c r="J126" s="25"/>
      <c r="K126" s="25" t="str">
        <f ca="1">IF(ISERROR(F118),"",_xlfn.TEXTJOIN("/",FALSE,R126,U126))</f>
        <v>95/150</v>
      </c>
      <c r="L126" s="25"/>
      <c r="M126" s="7" t="str">
        <f ca="1">IF(ISERROR(F118)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D+</v>
      </c>
      <c r="N126" s="8">
        <f t="shared" ca="1" si="11"/>
        <v>6.5</v>
      </c>
      <c r="O126">
        <f>O125+1</f>
        <v>4</v>
      </c>
      <c r="P126" s="1">
        <f ca="1">IF(ISERROR(F118),"",IF(ISTEXT(VLOOKUP(B118,INDIRECT($F$8),6+(O126-1)*3)),(VLOOKUP(B118,INDIRECT($F$8),6+(O126-1)*3)),SUM(VLOOKUP(B118,INDIRECT($F$8),6+(O126-1)*3),IF(W136,W126,0))))</f>
        <v>58</v>
      </c>
      <c r="Q126" s="1">
        <f ca="1">IF(ISERROR(F118),"",VLOOKUP(B118,INDIRECT($F$8),7+(O126-1)*3))</f>
        <v>37</v>
      </c>
      <c r="R126" s="1">
        <f ca="1">IF(ISERROR(F118),"",SUM(P126:Q126))</f>
        <v>95</v>
      </c>
      <c r="S126" s="1">
        <f ca="1">IF(ISERROR(F118),"",VLOOKUP(A118,INDIRECT($F$8),6+(O126-1)*3))</f>
        <v>100</v>
      </c>
      <c r="T126" s="1">
        <f ca="1">IF(ISERROR(F118),"",VLOOKUP(A118,INDIRECT($F$8),7+(O126-1)*3))</f>
        <v>50</v>
      </c>
      <c r="U126" s="1">
        <f ca="1">IF(ISERROR(F118),"",VLOOKUP(A118,INDIRECT($F$8),8+(O126-1)*3))</f>
        <v>150</v>
      </c>
      <c r="V126" s="1" t="str">
        <f ca="1">IF(ISERROR(F118),"",IF(N126=0,A126,""))</f>
        <v/>
      </c>
      <c r="W126" s="1">
        <f ca="1">IF(ISERROR(F118),"",IF(ISTEXT(VLOOKUP(B118,INDIRECT($F$8),6+(O126-1)*3)),11,IF(VLOOKUP(B118,INDIRECT($F$8),6+(O126-1)*3)&lt;S126*0.3,IF(VLOOKUP(B118,INDIRECT($F$8),8+(O126-1)*3)&lt;U126*0.4,IF(AND(0.4*U126-VLOOKUP(B118,INDIRECT($F$8),8+(O126-1)*3)&lt;=5,0.3*S126-VLOOKUP(B118,INDIRECT($F$8),6+(O126-1)*3)&lt;=5),MAX(0.4*U126-VLOOKUP(B118,INDIRECT($F$8),8+(O126-1)*3),0.3*S126-VLOOKUP(B118,INDIRECT($F$8),6+(O126-1)*3)),11),IF(0.3*S126-VLOOKUP(B118,INDIRECT($F$8),6+(O126-1)*3)&lt;=5,0.3*S126-VLOOKUP(B118,INDIRECT($F$8),6+(O126-1)*3),11)),IF(VLOOKUP(B118,INDIRECT($F$8),8+(O126-1)*3)&lt;U126*0.4,IF(U126*0.4-VLOOKUP(B118,INDIRECT($F$8),8+(O126-1)*3)&lt;=5,U126*0.4-VLOOKUP(B118,INDIRECT($F$8),8+(O126-1)*3),11),0))))</f>
        <v>0</v>
      </c>
      <c r="X126" s="1" t="str">
        <f ca="1">IF(ISERROR(F118),"",IF(W126=0,"",_xlfn.TEXTJOIN("",FALSE," G+",W126," in ",A126)))</f>
        <v/>
      </c>
    </row>
    <row r="127" spans="1:24" ht="11.5" customHeight="1" x14ac:dyDescent="0.2">
      <c r="A127" s="7" t="str">
        <f ca="1">IF(ISERROR(F118),"",VLOOKUP(C118,INDIRECT($F$8),6+(O127-1)*3,0))</f>
        <v>AHT 000</v>
      </c>
      <c r="B127" s="24" t="str">
        <f ca="1">IF(ISERROR(F118),"",VLOOKUP(D118,INDIRECT($F$8),6+(O127-1)*3,0))</f>
        <v>Basic Mathematics (Bridge Course) ($)</v>
      </c>
      <c r="C127" s="24"/>
      <c r="D127" s="24"/>
      <c r="E127" s="24"/>
      <c r="F127" s="7">
        <f ca="1">IF(ISERROR(F118),"",VLOOKUP(E118,INDIRECT($F$8),6+(O127-1)*3,0))</f>
        <v>0</v>
      </c>
      <c r="G127" s="25" t="str">
        <f ca="1">IF(ISERROR(F118),"",_xlfn.TEXTJOIN("/",FALSE,P127,S127))</f>
        <v>47/100</v>
      </c>
      <c r="H127" s="25"/>
      <c r="I127" s="25" t="str">
        <f ca="1">IF(ISERROR(F118),"",_xlfn.TEXTJOIN("/",FALSE,Q127,T127))</f>
        <v>32/50</v>
      </c>
      <c r="J127" s="25"/>
      <c r="K127" s="25" t="str">
        <f ca="1">IF(ISERROR(F118),"",_xlfn.TEXTJOIN("/",FALSE,R127,U127))</f>
        <v>79/150</v>
      </c>
      <c r="L127" s="25"/>
      <c r="M127" s="7" t="str">
        <f ca="1">IF(ISERROR(F118)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E+</v>
      </c>
      <c r="N127" s="8">
        <f t="shared" ca="1" si="11"/>
        <v>5.5</v>
      </c>
      <c r="O127" cm="1">
        <f t="array" aca="1" ref="O127" ca="1">IF(NOT(ISBLANK(INDIRECT("SEM_I!R"&amp;INT((ROW(O127)-17)/22)+6))),5,
IF(NOT(ISBLANK(INDIRECT("SEM_I!U"&amp;INT((ROW(O127)-17)/22)+6))),6))</f>
        <v>5</v>
      </c>
      <c r="P127" s="1">
        <f ca="1">IF(ISERROR(F118),"",IF(ISTEXT(VLOOKUP(B118,INDIRECT($F$8),6+(O127-1)*3)),(VLOOKUP(B118,INDIRECT($F$8),6+(O127-1)*3)),SUM(VLOOKUP(B118,INDIRECT($F$8),6+(O127-1)*3),IF(W136,W127,0))))</f>
        <v>47</v>
      </c>
      <c r="Q127" s="1">
        <f ca="1">IF(ISERROR(F118),"",VLOOKUP(B118,INDIRECT($F$8),7+(O127-1)*3))</f>
        <v>32</v>
      </c>
      <c r="R127" s="1">
        <f ca="1">IF(ISERROR(F118),"",SUM(P127:Q127))</f>
        <v>79</v>
      </c>
      <c r="S127" s="1">
        <f ca="1">IF(ISERROR(F118),"",VLOOKUP(A118,INDIRECT($F$8),6+(O127-1)*3))</f>
        <v>100</v>
      </c>
      <c r="T127" s="1">
        <f ca="1">IF(ISERROR(F118),"",VLOOKUP(A118,INDIRECT($F$8),7+(O127-1)*3))</f>
        <v>50</v>
      </c>
      <c r="U127" s="1">
        <f ca="1">IF(ISERROR(F118),"",VLOOKUP(A118,INDIRECT($F$8),8+(O127-1)*3))</f>
        <v>150</v>
      </c>
      <c r="V127" s="1" t="str">
        <f ca="1">IF(ISERROR(F118),"",IF(N127=0,A127,""))</f>
        <v/>
      </c>
      <c r="W127" s="1">
        <f ca="1">IF(ISERROR(F118),"",IF(ISTEXT(VLOOKUP(B118,INDIRECT($F$8),6+(O127-1)*3)),11,IF(VLOOKUP(B118,INDIRECT($F$8),6+(O127-1)*3)&lt;S127*0.3,IF(VLOOKUP(B118,INDIRECT($F$8),8+(O127-1)*3)&lt;U127*0.4,IF(AND(0.4*U127-VLOOKUP(B118,INDIRECT($F$8),8+(O127-1)*3)&lt;=5,0.3*S127-VLOOKUP(B118,INDIRECT($F$8),6+(O127-1)*3)&lt;=5),MAX(0.4*U127-VLOOKUP(B118,INDIRECT($F$8),8+(O127-1)*3),0.3*S127-VLOOKUP(B118,INDIRECT($F$8),6+(O127-1)*3)),11),IF(0.3*S127-VLOOKUP(B118,INDIRECT($F$8),6+(O127-1)*3)&lt;=5,0.3*S127-VLOOKUP(B118,INDIRECT($F$8),6+(O127-1)*3),11)),IF(VLOOKUP(B118,INDIRECT($F$8),8+(O127-1)*3)&lt;U127*0.4,IF(U127*0.4-VLOOKUP(B118,INDIRECT($F$8),8+(O127-1)*3)&lt;=5,U127*0.4-VLOOKUP(B118,INDIRECT($F$8),8+(O127-1)*3),11),0))))</f>
        <v>0</v>
      </c>
      <c r="X127" s="1" t="str">
        <f ca="1">IF(ISERROR(F118),"",IF(W127=0,"",_xlfn.TEXTJOIN("",FALSE," G+",W127," in ",A127)))</f>
        <v/>
      </c>
    </row>
    <row r="128" spans="1:24" ht="11.5" customHeight="1" x14ac:dyDescent="0.2">
      <c r="A128" s="7" t="str">
        <f ca="1">IF(ISERROR(F118),"",VLOOKUP(C118,INDIRECT($F$8),6+(O128-1)*3,0))</f>
        <v>AHP 002</v>
      </c>
      <c r="B128" s="24" t="str">
        <f ca="1">IF(ISERROR(F118),"",VLOOKUP(D118,INDIRECT($F$8),6+(O128-1)*3,0))</f>
        <v>Engineering Chemistry Lab</v>
      </c>
      <c r="C128" s="24"/>
      <c r="D128" s="24"/>
      <c r="E128" s="24"/>
      <c r="F128" s="7">
        <f ca="1">IF(ISERROR(F118),"",VLOOKUP(E118,INDIRECT($F$8),6+(O128-1)*3,0))</f>
        <v>1</v>
      </c>
      <c r="G128" s="25" t="str">
        <f ca="1">IF(ISERROR(F118),"",_xlfn.TEXTJOIN("/",FALSE,P128,S128))</f>
        <v>20/25</v>
      </c>
      <c r="H128" s="25"/>
      <c r="I128" s="25" t="str">
        <f ca="1">IF(ISERROR(F118),"",_xlfn.TEXTJOIN("/",FALSE,Q128,T128))</f>
        <v>16/25</v>
      </c>
      <c r="J128" s="25"/>
      <c r="K128" s="25" t="str">
        <f ca="1">IF(ISERROR(F118),"",_xlfn.TEXTJOIN("/",FALSE,R128,U128))</f>
        <v>36/50</v>
      </c>
      <c r="L128" s="25"/>
      <c r="M128" s="7" t="str">
        <f ca="1">IF(ISERROR(F118)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C+</v>
      </c>
      <c r="N128" s="8">
        <f t="shared" ca="1" si="11"/>
        <v>7.5</v>
      </c>
      <c r="O128">
        <f ca="1">IF(O127&gt;0,7)</f>
        <v>7</v>
      </c>
      <c r="P128" s="1">
        <f ca="1">IF(ISERROR(F118),"",IF(ISTEXT(VLOOKUP(B118,INDIRECT($F$8),6+(O128-1)*3)),(VLOOKUP(B118,INDIRECT($F$8),6+(O128-1)*3)),SUM(VLOOKUP(B118,INDIRECT($F$8),6+(O128-1)*3),IF(W136,W128,0))))</f>
        <v>20</v>
      </c>
      <c r="Q128" s="1">
        <f ca="1">IF(ISERROR(F118),"",VLOOKUP(B118,INDIRECT($F$8),7+(O128-1)*3))</f>
        <v>16</v>
      </c>
      <c r="R128" s="1">
        <f ca="1">IF(ISERROR(F118),"",SUM(P128:Q128))</f>
        <v>36</v>
      </c>
      <c r="S128" s="1">
        <f ca="1">IF(ISERROR(F118),"",VLOOKUP(A118,INDIRECT($F$8),6+(O128-1)*3))</f>
        <v>25</v>
      </c>
      <c r="T128" s="1">
        <f ca="1">IF(ISERROR(F118),"",VLOOKUP(A118,INDIRECT($F$8),7+(O128-1)*3))</f>
        <v>25</v>
      </c>
      <c r="U128" s="1">
        <f ca="1">IF(ISERROR(F118),"",VLOOKUP(A118,INDIRECT($F$8),8+(O128-1)*3))</f>
        <v>50</v>
      </c>
      <c r="V128" s="1" t="str">
        <f ca="1">IF(ISERROR(F118),"",IF(N128=0,A128,""))</f>
        <v/>
      </c>
      <c r="W128" s="1">
        <f ca="1">IF(ISERROR(F118),"",IF(ISTEXT(VLOOKUP(B118,INDIRECT($F$8),6+(O128-1)*3)),11,IF(VLOOKUP(B118,INDIRECT($F$8),6+(O128-1)*3)&lt;S128*0.3,IF(VLOOKUP(B118,INDIRECT($F$8),8+(O128-1)*3)&lt;U128*0.4,IF(AND(0.4*U128-VLOOKUP(B118,INDIRECT($F$8),8+(O128-1)*3)&lt;=5,0.3*S128-VLOOKUP(B118,INDIRECT($F$8),6+(O128-1)*3)&lt;=5),MAX(0.4*U128-VLOOKUP(B118,INDIRECT($F$8),8+(O128-1)*3),0.3*S128-VLOOKUP(B118,INDIRECT($F$8),6+(O128-1)*3)),11),IF(0.3*S128-VLOOKUP(B118,INDIRECT($F$8),6+(O128-1)*3)&lt;=5,0.3*S128-VLOOKUP(B118,INDIRECT($F$8),6+(O128-1)*3),11)),IF(VLOOKUP(B118,INDIRECT($F$8),8+(O128-1)*3)&lt;U128*0.4,IF(U128*0.4-VLOOKUP(B118,INDIRECT($F$8),8+(O128-1)*3)&lt;=5,U128*0.4-VLOOKUP(B118,INDIRECT($F$8),8+(O128-1)*3),11),0))))</f>
        <v>0</v>
      </c>
      <c r="X128" s="1" t="str">
        <f ca="1">IF(ISERROR(F118),"",IF(W128=0,"",_xlfn.TEXTJOIN("",FALSE," G+",W128," in ",A128)))</f>
        <v/>
      </c>
    </row>
    <row r="129" spans="1:24" ht="11.5" customHeight="1" x14ac:dyDescent="0.2">
      <c r="A129" s="7" t="str">
        <f ca="1">IF(ISERROR(F118),"",VLOOKUP(C118,INDIRECT($F$8),6+(O129-1)*3,0))</f>
        <v>ECP 001</v>
      </c>
      <c r="B129" s="24" t="str">
        <f ca="1">IF(ISERROR(F118),"",VLOOKUP(D118,INDIRECT($F$8),6+(O129-1)*3,0))</f>
        <v>Basic Electronics Engineering Lab</v>
      </c>
      <c r="C129" s="24"/>
      <c r="D129" s="24"/>
      <c r="E129" s="24"/>
      <c r="F129" s="7">
        <f ca="1">IF(ISERROR(F118),"",VLOOKUP(E118,INDIRECT($F$8),6+(O129-1)*3,0))</f>
        <v>1</v>
      </c>
      <c r="G129" s="25" t="str">
        <f ca="1">IF(ISERROR(F118),"",_xlfn.TEXTJOIN("/",FALSE,P129,S129))</f>
        <v>23/25</v>
      </c>
      <c r="H129" s="25"/>
      <c r="I129" s="25" t="str">
        <f ca="1">IF(ISERROR(F118),"",_xlfn.TEXTJOIN("/",FALSE,Q129,T129))</f>
        <v>23/25</v>
      </c>
      <c r="J129" s="25"/>
      <c r="K129" s="25" t="str">
        <f ca="1">IF(ISERROR(F118),"",_xlfn.TEXTJOIN("/",FALSE,R129,U129))</f>
        <v>46/50</v>
      </c>
      <c r="L129" s="25"/>
      <c r="M129" s="7" t="str">
        <f ca="1">IF(ISERROR(F118),"",IF(ISTEXT(P129),IF(P129="A","Ab",IF(P129="D","Dt",IF(P129="UFM","UFM",IF(P129="NA","")))),IF(AND(ISBLANK(P129),ISBLANK(R129)),"",IF(P129&lt;0.3*S129,"F",IF(ISBLANK(R129),"",IF(ISTEXT(R129),R129,IF(R129&gt;=0.95*U129,"O",IF(R129&gt;=0.9*U129,"A+",IF(R129&gt;=0.85*U129,"A",IF(R129&gt;=0.8*U129,"B+",IF(R129&gt;=0.75*U129,"B",IF(R129&gt;=0.7*U129,"C+",IF(R129&gt;=0.65*U129,"C",IF(R129&gt;=0.6*U129,"D+",IF(R129&gt;=0.55*U129,"D",IF(R129&gt;=0.5*U129,"E+",IF(R129&gt;=0.45*U129,"E",IF(R129&gt;=0.4*U129,"P",IF(R129&lt;0.4*U129,"F",R129)))))))))))))))))))</f>
        <v>A+</v>
      </c>
      <c r="N129" s="8">
        <f t="shared" ca="1" si="11"/>
        <v>9.5</v>
      </c>
      <c r="O129">
        <f t="shared" ref="O129:O135" ca="1" si="12">O128+1</f>
        <v>8</v>
      </c>
      <c r="P129" s="1">
        <f ca="1">IF(ISERROR(F118),"",IF(ISTEXT(VLOOKUP(B118,INDIRECT($F$8),6+(O129-1)*3)),(VLOOKUP(B118,INDIRECT($F$8),6+(O129-1)*3)),SUM(VLOOKUP(B118,INDIRECT($F$8),6+(O129-1)*3),IF(W136,W129,0))))</f>
        <v>23</v>
      </c>
      <c r="Q129" s="1">
        <f ca="1">IF(ISERROR(F118),"",VLOOKUP(B118,INDIRECT($F$8),7+(O129-1)*3))</f>
        <v>23</v>
      </c>
      <c r="R129" s="1">
        <f ca="1">IF(ISERROR(F118),"",SUM(P129:Q129))</f>
        <v>46</v>
      </c>
      <c r="S129" s="1">
        <f ca="1">IF(ISERROR(F118),"",VLOOKUP(A118,INDIRECT($F$8),6+(O129-1)*3))</f>
        <v>25</v>
      </c>
      <c r="T129" s="1">
        <f ca="1">IF(ISERROR(F118),"",VLOOKUP(A118,INDIRECT($F$8),7+(O129-1)*3))</f>
        <v>25</v>
      </c>
      <c r="U129" s="1">
        <f ca="1">IF(ISERROR(F118),"",VLOOKUP(A118,INDIRECT($F$8),8+(O129-1)*3))</f>
        <v>50</v>
      </c>
      <c r="V129" s="1" t="str">
        <f ca="1">IF(ISERROR(F118),"",IF(N129=0,A129,""))</f>
        <v/>
      </c>
      <c r="W129" s="1">
        <f ca="1">IF(ISERROR(F118),"",IF(ISTEXT(VLOOKUP(B118,INDIRECT($F$8),6+(O129-1)*3)),11,IF(VLOOKUP(B118,INDIRECT($F$8),6+(O129-1)*3)&lt;S129*0.3,IF(VLOOKUP(B118,INDIRECT($F$8),8+(O129-1)*3)&lt;U129*0.4,IF(AND(0.4*U129-VLOOKUP(B118,INDIRECT($F$8),8+(O129-1)*3)&lt;=5,0.3*S129-VLOOKUP(B118,INDIRECT($F$8),6+(O129-1)*3)&lt;=5),MAX(0.4*U129-VLOOKUP(B118,INDIRECT($F$8),8+(O129-1)*3),0.3*S129-VLOOKUP(B118,INDIRECT($F$8),6+(O129-1)*3)),11),IF(0.3*S129-VLOOKUP(B118,INDIRECT($F$8),6+(O129-1)*3)&lt;=5,0.3*S129-VLOOKUP(B118,INDIRECT($F$8),6+(O129-1)*3),11)),IF(VLOOKUP(B118,INDIRECT($F$8),8+(O129-1)*3)&lt;U129*0.4,IF(U129*0.4-VLOOKUP(B118,INDIRECT($F$8),8+(O129-1)*3)&lt;=5,U129*0.4-VLOOKUP(B118,INDIRECT($F$8),8+(O129-1)*3),11),0))))</f>
        <v>0</v>
      </c>
      <c r="X129" s="1" t="str">
        <f ca="1">IF(ISERROR(F118),"",IF(W129=0,"",_xlfn.TEXTJOIN("",FALSE," G+",W129," in ",A129)))</f>
        <v/>
      </c>
    </row>
    <row r="130" spans="1:24" ht="11.5" customHeight="1" x14ac:dyDescent="0.2">
      <c r="A130" s="7" t="str">
        <f ca="1">IF(ISERROR(F118),"",VLOOKUP(C118,INDIRECT($F$8),6+(O130-1)*3,0))</f>
        <v>MEP 001</v>
      </c>
      <c r="B130" s="24" t="str">
        <f ca="1">IF(ISERROR(F118),"",VLOOKUP(D118,INDIRECT($F$8),6+(O130-1)*3,0))</f>
        <v>Basic Mechanical Engineering Lab</v>
      </c>
      <c r="C130" s="24"/>
      <c r="D130" s="24"/>
      <c r="E130" s="24"/>
      <c r="F130" s="7">
        <f ca="1">IF(ISERROR(F118),"",VLOOKUP(E118,INDIRECT($F$8),6+(O130-1)*3,0))</f>
        <v>1</v>
      </c>
      <c r="G130" s="25" t="str">
        <f ca="1">IF(ISERROR(F118),"",_xlfn.TEXTJOIN("/",FALSE,P130,S130))</f>
        <v>20/25</v>
      </c>
      <c r="H130" s="25"/>
      <c r="I130" s="25" t="str">
        <f ca="1">IF(ISERROR(F118),"",_xlfn.TEXTJOIN("/",FALSE,Q130,T130))</f>
        <v>20/25</v>
      </c>
      <c r="J130" s="25"/>
      <c r="K130" s="25" t="str">
        <f ca="1">IF(ISERROR(F118),"",_xlfn.TEXTJOIN("/",FALSE,R130,U130))</f>
        <v>40/50</v>
      </c>
      <c r="L130" s="25"/>
      <c r="M130" s="7" t="str">
        <f ca="1">IF(ISERROR(F118),"",IF(ISTEXT(P130),IF(P130="A","Ab",IF(P130="D","Dt",IF(P130="UFM","UFM",IF(P130="NA","")))),IF(AND(ISBLANK(P130),ISBLANK(R130)),"",IF(P130&lt;0.3*S130,"F",IF(ISBLANK(R130),"",IF(ISTEXT(R130),R130,IF(R130&gt;=0.95*U130,"O",IF(R130&gt;=0.9*U130,"A+",IF(R130&gt;=0.85*U130,"A",IF(R130&gt;=0.8*U130,"B+",IF(R130&gt;=0.75*U130,"B",IF(R130&gt;=0.7*U130,"C+",IF(R130&gt;=0.65*U130,"C",IF(R130&gt;=0.6*U130,"D+",IF(R130&gt;=0.55*U130,"D",IF(R130&gt;=0.5*U130,"E+",IF(R130&gt;=0.45*U130,"E",IF(R130&gt;=0.4*U130,"P",IF(R130&lt;0.4*U130,"F",R130)))))))))))))))))))</f>
        <v>B+</v>
      </c>
      <c r="N130" s="8">
        <f t="shared" ca="1" si="11"/>
        <v>8.5</v>
      </c>
      <c r="O130">
        <f t="shared" ca="1" si="12"/>
        <v>9</v>
      </c>
      <c r="P130" s="1">
        <f ca="1">IF(ISERROR(F118),"",IF(ISTEXT(VLOOKUP(B118,INDIRECT($F$8),6+(O130-1)*3)),(VLOOKUP(B118,INDIRECT($F$8),6+(O130-1)*3)),SUM(VLOOKUP(B118,INDIRECT($F$8),6+(O130-1)*3),IF(W136,W130,0))))</f>
        <v>20</v>
      </c>
      <c r="Q130" s="1">
        <f ca="1">IF(ISERROR(F118),"",VLOOKUP(B118,INDIRECT($F$8),7+(O130-1)*3))</f>
        <v>20</v>
      </c>
      <c r="R130" s="1">
        <f ca="1">IF(ISERROR(F118),"",SUM(P130:Q130))</f>
        <v>40</v>
      </c>
      <c r="S130" s="1">
        <f ca="1">IF(ISERROR(F118),"",VLOOKUP(A118,INDIRECT($F$8),6+(O130-1)*3))</f>
        <v>25</v>
      </c>
      <c r="T130" s="1">
        <f ca="1">IF(ISERROR(F118),"",VLOOKUP(A118,INDIRECT($F$8),7+(O130-1)*3))</f>
        <v>25</v>
      </c>
      <c r="U130" s="1">
        <f ca="1">IF(ISERROR(F118),"",VLOOKUP(A118,INDIRECT($F$8),8+(O130-1)*3))</f>
        <v>50</v>
      </c>
      <c r="V130" s="1" t="str">
        <f ca="1">IF(ISERROR(F118),"",IF(N130=0,A130,""))</f>
        <v/>
      </c>
      <c r="W130" s="1">
        <f ca="1">IF(ISERROR(F118),"",IF(ISTEXT(VLOOKUP(B118,INDIRECT($F$8),6+(O130-1)*3)),11,IF(VLOOKUP(B118,INDIRECT($F$8),6+(O130-1)*3)&lt;S130*0.3,IF(VLOOKUP(B118,INDIRECT($F$8),8+(O130-1)*3)&lt;U130*0.4,IF(AND(0.4*U130-VLOOKUP(B118,INDIRECT($F$8),8+(O130-1)*3)&lt;=5,0.3*S130-VLOOKUP(B118,INDIRECT($F$8),6+(O130-1)*3)&lt;=5),MAX(0.4*U130-VLOOKUP(B118,INDIRECT($F$8),8+(O130-1)*3),0.3*S130-VLOOKUP(B118,INDIRECT($F$8),6+(O130-1)*3)),11),IF(0.3*S130-VLOOKUP(B118,INDIRECT($F$8),6+(O130-1)*3)&lt;=5,0.3*S130-VLOOKUP(B118,INDIRECT($F$8),6+(O130-1)*3),11)),IF(VLOOKUP(B118,INDIRECT($F$8),8+(O130-1)*3)&lt;U130*0.4,IF(U130*0.4-VLOOKUP(B118,INDIRECT($F$8),8+(O130-1)*3)&lt;=5,U130*0.4-VLOOKUP(B118,INDIRECT($F$8),8+(O130-1)*3),11),0))))</f>
        <v>0</v>
      </c>
      <c r="X130" s="1" t="str">
        <f ca="1">IF(ISERROR(F118),"",IF(W130=0,"",_xlfn.TEXTJOIN("",FALSE," G+",W130," in ",A130)))</f>
        <v/>
      </c>
    </row>
    <row r="131" spans="1:24" ht="11.5" customHeight="1" x14ac:dyDescent="0.2">
      <c r="A131" s="7" t="str">
        <f ca="1">IF(ISERROR(F118),"",VLOOKUP(C118,INDIRECT($F$8),6+(O131-1)*3,0))</f>
        <v>MEP 003</v>
      </c>
      <c r="B131" s="24" t="str">
        <f ca="1">IF(ISERROR(F118),"",VLOOKUP(D118,INDIRECT($F$8),6+(O131-1)*3-Z131,0))</f>
        <v>Workshop Practices Lab</v>
      </c>
      <c r="C131" s="24"/>
      <c r="D131" s="24"/>
      <c r="E131" s="24"/>
      <c r="F131" s="7">
        <f ca="1">IF(ISERROR(F118),"",VLOOKUP(E118,INDIRECT($F$8),6+(O131-1)*3,0))</f>
        <v>2</v>
      </c>
      <c r="G131" s="25" t="str">
        <f ca="1">IF(ISERROR(F118),"",_xlfn.TEXTJOIN("/",FALSE,P131,S131))</f>
        <v>47/50</v>
      </c>
      <c r="H131" s="25"/>
      <c r="I131" s="25" t="str">
        <f ca="1">IF(ISERROR(F118),"",_xlfn.TEXTJOIN("/",FALSE,Q131,T131))</f>
        <v>44/50</v>
      </c>
      <c r="J131" s="25"/>
      <c r="K131" s="25" t="str">
        <f ca="1">IF(ISERROR(F118),"",_xlfn.TEXTJOIN("/",FALSE,R131,U131))</f>
        <v>91/100</v>
      </c>
      <c r="L131" s="25"/>
      <c r="M131" s="7" t="str">
        <f ca="1">IF(ISERROR(F118),"",IF(ISTEXT(P131),IF(P131="A","Ab",IF(P131="D","Dt",IF(P131="UFM","UFM",IF(P131="NA","")))),IF(AND(ISBLANK(P131),ISBLANK(R131)),"",IF(P131&lt;0.3*S131,"F",IF(ISBLANK(R131),"",IF(ISTEXT(R131),R131,IF(R131&gt;=0.95*U131,"O",IF(R131&gt;=0.9*U131,"A+",IF(R131&gt;=0.85*U131,"A",IF(R131&gt;=0.8*U131,"B+",IF(R131&gt;=0.75*U131,"B",IF(R131&gt;=0.7*U131,"C+",IF(R131&gt;=0.65*U131,"C",IF(R131&gt;=0.6*U131,"D+",IF(R131&gt;=0.55*U131,"D",IF(R131&gt;=0.5*U131,"E+",IF(R131&gt;=0.45*U131,"E",IF(R131&gt;=0.4*U131,"P",IF(R131&lt;0.4*U131,"F",R131)))))))))))))))))))</f>
        <v>A+</v>
      </c>
      <c r="N131" s="8">
        <f t="shared" ca="1" si="11"/>
        <v>9.5</v>
      </c>
      <c r="O131">
        <f t="shared" ca="1" si="12"/>
        <v>10</v>
      </c>
      <c r="P131" s="1">
        <f ca="1">IF(ISERROR(F118),"",IF(ISTEXT(VLOOKUP(B118,INDIRECT($F$8),6+(O131-1)*3)),(VLOOKUP(B118,INDIRECT($F$8),6+(O131-1)*3)),SUM(VLOOKUP(B118,INDIRECT($F$8),6+(O131-1)*3),IF(W136,W131,0))))</f>
        <v>47</v>
      </c>
      <c r="Q131" s="1">
        <f ca="1">IF(ISERROR(F118),"",VLOOKUP(B118,INDIRECT($F$8),7+(O131-1)*3))</f>
        <v>44</v>
      </c>
      <c r="R131" s="1">
        <f ca="1">IF(ISERROR(F118),"",SUM(P131:Q131))</f>
        <v>91</v>
      </c>
      <c r="S131" s="1">
        <f ca="1">IF(ISERROR(F118),"",VLOOKUP(A118,INDIRECT($F$8),6+(O131-1)*3))</f>
        <v>50</v>
      </c>
      <c r="T131" s="1">
        <f ca="1">IF(ISERROR(F118),"",VLOOKUP(A118,INDIRECT($F$8),7+(O131-1)*3))</f>
        <v>50</v>
      </c>
      <c r="U131" s="1">
        <f ca="1">IF(ISERROR(F118),"",VLOOKUP(A118,INDIRECT($F$8),8+(O131-1)*3))</f>
        <v>100</v>
      </c>
      <c r="V131" s="1" t="str">
        <f ca="1">IF(ISERROR(F118),"",IF(N131=0,A131,""))</f>
        <v/>
      </c>
      <c r="W131" s="1">
        <f ca="1">IF(ISERROR(F118),"",IF(ISTEXT(VLOOKUP(B118,INDIRECT($F$8),6+(O131-1)*3)),11,IF(VLOOKUP(B118,INDIRECT($F$8),6+(O131-1)*3)&lt;S131*0.3,IF(VLOOKUP(B118,INDIRECT($F$8),8+(O131-1)*3)&lt;U131*0.4,IF(AND(0.4*U131-VLOOKUP(B118,INDIRECT($F$8),8+(O131-1)*3)&lt;=5,0.3*S131-VLOOKUP(B118,INDIRECT($F$8),6+(O131-1)*3)&lt;=5),MAX(0.4*U131-VLOOKUP(B118,INDIRECT($F$8),8+(O131-1)*3),0.3*S131-VLOOKUP(B118,INDIRECT($F$8),6+(O131-1)*3)),11),IF(0.3*S131-VLOOKUP(B118,INDIRECT($F$8),6+(O131-1)*3)&lt;=5,0.3*S131-VLOOKUP(B118,INDIRECT($F$8),6+(O131-1)*3),11)),IF(VLOOKUP(B118,INDIRECT($F$8),8+(O131-1)*3)&lt;U131*0.4,IF(U131*0.4-VLOOKUP(B118,INDIRECT($F$8),8+(O131-1)*3)&lt;=5,U131*0.4-VLOOKUP(B118,INDIRECT($F$8),8+(O131-1)*3),11),0))))</f>
        <v>0</v>
      </c>
      <c r="X131" s="1" t="str">
        <f ca="1">IF(ISERROR(F118),"",IF(W131=0,"",_xlfn.TEXTJOIN("",FALSE," G+",W131," in ",A131)))</f>
        <v/>
      </c>
    </row>
    <row r="132" spans="1:24" ht="11.5" customHeight="1" x14ac:dyDescent="0.2">
      <c r="A132" s="7" t="str">
        <f ca="1">IF(ISERROR(F118),"",VLOOKUP(C118,INDIRECT($F$8),6+(O132-1)*3,0))</f>
        <v>AHP 004</v>
      </c>
      <c r="B132" s="24" t="str">
        <f ca="1">IF(ISERROR(F118),"",VLOOKUP(D118,INDIRECT($F$8),6+(O132-1)*3-Z132,0))</f>
        <v>Emerging Technologies in Engineering Lab</v>
      </c>
      <c r="C132" s="24"/>
      <c r="D132" s="24"/>
      <c r="E132" s="24"/>
      <c r="F132" s="7">
        <f ca="1">IF(ISERROR(F118),"",VLOOKUP(E118,INDIRECT($F$8),6+(O132-1)*3,0))</f>
        <v>1</v>
      </c>
      <c r="G132" s="25" t="str">
        <f ca="1">IF(ISERROR(F118),"",_xlfn.TEXTJOIN("/",FALSE,P132,S132))</f>
        <v>22/25</v>
      </c>
      <c r="H132" s="25"/>
      <c r="I132" s="25" t="str">
        <f ca="1">IF(ISERROR(F118),"",_xlfn.TEXTJOIN("/",FALSE,Q132,T132))</f>
        <v>23/25</v>
      </c>
      <c r="J132" s="25"/>
      <c r="K132" s="25" t="str">
        <f ca="1">IF(ISERROR(F118),"",_xlfn.TEXTJOIN("/",FALSE,R132,U132))</f>
        <v>45/50</v>
      </c>
      <c r="L132" s="25"/>
      <c r="M132" s="7" t="str">
        <f ca="1">IF(ISERROR(F118),"",IF(ISTEXT(P132),IF(P132="A","Ab",IF(P132="D","Dt",IF(P132="UFM","UFM",IF(P132="NA","")))),IF(AND(ISBLANK(P132),ISBLANK(R132)),"",IF(P132&lt;0.3*S132,"F",IF(ISBLANK(R132),"",IF(ISTEXT(R132),R132,IF(R132&gt;=0.95*U132,"O",IF(R132&gt;=0.9*U132,"A+",IF(R132&gt;=0.85*U132,"A",IF(R132&gt;=0.8*U132,"B+",IF(R132&gt;=0.75*U132,"B",IF(R132&gt;=0.7*U132,"C+",IF(R132&gt;=0.65*U132,"C",IF(R132&gt;=0.6*U132,"D+",IF(R132&gt;=0.55*U132,"D",IF(R132&gt;=0.5*U132,"E+",IF(R132&gt;=0.45*U132,"E",IF(R132&gt;=0.4*U132,"P",IF(R132&lt;0.4*U132,"F",R132)))))))))))))))))))</f>
        <v>A+</v>
      </c>
      <c r="N132" s="8">
        <f t="shared" ca="1" si="11"/>
        <v>9.5</v>
      </c>
      <c r="O132">
        <f t="shared" ca="1" si="12"/>
        <v>11</v>
      </c>
      <c r="P132" s="1">
        <f ca="1">IF(ISERROR(F118),"",IF(ISTEXT(VLOOKUP(B118,INDIRECT($F$8),6+(O132-1)*3)),(VLOOKUP(B118,INDIRECT($F$8),6+(O132-1)*3)),SUM(VLOOKUP(B118,INDIRECT($F$8),6+(O132-1)*3),IF(W136,W132,0))))</f>
        <v>22</v>
      </c>
      <c r="Q132" s="1">
        <f ca="1">IF(ISERROR(F118),"",VLOOKUP(B118,INDIRECT($F$8),7+(O132-1)*3))</f>
        <v>23</v>
      </c>
      <c r="R132" s="1">
        <f ca="1">IF(ISERROR(F118),"",SUM(P132:Q132))</f>
        <v>45</v>
      </c>
      <c r="S132" s="1">
        <f ca="1">IF(ISERROR(F118),"",VLOOKUP(A118,INDIRECT($F$8),6+(O132-1)*3))</f>
        <v>25</v>
      </c>
      <c r="T132" s="1">
        <f ca="1">IF(ISERROR(F118),"",VLOOKUP(A118,INDIRECT($F$8),7+(O132-1)*3))</f>
        <v>25</v>
      </c>
      <c r="U132" s="1">
        <f ca="1">IF(ISERROR(F118),"",VLOOKUP(A118,INDIRECT($F$8),8+(O132-1)*3))</f>
        <v>50</v>
      </c>
      <c r="V132" s="1" t="str">
        <f ca="1">IF(ISERROR(F118),"",IF(N132=0,A132,""))</f>
        <v/>
      </c>
      <c r="W132" s="1">
        <f ca="1">IF(ISERROR(F118),"",IF(ISTEXT(VLOOKUP(B118,INDIRECT($F$8),6+(O132-1)*3)),11,IF(VLOOKUP(B118,INDIRECT($F$8),6+(O132-1)*3)&lt;S132*0.3,IF(VLOOKUP(B118,INDIRECT($F$8),8+(O132-1)*3)&lt;U132*0.4,IF(AND(0.4*U132-VLOOKUP(B118,INDIRECT($F$8),8+(O132-1)*3)&lt;=5,0.3*S132-VLOOKUP(B118,INDIRECT($F$8),6+(O132-1)*3)&lt;=5),MAX(0.4*U132-VLOOKUP(B118,INDIRECT($F$8),8+(O132-1)*3),0.3*S132-VLOOKUP(B118,INDIRECT($F$8),6+(O132-1)*3)),11),IF(0.3*S132-VLOOKUP(B118,INDIRECT($F$8),6+(O132-1)*3)&lt;=5,0.3*S132-VLOOKUP(B118,INDIRECT($F$8),6+(O132-1)*3),11)),IF(VLOOKUP(B118,INDIRECT($F$8),8+(O132-1)*3)&lt;U132*0.4,IF(U132*0.4-VLOOKUP(B118,INDIRECT($F$8),8+(O132-1)*3)&lt;=5,U132*0.4-VLOOKUP(B118,INDIRECT($F$8),8+(O132-1)*3),11),0))))</f>
        <v>0</v>
      </c>
      <c r="X132" s="1" t="str">
        <f ca="1">IF(ISERROR(F118),"",IF(W132=0,"",_xlfn.TEXTJOIN("",FALSE," G+",W132," in ",A132)))</f>
        <v/>
      </c>
    </row>
    <row r="133" spans="1:24" ht="11.5" customHeight="1" x14ac:dyDescent="0.2">
      <c r="A133" s="7" t="str">
        <f ca="1">IF(ISERROR(F118),"",VLOOKUP(C118,INDIRECT($F$8),6+(O133-1)*3,0))</f>
        <v>CSP 002</v>
      </c>
      <c r="B133" s="24" t="str">
        <f ca="1">IF(ISERROR(F118),"",VLOOKUP(D118,INDIRECT($F$8),6+(O133-1)*3,0))</f>
        <v>Computer Applications and IOT</v>
      </c>
      <c r="C133" s="24"/>
      <c r="D133" s="24"/>
      <c r="E133" s="24"/>
      <c r="F133" s="7">
        <f ca="1">IF(ISERROR(F118),"",VLOOKUP(E118,INDIRECT($F$8),6+(O133-1)*3,0))</f>
        <v>1</v>
      </c>
      <c r="G133" s="25" t="str">
        <f ca="1">IF(ISERROR(F118),"",_xlfn.TEXTJOIN("/",FALSE,P133,S133))</f>
        <v>22/25</v>
      </c>
      <c r="H133" s="25"/>
      <c r="I133" s="25" t="str">
        <f ca="1">IF(ISERROR(F118),"",_xlfn.TEXTJOIN("/",FALSE,Q133,T133))</f>
        <v>22/25</v>
      </c>
      <c r="J133" s="25"/>
      <c r="K133" s="25" t="str">
        <f ca="1">IF(ISERROR(F118),"",_xlfn.TEXTJOIN("/",FALSE,R133,U133))</f>
        <v>44/50</v>
      </c>
      <c r="L133" s="25"/>
      <c r="M133" s="7" t="str">
        <f ca="1">IF(ISERROR(F118),"",IF(ISTEXT(P133),IF(P133="A","Ab",IF(P133="D","Dt",IF(P133="UFM","UFM",IF(P133="NA","")))),IF(AND(ISBLANK(P133),ISBLANK(R133)),"",IF(P133&lt;0.3*S133,"F",IF(ISBLANK(R133),"",IF(ISTEXT(R133),R133,IF(R133&gt;=0.95*U133,"O",IF(R133&gt;=0.9*U133,"A+",IF(R133&gt;=0.85*U133,"A",IF(R133&gt;=0.8*U133,"B+",IF(R133&gt;=0.75*U133,"B",IF(R133&gt;=0.7*U133,"C+",IF(R133&gt;=0.65*U133,"C",IF(R133&gt;=0.6*U133,"D+",IF(R133&gt;=0.55*U133,"D",IF(R133&gt;=0.5*U133,"E+",IF(R133&gt;=0.45*U133,"E",IF(R133&gt;=0.4*U133,"P",IF(R133&lt;0.4*U133,"F",R133)))))))))))))))))))</f>
        <v>A</v>
      </c>
      <c r="N133" s="8">
        <f t="shared" ca="1" si="11"/>
        <v>9</v>
      </c>
      <c r="O133">
        <f t="shared" ca="1" si="12"/>
        <v>12</v>
      </c>
      <c r="P133" s="1">
        <f ca="1">IF(ISERROR(F118),"",IF(ISTEXT(VLOOKUP(B118,INDIRECT($F$8),6+(O133-1)*3)),(VLOOKUP(B118,INDIRECT($F$8),6+(O133-1)*3)),SUM(VLOOKUP(B118,INDIRECT($F$8),6+(O133-1)*3),IF(W136,W133,0))))</f>
        <v>22</v>
      </c>
      <c r="Q133" s="1">
        <f ca="1">IF(ISERROR(F118),"",VLOOKUP(B118,INDIRECT($F$8),7+(O133-1)*3))</f>
        <v>22</v>
      </c>
      <c r="R133" s="1">
        <f ca="1">IF(ISERROR(F118),"",SUM(P133:Q133))</f>
        <v>44</v>
      </c>
      <c r="S133" s="1">
        <f ca="1">IF(ISERROR(F118),"",VLOOKUP(A118,INDIRECT($F$8),6+(O133-1)*3))</f>
        <v>25</v>
      </c>
      <c r="T133" s="1">
        <f ca="1">IF(ISERROR(F118),"",VLOOKUP(A118,INDIRECT($F$8),7+(O133-1)*3))</f>
        <v>25</v>
      </c>
      <c r="U133" s="1">
        <f ca="1">IF(ISERROR(F118),"",VLOOKUP(A118,INDIRECT($F$8),8+(O133-1)*3))</f>
        <v>50</v>
      </c>
      <c r="V133" s="1" t="str">
        <f ca="1">IF(ISERROR(F118),"",IF(N133=0,A133,""))</f>
        <v/>
      </c>
      <c r="W133" s="1">
        <f ca="1">IF(ISERROR(F118),"",IF(ISTEXT(VLOOKUP(B118,INDIRECT($F$8),6+(O133-1)*3)),11,IF(VLOOKUP(B118,INDIRECT($F$8),6+(O133-1)*3)&lt;S133*0.3,IF(VLOOKUP(B118,INDIRECT($F$8),8+(O133-1)*3)&lt;U133*0.4,IF(AND(0.4*U133-VLOOKUP(B118,INDIRECT($F$8),8+(O133-1)*3)&lt;=5,0.3*S133-VLOOKUP(B118,INDIRECT($F$8),6+(O133-1)*3)&lt;=5),MAX(0.4*U133-VLOOKUP(B118,INDIRECT($F$8),8+(O133-1)*3),0.3*S133-VLOOKUP(B118,INDIRECT($F$8),6+(O133-1)*3)),11),IF(0.3*S133-VLOOKUP(B118,INDIRECT($F$8),6+(O133-1)*3)&lt;=5,0.3*S133-VLOOKUP(B118,INDIRECT($F$8),6+(O133-1)*3),11)),IF(VLOOKUP(B118,INDIRECT($F$8),8+(O133-1)*3)&lt;U133*0.4,IF(U133*0.4-VLOOKUP(B118,INDIRECT($F$8),8+(O133-1)*3)&lt;=5,U133*0.4-VLOOKUP(B118,INDIRECT($F$8),8+(O133-1)*3),11),0))))</f>
        <v>0</v>
      </c>
      <c r="X133" s="1" t="str">
        <f ca="1">IF(ISERROR(F118),"",IF(W133=0,"",_xlfn.TEXTJOIN("",FALSE," G+",W133," in ",A133)))</f>
        <v/>
      </c>
    </row>
    <row r="134" spans="1:24" ht="11.5" customHeight="1" x14ac:dyDescent="0.2">
      <c r="A134" s="7" t="str">
        <f ca="1">IF(ISERROR(F118),"",VLOOKUP(C118,INDIRECT($F$8),6+(O134-1)*3,0))</f>
        <v>AHP 006</v>
      </c>
      <c r="B134" s="24" t="str">
        <f ca="1">IF(ISERROR(F118),"",VLOOKUP(D118,INDIRECT($F$8),6+(O134-1)*3,0))</f>
        <v>English Language Lab ($)</v>
      </c>
      <c r="C134" s="24"/>
      <c r="D134" s="24"/>
      <c r="E134" s="24"/>
      <c r="F134" s="7">
        <f ca="1">IF(ISERROR(F118),"",VLOOKUP(E118,INDIRECT($F$8),6+(O134-1)*3,0))</f>
        <v>0</v>
      </c>
      <c r="G134" s="25" t="str">
        <f ca="1">IF(ISERROR(F118),"",_xlfn.TEXTJOIN("/",FALSE,P134,S134))</f>
        <v>19/25</v>
      </c>
      <c r="H134" s="25"/>
      <c r="I134" s="25" t="str">
        <f ca="1">IF(ISERROR(F118),"",_xlfn.TEXTJOIN("/",FALSE,Q134,T134))</f>
        <v>37/50</v>
      </c>
      <c r="J134" s="25"/>
      <c r="K134" s="25" t="str">
        <f ca="1">IF(ISERROR(F118),"",_xlfn.TEXTJOIN("/",FALSE,R134,U134))</f>
        <v>56/75</v>
      </c>
      <c r="L134" s="25"/>
      <c r="M134" s="7" t="str">
        <f ca="1">IF(ISERROR(F118),"",IF(ISTEXT(P134),IF(P134="A","Ab",IF(P134="D","Dt",IF(P134="UFM","UFM",IF(P134="NA","")))),IF(AND(ISBLANK(P134),ISBLANK(R134)),"",IF(P134&lt;0.3*S134,"F",IF(ISBLANK(R134),"",IF(ISTEXT(R134),R134,IF(R134&gt;=0.95*U134,"O",IF(R134&gt;=0.9*U134,"A+",IF(R134&gt;=0.85*U134,"A",IF(R134&gt;=0.8*U134,"B+",IF(R134&gt;=0.75*U134,"B",IF(R134&gt;=0.7*U134,"C+",IF(R134&gt;=0.65*U134,"C",IF(R134&gt;=0.6*U134,"D+",IF(R134&gt;=0.55*U134,"D",IF(R134&gt;=0.5*U134,"E+",IF(R134&gt;=0.45*U134,"E",IF(R134&gt;=0.4*U134,"P",IF(R134&lt;0.4*U134,"F",R134)))))))))))))))))))</f>
        <v>C+</v>
      </c>
      <c r="N134" s="8">
        <f ca="1">INDEX($Z$2:$Z$17,MATCH(M134,$Y$2:$Y$17,0))</f>
        <v>7.5</v>
      </c>
      <c r="O134">
        <f t="shared" ca="1" si="12"/>
        <v>13</v>
      </c>
      <c r="P134" s="1">
        <f ca="1">IF(ISERROR(F118),"",IF(ISTEXT(VLOOKUP(B118,INDIRECT($F$8),6+(O134-1)*3)),(VLOOKUP(B118,INDIRECT($F$8),6+(O134-1)*3)),SUM(VLOOKUP(B118,INDIRECT($F$8),6+(O134-1)*3),IF(W136,W134,0))))</f>
        <v>19</v>
      </c>
      <c r="Q134" s="1">
        <f ca="1">IF(ISERROR(F118),"",VLOOKUP(B118,INDIRECT($F$8),7+(O134-1)*3))</f>
        <v>37</v>
      </c>
      <c r="R134" s="1">
        <f ca="1">IF(ISERROR(F118),"",SUM(P134:Q134))</f>
        <v>56</v>
      </c>
      <c r="S134" s="1">
        <f ca="1">IF(ISERROR(F118),"",VLOOKUP(A118,INDIRECT($F$8),6+(O134-1)*3))</f>
        <v>25</v>
      </c>
      <c r="T134" s="1">
        <f ca="1">IF(ISERROR(F118),"",VLOOKUP(A118,INDIRECT($F$8),7+(O134-1)*3))</f>
        <v>50</v>
      </c>
      <c r="U134" s="1">
        <f ca="1">IF(ISERROR(F118),"",VLOOKUP(A118,INDIRECT($F$8),8+(O134-1)*3))</f>
        <v>75</v>
      </c>
      <c r="V134" s="1"/>
      <c r="W134" s="1">
        <f ca="1">IF(ISERROR(F118),"",IF(ISTEXT(VLOOKUP(B118,INDIRECT($F$8),6+(O134-1)*3)),11,IF(VLOOKUP(B118,INDIRECT($F$8),6+(O134-1)*3)&lt;S134*0.3,IF(VLOOKUP(B118,INDIRECT($F$8),8+(O134-1)*3)&lt;U134*0.4,IF(AND(0.4*U134-VLOOKUP(B118,INDIRECT($F$8),8+(O134-1)*3)&lt;=5,0.3*S134-VLOOKUP(B118,INDIRECT($F$8),6+(O134-1)*3)&lt;=5),MAX(0.4*U134-VLOOKUP(B118,INDIRECT($F$8),8+(O134-1)*3),0.3*S134-VLOOKUP(B118,INDIRECT($F$8),6+(O134-1)*3)),11),IF(0.3*S134-VLOOKUP(B118,INDIRECT($F$8),6+(O134-1)*3)&lt;=5,0.3*S134-VLOOKUP(B118,INDIRECT($F$8),6+(O134-1)*3),11)),IF(VLOOKUP(B118,INDIRECT($F$8),8+(O134-1)*3)&lt;U134*0.4,IF(U134*0.4-VLOOKUP(B118,INDIRECT($F$8),8+(O134-1)*3)&lt;=5,U134*0.4-VLOOKUP(B118,INDIRECT($F$8),8+(O134-1)*3),11),0))))</f>
        <v>0</v>
      </c>
      <c r="X134" s="1" t="str">
        <f ca="1">IF(ISERROR(F118),"",IF(W134=0,"",_xlfn.TEXTJOIN("",FALSE," G+",W134," in ",A134)))</f>
        <v/>
      </c>
    </row>
    <row r="135" spans="1:24" ht="11.5" customHeight="1" x14ac:dyDescent="0.2">
      <c r="A135" s="7" t="str">
        <f ca="1">IF(ISERROR(F118),"",VLOOKUP(C118,INDIRECT($F$8),6+(O135-1)*3-Y135,0))</f>
        <v>GP 01</v>
      </c>
      <c r="B135" s="24" t="str">
        <f ca="1">IF(ISERROR(F118),"",VLOOKUP(D118,INDIRECT($F$8),6+(O135-1)*3-Z135,0))</f>
        <v>General Proficiency ($)</v>
      </c>
      <c r="C135" s="24"/>
      <c r="D135" s="24"/>
      <c r="E135" s="24"/>
      <c r="F135" s="7">
        <f ca="1">IF(ISERROR(F118),"",VLOOKUP(E118,INDIRECT($F$8),6+(O135-1)*3-AA135,0))</f>
        <v>0</v>
      </c>
      <c r="G135" s="25" t="str">
        <f ca="1">IF(ISERROR(F118),"","-")</f>
        <v>-</v>
      </c>
      <c r="H135" s="25"/>
      <c r="I135" s="25" t="str">
        <f ca="1">IF(ISERROR(F118),"",_xlfn.TEXTJOIN("/",FALSE,Q135,T135))</f>
        <v>47/50</v>
      </c>
      <c r="J135" s="25"/>
      <c r="K135" s="25" t="str">
        <f ca="1">IF(ISERROR(F118),"",_xlfn.TEXTJOIN("/",FALSE,R135,U135))</f>
        <v>47/50</v>
      </c>
      <c r="L135" s="25"/>
      <c r="M135" s="25" t="str">
        <f ca="1">IF(ISBLANK(R135),"",IF(ISTEXT(R135),R135,IF(R135&gt;=0.8*U135,"Excellent",IF(R135&gt;=0.6*U135,"Very Good",IF(R135&gt;=0.4*U135,"Good",IF(R135&gt;=0.2*U135,"Satisfactory","Average"))))))</f>
        <v>Excellent</v>
      </c>
      <c r="N135" s="25"/>
      <c r="O135">
        <f t="shared" ca="1" si="12"/>
        <v>14</v>
      </c>
      <c r="P135" s="1">
        <f ca="1">IF(ISERROR(F118),"",IF(ISTEXT(VLOOKUP(B\28,INDIRECT($F$8),6+(O135-1)*3)),(VLOOKUP(B118,INDIRECT($F$8),6+(O135-1)*3)),SUM(VLOOKUP(B118,INDIRECT($F$8),6+(O135-1)*3),IF(W136,W136,0))))</f>
        <v>0</v>
      </c>
      <c r="Q135" s="1">
        <f ca="1">IF(ISERROR(F118),"",VLOOKUP(B118,INDIRECT($F$8),7+(O135-1)*3))</f>
        <v>47</v>
      </c>
      <c r="R135" s="1">
        <f ca="1">IF(ISERROR(F118),"",SUM(P135:Q135))</f>
        <v>47</v>
      </c>
      <c r="S135" s="1">
        <f ca="1">IF(ISERROR(F118),"",VLOOKUP(A118,INDIRECT($F$8),6+(O135-1)*3))</f>
        <v>0</v>
      </c>
      <c r="T135" s="1">
        <f ca="1">IF(ISERROR(F118),"",VLOOKUP(A118,INDIRECT($F$8),7+(O135-1)*3))</f>
        <v>50</v>
      </c>
      <c r="U135" s="1">
        <f ca="1">IF(ISERROR(F118),"",VLOOKUP(A118,INDIRECT($F$8),8+(O135-1)*3))</f>
        <v>50</v>
      </c>
      <c r="V135" s="1"/>
      <c r="W135" s="1"/>
      <c r="X135" s="1" t="str">
        <f ca="1">IF(ISERROR(F118),"",IF(W135=0,"",_xlfn.TEXTJOIN("",FALSE," G+",W135," in ",A135)))</f>
        <v/>
      </c>
    </row>
    <row r="136" spans="1:24" ht="11.5" customHeight="1" x14ac:dyDescent="0.2">
      <c r="A136" s="26" t="str">
        <f ca="1">IF(ISERROR(F118),"",A114)</f>
        <v>Total Credits/ Marks/ Total Grade Points</v>
      </c>
      <c r="B136" s="26"/>
      <c r="C136" s="26"/>
      <c r="D136" s="26"/>
      <c r="E136" s="26"/>
      <c r="F136" s="10">
        <f ca="1">IF(ISERROR(F118),"",SUM(F123:F134))</f>
        <v>23</v>
      </c>
      <c r="G136" s="27" t="str">
        <f ca="1">IF(ISERROR(F118),"",_xlfn.TEXTJOIN("/",TRUE,SUMIF(F123:F135,"&gt;0",P123:P135),SUMIF(F123:F135,"&gt;0",S123:S135)))</f>
        <v>333/575</v>
      </c>
      <c r="H136" s="27"/>
      <c r="I136" s="27" t="str">
        <f ca="1">IF(ISERROR(F118),"",_xlfn.TEXTJOIN("/",TRUE,SUMIF(F123:F135,"&gt;0",Q123:Q135),SUMIF(F123:F135,"&gt;0",T123:T135)))</f>
        <v>278/375</v>
      </c>
      <c r="J136" s="27"/>
      <c r="K136" s="27" t="str">
        <f ca="1">IF(ISERROR(F118),"",_xlfn.TEXTJOIN("/",TRUE,SUMIF(F123:F135,"&gt;0",R123:R135),SUMIF(F123:F135,"&gt;0",U123:U135)))</f>
        <v>611/950</v>
      </c>
      <c r="L136" s="27"/>
      <c r="M136" s="26">
        <f ca="1">IF(ISERROR(F118),"",SUMPRODUCT(N123:N134,F123:F134))</f>
        <v>135</v>
      </c>
      <c r="N136" s="26"/>
      <c r="V136" s="1" t="str">
        <f ca="1">_xlfn.TEXTJOIN(", ",TRUE,V123:V135)</f>
        <v>AHT 003</v>
      </c>
      <c r="W136" t="b">
        <f ca="1">IF(SUM(W123:W135)&lt;=W122,TRUE,FALSE)</f>
        <v>0</v>
      </c>
      <c r="X136" s="1" t="str">
        <f ca="1">IF(ISERROR(F118),"",_xlfn.TEXTJOIN(",",TRUE,X123:X135))</f>
        <v xml:space="preserve"> G+11 in AHT 003</v>
      </c>
    </row>
    <row r="137" spans="1:24" ht="11.5" customHeight="1" x14ac:dyDescent="0.2">
      <c r="A137" s="26" t="str">
        <f ca="1">IF(ISERROR(F118),"",A115)</f>
        <v>Result:</v>
      </c>
      <c r="B137" s="28" t="str" cm="1">
        <f t="array" aca="1" ref="B137" ca="1">IF(SUM(COUNTIF(M123:M134,{"Ab","Dt"}))=12, "Not Promoted to IInd Semester", IF(V136="", "PASS", "CARRY OVER"))</f>
        <v>CARRY OVER</v>
      </c>
      <c r="C137" s="28"/>
      <c r="D137" s="26" t="str">
        <f ca="1">IF(ISERROR(F118),"",D115)</f>
        <v>Remark:</v>
      </c>
      <c r="E137" s="28" t="str">
        <f ca="1">IF(ISERROR(F118),"",IF(V136="",IF(X136="","",X136),_xlfn.TEXTJOIN(" ",TRUE,"BACK IN",V136)))</f>
        <v>BACK IN AHT 003</v>
      </c>
      <c r="F137" s="28"/>
      <c r="G137" s="26" t="str">
        <f ca="1">IF(ISERROR(F118),"",G115)</f>
        <v>SGPA:</v>
      </c>
      <c r="H137" s="29">
        <f ca="1">IF(ISERROR(F118),"",M136/F136)</f>
        <v>5.8695652173913047</v>
      </c>
      <c r="I137" s="26" t="str">
        <f ca="1">IF(ISERROR(F118),"",I115)</f>
        <v>CGPA:</v>
      </c>
      <c r="J137" s="29">
        <f ca="1">IF(ISERROR(F118),"",VLOOKUP(B118,INDIRECT($F$8),12+(O135-1)*3,0))</f>
        <v>5.8695652173913047</v>
      </c>
      <c r="K137" s="28" t="str">
        <f ca="1">IF(ISERROR(F118),"",K115)</f>
        <v>Earned Credits:</v>
      </c>
      <c r="L137" s="26">
        <f ca="1">IF(ISERROR(F118),"",SUMIF(N123:N134,"&gt;0",F123:F134))</f>
        <v>19</v>
      </c>
      <c r="M137" s="28" t="str">
        <f ca="1">IF(ISERROR(F118),"",M115)</f>
        <v>Cuml. Earned Credits:</v>
      </c>
      <c r="N137" s="26">
        <f ca="1">IF(ISERROR(F118),"",VLOOKUP(B118,INDIRECT($F$8),10+(O135-1)*3,0))</f>
        <v>19</v>
      </c>
    </row>
    <row r="138" spans="1:24" ht="11.5" customHeight="1" x14ac:dyDescent="0.2">
      <c r="A138" s="26"/>
      <c r="B138" s="28"/>
      <c r="C138" s="28"/>
      <c r="D138" s="26"/>
      <c r="E138" s="28"/>
      <c r="F138" s="28"/>
      <c r="G138" s="26"/>
      <c r="H138" s="29"/>
      <c r="I138" s="26"/>
      <c r="J138" s="29"/>
      <c r="K138" s="28"/>
      <c r="L138" s="26"/>
      <c r="M138" s="28"/>
      <c r="N138" s="26"/>
    </row>
    <row r="139" spans="1:24" ht="18" customHeight="1" x14ac:dyDescent="0.2">
      <c r="A139" s="26"/>
      <c r="B139" s="28"/>
      <c r="C139" s="28"/>
      <c r="D139" s="26"/>
      <c r="E139" s="28"/>
      <c r="F139" s="28"/>
      <c r="G139" s="26"/>
      <c r="H139" s="29"/>
      <c r="I139" s="26"/>
      <c r="J139" s="29"/>
      <c r="K139" s="28"/>
      <c r="L139" s="26"/>
      <c r="M139" s="28"/>
      <c r="N139" s="26"/>
    </row>
    <row r="140" spans="1:24" ht="11.5" customHeight="1" x14ac:dyDescent="0.2">
      <c r="A140" s="11" t="str">
        <f>A118</f>
        <v>MM</v>
      </c>
      <c r="B140" s="11">
        <f>B118+1</f>
        <v>7</v>
      </c>
      <c r="C140" s="11" t="str">
        <f>C118</f>
        <v>SC</v>
      </c>
      <c r="D140" s="11" t="str">
        <f>D118</f>
        <v>SN</v>
      </c>
      <c r="E140" s="11" t="str">
        <f>E118</f>
        <v>C</v>
      </c>
      <c r="F140" s="11" t="str">
        <f ca="1">VLOOKUP(B140,INDIRECT($F$8),4,0)</f>
        <v>ANWESHIKA PRIY GAUTAM</v>
      </c>
    </row>
    <row r="141" spans="1:24" ht="11.5" customHeight="1" x14ac:dyDescent="0.2">
      <c r="A141" s="30" t="str">
        <f ca="1">IF(ISERROR(F140),"",A119)</f>
        <v>Name:</v>
      </c>
      <c r="B141" s="30" t="str">
        <f ca="1">IFERROR(VLOOKUP(B140,INDIRECT($F$8),4,0),"")</f>
        <v>ANWESHIKA PRIY GAUTAM</v>
      </c>
      <c r="C141" s="30"/>
      <c r="D141" s="30" t="str">
        <f ca="1">IF(ISERROR(F140),"",D119)</f>
        <v>Father's Name:</v>
      </c>
      <c r="E141" s="30" t="str">
        <f ca="1">IFERROR(VLOOKUP(B140,INDIRECT($F$8),5,0),"")</f>
        <v>SATYENDRA PRIY GAUTAM</v>
      </c>
      <c r="F141" s="30"/>
      <c r="G141" s="30" t="str">
        <f ca="1">IF(ISERROR(F140),"",G119)</f>
        <v>University Roll No:</v>
      </c>
      <c r="H141" s="30"/>
      <c r="I141" s="31">
        <f ca="1">IFERROR(VLOOKUP(B140,INDIRECT($F$8),2,0),"")</f>
        <v>250090120007</v>
      </c>
      <c r="J141" s="31"/>
      <c r="K141" s="30" t="str">
        <f ca="1">IF(ISERROR(F140),"",K119)</f>
        <v>University Enrol. No:</v>
      </c>
      <c r="L141" s="30"/>
      <c r="M141" s="31" t="str">
        <f ca="1">IFERROR(VLOOKUP(B140,INDIRECT($F$8),3,0),"")</f>
        <v>UTU/2501104050</v>
      </c>
      <c r="N141" s="31"/>
    </row>
    <row r="142" spans="1:24" ht="15" x14ac:dyDescent="0.2">
      <c r="A142" s="30"/>
      <c r="B142" s="30"/>
      <c r="C142" s="30"/>
      <c r="D142" s="30"/>
      <c r="E142" s="30"/>
      <c r="F142" s="30"/>
      <c r="G142" s="30"/>
      <c r="H142" s="30"/>
      <c r="I142" s="31"/>
      <c r="J142" s="31"/>
      <c r="K142" s="30"/>
      <c r="L142" s="30"/>
      <c r="M142" s="31"/>
      <c r="N142" s="31"/>
    </row>
    <row r="143" spans="1:24" ht="11.5" customHeight="1" x14ac:dyDescent="0.2">
      <c r="A143" s="28" t="str">
        <f ca="1">IF(ISERROR(F140),"",A121)</f>
        <v>Subject Code</v>
      </c>
      <c r="B143" s="28" t="str">
        <f ca="1">IF(ISERROR(F140),"",B121)</f>
        <v>Subject Name</v>
      </c>
      <c r="C143" s="28"/>
      <c r="D143" s="28"/>
      <c r="E143" s="28"/>
      <c r="F143" s="28" t="str">
        <f ca="1">IF(ISERROR(F140),"",F121)</f>
        <v>Credits</v>
      </c>
      <c r="G143" s="28" t="str">
        <f ca="1">IF(ISERROR(F140),"",G121)</f>
        <v>External Marks</v>
      </c>
      <c r="H143" s="28"/>
      <c r="I143" s="28" t="str">
        <f ca="1">IF(ISERROR(F140),"",I121)</f>
        <v>Sessional Marks</v>
      </c>
      <c r="J143" s="28"/>
      <c r="K143" s="28" t="str">
        <f ca="1">IF(ISERROR(F140),"",K121)</f>
        <v>Total Marks</v>
      </c>
      <c r="L143" s="28"/>
      <c r="M143" s="28" t="str">
        <f ca="1">IF(ISERROR(F140),"",M121)</f>
        <v>Grade</v>
      </c>
      <c r="N143" s="28" t="str">
        <f ca="1">IF(ISERROR(F140),"",N121)</f>
        <v>Grade Points</v>
      </c>
    </row>
    <row r="144" spans="1:24" ht="11.5" customHeight="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W144">
        <f ca="1">IF(ISNUMBER(MATCH($F$8,{"I","III","V","VII"},0)),10,10-INDEX(INDIRECT(_xlfn.TEXTJOIN("",TRUE,"SEM_",$G$8,"!",ADDRESS(6,4+$I$8*3+4),":",ADDRESS(5+$H$8,4+$I$8*3+4))),MATCH(INDIRECT(_xlfn.TEXTJOIN("",TRUE,"TC_",$F$8,"!",ADDRESS(ROW(I141),COLUMN(I141)))),INDIRECT(_xlfn.TEXTJOIN("",TRUE,"SEM_",$G$8,"!",ADDRESS(6,2),":",ADDRESS(5+$H$8,2))))))</f>
        <v>10</v>
      </c>
    </row>
    <row r="145" spans="1:24" ht="11.5" customHeight="1" x14ac:dyDescent="0.2">
      <c r="A145" s="7" t="str">
        <f ca="1">IF(ISERROR(F140),"",VLOOKUP(C140,INDIRECT($F$8),6+(O145-1)*3,0))</f>
        <v>AHT 002</v>
      </c>
      <c r="B145" s="24" t="str">
        <f ca="1">IF(ISERROR(F140),"",VLOOKUP(D140,INDIRECT($F$8),6+(O145-1)*3,0))</f>
        <v>Engineering Chemistry</v>
      </c>
      <c r="C145" s="24"/>
      <c r="D145" s="24"/>
      <c r="E145" s="24"/>
      <c r="F145" s="7">
        <f ca="1">IF(ISERROR(F140),"",VLOOKUP(E140,INDIRECT($F$8),6+(O145-1)*3,0))</f>
        <v>4</v>
      </c>
      <c r="G145" s="25" t="str">
        <f ca="1">IF(ISERROR(F140),"",_xlfn.TEXTJOIN("/",FALSE,P145,S145))</f>
        <v>35/100</v>
      </c>
      <c r="H145" s="25"/>
      <c r="I145" s="25" t="str">
        <f ca="1">IF(ISERROR(F140),"",_xlfn.TEXTJOIN("/",FALSE,Q145,T145))</f>
        <v>27/50</v>
      </c>
      <c r="J145" s="25"/>
      <c r="K145" s="25" t="str">
        <f ca="1">IF(ISERROR(F140),"",_xlfn.TEXTJOIN("/",FALSE,R145,U145))</f>
        <v>62/150</v>
      </c>
      <c r="L145" s="25"/>
      <c r="M145" s="7" t="str">
        <f ca="1">IF(ISERROR(F140)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P</v>
      </c>
      <c r="N145" s="8">
        <f ca="1">INDEX($Z$2:$Z$17,MATCH(M145,$Y$2:$Y$17,0))</f>
        <v>4.5</v>
      </c>
      <c r="O145">
        <v>1</v>
      </c>
      <c r="P145" s="1">
        <f ca="1">IF(ISERROR(F140),"",IF(ISTEXT(VLOOKUP(B140,INDIRECT($F$8),6+(O145-1)*3)),(VLOOKUP(B140,INDIRECT($F$8),6+(O145-1)*3)),SUM(VLOOKUP(B140,INDIRECT($F$8),6+(O145-1)*3),IF(W158,W145,0))))</f>
        <v>35</v>
      </c>
      <c r="Q145" s="1">
        <f ca="1">IF(ISERROR(F140),"",VLOOKUP(B140,INDIRECT($F$8),7+(O145-1)*3))</f>
        <v>27</v>
      </c>
      <c r="R145" s="1">
        <f ca="1">IF(ISERROR(F140),"",SUM(P145:Q145))</f>
        <v>62</v>
      </c>
      <c r="S145" s="1">
        <f ca="1">IF(ISERROR(F140),"",VLOOKUP(A140,INDIRECT($F$8),6+(O145-1)*3))</f>
        <v>100</v>
      </c>
      <c r="T145" s="1">
        <f ca="1">IF(ISERROR(F140),"",VLOOKUP(A140,INDIRECT($F$8),7+(O145-1)*3))</f>
        <v>50</v>
      </c>
      <c r="U145" s="1">
        <f ca="1">IF(ISERROR(F140),"",VLOOKUP(A140,INDIRECT($F$8),8+(O145-1)*3))</f>
        <v>150</v>
      </c>
      <c r="V145" s="1" t="str">
        <f ca="1">IF(ISERROR(F140),"",IF(N145=0,A145,""))</f>
        <v/>
      </c>
      <c r="W145" s="1">
        <f ca="1">IF(ISERROR(F140),"",IF(ISTEXT(VLOOKUP(B140,INDIRECT($F$8),6+(O145-1)*3)),11,IF(VLOOKUP(B140,INDIRECT($F$8),6+(O145-1)*3)&lt;S145*0.3,IF(VLOOKUP(B140,INDIRECT($F$8),8+(O145-1)*3)&lt;U145*0.4,IF(AND(0.4*U145-VLOOKUP(B140,INDIRECT($F$8),8+(O145-1)*3)&lt;=5,0.3*S145-VLOOKUP(B140,INDIRECT($F$8),6+(O145-1)*3)&lt;=5),MAX(0.4*U145-VLOOKUP(B140,INDIRECT($F$8),8+(O145-1)*3),0.3*S145-VLOOKUP(B140,INDIRECT($F$8),6+(O145-1)*3)),11),IF(0.3*S145-VLOOKUP(B140,INDIRECT($F$8),6+(O145-1)*3)&lt;=5,0.3*S145-VLOOKUP(B140,INDIRECT($F$8),6+(O145-1)*3),11)),IF(VLOOKUP(B140,INDIRECT($F$8),8+(O145-1)*3)&lt;U145*0.4,IF(U145*0.4-VLOOKUP(B140,INDIRECT($F$8),8+(O145-1)*3)&lt;=5,U145*0.4-VLOOKUP(B140,INDIRECT($F$8),8+(O145-1)*3),11),0))))</f>
        <v>0</v>
      </c>
      <c r="X145" s="1" t="str">
        <f ca="1">IF(ISERROR(F140),"",IF(W145=0,"",_xlfn.TEXTJOIN("",FALSE," G+",W145," in ",A145)))</f>
        <v/>
      </c>
    </row>
    <row r="146" spans="1:24" ht="11.5" customHeight="1" x14ac:dyDescent="0.2">
      <c r="A146" s="7" t="str">
        <f ca="1">IF(ISERROR(F140),"",VLOOKUP(C140,INDIRECT($F$8),6+(O146-1)*3,0))</f>
        <v>AHT 003</v>
      </c>
      <c r="B146" s="24" t="str">
        <f ca="1">IF(ISERROR(F140),"",VLOOKUP(D140,INDIRECT($F$8),6+(O146-1)*3,0))</f>
        <v>Introduction to Engineering Mathematics</v>
      </c>
      <c r="C146" s="24"/>
      <c r="D146" s="24"/>
      <c r="E146" s="24"/>
      <c r="F146" s="7">
        <f ca="1">IF(ISERROR(F140),"",VLOOKUP(E140,INDIRECT($F$8),6+(O146-1)*3,0))</f>
        <v>4</v>
      </c>
      <c r="G146" s="25" t="str">
        <f ca="1">IF(ISERROR(F140),"",_xlfn.TEXTJOIN("/",FALSE,P146,S146))</f>
        <v>12/100</v>
      </c>
      <c r="H146" s="25"/>
      <c r="I146" s="25" t="str">
        <f ca="1">IF(ISERROR(F140),"",_xlfn.TEXTJOIN("/",FALSE,Q146,T146))</f>
        <v>10/50</v>
      </c>
      <c r="J146" s="25"/>
      <c r="K146" s="25" t="str">
        <f ca="1">IF(ISERROR(F140),"",_xlfn.TEXTJOIN("/",FALSE,R146,U146))</f>
        <v>22/150</v>
      </c>
      <c r="L146" s="25"/>
      <c r="M146" s="7" t="str">
        <f ca="1">IF(ISERROR(F140)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F</v>
      </c>
      <c r="N146" s="8">
        <f t="shared" ref="N146:N155" ca="1" si="13">INDEX($Z$2:$Z$17,MATCH(M146,$Y$2:$Y$17,0))</f>
        <v>0</v>
      </c>
      <c r="O146">
        <f>O145+1</f>
        <v>2</v>
      </c>
      <c r="P146" s="1">
        <f ca="1">IF(ISERROR(F140),"",IF(ISTEXT(VLOOKUP(B140,INDIRECT($F$8),6+(O146-1)*3)),(VLOOKUP(B140,INDIRECT($F$8),6+(O146-1)*3)),SUM(VLOOKUP(B140,INDIRECT($F$8),6+(O146-1)*3),IF(W158,W146,0))))</f>
        <v>12</v>
      </c>
      <c r="Q146" s="1">
        <f ca="1">IF(ISERROR(F140),"",VLOOKUP(B140,INDIRECT($F$8),7+(O146-1)*3))</f>
        <v>10</v>
      </c>
      <c r="R146" s="1">
        <f ca="1">IF(ISERROR(F140),"",SUM(P146:Q146))</f>
        <v>22</v>
      </c>
      <c r="S146" s="1">
        <f ca="1">IF(ISERROR(F140),"",VLOOKUP(A140,INDIRECT($F$8),6+(O146-1)*3))</f>
        <v>100</v>
      </c>
      <c r="T146" s="1">
        <f ca="1">IF(ISERROR(F140),"",VLOOKUP(A140,INDIRECT($F$8),7+(O146-1)*3))</f>
        <v>50</v>
      </c>
      <c r="U146" s="1">
        <f ca="1">IF(ISERROR(F140),"",VLOOKUP(A140,INDIRECT($F$8),8+(O146-1)*3))</f>
        <v>150</v>
      </c>
      <c r="V146" s="1" t="str">
        <f ca="1">IF(ISERROR(F140),"",IF(N146=0,A146,""))</f>
        <v>AHT 003</v>
      </c>
      <c r="W146" s="1">
        <f ca="1">IF(ISERROR(F140),"",IF(ISTEXT(VLOOKUP(B140,INDIRECT($F$8),6+(O146-1)*3)),11,IF(VLOOKUP(B140,INDIRECT($F$8),6+(O146-1)*3)&lt;S146*0.3,IF(VLOOKUP(B140,INDIRECT($F$8),8+(O146-1)*3)&lt;U146*0.4,IF(AND(0.4*U146-VLOOKUP(B140,INDIRECT($F$8),8+(O146-1)*3)&lt;=5,0.3*S146-VLOOKUP(B140,INDIRECT($F$8),6+(O146-1)*3)&lt;=5),MAX(0.4*U146-VLOOKUP(B140,INDIRECT($F$8),8+(O146-1)*3),0.3*S146-VLOOKUP(B140,INDIRECT($F$8),6+(O146-1)*3)),11),IF(0.3*S146-VLOOKUP(B140,INDIRECT($F$8),6+(O146-1)*3)&lt;=5,0.3*S146-VLOOKUP(B140,INDIRECT($F$8),6+(O146-1)*3),11)),IF(VLOOKUP(B140,INDIRECT($F$8),8+(O146-1)*3)&lt;U146*0.4,IF(U146*0.4-VLOOKUP(B140,INDIRECT($F$8),8+(O146-1)*3)&lt;=5,U146*0.4-VLOOKUP(B140,INDIRECT($F$8),8+(O146-1)*3),11),0))))</f>
        <v>11</v>
      </c>
      <c r="X146" s="1" t="str">
        <f ca="1">IF(ISERROR(F140),"",IF(W146=0,"",_xlfn.TEXTJOIN("",FALSE," G+",W146," in ",A146)))</f>
        <v xml:space="preserve"> G+11 in AHT 003</v>
      </c>
    </row>
    <row r="147" spans="1:24" ht="11.5" customHeight="1" x14ac:dyDescent="0.2">
      <c r="A147" s="7" t="str">
        <f ca="1">IF(ISERROR(F140),"",VLOOKUP(C140,INDIRECT($F$8),6+(O147-1)*3,0))</f>
        <v>ECT 001</v>
      </c>
      <c r="B147" s="24" t="str">
        <f ca="1">IF(ISERROR(F140),"",VLOOKUP(D140,INDIRECT($F$8),6+(O147-1)*3,0))</f>
        <v>Basic Electronics Engineering</v>
      </c>
      <c r="C147" s="24"/>
      <c r="D147" s="24"/>
      <c r="E147" s="24"/>
      <c r="F147" s="7">
        <f ca="1">IF(ISERROR(F140),"",VLOOKUP(E140,INDIRECT($F$8),6+(O147-1)*3,0))</f>
        <v>4</v>
      </c>
      <c r="G147" s="25" t="str">
        <f ca="1">IF(ISERROR(F140),"",_xlfn.TEXTJOIN("/",FALSE,P147,S147))</f>
        <v>31/100</v>
      </c>
      <c r="H147" s="25"/>
      <c r="I147" s="25" t="str">
        <f ca="1">IF(ISERROR(F140),"",_xlfn.TEXTJOIN("/",FALSE,Q147,T147))</f>
        <v>30/50</v>
      </c>
      <c r="J147" s="25"/>
      <c r="K147" s="25" t="str">
        <f ca="1">IF(ISERROR(F140),"",_xlfn.TEXTJOIN("/",FALSE,R147,U147))</f>
        <v>61/150</v>
      </c>
      <c r="L147" s="25"/>
      <c r="M147" s="7" t="str">
        <f ca="1">IF(ISERROR(F140)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P</v>
      </c>
      <c r="N147" s="8">
        <f t="shared" ca="1" si="13"/>
        <v>4.5</v>
      </c>
      <c r="O147">
        <f>O146+1</f>
        <v>3</v>
      </c>
      <c r="P147" s="1">
        <f ca="1">IF(ISERROR(F140),"",IF(ISTEXT(VLOOKUP(B140,INDIRECT($F$8),6+(O147-1)*3)),(VLOOKUP(B140,INDIRECT($F$8),6+(O147-1)*3)),SUM(VLOOKUP(B140,INDIRECT($F$8),6+(O147-1)*3),IF(W158,W147,0))))</f>
        <v>31</v>
      </c>
      <c r="Q147" s="1">
        <f ca="1">IF(ISERROR(F140),"",VLOOKUP(B140,INDIRECT($F$8),7+(O147-1)*3))</f>
        <v>30</v>
      </c>
      <c r="R147" s="1">
        <f ca="1">IF(ISERROR(F140),"",SUM(P147:Q147))</f>
        <v>61</v>
      </c>
      <c r="S147" s="1">
        <f ca="1">IF(ISERROR(F140),"",VLOOKUP(A140,INDIRECT($F$8),6+(O147-1)*3))</f>
        <v>100</v>
      </c>
      <c r="T147" s="1">
        <f ca="1">IF(ISERROR(F140),"",VLOOKUP(A140,INDIRECT($F$8),7+(O147-1)*3))</f>
        <v>50</v>
      </c>
      <c r="U147" s="1">
        <f ca="1">IF(ISERROR(F140),"",VLOOKUP(A140,INDIRECT($F$8),8+(O147-1)*3))</f>
        <v>150</v>
      </c>
      <c r="V147" s="1" t="str">
        <f ca="1">IF(ISERROR(F140),"",IF(N147=0,A147,""))</f>
        <v/>
      </c>
      <c r="W147" s="1">
        <f ca="1">IF(ISERROR(F140),"",IF(ISTEXT(VLOOKUP(B140,INDIRECT($F$8),6+(O147-1)*3)),11,IF(VLOOKUP(B140,INDIRECT($F$8),6+(O147-1)*3)&lt;S147*0.3,IF(VLOOKUP(B140,INDIRECT($F$8),8+(O147-1)*3)&lt;U147*0.4,IF(AND(0.4*U147-VLOOKUP(B140,INDIRECT($F$8),8+(O147-1)*3)&lt;=5,0.3*S147-VLOOKUP(B140,INDIRECT($F$8),6+(O147-1)*3)&lt;=5),MAX(0.4*U147-VLOOKUP(B140,INDIRECT($F$8),8+(O147-1)*3),0.3*S147-VLOOKUP(B140,INDIRECT($F$8),6+(O147-1)*3)),11),IF(0.3*S147-VLOOKUP(B140,INDIRECT($F$8),6+(O147-1)*3)&lt;=5,0.3*S147-VLOOKUP(B140,INDIRECT($F$8),6+(O147-1)*3),11)),IF(VLOOKUP(B140,INDIRECT($F$8),8+(O147-1)*3)&lt;U147*0.4,IF(U147*0.4-VLOOKUP(B140,INDIRECT($F$8),8+(O147-1)*3)&lt;=5,U147*0.4-VLOOKUP(B140,INDIRECT($F$8),8+(O147-1)*3),11),0))))</f>
        <v>0</v>
      </c>
      <c r="X147" s="1" t="str">
        <f ca="1">IF(ISERROR(F140),"",IF(W147=0,"",_xlfn.TEXTJOIN("",FALSE," G+",W147," in ",A147)))</f>
        <v/>
      </c>
    </row>
    <row r="148" spans="1:24" ht="11.5" customHeight="1" x14ac:dyDescent="0.2">
      <c r="A148" s="7" t="str">
        <f ca="1">IF(ISERROR(F140),"",VLOOKUP(C140,INDIRECT($F$8),6+(O148-1)*3,0))</f>
        <v>MET 001</v>
      </c>
      <c r="B148" s="24" t="str">
        <f ca="1">IF(ISERROR(F140),"",VLOOKUP(D140,INDIRECT($F$8),6+(O148-1)*3,0))</f>
        <v>Basic Mechanical Engineering</v>
      </c>
      <c r="C148" s="24"/>
      <c r="D148" s="24"/>
      <c r="E148" s="24"/>
      <c r="F148" s="7">
        <f ca="1">IF(ISERROR(F140),"",VLOOKUP(E140,INDIRECT($F$8),6+(O148-1)*3,0))</f>
        <v>4</v>
      </c>
      <c r="G148" s="25" t="str">
        <f ca="1">IF(ISERROR(F140),"",_xlfn.TEXTJOIN("/",FALSE,P148,S148))</f>
        <v>31/100</v>
      </c>
      <c r="H148" s="25"/>
      <c r="I148" s="25" t="str">
        <f ca="1">IF(ISERROR(F140),"",_xlfn.TEXTJOIN("/",FALSE,Q148,T148))</f>
        <v>30/50</v>
      </c>
      <c r="J148" s="25"/>
      <c r="K148" s="25" t="str">
        <f ca="1">IF(ISERROR(F140),"",_xlfn.TEXTJOIN("/",FALSE,R148,U148))</f>
        <v>61/150</v>
      </c>
      <c r="L148" s="25"/>
      <c r="M148" s="7" t="str">
        <f ca="1">IF(ISERROR(F140)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P</v>
      </c>
      <c r="N148" s="8">
        <f t="shared" ca="1" si="13"/>
        <v>4.5</v>
      </c>
      <c r="O148">
        <f>O147+1</f>
        <v>4</v>
      </c>
      <c r="P148" s="1">
        <f ca="1">IF(ISERROR(F140),"",IF(ISTEXT(VLOOKUP(B140,INDIRECT($F$8),6+(O148-1)*3)),(VLOOKUP(B140,INDIRECT($F$8),6+(O148-1)*3)),SUM(VLOOKUP(B140,INDIRECT($F$8),6+(O148-1)*3),IF(W158,W148,0))))</f>
        <v>31</v>
      </c>
      <c r="Q148" s="1">
        <f ca="1">IF(ISERROR(F140),"",VLOOKUP(B140,INDIRECT($F$8),7+(O148-1)*3))</f>
        <v>30</v>
      </c>
      <c r="R148" s="1">
        <f ca="1">IF(ISERROR(F140),"",SUM(P148:Q148))</f>
        <v>61</v>
      </c>
      <c r="S148" s="1">
        <f ca="1">IF(ISERROR(F140),"",VLOOKUP(A140,INDIRECT($F$8),6+(O148-1)*3))</f>
        <v>100</v>
      </c>
      <c r="T148" s="1">
        <f ca="1">IF(ISERROR(F140),"",VLOOKUP(A140,INDIRECT($F$8),7+(O148-1)*3))</f>
        <v>50</v>
      </c>
      <c r="U148" s="1">
        <f ca="1">IF(ISERROR(F140),"",VLOOKUP(A140,INDIRECT($F$8),8+(O148-1)*3))</f>
        <v>150</v>
      </c>
      <c r="V148" s="1" t="str">
        <f ca="1">IF(ISERROR(F140),"",IF(N148=0,A148,""))</f>
        <v/>
      </c>
      <c r="W148" s="1">
        <f ca="1">IF(ISERROR(F140),"",IF(ISTEXT(VLOOKUP(B140,INDIRECT($F$8),6+(O148-1)*3)),11,IF(VLOOKUP(B140,INDIRECT($F$8),6+(O148-1)*3)&lt;S148*0.3,IF(VLOOKUP(B140,INDIRECT($F$8),8+(O148-1)*3)&lt;U148*0.4,IF(AND(0.4*U148-VLOOKUP(B140,INDIRECT($F$8),8+(O148-1)*3)&lt;=5,0.3*S148-VLOOKUP(B140,INDIRECT($F$8),6+(O148-1)*3)&lt;=5),MAX(0.4*U148-VLOOKUP(B140,INDIRECT($F$8),8+(O148-1)*3),0.3*S148-VLOOKUP(B140,INDIRECT($F$8),6+(O148-1)*3)),11),IF(0.3*S148-VLOOKUP(B140,INDIRECT($F$8),6+(O148-1)*3)&lt;=5,0.3*S148-VLOOKUP(B140,INDIRECT($F$8),6+(O148-1)*3),11)),IF(VLOOKUP(B140,INDIRECT($F$8),8+(O148-1)*3)&lt;U148*0.4,IF(U148*0.4-VLOOKUP(B140,INDIRECT($F$8),8+(O148-1)*3)&lt;=5,U148*0.4-VLOOKUP(B140,INDIRECT($F$8),8+(O148-1)*3),11),0))))</f>
        <v>0</v>
      </c>
      <c r="X148" s="1" t="str">
        <f ca="1">IF(ISERROR(F140),"",IF(W148=0,"",_xlfn.TEXTJOIN("",FALSE," G+",W148," in ",A148)))</f>
        <v/>
      </c>
    </row>
    <row r="149" spans="1:24" ht="11.5" customHeight="1" x14ac:dyDescent="0.2">
      <c r="A149" s="7" t="str">
        <f ca="1">IF(ISERROR(F140),"",VLOOKUP(C140,INDIRECT($F$8),6+(O149-1)*3,0))</f>
        <v>AHT 000</v>
      </c>
      <c r="B149" s="24" t="str">
        <f ca="1">IF(ISERROR(F140),"",VLOOKUP(D140,INDIRECT($F$8),6+(O149-1)*3,0))</f>
        <v>Basic Mathematics (Bridge Course) ($)</v>
      </c>
      <c r="C149" s="24"/>
      <c r="D149" s="24"/>
      <c r="E149" s="24"/>
      <c r="F149" s="7">
        <f ca="1">IF(ISERROR(F140),"",VLOOKUP(E140,INDIRECT($F$8),6+(O149-1)*3,0))</f>
        <v>0</v>
      </c>
      <c r="G149" s="25" t="str">
        <f ca="1">IF(ISERROR(F140),"",_xlfn.TEXTJOIN("/",FALSE,P149,S149))</f>
        <v>47/100</v>
      </c>
      <c r="H149" s="25"/>
      <c r="I149" s="25" t="str">
        <f ca="1">IF(ISERROR(F140),"",_xlfn.TEXTJOIN("/",FALSE,Q149,T149))</f>
        <v>28/50</v>
      </c>
      <c r="J149" s="25"/>
      <c r="K149" s="25" t="str">
        <f ca="1">IF(ISERROR(F140),"",_xlfn.TEXTJOIN("/",FALSE,R149,U149))</f>
        <v>75/150</v>
      </c>
      <c r="L149" s="25"/>
      <c r="M149" s="7" t="str">
        <f ca="1">IF(ISERROR(F140)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E+</v>
      </c>
      <c r="N149" s="8">
        <f t="shared" ca="1" si="13"/>
        <v>5.5</v>
      </c>
      <c r="O149" cm="1">
        <f t="array" aca="1" ref="O149" ca="1">IF(NOT(ISBLANK(INDIRECT("SEM_I!R"&amp;INT((ROW(O149)-17)/22)+6))),5,
IF(NOT(ISBLANK(INDIRECT("SEM_I!U"&amp;INT((ROW(O149)-17)/22)+6))),6))</f>
        <v>5</v>
      </c>
      <c r="P149" s="1">
        <f ca="1">IF(ISERROR(F140),"",IF(ISTEXT(VLOOKUP(B140,INDIRECT($F$8),6+(O149-1)*3)),(VLOOKUP(B140,INDIRECT($F$8),6+(O149-1)*3)),SUM(VLOOKUP(B140,INDIRECT($F$8),6+(O149-1)*3),IF(W158,W149,0))))</f>
        <v>47</v>
      </c>
      <c r="Q149" s="1">
        <f ca="1">IF(ISERROR(F140),"",VLOOKUP(B140,INDIRECT($F$8),7+(O149-1)*3))</f>
        <v>28</v>
      </c>
      <c r="R149" s="1">
        <f ca="1">IF(ISERROR(F140),"",SUM(P149:Q149))</f>
        <v>75</v>
      </c>
      <c r="S149" s="1">
        <f ca="1">IF(ISERROR(F140),"",VLOOKUP(A140,INDIRECT($F$8),6+(O149-1)*3))</f>
        <v>100</v>
      </c>
      <c r="T149" s="1">
        <f ca="1">IF(ISERROR(F140),"",VLOOKUP(A140,INDIRECT($F$8),7+(O149-1)*3))</f>
        <v>50</v>
      </c>
      <c r="U149" s="1">
        <f ca="1">IF(ISERROR(F140),"",VLOOKUP(A140,INDIRECT($F$8),8+(O149-1)*3))</f>
        <v>150</v>
      </c>
      <c r="V149" s="1" t="str">
        <f ca="1">IF(ISERROR(F140),"",IF(N149=0,A149,""))</f>
        <v/>
      </c>
      <c r="W149" s="1">
        <f ca="1">IF(ISERROR(F140),"",IF(ISTEXT(VLOOKUP(B140,INDIRECT($F$8),6+(O149-1)*3)),11,IF(VLOOKUP(B140,INDIRECT($F$8),6+(O149-1)*3)&lt;S149*0.3,IF(VLOOKUP(B140,INDIRECT($F$8),8+(O149-1)*3)&lt;U149*0.4,IF(AND(0.4*U149-VLOOKUP(B140,INDIRECT($F$8),8+(O149-1)*3)&lt;=5,0.3*S149-VLOOKUP(B140,INDIRECT($F$8),6+(O149-1)*3)&lt;=5),MAX(0.4*U149-VLOOKUP(B140,INDIRECT($F$8),8+(O149-1)*3),0.3*S149-VLOOKUP(B140,INDIRECT($F$8),6+(O149-1)*3)),11),IF(0.3*S149-VLOOKUP(B140,INDIRECT($F$8),6+(O149-1)*3)&lt;=5,0.3*S149-VLOOKUP(B140,INDIRECT($F$8),6+(O149-1)*3),11)),IF(VLOOKUP(B140,INDIRECT($F$8),8+(O149-1)*3)&lt;U149*0.4,IF(U149*0.4-VLOOKUP(B140,INDIRECT($F$8),8+(O149-1)*3)&lt;=5,U149*0.4-VLOOKUP(B140,INDIRECT($F$8),8+(O149-1)*3),11),0))))</f>
        <v>0</v>
      </c>
      <c r="X149" s="1" t="str">
        <f ca="1">IF(ISERROR(F140),"",IF(W149=0,"",_xlfn.TEXTJOIN("",FALSE," G+",W149," in ",A149)))</f>
        <v/>
      </c>
    </row>
    <row r="150" spans="1:24" ht="11.5" customHeight="1" x14ac:dyDescent="0.2">
      <c r="A150" s="7" t="str">
        <f ca="1">IF(ISERROR(F140),"",VLOOKUP(C140,INDIRECT($F$8),6+(O150-1)*3,0))</f>
        <v>AHP 002</v>
      </c>
      <c r="B150" s="24" t="str">
        <f ca="1">IF(ISERROR(F140),"",VLOOKUP(D140,INDIRECT($F$8),6+(O150-1)*3,0))</f>
        <v>Engineering Chemistry Lab</v>
      </c>
      <c r="C150" s="24"/>
      <c r="D150" s="24"/>
      <c r="E150" s="24"/>
      <c r="F150" s="7">
        <f ca="1">IF(ISERROR(F140),"",VLOOKUP(E140,INDIRECT($F$8),6+(O150-1)*3,0))</f>
        <v>1</v>
      </c>
      <c r="G150" s="25" t="str">
        <f ca="1">IF(ISERROR(F140),"",_xlfn.TEXTJOIN("/",FALSE,P150,S150))</f>
        <v>15/25</v>
      </c>
      <c r="H150" s="25"/>
      <c r="I150" s="25" t="str">
        <f ca="1">IF(ISERROR(F140),"",_xlfn.TEXTJOIN("/",FALSE,Q150,T150))</f>
        <v>13/25</v>
      </c>
      <c r="J150" s="25"/>
      <c r="K150" s="25" t="str">
        <f ca="1">IF(ISERROR(F140),"",_xlfn.TEXTJOIN("/",FALSE,R150,U150))</f>
        <v>28/50</v>
      </c>
      <c r="L150" s="25"/>
      <c r="M150" s="7" t="str">
        <f ca="1">IF(ISERROR(F140),"",IF(ISTEXT(P150),IF(P150="A","Ab",IF(P150="D","Dt",IF(P150="UFM","UFM",IF(P150="NA","")))),IF(AND(ISBLANK(P150),ISBLANK(R150)),"",IF(P150&lt;0.3*S150,"F",IF(ISBLANK(R150),"",IF(ISTEXT(R150),R150,IF(R150&gt;=0.95*U150,"O",IF(R150&gt;=0.9*U150,"A+",IF(R150&gt;=0.85*U150,"A",IF(R150&gt;=0.8*U150,"B+",IF(R150&gt;=0.75*U150,"B",IF(R150&gt;=0.7*U150,"C+",IF(R150&gt;=0.65*U150,"C",IF(R150&gt;=0.6*U150,"D+",IF(R150&gt;=0.55*U150,"D",IF(R150&gt;=0.5*U150,"E+",IF(R150&gt;=0.45*U150,"E",IF(R150&gt;=0.4*U150,"P",IF(R150&lt;0.4*U150,"F",R150)))))))))))))))))))</f>
        <v>D</v>
      </c>
      <c r="N150" s="8">
        <f t="shared" ca="1" si="13"/>
        <v>6</v>
      </c>
      <c r="O150">
        <f ca="1">IF(O149&gt;0,7)</f>
        <v>7</v>
      </c>
      <c r="P150" s="1">
        <f ca="1">IF(ISERROR(F140),"",IF(ISTEXT(VLOOKUP(B140,INDIRECT($F$8),6+(O150-1)*3)),(VLOOKUP(B140,INDIRECT($F$8),6+(O150-1)*3)),SUM(VLOOKUP(B140,INDIRECT($F$8),6+(O150-1)*3),IF(W158,W150,0))))</f>
        <v>15</v>
      </c>
      <c r="Q150" s="1">
        <f ca="1">IF(ISERROR(F140),"",VLOOKUP(B140,INDIRECT($F$8),7+(O150-1)*3))</f>
        <v>13</v>
      </c>
      <c r="R150" s="1">
        <f ca="1">IF(ISERROR(F140),"",SUM(P150:Q150))</f>
        <v>28</v>
      </c>
      <c r="S150" s="1">
        <f ca="1">IF(ISERROR(F140),"",VLOOKUP(A140,INDIRECT($F$8),6+(O150-1)*3))</f>
        <v>25</v>
      </c>
      <c r="T150" s="1">
        <f ca="1">IF(ISERROR(F140),"",VLOOKUP(A140,INDIRECT($F$8),7+(O150-1)*3))</f>
        <v>25</v>
      </c>
      <c r="U150" s="1">
        <f ca="1">IF(ISERROR(F140),"",VLOOKUP(A140,INDIRECT($F$8),8+(O150-1)*3))</f>
        <v>50</v>
      </c>
      <c r="V150" s="1" t="str">
        <f ca="1">IF(ISERROR(F140),"",IF(N150=0,A150,""))</f>
        <v/>
      </c>
      <c r="W150" s="1">
        <f ca="1">IF(ISERROR(F140),"",IF(ISTEXT(VLOOKUP(B140,INDIRECT($F$8),6+(O150-1)*3)),11,IF(VLOOKUP(B140,INDIRECT($F$8),6+(O150-1)*3)&lt;S150*0.3,IF(VLOOKUP(B140,INDIRECT($F$8),8+(O150-1)*3)&lt;U150*0.4,IF(AND(0.4*U150-VLOOKUP(B140,INDIRECT($F$8),8+(O150-1)*3)&lt;=5,0.3*S150-VLOOKUP(B140,INDIRECT($F$8),6+(O150-1)*3)&lt;=5),MAX(0.4*U150-VLOOKUP(B140,INDIRECT($F$8),8+(O150-1)*3),0.3*S150-VLOOKUP(B140,INDIRECT($F$8),6+(O150-1)*3)),11),IF(0.3*S150-VLOOKUP(B140,INDIRECT($F$8),6+(O150-1)*3)&lt;=5,0.3*S150-VLOOKUP(B140,INDIRECT($F$8),6+(O150-1)*3),11)),IF(VLOOKUP(B140,INDIRECT($F$8),8+(O150-1)*3)&lt;U150*0.4,IF(U150*0.4-VLOOKUP(B140,INDIRECT($F$8),8+(O150-1)*3)&lt;=5,U150*0.4-VLOOKUP(B140,INDIRECT($F$8),8+(O150-1)*3),11),0))))</f>
        <v>0</v>
      </c>
      <c r="X150" s="1" t="str">
        <f ca="1">IF(ISERROR(F140),"",IF(W150=0,"",_xlfn.TEXTJOIN("",FALSE," G+",W150," in ",A150)))</f>
        <v/>
      </c>
    </row>
    <row r="151" spans="1:24" ht="11.5" customHeight="1" x14ac:dyDescent="0.2">
      <c r="A151" s="7" t="str">
        <f ca="1">IF(ISERROR(F140),"",VLOOKUP(C140,INDIRECT($F$8),6+(O151-1)*3,0))</f>
        <v>ECP 001</v>
      </c>
      <c r="B151" s="24" t="str">
        <f ca="1">IF(ISERROR(F140),"",VLOOKUP(D140,INDIRECT($F$8),6+(O151-1)*3,0))</f>
        <v>Basic Electronics Engineering Lab</v>
      </c>
      <c r="C151" s="24"/>
      <c r="D151" s="24"/>
      <c r="E151" s="24"/>
      <c r="F151" s="7">
        <f ca="1">IF(ISERROR(F140),"",VLOOKUP(E140,INDIRECT($F$8),6+(O151-1)*3,0))</f>
        <v>1</v>
      </c>
      <c r="G151" s="25" t="str">
        <f ca="1">IF(ISERROR(F140),"",_xlfn.TEXTJOIN("/",FALSE,P151,S151))</f>
        <v>16/25</v>
      </c>
      <c r="H151" s="25"/>
      <c r="I151" s="25" t="str">
        <f ca="1">IF(ISERROR(F140),"",_xlfn.TEXTJOIN("/",FALSE,Q151,T151))</f>
        <v>18/25</v>
      </c>
      <c r="J151" s="25"/>
      <c r="K151" s="25" t="str">
        <f ca="1">IF(ISERROR(F140),"",_xlfn.TEXTJOIN("/",FALSE,R151,U151))</f>
        <v>34/50</v>
      </c>
      <c r="L151" s="25"/>
      <c r="M151" s="7" t="str">
        <f ca="1">IF(ISERROR(F140),"",IF(ISTEXT(P151),IF(P151="A","Ab",IF(P151="D","Dt",IF(P151="UFM","UFM",IF(P151="NA","")))),IF(AND(ISBLANK(P151),ISBLANK(R151)),"",IF(P151&lt;0.3*S151,"F",IF(ISBLANK(R151),"",IF(ISTEXT(R151),R151,IF(R151&gt;=0.95*U151,"O",IF(R151&gt;=0.9*U151,"A+",IF(R151&gt;=0.85*U151,"A",IF(R151&gt;=0.8*U151,"B+",IF(R151&gt;=0.75*U151,"B",IF(R151&gt;=0.7*U151,"C+",IF(R151&gt;=0.65*U151,"C",IF(R151&gt;=0.6*U151,"D+",IF(R151&gt;=0.55*U151,"D",IF(R151&gt;=0.5*U151,"E+",IF(R151&gt;=0.45*U151,"E",IF(R151&gt;=0.4*U151,"P",IF(R151&lt;0.4*U151,"F",R151)))))))))))))))))))</f>
        <v>C</v>
      </c>
      <c r="N151" s="8">
        <f t="shared" ca="1" si="13"/>
        <v>7</v>
      </c>
      <c r="O151">
        <f t="shared" ref="O151:O157" ca="1" si="14">O150+1</f>
        <v>8</v>
      </c>
      <c r="P151" s="1">
        <f ca="1">IF(ISERROR(F140),"",IF(ISTEXT(VLOOKUP(B140,INDIRECT($F$8),6+(O151-1)*3)),(VLOOKUP(B140,INDIRECT($F$8),6+(O151-1)*3)),SUM(VLOOKUP(B140,INDIRECT($F$8),6+(O151-1)*3),IF(W158,W151,0))))</f>
        <v>16</v>
      </c>
      <c r="Q151" s="1">
        <f ca="1">IF(ISERROR(F140),"",VLOOKUP(B140,INDIRECT($F$8),7+(O151-1)*3))</f>
        <v>18</v>
      </c>
      <c r="R151" s="1">
        <f ca="1">IF(ISERROR(F140),"",SUM(P151:Q151))</f>
        <v>34</v>
      </c>
      <c r="S151" s="1">
        <f ca="1">IF(ISERROR(F140),"",VLOOKUP(A140,INDIRECT($F$8),6+(O151-1)*3))</f>
        <v>25</v>
      </c>
      <c r="T151" s="1">
        <f ca="1">IF(ISERROR(F140),"",VLOOKUP(A140,INDIRECT($F$8),7+(O151-1)*3))</f>
        <v>25</v>
      </c>
      <c r="U151" s="1">
        <f ca="1">IF(ISERROR(F140),"",VLOOKUP(A140,INDIRECT($F$8),8+(O151-1)*3))</f>
        <v>50</v>
      </c>
      <c r="V151" s="1" t="str">
        <f ca="1">IF(ISERROR(F140),"",IF(N151=0,A151,""))</f>
        <v/>
      </c>
      <c r="W151" s="1">
        <f ca="1">IF(ISERROR(F140),"",IF(ISTEXT(VLOOKUP(B140,INDIRECT($F$8),6+(O151-1)*3)),11,IF(VLOOKUP(B140,INDIRECT($F$8),6+(O151-1)*3)&lt;S151*0.3,IF(VLOOKUP(B140,INDIRECT($F$8),8+(O151-1)*3)&lt;U151*0.4,IF(AND(0.4*U151-VLOOKUP(B140,INDIRECT($F$8),8+(O151-1)*3)&lt;=5,0.3*S151-VLOOKUP(B140,INDIRECT($F$8),6+(O151-1)*3)&lt;=5),MAX(0.4*U151-VLOOKUP(B140,INDIRECT($F$8),8+(O151-1)*3),0.3*S151-VLOOKUP(B140,INDIRECT($F$8),6+(O151-1)*3)),11),IF(0.3*S151-VLOOKUP(B140,INDIRECT($F$8),6+(O151-1)*3)&lt;=5,0.3*S151-VLOOKUP(B140,INDIRECT($F$8),6+(O151-1)*3),11)),IF(VLOOKUP(B140,INDIRECT($F$8),8+(O151-1)*3)&lt;U151*0.4,IF(U151*0.4-VLOOKUP(B140,INDIRECT($F$8),8+(O151-1)*3)&lt;=5,U151*0.4-VLOOKUP(B140,INDIRECT($F$8),8+(O151-1)*3),11),0))))</f>
        <v>0</v>
      </c>
      <c r="X151" s="1" t="str">
        <f ca="1">IF(ISERROR(F140),"",IF(W151=0,"",_xlfn.TEXTJOIN("",FALSE," G+",W151," in ",A151)))</f>
        <v/>
      </c>
    </row>
    <row r="152" spans="1:24" ht="11.5" customHeight="1" x14ac:dyDescent="0.2">
      <c r="A152" s="7" t="str">
        <f ca="1">IF(ISERROR(F140),"",VLOOKUP(C140,INDIRECT($F$8),6+(O152-1)*3,0))</f>
        <v>MEP 001</v>
      </c>
      <c r="B152" s="24" t="str">
        <f ca="1">IF(ISERROR(F140),"",VLOOKUP(D140,INDIRECT($F$8),6+(O152-1)*3,0))</f>
        <v>Basic Mechanical Engineering Lab</v>
      </c>
      <c r="C152" s="24"/>
      <c r="D152" s="24"/>
      <c r="E152" s="24"/>
      <c r="F152" s="7">
        <f ca="1">IF(ISERROR(F140),"",VLOOKUP(E140,INDIRECT($F$8),6+(O152-1)*3,0))</f>
        <v>1</v>
      </c>
      <c r="G152" s="25" t="str">
        <f ca="1">IF(ISERROR(F140),"",_xlfn.TEXTJOIN("/",FALSE,P152,S152))</f>
        <v>20/25</v>
      </c>
      <c r="H152" s="25"/>
      <c r="I152" s="25" t="str">
        <f ca="1">IF(ISERROR(F140),"",_xlfn.TEXTJOIN("/",FALSE,Q152,T152))</f>
        <v>19/25</v>
      </c>
      <c r="J152" s="25"/>
      <c r="K152" s="25" t="str">
        <f ca="1">IF(ISERROR(F140),"",_xlfn.TEXTJOIN("/",FALSE,R152,U152))</f>
        <v>39/50</v>
      </c>
      <c r="L152" s="25"/>
      <c r="M152" s="7" t="str">
        <f ca="1">IF(ISERROR(F140),"",IF(ISTEXT(P152),IF(P152="A","Ab",IF(P152="D","Dt",IF(P152="UFM","UFM",IF(P152="NA","")))),IF(AND(ISBLANK(P152),ISBLANK(R152)),"",IF(P152&lt;0.3*S152,"F",IF(ISBLANK(R152),"",IF(ISTEXT(R152),R152,IF(R152&gt;=0.95*U152,"O",IF(R152&gt;=0.9*U152,"A+",IF(R152&gt;=0.85*U152,"A",IF(R152&gt;=0.8*U152,"B+",IF(R152&gt;=0.75*U152,"B",IF(R152&gt;=0.7*U152,"C+",IF(R152&gt;=0.65*U152,"C",IF(R152&gt;=0.6*U152,"D+",IF(R152&gt;=0.55*U152,"D",IF(R152&gt;=0.5*U152,"E+",IF(R152&gt;=0.45*U152,"E",IF(R152&gt;=0.4*U152,"P",IF(R152&lt;0.4*U152,"F",R152)))))))))))))))))))</f>
        <v>B</v>
      </c>
      <c r="N152" s="8">
        <f t="shared" ca="1" si="13"/>
        <v>8</v>
      </c>
      <c r="O152">
        <f t="shared" ca="1" si="14"/>
        <v>9</v>
      </c>
      <c r="P152" s="1">
        <f ca="1">IF(ISERROR(F140),"",IF(ISTEXT(VLOOKUP(B140,INDIRECT($F$8),6+(O152-1)*3)),(VLOOKUP(B140,INDIRECT($F$8),6+(O152-1)*3)),SUM(VLOOKUP(B140,INDIRECT($F$8),6+(O152-1)*3),IF(W158,W152,0))))</f>
        <v>20</v>
      </c>
      <c r="Q152" s="1">
        <f ca="1">IF(ISERROR(F140),"",VLOOKUP(B140,INDIRECT($F$8),7+(O152-1)*3))</f>
        <v>19</v>
      </c>
      <c r="R152" s="1">
        <f ca="1">IF(ISERROR(F140),"",SUM(P152:Q152))</f>
        <v>39</v>
      </c>
      <c r="S152" s="1">
        <f ca="1">IF(ISERROR(F140),"",VLOOKUP(A140,INDIRECT($F$8),6+(O152-1)*3))</f>
        <v>25</v>
      </c>
      <c r="T152" s="1">
        <f ca="1">IF(ISERROR(F140),"",VLOOKUP(A140,INDIRECT($F$8),7+(O152-1)*3))</f>
        <v>25</v>
      </c>
      <c r="U152" s="1">
        <f ca="1">IF(ISERROR(F140),"",VLOOKUP(A140,INDIRECT($F$8),8+(O152-1)*3))</f>
        <v>50</v>
      </c>
      <c r="V152" s="1" t="str">
        <f ca="1">IF(ISERROR(F140),"",IF(N152=0,A152,""))</f>
        <v/>
      </c>
      <c r="W152" s="1">
        <f ca="1">IF(ISERROR(F140),"",IF(ISTEXT(VLOOKUP(B140,INDIRECT($F$8),6+(O152-1)*3)),11,IF(VLOOKUP(B140,INDIRECT($F$8),6+(O152-1)*3)&lt;S152*0.3,IF(VLOOKUP(B140,INDIRECT($F$8),8+(O152-1)*3)&lt;U152*0.4,IF(AND(0.4*U152-VLOOKUP(B140,INDIRECT($F$8),8+(O152-1)*3)&lt;=5,0.3*S152-VLOOKUP(B140,INDIRECT($F$8),6+(O152-1)*3)&lt;=5),MAX(0.4*U152-VLOOKUP(B140,INDIRECT($F$8),8+(O152-1)*3),0.3*S152-VLOOKUP(B140,INDIRECT($F$8),6+(O152-1)*3)),11),IF(0.3*S152-VLOOKUP(B140,INDIRECT($F$8),6+(O152-1)*3)&lt;=5,0.3*S152-VLOOKUP(B140,INDIRECT($F$8),6+(O152-1)*3),11)),IF(VLOOKUP(B140,INDIRECT($F$8),8+(O152-1)*3)&lt;U152*0.4,IF(U152*0.4-VLOOKUP(B140,INDIRECT($F$8),8+(O152-1)*3)&lt;=5,U152*0.4-VLOOKUP(B140,INDIRECT($F$8),8+(O152-1)*3),11),0))))</f>
        <v>0</v>
      </c>
      <c r="X152" s="1" t="str">
        <f ca="1">IF(ISERROR(F140),"",IF(W152=0,"",_xlfn.TEXTJOIN("",FALSE," G+",W152," in ",A152)))</f>
        <v/>
      </c>
    </row>
    <row r="153" spans="1:24" ht="11.5" customHeight="1" x14ac:dyDescent="0.2">
      <c r="A153" s="7" t="str">
        <f ca="1">IF(ISERROR(F140),"",VLOOKUP(C140,INDIRECT($F$8),6+(O153-1)*3,0))</f>
        <v>MEP 003</v>
      </c>
      <c r="B153" s="24" t="str">
        <f ca="1">IF(ISERROR(F140),"",VLOOKUP(D140,INDIRECT($F$8),6+(O153-1)*3-Z153,0))</f>
        <v>Workshop Practices Lab</v>
      </c>
      <c r="C153" s="24"/>
      <c r="D153" s="24"/>
      <c r="E153" s="24"/>
      <c r="F153" s="7">
        <f ca="1">IF(ISERROR(F140),"",VLOOKUP(E140,INDIRECT($F$8),6+(O153-1)*3,0))</f>
        <v>2</v>
      </c>
      <c r="G153" s="25" t="str">
        <f ca="1">IF(ISERROR(F140),"",_xlfn.TEXTJOIN("/",FALSE,P153,S153))</f>
        <v>45/50</v>
      </c>
      <c r="H153" s="25"/>
      <c r="I153" s="25" t="str">
        <f ca="1">IF(ISERROR(F140),"",_xlfn.TEXTJOIN("/",FALSE,Q153,T153))</f>
        <v>43/50</v>
      </c>
      <c r="J153" s="25"/>
      <c r="K153" s="25" t="str">
        <f ca="1">IF(ISERROR(F140),"",_xlfn.TEXTJOIN("/",FALSE,R153,U153))</f>
        <v>88/100</v>
      </c>
      <c r="L153" s="25"/>
      <c r="M153" s="7" t="str">
        <f ca="1">IF(ISERROR(F140),"",IF(ISTEXT(P153),IF(P153="A","Ab",IF(P153="D","Dt",IF(P153="UFM","UFM",IF(P153="NA","")))),IF(AND(ISBLANK(P153),ISBLANK(R153)),"",IF(P153&lt;0.3*S153,"F",IF(ISBLANK(R153),"",IF(ISTEXT(R153),R153,IF(R153&gt;=0.95*U153,"O",IF(R153&gt;=0.9*U153,"A+",IF(R153&gt;=0.85*U153,"A",IF(R153&gt;=0.8*U153,"B+",IF(R153&gt;=0.75*U153,"B",IF(R153&gt;=0.7*U153,"C+",IF(R153&gt;=0.65*U153,"C",IF(R153&gt;=0.6*U153,"D+",IF(R153&gt;=0.55*U153,"D",IF(R153&gt;=0.5*U153,"E+",IF(R153&gt;=0.45*U153,"E",IF(R153&gt;=0.4*U153,"P",IF(R153&lt;0.4*U153,"F",R153)))))))))))))))))))</f>
        <v>A</v>
      </c>
      <c r="N153" s="8">
        <f t="shared" ca="1" si="13"/>
        <v>9</v>
      </c>
      <c r="O153">
        <f t="shared" ca="1" si="14"/>
        <v>10</v>
      </c>
      <c r="P153" s="1">
        <f ca="1">IF(ISERROR(F140),"",IF(ISTEXT(VLOOKUP(B140,INDIRECT($F$8),6+(O153-1)*3)),(VLOOKUP(B140,INDIRECT($F$8),6+(O153-1)*3)),SUM(VLOOKUP(B140,INDIRECT($F$8),6+(O153-1)*3),IF(W158,W153,0))))</f>
        <v>45</v>
      </c>
      <c r="Q153" s="1">
        <f ca="1">IF(ISERROR(F140),"",VLOOKUP(B140,INDIRECT($F$8),7+(O153-1)*3))</f>
        <v>43</v>
      </c>
      <c r="R153" s="1">
        <f ca="1">IF(ISERROR(F140),"",SUM(P153:Q153))</f>
        <v>88</v>
      </c>
      <c r="S153" s="1">
        <f ca="1">IF(ISERROR(F140),"",VLOOKUP(A140,INDIRECT($F$8),6+(O153-1)*3))</f>
        <v>50</v>
      </c>
      <c r="T153" s="1">
        <f ca="1">IF(ISERROR(F140),"",VLOOKUP(A140,INDIRECT($F$8),7+(O153-1)*3))</f>
        <v>50</v>
      </c>
      <c r="U153" s="1">
        <f ca="1">IF(ISERROR(F140),"",VLOOKUP(A140,INDIRECT($F$8),8+(O153-1)*3))</f>
        <v>100</v>
      </c>
      <c r="V153" s="1" t="str">
        <f ca="1">IF(ISERROR(F140),"",IF(N153=0,A153,""))</f>
        <v/>
      </c>
      <c r="W153" s="1">
        <f ca="1">IF(ISERROR(F140),"",IF(ISTEXT(VLOOKUP(B140,INDIRECT($F$8),6+(O153-1)*3)),11,IF(VLOOKUP(B140,INDIRECT($F$8),6+(O153-1)*3)&lt;S153*0.3,IF(VLOOKUP(B140,INDIRECT($F$8),8+(O153-1)*3)&lt;U153*0.4,IF(AND(0.4*U153-VLOOKUP(B140,INDIRECT($F$8),8+(O153-1)*3)&lt;=5,0.3*S153-VLOOKUP(B140,INDIRECT($F$8),6+(O153-1)*3)&lt;=5),MAX(0.4*U153-VLOOKUP(B140,INDIRECT($F$8),8+(O153-1)*3),0.3*S153-VLOOKUP(B140,INDIRECT($F$8),6+(O153-1)*3)),11),IF(0.3*S153-VLOOKUP(B140,INDIRECT($F$8),6+(O153-1)*3)&lt;=5,0.3*S153-VLOOKUP(B140,INDIRECT($F$8),6+(O153-1)*3),11)),IF(VLOOKUP(B140,INDIRECT($F$8),8+(O153-1)*3)&lt;U153*0.4,IF(U153*0.4-VLOOKUP(B140,INDIRECT($F$8),8+(O153-1)*3)&lt;=5,U153*0.4-VLOOKUP(B140,INDIRECT($F$8),8+(O153-1)*3),11),0))))</f>
        <v>0</v>
      </c>
      <c r="X153" s="1" t="str">
        <f ca="1">IF(ISERROR(F140),"",IF(W153=0,"",_xlfn.TEXTJOIN("",FALSE," G+",W153," in ",A153)))</f>
        <v/>
      </c>
    </row>
    <row r="154" spans="1:24" ht="11.5" customHeight="1" x14ac:dyDescent="0.2">
      <c r="A154" s="7" t="str">
        <f ca="1">IF(ISERROR(F140),"",VLOOKUP(C140,INDIRECT($F$8),6+(O154-1)*3,0))</f>
        <v>AHP 004</v>
      </c>
      <c r="B154" s="24" t="str">
        <f ca="1">IF(ISERROR(F140),"",VLOOKUP(D140,INDIRECT($F$8),6+(O154-1)*3-Z154,0))</f>
        <v>Emerging Technologies in Engineering Lab</v>
      </c>
      <c r="C154" s="24"/>
      <c r="D154" s="24"/>
      <c r="E154" s="24"/>
      <c r="F154" s="7">
        <f ca="1">IF(ISERROR(F140),"",VLOOKUP(E140,INDIRECT($F$8),6+(O154-1)*3,0))</f>
        <v>1</v>
      </c>
      <c r="G154" s="25" t="str">
        <f ca="1">IF(ISERROR(F140),"",_xlfn.TEXTJOIN("/",FALSE,P154,S154))</f>
        <v>20/25</v>
      </c>
      <c r="H154" s="25"/>
      <c r="I154" s="25" t="str">
        <f ca="1">IF(ISERROR(F140),"",_xlfn.TEXTJOIN("/",FALSE,Q154,T154))</f>
        <v>19/25</v>
      </c>
      <c r="J154" s="25"/>
      <c r="K154" s="25" t="str">
        <f ca="1">IF(ISERROR(F140),"",_xlfn.TEXTJOIN("/",FALSE,R154,U154))</f>
        <v>39/50</v>
      </c>
      <c r="L154" s="25"/>
      <c r="M154" s="7" t="str">
        <f ca="1">IF(ISERROR(F140),"",IF(ISTEXT(P154),IF(P154="A","Ab",IF(P154="D","Dt",IF(P154="UFM","UFM",IF(P154="NA","")))),IF(AND(ISBLANK(P154),ISBLANK(R154)),"",IF(P154&lt;0.3*S154,"F",IF(ISBLANK(R154),"",IF(ISTEXT(R154),R154,IF(R154&gt;=0.95*U154,"O",IF(R154&gt;=0.9*U154,"A+",IF(R154&gt;=0.85*U154,"A",IF(R154&gt;=0.8*U154,"B+",IF(R154&gt;=0.75*U154,"B",IF(R154&gt;=0.7*U154,"C+",IF(R154&gt;=0.65*U154,"C",IF(R154&gt;=0.6*U154,"D+",IF(R154&gt;=0.55*U154,"D",IF(R154&gt;=0.5*U154,"E+",IF(R154&gt;=0.45*U154,"E",IF(R154&gt;=0.4*U154,"P",IF(R154&lt;0.4*U154,"F",R154)))))))))))))))))))</f>
        <v>B</v>
      </c>
      <c r="N154" s="8">
        <f t="shared" ca="1" si="13"/>
        <v>8</v>
      </c>
      <c r="O154">
        <f t="shared" ca="1" si="14"/>
        <v>11</v>
      </c>
      <c r="P154" s="1">
        <f ca="1">IF(ISERROR(F140),"",IF(ISTEXT(VLOOKUP(B140,INDIRECT($F$8),6+(O154-1)*3)),(VLOOKUP(B140,INDIRECT($F$8),6+(O154-1)*3)),SUM(VLOOKUP(B140,INDIRECT($F$8),6+(O154-1)*3),IF(W158,W154,0))))</f>
        <v>20</v>
      </c>
      <c r="Q154" s="1">
        <f ca="1">IF(ISERROR(F140),"",VLOOKUP(B140,INDIRECT($F$8),7+(O154-1)*3))</f>
        <v>19</v>
      </c>
      <c r="R154" s="1">
        <f ca="1">IF(ISERROR(F140),"",SUM(P154:Q154))</f>
        <v>39</v>
      </c>
      <c r="S154" s="1">
        <f ca="1">IF(ISERROR(F140),"",VLOOKUP(A140,INDIRECT($F$8),6+(O154-1)*3))</f>
        <v>25</v>
      </c>
      <c r="T154" s="1">
        <f ca="1">IF(ISERROR(F140),"",VLOOKUP(A140,INDIRECT($F$8),7+(O154-1)*3))</f>
        <v>25</v>
      </c>
      <c r="U154" s="1">
        <f ca="1">IF(ISERROR(F140),"",VLOOKUP(A140,INDIRECT($F$8),8+(O154-1)*3))</f>
        <v>50</v>
      </c>
      <c r="V154" s="1" t="str">
        <f ca="1">IF(ISERROR(F140),"",IF(N154=0,A154,""))</f>
        <v/>
      </c>
      <c r="W154" s="1">
        <f ca="1">IF(ISERROR(F140),"",IF(ISTEXT(VLOOKUP(B140,INDIRECT($F$8),6+(O154-1)*3)),11,IF(VLOOKUP(B140,INDIRECT($F$8),6+(O154-1)*3)&lt;S154*0.3,IF(VLOOKUP(B140,INDIRECT($F$8),8+(O154-1)*3)&lt;U154*0.4,IF(AND(0.4*U154-VLOOKUP(B140,INDIRECT($F$8),8+(O154-1)*3)&lt;=5,0.3*S154-VLOOKUP(B140,INDIRECT($F$8),6+(O154-1)*3)&lt;=5),MAX(0.4*U154-VLOOKUP(B140,INDIRECT($F$8),8+(O154-1)*3),0.3*S154-VLOOKUP(B140,INDIRECT($F$8),6+(O154-1)*3)),11),IF(0.3*S154-VLOOKUP(B140,INDIRECT($F$8),6+(O154-1)*3)&lt;=5,0.3*S154-VLOOKUP(B140,INDIRECT($F$8),6+(O154-1)*3),11)),IF(VLOOKUP(B140,INDIRECT($F$8),8+(O154-1)*3)&lt;U154*0.4,IF(U154*0.4-VLOOKUP(B140,INDIRECT($F$8),8+(O154-1)*3)&lt;=5,U154*0.4-VLOOKUP(B140,INDIRECT($F$8),8+(O154-1)*3),11),0))))</f>
        <v>0</v>
      </c>
      <c r="X154" s="1" t="str">
        <f ca="1">IF(ISERROR(F140),"",IF(W154=0,"",_xlfn.TEXTJOIN("",FALSE," G+",W154," in ",A154)))</f>
        <v/>
      </c>
    </row>
    <row r="155" spans="1:24" ht="11.5" customHeight="1" x14ac:dyDescent="0.2">
      <c r="A155" s="7" t="str">
        <f ca="1">IF(ISERROR(F140),"",VLOOKUP(C140,INDIRECT($F$8),6+(O155-1)*3,0))</f>
        <v>CSP 002</v>
      </c>
      <c r="B155" s="24" t="str">
        <f ca="1">IF(ISERROR(F140),"",VLOOKUP(D140,INDIRECT($F$8),6+(O155-1)*3,0))</f>
        <v>Computer Applications and IOT</v>
      </c>
      <c r="C155" s="24"/>
      <c r="D155" s="24"/>
      <c r="E155" s="24"/>
      <c r="F155" s="7">
        <f ca="1">IF(ISERROR(F140),"",VLOOKUP(E140,INDIRECT($F$8),6+(O155-1)*3,0))</f>
        <v>1</v>
      </c>
      <c r="G155" s="25" t="str">
        <f ca="1">IF(ISERROR(F140),"",_xlfn.TEXTJOIN("/",FALSE,P155,S155))</f>
        <v>20/25</v>
      </c>
      <c r="H155" s="25"/>
      <c r="I155" s="25" t="str">
        <f ca="1">IF(ISERROR(F140),"",_xlfn.TEXTJOIN("/",FALSE,Q155,T155))</f>
        <v>20/25</v>
      </c>
      <c r="J155" s="25"/>
      <c r="K155" s="25" t="str">
        <f ca="1">IF(ISERROR(F140),"",_xlfn.TEXTJOIN("/",FALSE,R155,U155))</f>
        <v>40/50</v>
      </c>
      <c r="L155" s="25"/>
      <c r="M155" s="7" t="str">
        <f ca="1">IF(ISERROR(F140),"",IF(ISTEXT(P155),IF(P155="A","Ab",IF(P155="D","Dt",IF(P155="UFM","UFM",IF(P155="NA","")))),IF(AND(ISBLANK(P155),ISBLANK(R155)),"",IF(P155&lt;0.3*S155,"F",IF(ISBLANK(R155),"",IF(ISTEXT(R155),R155,IF(R155&gt;=0.95*U155,"O",IF(R155&gt;=0.9*U155,"A+",IF(R155&gt;=0.85*U155,"A",IF(R155&gt;=0.8*U155,"B+",IF(R155&gt;=0.75*U155,"B",IF(R155&gt;=0.7*U155,"C+",IF(R155&gt;=0.65*U155,"C",IF(R155&gt;=0.6*U155,"D+",IF(R155&gt;=0.55*U155,"D",IF(R155&gt;=0.5*U155,"E+",IF(R155&gt;=0.45*U155,"E",IF(R155&gt;=0.4*U155,"P",IF(R155&lt;0.4*U155,"F",R155)))))))))))))))))))</f>
        <v>B+</v>
      </c>
      <c r="N155" s="8">
        <f t="shared" ca="1" si="13"/>
        <v>8.5</v>
      </c>
      <c r="O155">
        <f t="shared" ca="1" si="14"/>
        <v>12</v>
      </c>
      <c r="P155" s="1">
        <f ca="1">IF(ISERROR(F140),"",IF(ISTEXT(VLOOKUP(B140,INDIRECT($F$8),6+(O155-1)*3)),(VLOOKUP(B140,INDIRECT($F$8),6+(O155-1)*3)),SUM(VLOOKUP(B140,INDIRECT($F$8),6+(O155-1)*3),IF(W158,W155,0))))</f>
        <v>20</v>
      </c>
      <c r="Q155" s="1">
        <f ca="1">IF(ISERROR(F140),"",VLOOKUP(B140,INDIRECT($F$8),7+(O155-1)*3))</f>
        <v>20</v>
      </c>
      <c r="R155" s="1">
        <f ca="1">IF(ISERROR(F140),"",SUM(P155:Q155))</f>
        <v>40</v>
      </c>
      <c r="S155" s="1">
        <f ca="1">IF(ISERROR(F140),"",VLOOKUP(A140,INDIRECT($F$8),6+(O155-1)*3))</f>
        <v>25</v>
      </c>
      <c r="T155" s="1">
        <f ca="1">IF(ISERROR(F140),"",VLOOKUP(A140,INDIRECT($F$8),7+(O155-1)*3))</f>
        <v>25</v>
      </c>
      <c r="U155" s="1">
        <f ca="1">IF(ISERROR(F140),"",VLOOKUP(A140,INDIRECT($F$8),8+(O155-1)*3))</f>
        <v>50</v>
      </c>
      <c r="V155" s="1" t="str">
        <f ca="1">IF(ISERROR(F140),"",IF(N155=0,A155,""))</f>
        <v/>
      </c>
      <c r="W155" s="1">
        <f ca="1">IF(ISERROR(F140),"",IF(ISTEXT(VLOOKUP(B140,INDIRECT($F$8),6+(O155-1)*3)),11,IF(VLOOKUP(B140,INDIRECT($F$8),6+(O155-1)*3)&lt;S155*0.3,IF(VLOOKUP(B140,INDIRECT($F$8),8+(O155-1)*3)&lt;U155*0.4,IF(AND(0.4*U155-VLOOKUP(B140,INDIRECT($F$8),8+(O155-1)*3)&lt;=5,0.3*S155-VLOOKUP(B140,INDIRECT($F$8),6+(O155-1)*3)&lt;=5),MAX(0.4*U155-VLOOKUP(B140,INDIRECT($F$8),8+(O155-1)*3),0.3*S155-VLOOKUP(B140,INDIRECT($F$8),6+(O155-1)*3)),11),IF(0.3*S155-VLOOKUP(B140,INDIRECT($F$8),6+(O155-1)*3)&lt;=5,0.3*S155-VLOOKUP(B140,INDIRECT($F$8),6+(O155-1)*3),11)),IF(VLOOKUP(B140,INDIRECT($F$8),8+(O155-1)*3)&lt;U155*0.4,IF(U155*0.4-VLOOKUP(B140,INDIRECT($F$8),8+(O155-1)*3)&lt;=5,U155*0.4-VLOOKUP(B140,INDIRECT($F$8),8+(O155-1)*3),11),0))))</f>
        <v>0</v>
      </c>
      <c r="X155" s="1" t="str">
        <f ca="1">IF(ISERROR(F140),"",IF(W155=0,"",_xlfn.TEXTJOIN("",FALSE," G+",W155," in ",A155)))</f>
        <v/>
      </c>
    </row>
    <row r="156" spans="1:24" ht="11.5" customHeight="1" x14ac:dyDescent="0.2">
      <c r="A156" s="7" t="str">
        <f ca="1">IF(ISERROR(F140),"",VLOOKUP(C140,INDIRECT($F$8),6+(O156-1)*3,0))</f>
        <v>AHP 006</v>
      </c>
      <c r="B156" s="24" t="str">
        <f ca="1">IF(ISERROR(F140),"",VLOOKUP(D140,INDIRECT($F$8),6+(O156-1)*3,0))</f>
        <v>English Language Lab ($)</v>
      </c>
      <c r="C156" s="24"/>
      <c r="D156" s="24"/>
      <c r="E156" s="24"/>
      <c r="F156" s="7">
        <f ca="1">IF(ISERROR(F140),"",VLOOKUP(E140,INDIRECT($F$8),6+(O156-1)*3,0))</f>
        <v>0</v>
      </c>
      <c r="G156" s="25" t="str">
        <f ca="1">IF(ISERROR(F140),"",_xlfn.TEXTJOIN("/",FALSE,P156,S156))</f>
        <v>16/25</v>
      </c>
      <c r="H156" s="25"/>
      <c r="I156" s="25" t="str">
        <f ca="1">IF(ISERROR(F140),"",_xlfn.TEXTJOIN("/",FALSE,Q156,T156))</f>
        <v>28/50</v>
      </c>
      <c r="J156" s="25"/>
      <c r="K156" s="25" t="str">
        <f ca="1">IF(ISERROR(F140),"",_xlfn.TEXTJOIN("/",FALSE,R156,U156))</f>
        <v>44/75</v>
      </c>
      <c r="L156" s="25"/>
      <c r="M156" s="7" t="str">
        <f ca="1">IF(ISERROR(F140),"",IF(ISTEXT(P156),IF(P156="A","Ab",IF(P156="D","Dt",IF(P156="UFM","UFM",IF(P156="NA","")))),IF(AND(ISBLANK(P156),ISBLANK(R156)),"",IF(P156&lt;0.3*S156,"F",IF(ISBLANK(R156),"",IF(ISTEXT(R156),R156,IF(R156&gt;=0.95*U156,"O",IF(R156&gt;=0.9*U156,"A+",IF(R156&gt;=0.85*U156,"A",IF(R156&gt;=0.8*U156,"B+",IF(R156&gt;=0.75*U156,"B",IF(R156&gt;=0.7*U156,"C+",IF(R156&gt;=0.65*U156,"C",IF(R156&gt;=0.6*U156,"D+",IF(R156&gt;=0.55*U156,"D",IF(R156&gt;=0.5*U156,"E+",IF(R156&gt;=0.45*U156,"E",IF(R156&gt;=0.4*U156,"P",IF(R156&lt;0.4*U156,"F",R156)))))))))))))))))))</f>
        <v>D</v>
      </c>
      <c r="N156" s="8">
        <f ca="1">INDEX($Z$2:$Z$17,MATCH(M156,$Y$2:$Y$17,0))</f>
        <v>6</v>
      </c>
      <c r="O156">
        <f t="shared" ca="1" si="14"/>
        <v>13</v>
      </c>
      <c r="P156" s="1">
        <f ca="1">IF(ISERROR(F140),"",IF(ISTEXT(VLOOKUP(B140,INDIRECT($F$8),6+(O156-1)*3)),(VLOOKUP(B140,INDIRECT($F$8),6+(O156-1)*3)),SUM(VLOOKUP(B140,INDIRECT($F$8),6+(O156-1)*3),IF(W158,W156,0))))</f>
        <v>16</v>
      </c>
      <c r="Q156" s="1">
        <f ca="1">IF(ISERROR(F140),"",VLOOKUP(B140,INDIRECT($F$8),7+(O156-1)*3))</f>
        <v>28</v>
      </c>
      <c r="R156" s="1">
        <f ca="1">IF(ISERROR(F140),"",SUM(P156:Q156))</f>
        <v>44</v>
      </c>
      <c r="S156" s="1">
        <f ca="1">IF(ISERROR(F140),"",VLOOKUP(A140,INDIRECT($F$8),6+(O156-1)*3))</f>
        <v>25</v>
      </c>
      <c r="T156" s="1">
        <f ca="1">IF(ISERROR(F140),"",VLOOKUP(A140,INDIRECT($F$8),7+(O156-1)*3))</f>
        <v>50</v>
      </c>
      <c r="U156" s="1">
        <f ca="1">IF(ISERROR(F140),"",VLOOKUP(A140,INDIRECT($F$8),8+(O156-1)*3))</f>
        <v>75</v>
      </c>
      <c r="V156" s="1"/>
      <c r="W156" s="1">
        <f ca="1">IF(ISERROR(F140),"",IF(ISTEXT(VLOOKUP(B140,INDIRECT($F$8),6+(O156-1)*3)),11,IF(VLOOKUP(B140,INDIRECT($F$8),6+(O156-1)*3)&lt;S156*0.3,IF(VLOOKUP(B140,INDIRECT($F$8),8+(O156-1)*3)&lt;U156*0.4,IF(AND(0.4*U156-VLOOKUP(B140,INDIRECT($F$8),8+(O156-1)*3)&lt;=5,0.3*S156-VLOOKUP(B140,INDIRECT($F$8),6+(O156-1)*3)&lt;=5),MAX(0.4*U156-VLOOKUP(B140,INDIRECT($F$8),8+(O156-1)*3),0.3*S156-VLOOKUP(B140,INDIRECT($F$8),6+(O156-1)*3)),11),IF(0.3*S156-VLOOKUP(B140,INDIRECT($F$8),6+(O156-1)*3)&lt;=5,0.3*S156-VLOOKUP(B140,INDIRECT($F$8),6+(O156-1)*3),11)),IF(VLOOKUP(B140,INDIRECT($F$8),8+(O156-1)*3)&lt;U156*0.4,IF(U156*0.4-VLOOKUP(B140,INDIRECT($F$8),8+(O156-1)*3)&lt;=5,U156*0.4-VLOOKUP(B140,INDIRECT($F$8),8+(O156-1)*3),11),0))))</f>
        <v>0</v>
      </c>
      <c r="X156" s="1" t="str">
        <f ca="1">IF(ISERROR(F140),"",IF(W156=0,"",_xlfn.TEXTJOIN("",FALSE," G+",W156," in ",A156)))</f>
        <v/>
      </c>
    </row>
    <row r="157" spans="1:24" ht="11.5" customHeight="1" x14ac:dyDescent="0.2">
      <c r="A157" s="7" t="str">
        <f ca="1">IF(ISERROR(F140),"",VLOOKUP(C140,INDIRECT($F$8),6+(O157-1)*3-Y157,0))</f>
        <v>GP 01</v>
      </c>
      <c r="B157" s="24" t="str">
        <f ca="1">IF(ISERROR(F140),"",VLOOKUP(D140,INDIRECT($F$8),6+(O157-1)*3-Z157,0))</f>
        <v>General Proficiency ($)</v>
      </c>
      <c r="C157" s="24"/>
      <c r="D157" s="24"/>
      <c r="E157" s="24"/>
      <c r="F157" s="7">
        <f ca="1">IF(ISERROR(F140),"",VLOOKUP(E140,INDIRECT($F$8),6+(O157-1)*3-AA157,0))</f>
        <v>0</v>
      </c>
      <c r="G157" s="25" t="str">
        <f ca="1">IF(ISERROR(F140),"","-")</f>
        <v>-</v>
      </c>
      <c r="H157" s="25"/>
      <c r="I157" s="25" t="str">
        <f ca="1">IF(ISERROR(F140),"",_xlfn.TEXTJOIN("/",FALSE,Q157,T157))</f>
        <v>47/50</v>
      </c>
      <c r="J157" s="25"/>
      <c r="K157" s="25" t="str">
        <f ca="1">IF(ISERROR(F140),"",_xlfn.TEXTJOIN("/",FALSE,R157,U157))</f>
        <v>47/50</v>
      </c>
      <c r="L157" s="25"/>
      <c r="M157" s="25" t="str">
        <f ca="1">IF(ISBLANK(R157),"",IF(ISTEXT(R157),R157,IF(R157&gt;=0.8*U157,"Excellent",IF(R157&gt;=0.6*U157,"Very Good",IF(R157&gt;=0.4*U157,"Good",IF(R157&gt;=0.2*U157,"Satisfactory","Average"))))))</f>
        <v>Excellent</v>
      </c>
      <c r="N157" s="25"/>
      <c r="O157">
        <f t="shared" ca="1" si="14"/>
        <v>14</v>
      </c>
      <c r="P157" s="1">
        <f ca="1">IF(ISERROR(F140),"",IF(ISTEXT(VLOOKUP(B\28,INDIRECT($F$8),6+(O157-1)*3)),(VLOOKUP(B140,INDIRECT($F$8),6+(O157-1)*3)),SUM(VLOOKUP(B140,INDIRECT($F$8),6+(O157-1)*3),IF(W158,W158,0))))</f>
        <v>0</v>
      </c>
      <c r="Q157" s="1">
        <f ca="1">IF(ISERROR(F140),"",VLOOKUP(B140,INDIRECT($F$8),7+(O157-1)*3))</f>
        <v>47</v>
      </c>
      <c r="R157" s="1">
        <f ca="1">IF(ISERROR(F140),"",SUM(P157:Q157))</f>
        <v>47</v>
      </c>
      <c r="S157" s="1">
        <f ca="1">IF(ISERROR(F140),"",VLOOKUP(A140,INDIRECT($F$8),6+(O157-1)*3))</f>
        <v>0</v>
      </c>
      <c r="T157" s="1">
        <f ca="1">IF(ISERROR(F140),"",VLOOKUP(A140,INDIRECT($F$8),7+(O157-1)*3))</f>
        <v>50</v>
      </c>
      <c r="U157" s="1">
        <f ca="1">IF(ISERROR(F140),"",VLOOKUP(A140,INDIRECT($F$8),8+(O157-1)*3))</f>
        <v>50</v>
      </c>
      <c r="V157" s="1"/>
      <c r="W157" s="1"/>
      <c r="X157" s="1" t="str">
        <f ca="1">IF(ISERROR(F140),"",IF(W157=0,"",_xlfn.TEXTJOIN("",FALSE," G+",W157," in ",A157)))</f>
        <v/>
      </c>
    </row>
    <row r="158" spans="1:24" ht="11.5" customHeight="1" x14ac:dyDescent="0.2">
      <c r="A158" s="26" t="str">
        <f ca="1">IF(ISERROR(F140),"",A136)</f>
        <v>Total Credits/ Marks/ Total Grade Points</v>
      </c>
      <c r="B158" s="26"/>
      <c r="C158" s="26"/>
      <c r="D158" s="26"/>
      <c r="E158" s="26"/>
      <c r="F158" s="10">
        <f ca="1">IF(ISERROR(F140),"",SUM(F145:F156))</f>
        <v>23</v>
      </c>
      <c r="G158" s="27" t="str">
        <f ca="1">IF(ISERROR(F140),"",_xlfn.TEXTJOIN("/",TRUE,SUMIF(F145:F157,"&gt;0",P145:P157),SUMIF(F145:F157,"&gt;0",S145:S157)))</f>
        <v>245/575</v>
      </c>
      <c r="H158" s="27"/>
      <c r="I158" s="27" t="str">
        <f ca="1">IF(ISERROR(F140),"",_xlfn.TEXTJOIN("/",TRUE,SUMIF(F145:F157,"&gt;0",Q145:Q157),SUMIF(F145:F157,"&gt;0",T145:T157)))</f>
        <v>229/375</v>
      </c>
      <c r="J158" s="27"/>
      <c r="K158" s="27" t="str">
        <f ca="1">IF(ISERROR(F140),"",_xlfn.TEXTJOIN("/",TRUE,SUMIF(F145:F157,"&gt;0",R145:R157),SUMIF(F145:F157,"&gt;0",U145:U157)))</f>
        <v>474/950</v>
      </c>
      <c r="L158" s="27"/>
      <c r="M158" s="26">
        <f ca="1">IF(ISERROR(F140),"",SUMPRODUCT(N145:N156,F145:F156))</f>
        <v>109.5</v>
      </c>
      <c r="N158" s="26"/>
      <c r="V158" s="1" t="str">
        <f ca="1">_xlfn.TEXTJOIN(", ",TRUE,V145:V157)</f>
        <v>AHT 003</v>
      </c>
      <c r="W158" t="b">
        <f ca="1">IF(SUM(W145:W157)&lt;=W144,TRUE,FALSE)</f>
        <v>0</v>
      </c>
      <c r="X158" s="1" t="str">
        <f ca="1">IF(ISERROR(F140),"",_xlfn.TEXTJOIN(",",TRUE,X145:X157))</f>
        <v xml:space="preserve"> G+11 in AHT 003</v>
      </c>
    </row>
    <row r="159" spans="1:24" ht="11.5" customHeight="1" x14ac:dyDescent="0.2">
      <c r="A159" s="26" t="str">
        <f ca="1">IF(ISERROR(F140),"",A137)</f>
        <v>Result:</v>
      </c>
      <c r="B159" s="28" t="str" cm="1">
        <f t="array" aca="1" ref="B159" ca="1">IF(SUM(COUNTIF(M145:M156,{"Ab","Dt"}))=12, "Not Promoted to IInd Semester", IF(V158="", "PASS", "CARRY OVER"))</f>
        <v>CARRY OVER</v>
      </c>
      <c r="C159" s="28"/>
      <c r="D159" s="26" t="str">
        <f ca="1">IF(ISERROR(F140),"",D137)</f>
        <v>Remark:</v>
      </c>
      <c r="E159" s="28" t="str">
        <f ca="1">IF(ISERROR(F140),"",IF(V158="",IF(X158="","",X158),_xlfn.TEXTJOIN(" ",TRUE,"BACK IN",V158)))</f>
        <v>BACK IN AHT 003</v>
      </c>
      <c r="F159" s="28"/>
      <c r="G159" s="26" t="str">
        <f ca="1">IF(ISERROR(F140),"",G137)</f>
        <v>SGPA:</v>
      </c>
      <c r="H159" s="29">
        <f ca="1">IF(ISERROR(F140),"",M158/F158)</f>
        <v>4.7608695652173916</v>
      </c>
      <c r="I159" s="26" t="str">
        <f ca="1">IF(ISERROR(F140),"",I137)</f>
        <v>CGPA:</v>
      </c>
      <c r="J159" s="29">
        <f ca="1">IF(ISERROR(F140),"",VLOOKUP(B140,INDIRECT($F$8),12+(O157-1)*3,0))</f>
        <v>4.7608695652173916</v>
      </c>
      <c r="K159" s="28" t="str">
        <f ca="1">IF(ISERROR(F140),"",K137)</f>
        <v>Earned Credits:</v>
      </c>
      <c r="L159" s="26">
        <f ca="1">IF(ISERROR(F140),"",SUMIF(N145:N156,"&gt;0",F145:F156))</f>
        <v>19</v>
      </c>
      <c r="M159" s="28" t="str">
        <f ca="1">IF(ISERROR(F140),"",M137)</f>
        <v>Cuml. Earned Credits:</v>
      </c>
      <c r="N159" s="26">
        <f ca="1">IF(ISERROR(F140),"",VLOOKUP(B140,INDIRECT($F$8),10+(O157-1)*3,0))</f>
        <v>19</v>
      </c>
    </row>
    <row r="160" spans="1:24" ht="11.5" customHeight="1" x14ac:dyDescent="0.2">
      <c r="A160" s="26"/>
      <c r="B160" s="28"/>
      <c r="C160" s="28"/>
      <c r="D160" s="26"/>
      <c r="E160" s="28"/>
      <c r="F160" s="28"/>
      <c r="G160" s="26"/>
      <c r="H160" s="29"/>
      <c r="I160" s="26"/>
      <c r="J160" s="29"/>
      <c r="K160" s="28"/>
      <c r="L160" s="26"/>
      <c r="M160" s="28"/>
      <c r="N160" s="26"/>
    </row>
    <row r="161" spans="1:24" ht="11.5" customHeight="1" x14ac:dyDescent="0.2">
      <c r="A161" s="26"/>
      <c r="B161" s="28"/>
      <c r="C161" s="28"/>
      <c r="D161" s="26"/>
      <c r="E161" s="28"/>
      <c r="F161" s="28"/>
      <c r="G161" s="26"/>
      <c r="H161" s="29"/>
      <c r="I161" s="26"/>
      <c r="J161" s="29"/>
      <c r="K161" s="28"/>
      <c r="L161" s="26"/>
      <c r="M161" s="28"/>
      <c r="N161" s="26"/>
    </row>
    <row r="162" spans="1:24" ht="11.5" customHeight="1" x14ac:dyDescent="0.2">
      <c r="A162" s="11" t="str">
        <f>A140</f>
        <v>MM</v>
      </c>
      <c r="B162" s="11">
        <f>B140+1</f>
        <v>8</v>
      </c>
      <c r="C162" s="11" t="str">
        <f>C140</f>
        <v>SC</v>
      </c>
      <c r="D162" s="11" t="str">
        <f>D140</f>
        <v>SN</v>
      </c>
      <c r="E162" s="11" t="str">
        <f>E140</f>
        <v>C</v>
      </c>
      <c r="F162" s="11" t="str">
        <f ca="1">VLOOKUP(B162,INDIRECT($F$8),4,0)</f>
        <v>ARYAN SAINI</v>
      </c>
    </row>
    <row r="163" spans="1:24" ht="11.5" customHeight="1" x14ac:dyDescent="0.2">
      <c r="A163" s="30" t="str">
        <f ca="1">IF(ISERROR(F162),"",A141)</f>
        <v>Name:</v>
      </c>
      <c r="B163" s="30" t="str">
        <f ca="1">IFERROR(VLOOKUP(B162,INDIRECT($F$8),4,0),"")</f>
        <v>ARYAN SAINI</v>
      </c>
      <c r="C163" s="30"/>
      <c r="D163" s="30" t="str">
        <f ca="1">IF(ISERROR(F162),"",D141)</f>
        <v>Father's Name:</v>
      </c>
      <c r="E163" s="30" t="str">
        <f ca="1">IFERROR(VLOOKUP(B162,INDIRECT($F$8),5,0),"")</f>
        <v>ANUJ KUMAR</v>
      </c>
      <c r="F163" s="30"/>
      <c r="G163" s="30" t="str">
        <f ca="1">IF(ISERROR(F162),"",G141)</f>
        <v>University Roll No:</v>
      </c>
      <c r="H163" s="30"/>
      <c r="I163" s="31">
        <f ca="1">IFERROR(VLOOKUP(B162,INDIRECT($F$8),2,0),"")</f>
        <v>250090120008</v>
      </c>
      <c r="J163" s="31"/>
      <c r="K163" s="30" t="str">
        <f ca="1">IF(ISERROR(F162),"",K141)</f>
        <v>University Enrol. No:</v>
      </c>
      <c r="L163" s="30"/>
      <c r="M163" s="31" t="str">
        <f ca="1">IFERROR(VLOOKUP(B162,INDIRECT($F$8),3,0),"")</f>
        <v>UTU/2501103650</v>
      </c>
      <c r="N163" s="31"/>
    </row>
    <row r="164" spans="1:24" ht="15" x14ac:dyDescent="0.2">
      <c r="A164" s="30"/>
      <c r="B164" s="30"/>
      <c r="C164" s="30"/>
      <c r="D164" s="30"/>
      <c r="E164" s="30"/>
      <c r="F164" s="30"/>
      <c r="G164" s="30"/>
      <c r="H164" s="30"/>
      <c r="I164" s="31"/>
      <c r="J164" s="31"/>
      <c r="K164" s="30"/>
      <c r="L164" s="30"/>
      <c r="M164" s="31"/>
      <c r="N164" s="31"/>
    </row>
    <row r="165" spans="1:24" ht="11.5" customHeight="1" x14ac:dyDescent="0.2">
      <c r="A165" s="28" t="str">
        <f ca="1">IF(ISERROR(F162),"",A143)</f>
        <v>Subject Code</v>
      </c>
      <c r="B165" s="28" t="str">
        <f ca="1">IF(ISERROR(F162),"",B143)</f>
        <v>Subject Name</v>
      </c>
      <c r="C165" s="28"/>
      <c r="D165" s="28"/>
      <c r="E165" s="28"/>
      <c r="F165" s="28" t="str">
        <f ca="1">IF(ISERROR(F162),"",F143)</f>
        <v>Credits</v>
      </c>
      <c r="G165" s="28" t="str">
        <f ca="1">IF(ISERROR(F162),"",G143)</f>
        <v>External Marks</v>
      </c>
      <c r="H165" s="28"/>
      <c r="I165" s="28" t="str">
        <f ca="1">IF(ISERROR(F162),"",I143)</f>
        <v>Sessional Marks</v>
      </c>
      <c r="J165" s="28"/>
      <c r="K165" s="28" t="str">
        <f ca="1">IF(ISERROR(F162),"",K143)</f>
        <v>Total Marks</v>
      </c>
      <c r="L165" s="28"/>
      <c r="M165" s="28" t="str">
        <f ca="1">IF(ISERROR(F162),"",M143)</f>
        <v>Grade</v>
      </c>
      <c r="N165" s="28" t="str">
        <f ca="1">IF(ISERROR(F162),"",N143)</f>
        <v>Grade Points</v>
      </c>
    </row>
    <row r="166" spans="1:24" ht="11.5" customHeight="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W166">
        <f ca="1">IF(ISNUMBER(MATCH($F$8,{"I","III","V","VII"},0)),10,10-INDEX(INDIRECT(_xlfn.TEXTJOIN("",TRUE,"SEM_",$G$8,"!",ADDRESS(6,4+$I$8*3+4),":",ADDRESS(5+$H$8,4+$I$8*3+4))),MATCH(INDIRECT(_xlfn.TEXTJOIN("",TRUE,"TC_",$F$8,"!",ADDRESS(ROW(I163),COLUMN(I163)))),INDIRECT(_xlfn.TEXTJOIN("",TRUE,"SEM_",$G$8,"!",ADDRESS(6,2),":",ADDRESS(5+$H$8,2))))))</f>
        <v>10</v>
      </c>
    </row>
    <row r="167" spans="1:24" ht="11.5" customHeight="1" x14ac:dyDescent="0.2">
      <c r="A167" s="7" t="str">
        <f ca="1">IF(ISERROR(F162),"",VLOOKUP(C162,INDIRECT($F$8),6+(O167-1)*3,0))</f>
        <v>AHT 002</v>
      </c>
      <c r="B167" s="24" t="str">
        <f ca="1">IF(ISERROR(F162),"",VLOOKUP(D162,INDIRECT($F$8),6+(O167-1)*3,0))</f>
        <v>Engineering Chemistry</v>
      </c>
      <c r="C167" s="24"/>
      <c r="D167" s="24"/>
      <c r="E167" s="24"/>
      <c r="F167" s="7">
        <f ca="1">IF(ISERROR(F162),"",VLOOKUP(E162,INDIRECT($F$8),6+(O167-1)*3,0))</f>
        <v>4</v>
      </c>
      <c r="G167" s="25" t="str">
        <f ca="1">IF(ISERROR(F162),"",_xlfn.TEXTJOIN("/",FALSE,P167,S167))</f>
        <v>44/100</v>
      </c>
      <c r="H167" s="25"/>
      <c r="I167" s="25" t="str">
        <f ca="1">IF(ISERROR(F162),"",_xlfn.TEXTJOIN("/",FALSE,Q167,T167))</f>
        <v>28/50</v>
      </c>
      <c r="J167" s="25"/>
      <c r="K167" s="25" t="str">
        <f ca="1">IF(ISERROR(F162),"",_xlfn.TEXTJOIN("/",FALSE,R167,U167))</f>
        <v>72/150</v>
      </c>
      <c r="L167" s="25"/>
      <c r="M167" s="7" t="str">
        <f ca="1">IF(ISERROR(F162)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E</v>
      </c>
      <c r="N167" s="8">
        <f ca="1">INDEX($Z$2:$Z$17,MATCH(M167,$Y$2:$Y$17,0))</f>
        <v>5</v>
      </c>
      <c r="O167">
        <v>1</v>
      </c>
      <c r="P167" s="1">
        <f ca="1">IF(ISERROR(F162),"",IF(ISTEXT(VLOOKUP(B162,INDIRECT($F$8),6+(O167-1)*3)),(VLOOKUP(B162,INDIRECT($F$8),6+(O167-1)*3)),SUM(VLOOKUP(B162,INDIRECT($F$8),6+(O167-1)*3),IF(W180,W167,0))))</f>
        <v>44</v>
      </c>
      <c r="Q167" s="1">
        <f ca="1">IF(ISERROR(F162),"",VLOOKUP(B162,INDIRECT($F$8),7+(O167-1)*3))</f>
        <v>28</v>
      </c>
      <c r="R167" s="1">
        <f ca="1">IF(ISERROR(F162),"",SUM(P167:Q167))</f>
        <v>72</v>
      </c>
      <c r="S167" s="1">
        <f ca="1">IF(ISERROR(F162),"",VLOOKUP(A162,INDIRECT($F$8),6+(O167-1)*3))</f>
        <v>100</v>
      </c>
      <c r="T167" s="1">
        <f ca="1">IF(ISERROR(F162),"",VLOOKUP(A162,INDIRECT($F$8),7+(O167-1)*3))</f>
        <v>50</v>
      </c>
      <c r="U167" s="1">
        <f ca="1">IF(ISERROR(F162),"",VLOOKUP(A162,INDIRECT($F$8),8+(O167-1)*3))</f>
        <v>150</v>
      </c>
      <c r="V167" s="1" t="str">
        <f ca="1">IF(ISERROR(F162),"",IF(N167=0,A167,""))</f>
        <v/>
      </c>
      <c r="W167" s="1">
        <f ca="1">IF(ISERROR(F162),"",IF(ISTEXT(VLOOKUP(B162,INDIRECT($F$8),6+(O167-1)*3)),11,IF(VLOOKUP(B162,INDIRECT($F$8),6+(O167-1)*3)&lt;S167*0.3,IF(VLOOKUP(B162,INDIRECT($F$8),8+(O167-1)*3)&lt;U167*0.4,IF(AND(0.4*U167-VLOOKUP(B162,INDIRECT($F$8),8+(O167-1)*3)&lt;=5,0.3*S167-VLOOKUP(B162,INDIRECT($F$8),6+(O167-1)*3)&lt;=5),MAX(0.4*U167-VLOOKUP(B162,INDIRECT($F$8),8+(O167-1)*3),0.3*S167-VLOOKUP(B162,INDIRECT($F$8),6+(O167-1)*3)),11),IF(0.3*S167-VLOOKUP(B162,INDIRECT($F$8),6+(O167-1)*3)&lt;=5,0.3*S167-VLOOKUP(B162,INDIRECT($F$8),6+(O167-1)*3),11)),IF(VLOOKUP(B162,INDIRECT($F$8),8+(O167-1)*3)&lt;U167*0.4,IF(U167*0.4-VLOOKUP(B162,INDIRECT($F$8),8+(O167-1)*3)&lt;=5,U167*0.4-VLOOKUP(B162,INDIRECT($F$8),8+(O167-1)*3),11),0))))</f>
        <v>0</v>
      </c>
      <c r="X167" s="1" t="str">
        <f ca="1">IF(ISERROR(F162),"",IF(W167=0,"",_xlfn.TEXTJOIN("",FALSE," G+",W167," in ",A167)))</f>
        <v/>
      </c>
    </row>
    <row r="168" spans="1:24" ht="11.5" customHeight="1" x14ac:dyDescent="0.2">
      <c r="A168" s="7" t="str">
        <f ca="1">IF(ISERROR(F162),"",VLOOKUP(C162,INDIRECT($F$8),6+(O168-1)*3,0))</f>
        <v>AHT 003</v>
      </c>
      <c r="B168" s="24" t="str">
        <f ca="1">IF(ISERROR(F162),"",VLOOKUP(D162,INDIRECT($F$8),6+(O168-1)*3,0))</f>
        <v>Introduction to Engineering Mathematics</v>
      </c>
      <c r="C168" s="24"/>
      <c r="D168" s="24"/>
      <c r="E168" s="24"/>
      <c r="F168" s="7">
        <f ca="1">IF(ISERROR(F162),"",VLOOKUP(E162,INDIRECT($F$8),6+(O168-1)*3,0))</f>
        <v>4</v>
      </c>
      <c r="G168" s="25" t="str">
        <f ca="1">IF(ISERROR(F162),"",_xlfn.TEXTJOIN("/",FALSE,P168,S168))</f>
        <v>16/100</v>
      </c>
      <c r="H168" s="25"/>
      <c r="I168" s="25" t="str">
        <f ca="1">IF(ISERROR(F162),"",_xlfn.TEXTJOIN("/",FALSE,Q168,T168))</f>
        <v>17/50</v>
      </c>
      <c r="J168" s="25"/>
      <c r="K168" s="25" t="str">
        <f ca="1">IF(ISERROR(F162),"",_xlfn.TEXTJOIN("/",FALSE,R168,U168))</f>
        <v>33/150</v>
      </c>
      <c r="L168" s="25"/>
      <c r="M168" s="7" t="str">
        <f ca="1">IF(ISERROR(F162)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F</v>
      </c>
      <c r="N168" s="8">
        <f t="shared" ref="N168:N177" ca="1" si="15">INDEX($Z$2:$Z$17,MATCH(M168,$Y$2:$Y$17,0))</f>
        <v>0</v>
      </c>
      <c r="O168">
        <f>O167+1</f>
        <v>2</v>
      </c>
      <c r="P168" s="1">
        <f ca="1">IF(ISERROR(F162),"",IF(ISTEXT(VLOOKUP(B162,INDIRECT($F$8),6+(O168-1)*3)),(VLOOKUP(B162,INDIRECT($F$8),6+(O168-1)*3)),SUM(VLOOKUP(B162,INDIRECT($F$8),6+(O168-1)*3),IF(W180,W168,0))))</f>
        <v>16</v>
      </c>
      <c r="Q168" s="1">
        <f ca="1">IF(ISERROR(F162),"",VLOOKUP(B162,INDIRECT($F$8),7+(O168-1)*3))</f>
        <v>17</v>
      </c>
      <c r="R168" s="1">
        <f ca="1">IF(ISERROR(F162),"",SUM(P168:Q168))</f>
        <v>33</v>
      </c>
      <c r="S168" s="1">
        <f ca="1">IF(ISERROR(F162),"",VLOOKUP(A162,INDIRECT($F$8),6+(O168-1)*3))</f>
        <v>100</v>
      </c>
      <c r="T168" s="1">
        <f ca="1">IF(ISERROR(F162),"",VLOOKUP(A162,INDIRECT($F$8),7+(O168-1)*3))</f>
        <v>50</v>
      </c>
      <c r="U168" s="1">
        <f ca="1">IF(ISERROR(F162),"",VLOOKUP(A162,INDIRECT($F$8),8+(O168-1)*3))</f>
        <v>150</v>
      </c>
      <c r="V168" s="1" t="str">
        <f ca="1">IF(ISERROR(F162),"",IF(N168=0,A168,""))</f>
        <v>AHT 003</v>
      </c>
      <c r="W168" s="1">
        <f ca="1">IF(ISERROR(F162),"",IF(ISTEXT(VLOOKUP(B162,INDIRECT($F$8),6+(O168-1)*3)),11,IF(VLOOKUP(B162,INDIRECT($F$8),6+(O168-1)*3)&lt;S168*0.3,IF(VLOOKUP(B162,INDIRECT($F$8),8+(O168-1)*3)&lt;U168*0.4,IF(AND(0.4*U168-VLOOKUP(B162,INDIRECT($F$8),8+(O168-1)*3)&lt;=5,0.3*S168-VLOOKUP(B162,INDIRECT($F$8),6+(O168-1)*3)&lt;=5),MAX(0.4*U168-VLOOKUP(B162,INDIRECT($F$8),8+(O168-1)*3),0.3*S168-VLOOKUP(B162,INDIRECT($F$8),6+(O168-1)*3)),11),IF(0.3*S168-VLOOKUP(B162,INDIRECT($F$8),6+(O168-1)*3)&lt;=5,0.3*S168-VLOOKUP(B162,INDIRECT($F$8),6+(O168-1)*3),11)),IF(VLOOKUP(B162,INDIRECT($F$8),8+(O168-1)*3)&lt;U168*0.4,IF(U168*0.4-VLOOKUP(B162,INDIRECT($F$8),8+(O168-1)*3)&lt;=5,U168*0.4-VLOOKUP(B162,INDIRECT($F$8),8+(O168-1)*3),11),0))))</f>
        <v>11</v>
      </c>
      <c r="X168" s="1" t="str">
        <f ca="1">IF(ISERROR(F162),"",IF(W168=0,"",_xlfn.TEXTJOIN("",FALSE," G+",W168," in ",A168)))</f>
        <v xml:space="preserve"> G+11 in AHT 003</v>
      </c>
    </row>
    <row r="169" spans="1:24" ht="11.5" customHeight="1" x14ac:dyDescent="0.2">
      <c r="A169" s="7" t="str">
        <f ca="1">IF(ISERROR(F162),"",VLOOKUP(C162,INDIRECT($F$8),6+(O169-1)*3,0))</f>
        <v>ECT 001</v>
      </c>
      <c r="B169" s="24" t="str">
        <f ca="1">IF(ISERROR(F162),"",VLOOKUP(D162,INDIRECT($F$8),6+(O169-1)*3,0))</f>
        <v>Basic Electronics Engineering</v>
      </c>
      <c r="C169" s="24"/>
      <c r="D169" s="24"/>
      <c r="E169" s="24"/>
      <c r="F169" s="7">
        <f ca="1">IF(ISERROR(F162),"",VLOOKUP(E162,INDIRECT($F$8),6+(O169-1)*3,0))</f>
        <v>4</v>
      </c>
      <c r="G169" s="25" t="str">
        <f ca="1">IF(ISERROR(F162),"",_xlfn.TEXTJOIN("/",FALSE,P169,S169))</f>
        <v>40/100</v>
      </c>
      <c r="H169" s="25"/>
      <c r="I169" s="25" t="str">
        <f ca="1">IF(ISERROR(F162),"",_xlfn.TEXTJOIN("/",FALSE,Q169,T169))</f>
        <v>42/50</v>
      </c>
      <c r="J169" s="25"/>
      <c r="K169" s="25" t="str">
        <f ca="1">IF(ISERROR(F162),"",_xlfn.TEXTJOIN("/",FALSE,R169,U169))</f>
        <v>82/150</v>
      </c>
      <c r="L169" s="25"/>
      <c r="M169" s="7" t="str">
        <f ca="1">IF(ISERROR(F162)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E+</v>
      </c>
      <c r="N169" s="8">
        <f t="shared" ca="1" si="15"/>
        <v>5.5</v>
      </c>
      <c r="O169">
        <f>O168+1</f>
        <v>3</v>
      </c>
      <c r="P169" s="1">
        <f ca="1">IF(ISERROR(F162),"",IF(ISTEXT(VLOOKUP(B162,INDIRECT($F$8),6+(O169-1)*3)),(VLOOKUP(B162,INDIRECT($F$8),6+(O169-1)*3)),SUM(VLOOKUP(B162,INDIRECT($F$8),6+(O169-1)*3),IF(W180,W169,0))))</f>
        <v>40</v>
      </c>
      <c r="Q169" s="1">
        <f ca="1">IF(ISERROR(F162),"",VLOOKUP(B162,INDIRECT($F$8),7+(O169-1)*3))</f>
        <v>42</v>
      </c>
      <c r="R169" s="1">
        <f ca="1">IF(ISERROR(F162),"",SUM(P169:Q169))</f>
        <v>82</v>
      </c>
      <c r="S169" s="1">
        <f ca="1">IF(ISERROR(F162),"",VLOOKUP(A162,INDIRECT($F$8),6+(O169-1)*3))</f>
        <v>100</v>
      </c>
      <c r="T169" s="1">
        <f ca="1">IF(ISERROR(F162),"",VLOOKUP(A162,INDIRECT($F$8),7+(O169-1)*3))</f>
        <v>50</v>
      </c>
      <c r="U169" s="1">
        <f ca="1">IF(ISERROR(F162),"",VLOOKUP(A162,INDIRECT($F$8),8+(O169-1)*3))</f>
        <v>150</v>
      </c>
      <c r="V169" s="1" t="str">
        <f ca="1">IF(ISERROR(F162),"",IF(N169=0,A169,""))</f>
        <v/>
      </c>
      <c r="W169" s="1">
        <f ca="1">IF(ISERROR(F162),"",IF(ISTEXT(VLOOKUP(B162,INDIRECT($F$8),6+(O169-1)*3)),11,IF(VLOOKUP(B162,INDIRECT($F$8),6+(O169-1)*3)&lt;S169*0.3,IF(VLOOKUP(B162,INDIRECT($F$8),8+(O169-1)*3)&lt;U169*0.4,IF(AND(0.4*U169-VLOOKUP(B162,INDIRECT($F$8),8+(O169-1)*3)&lt;=5,0.3*S169-VLOOKUP(B162,INDIRECT($F$8),6+(O169-1)*3)&lt;=5),MAX(0.4*U169-VLOOKUP(B162,INDIRECT($F$8),8+(O169-1)*3),0.3*S169-VLOOKUP(B162,INDIRECT($F$8),6+(O169-1)*3)),11),IF(0.3*S169-VLOOKUP(B162,INDIRECT($F$8),6+(O169-1)*3)&lt;=5,0.3*S169-VLOOKUP(B162,INDIRECT($F$8),6+(O169-1)*3),11)),IF(VLOOKUP(B162,INDIRECT($F$8),8+(O169-1)*3)&lt;U169*0.4,IF(U169*0.4-VLOOKUP(B162,INDIRECT($F$8),8+(O169-1)*3)&lt;=5,U169*0.4-VLOOKUP(B162,INDIRECT($F$8),8+(O169-1)*3),11),0))))</f>
        <v>0</v>
      </c>
      <c r="X169" s="1" t="str">
        <f ca="1">IF(ISERROR(F162),"",IF(W169=0,"",_xlfn.TEXTJOIN("",FALSE," G+",W169," in ",A169)))</f>
        <v/>
      </c>
    </row>
    <row r="170" spans="1:24" ht="11.5" customHeight="1" x14ac:dyDescent="0.2">
      <c r="A170" s="7" t="str">
        <f ca="1">IF(ISERROR(F162),"",VLOOKUP(C162,INDIRECT($F$8),6+(O170-1)*3,0))</f>
        <v>MET 001</v>
      </c>
      <c r="B170" s="24" t="str">
        <f ca="1">IF(ISERROR(F162),"",VLOOKUP(D162,INDIRECT($F$8),6+(O170-1)*3,0))</f>
        <v>Basic Mechanical Engineering</v>
      </c>
      <c r="C170" s="24"/>
      <c r="D170" s="24"/>
      <c r="E170" s="24"/>
      <c r="F170" s="7">
        <f ca="1">IF(ISERROR(F162),"",VLOOKUP(E162,INDIRECT($F$8),6+(O170-1)*3,0))</f>
        <v>4</v>
      </c>
      <c r="G170" s="25" t="str">
        <f ca="1">IF(ISERROR(F162),"",_xlfn.TEXTJOIN("/",FALSE,P170,S170))</f>
        <v>50/100</v>
      </c>
      <c r="H170" s="25"/>
      <c r="I170" s="25" t="str">
        <f ca="1">IF(ISERROR(F162),"",_xlfn.TEXTJOIN("/",FALSE,Q170,T170))</f>
        <v>40/50</v>
      </c>
      <c r="J170" s="25"/>
      <c r="K170" s="25" t="str">
        <f ca="1">IF(ISERROR(F162),"",_xlfn.TEXTJOIN("/",FALSE,R170,U170))</f>
        <v>90/150</v>
      </c>
      <c r="L170" s="25"/>
      <c r="M170" s="7" t="str">
        <f ca="1">IF(ISERROR(F162)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D+</v>
      </c>
      <c r="N170" s="8">
        <f t="shared" ca="1" si="15"/>
        <v>6.5</v>
      </c>
      <c r="O170">
        <f>O169+1</f>
        <v>4</v>
      </c>
      <c r="P170" s="1">
        <f ca="1">IF(ISERROR(F162),"",IF(ISTEXT(VLOOKUP(B162,INDIRECT($F$8),6+(O170-1)*3)),(VLOOKUP(B162,INDIRECT($F$8),6+(O170-1)*3)),SUM(VLOOKUP(B162,INDIRECT($F$8),6+(O170-1)*3),IF(W180,W170,0))))</f>
        <v>50</v>
      </c>
      <c r="Q170" s="1">
        <f ca="1">IF(ISERROR(F162),"",VLOOKUP(B162,INDIRECT($F$8),7+(O170-1)*3))</f>
        <v>40</v>
      </c>
      <c r="R170" s="1">
        <f ca="1">IF(ISERROR(F162),"",SUM(P170:Q170))</f>
        <v>90</v>
      </c>
      <c r="S170" s="1">
        <f ca="1">IF(ISERROR(F162),"",VLOOKUP(A162,INDIRECT($F$8),6+(O170-1)*3))</f>
        <v>100</v>
      </c>
      <c r="T170" s="1">
        <f ca="1">IF(ISERROR(F162),"",VLOOKUP(A162,INDIRECT($F$8),7+(O170-1)*3))</f>
        <v>50</v>
      </c>
      <c r="U170" s="1">
        <f ca="1">IF(ISERROR(F162),"",VLOOKUP(A162,INDIRECT($F$8),8+(O170-1)*3))</f>
        <v>150</v>
      </c>
      <c r="V170" s="1" t="str">
        <f ca="1">IF(ISERROR(F162),"",IF(N170=0,A170,""))</f>
        <v/>
      </c>
      <c r="W170" s="1">
        <f ca="1">IF(ISERROR(F162),"",IF(ISTEXT(VLOOKUP(B162,INDIRECT($F$8),6+(O170-1)*3)),11,IF(VLOOKUP(B162,INDIRECT($F$8),6+(O170-1)*3)&lt;S170*0.3,IF(VLOOKUP(B162,INDIRECT($F$8),8+(O170-1)*3)&lt;U170*0.4,IF(AND(0.4*U170-VLOOKUP(B162,INDIRECT($F$8),8+(O170-1)*3)&lt;=5,0.3*S170-VLOOKUP(B162,INDIRECT($F$8),6+(O170-1)*3)&lt;=5),MAX(0.4*U170-VLOOKUP(B162,INDIRECT($F$8),8+(O170-1)*3),0.3*S170-VLOOKUP(B162,INDIRECT($F$8),6+(O170-1)*3)),11),IF(0.3*S170-VLOOKUP(B162,INDIRECT($F$8),6+(O170-1)*3)&lt;=5,0.3*S170-VLOOKUP(B162,INDIRECT($F$8),6+(O170-1)*3),11)),IF(VLOOKUP(B162,INDIRECT($F$8),8+(O170-1)*3)&lt;U170*0.4,IF(U170*0.4-VLOOKUP(B162,INDIRECT($F$8),8+(O170-1)*3)&lt;=5,U170*0.4-VLOOKUP(B162,INDIRECT($F$8),8+(O170-1)*3),11),0))))</f>
        <v>0</v>
      </c>
      <c r="X170" s="1" t="str">
        <f ca="1">IF(ISERROR(F162),"",IF(W170=0,"",_xlfn.TEXTJOIN("",FALSE," G+",W170," in ",A170)))</f>
        <v/>
      </c>
    </row>
    <row r="171" spans="1:24" ht="11.5" customHeight="1" x14ac:dyDescent="0.2">
      <c r="A171" s="7" t="str">
        <f ca="1">IF(ISERROR(F162),"",VLOOKUP(C162,INDIRECT($F$8),6+(O171-1)*3,0))</f>
        <v>AHT 000</v>
      </c>
      <c r="B171" s="24" t="str">
        <f ca="1">IF(ISERROR(F162),"",VLOOKUP(D162,INDIRECT($F$8),6+(O171-1)*3,0))</f>
        <v>Basic Mathematics (Bridge Course) ($)</v>
      </c>
      <c r="C171" s="24"/>
      <c r="D171" s="24"/>
      <c r="E171" s="24"/>
      <c r="F171" s="7">
        <f ca="1">IF(ISERROR(F162),"",VLOOKUP(E162,INDIRECT($F$8),6+(O171-1)*3,0))</f>
        <v>0</v>
      </c>
      <c r="G171" s="25" t="str">
        <f ca="1">IF(ISERROR(F162),"",_xlfn.TEXTJOIN("/",FALSE,P171,S171))</f>
        <v>51/100</v>
      </c>
      <c r="H171" s="25"/>
      <c r="I171" s="25" t="str">
        <f ca="1">IF(ISERROR(F162),"",_xlfn.TEXTJOIN("/",FALSE,Q171,T171))</f>
        <v>33/50</v>
      </c>
      <c r="J171" s="25"/>
      <c r="K171" s="25" t="str">
        <f ca="1">IF(ISERROR(F162),"",_xlfn.TEXTJOIN("/",FALSE,R171,U171))</f>
        <v>84/150</v>
      </c>
      <c r="L171" s="25"/>
      <c r="M171" s="7" t="str">
        <f ca="1">IF(ISERROR(F162),"",IF(ISTEXT(P171),IF(P171="A","Ab",IF(P171="D","Dt",IF(P171="UFM","UFM",IF(P171="NA","")))),IF(AND(ISBLANK(P171),ISBLANK(R171)),"",IF(P171&lt;0.3*S171,"F",IF(ISBLANK(R171),"",IF(ISTEXT(R171),R171,IF(R171&gt;=0.95*U171,"O",IF(R171&gt;=0.9*U171,"A+",IF(R171&gt;=0.85*U171,"A",IF(R171&gt;=0.8*U171,"B+",IF(R171&gt;=0.75*U171,"B",IF(R171&gt;=0.7*U171,"C+",IF(R171&gt;=0.65*U171,"C",IF(R171&gt;=0.6*U171,"D+",IF(R171&gt;=0.55*U171,"D",IF(R171&gt;=0.5*U171,"E+",IF(R171&gt;=0.45*U171,"E",IF(R171&gt;=0.4*U171,"P",IF(R171&lt;0.4*U171,"F",R171)))))))))))))))))))</f>
        <v>D</v>
      </c>
      <c r="N171" s="8">
        <f t="shared" ca="1" si="15"/>
        <v>6</v>
      </c>
      <c r="O171" cm="1">
        <f t="array" aca="1" ref="O171" ca="1">IF(NOT(ISBLANK(INDIRECT("SEM_I!R"&amp;INT((ROW(O171)-17)/22)+6))),5,
IF(NOT(ISBLANK(INDIRECT("SEM_I!U"&amp;INT((ROW(O171)-17)/22)+6))),6))</f>
        <v>5</v>
      </c>
      <c r="P171" s="1">
        <f ca="1">IF(ISERROR(F162),"",IF(ISTEXT(VLOOKUP(B162,INDIRECT($F$8),6+(O171-1)*3)),(VLOOKUP(B162,INDIRECT($F$8),6+(O171-1)*3)),SUM(VLOOKUP(B162,INDIRECT($F$8),6+(O171-1)*3),IF(W180,W171,0))))</f>
        <v>51</v>
      </c>
      <c r="Q171" s="1">
        <f ca="1">IF(ISERROR(F162),"",VLOOKUP(B162,INDIRECT($F$8),7+(O171-1)*3))</f>
        <v>33</v>
      </c>
      <c r="R171" s="1">
        <f ca="1">IF(ISERROR(F162),"",SUM(P171:Q171))</f>
        <v>84</v>
      </c>
      <c r="S171" s="1">
        <f ca="1">IF(ISERROR(F162),"",VLOOKUP(A162,INDIRECT($F$8),6+(O171-1)*3))</f>
        <v>100</v>
      </c>
      <c r="T171" s="1">
        <f ca="1">IF(ISERROR(F162),"",VLOOKUP(A162,INDIRECT($F$8),7+(O171-1)*3))</f>
        <v>50</v>
      </c>
      <c r="U171" s="1">
        <f ca="1">IF(ISERROR(F162),"",VLOOKUP(A162,INDIRECT($F$8),8+(O171-1)*3))</f>
        <v>150</v>
      </c>
      <c r="V171" s="1" t="str">
        <f ca="1">IF(ISERROR(F162),"",IF(N171=0,A171,""))</f>
        <v/>
      </c>
      <c r="W171" s="1">
        <f ca="1">IF(ISERROR(F162),"",IF(ISTEXT(VLOOKUP(B162,INDIRECT($F$8),6+(O171-1)*3)),11,IF(VLOOKUP(B162,INDIRECT($F$8),6+(O171-1)*3)&lt;S171*0.3,IF(VLOOKUP(B162,INDIRECT($F$8),8+(O171-1)*3)&lt;U171*0.4,IF(AND(0.4*U171-VLOOKUP(B162,INDIRECT($F$8),8+(O171-1)*3)&lt;=5,0.3*S171-VLOOKUP(B162,INDIRECT($F$8),6+(O171-1)*3)&lt;=5),MAX(0.4*U171-VLOOKUP(B162,INDIRECT($F$8),8+(O171-1)*3),0.3*S171-VLOOKUP(B162,INDIRECT($F$8),6+(O171-1)*3)),11),IF(0.3*S171-VLOOKUP(B162,INDIRECT($F$8),6+(O171-1)*3)&lt;=5,0.3*S171-VLOOKUP(B162,INDIRECT($F$8),6+(O171-1)*3),11)),IF(VLOOKUP(B162,INDIRECT($F$8),8+(O171-1)*3)&lt;U171*0.4,IF(U171*0.4-VLOOKUP(B162,INDIRECT($F$8),8+(O171-1)*3)&lt;=5,U171*0.4-VLOOKUP(B162,INDIRECT($F$8),8+(O171-1)*3),11),0))))</f>
        <v>0</v>
      </c>
      <c r="X171" s="1" t="str">
        <f ca="1">IF(ISERROR(F162),"",IF(W171=0,"",_xlfn.TEXTJOIN("",FALSE," G+",W171," in ",A171)))</f>
        <v/>
      </c>
    </row>
    <row r="172" spans="1:24" ht="11.5" customHeight="1" x14ac:dyDescent="0.2">
      <c r="A172" s="7" t="str">
        <f ca="1">IF(ISERROR(F162),"",VLOOKUP(C162,INDIRECT($F$8),6+(O172-1)*3,0))</f>
        <v>AHP 002</v>
      </c>
      <c r="B172" s="24" t="str">
        <f ca="1">IF(ISERROR(F162),"",VLOOKUP(D162,INDIRECT($F$8),6+(O172-1)*3,0))</f>
        <v>Engineering Chemistry Lab</v>
      </c>
      <c r="C172" s="24"/>
      <c r="D172" s="24"/>
      <c r="E172" s="24"/>
      <c r="F172" s="7">
        <f ca="1">IF(ISERROR(F162),"",VLOOKUP(E162,INDIRECT($F$8),6+(O172-1)*3,0))</f>
        <v>1</v>
      </c>
      <c r="G172" s="25" t="str">
        <f ca="1">IF(ISERROR(F162),"",_xlfn.TEXTJOIN("/",FALSE,P172,S172))</f>
        <v>19/25</v>
      </c>
      <c r="H172" s="25"/>
      <c r="I172" s="25" t="str">
        <f ca="1">IF(ISERROR(F162),"",_xlfn.TEXTJOIN("/",FALSE,Q172,T172))</f>
        <v>17/25</v>
      </c>
      <c r="J172" s="25"/>
      <c r="K172" s="25" t="str">
        <f ca="1">IF(ISERROR(F162),"",_xlfn.TEXTJOIN("/",FALSE,R172,U172))</f>
        <v>36/50</v>
      </c>
      <c r="L172" s="25"/>
      <c r="M172" s="7" t="str">
        <f ca="1">IF(ISERROR(F162),"",IF(ISTEXT(P172),IF(P172="A","Ab",IF(P172="D","Dt",IF(P172="UFM","UFM",IF(P172="NA","")))),IF(AND(ISBLANK(P172),ISBLANK(R172)),"",IF(P172&lt;0.3*S172,"F",IF(ISBLANK(R172),"",IF(ISTEXT(R172),R172,IF(R172&gt;=0.95*U172,"O",IF(R172&gt;=0.9*U172,"A+",IF(R172&gt;=0.85*U172,"A",IF(R172&gt;=0.8*U172,"B+",IF(R172&gt;=0.75*U172,"B",IF(R172&gt;=0.7*U172,"C+",IF(R172&gt;=0.65*U172,"C",IF(R172&gt;=0.6*U172,"D+",IF(R172&gt;=0.55*U172,"D",IF(R172&gt;=0.5*U172,"E+",IF(R172&gt;=0.45*U172,"E",IF(R172&gt;=0.4*U172,"P",IF(R172&lt;0.4*U172,"F",R172)))))))))))))))))))</f>
        <v>C+</v>
      </c>
      <c r="N172" s="8">
        <f t="shared" ca="1" si="15"/>
        <v>7.5</v>
      </c>
      <c r="O172">
        <f ca="1">IF(O171&gt;0,7)</f>
        <v>7</v>
      </c>
      <c r="P172" s="1">
        <f ca="1">IF(ISERROR(F162),"",IF(ISTEXT(VLOOKUP(B162,INDIRECT($F$8),6+(O172-1)*3)),(VLOOKUP(B162,INDIRECT($F$8),6+(O172-1)*3)),SUM(VLOOKUP(B162,INDIRECT($F$8),6+(O172-1)*3),IF(W180,W172,0))))</f>
        <v>19</v>
      </c>
      <c r="Q172" s="1">
        <f ca="1">IF(ISERROR(F162),"",VLOOKUP(B162,INDIRECT($F$8),7+(O172-1)*3))</f>
        <v>17</v>
      </c>
      <c r="R172" s="1">
        <f ca="1">IF(ISERROR(F162),"",SUM(P172:Q172))</f>
        <v>36</v>
      </c>
      <c r="S172" s="1">
        <f ca="1">IF(ISERROR(F162),"",VLOOKUP(A162,INDIRECT($F$8),6+(O172-1)*3))</f>
        <v>25</v>
      </c>
      <c r="T172" s="1">
        <f ca="1">IF(ISERROR(F162),"",VLOOKUP(A162,INDIRECT($F$8),7+(O172-1)*3))</f>
        <v>25</v>
      </c>
      <c r="U172" s="1">
        <f ca="1">IF(ISERROR(F162),"",VLOOKUP(A162,INDIRECT($F$8),8+(O172-1)*3))</f>
        <v>50</v>
      </c>
      <c r="V172" s="1" t="str">
        <f ca="1">IF(ISERROR(F162),"",IF(N172=0,A172,""))</f>
        <v/>
      </c>
      <c r="W172" s="1">
        <f ca="1">IF(ISERROR(F162),"",IF(ISTEXT(VLOOKUP(B162,INDIRECT($F$8),6+(O172-1)*3)),11,IF(VLOOKUP(B162,INDIRECT($F$8),6+(O172-1)*3)&lt;S172*0.3,IF(VLOOKUP(B162,INDIRECT($F$8),8+(O172-1)*3)&lt;U172*0.4,IF(AND(0.4*U172-VLOOKUP(B162,INDIRECT($F$8),8+(O172-1)*3)&lt;=5,0.3*S172-VLOOKUP(B162,INDIRECT($F$8),6+(O172-1)*3)&lt;=5),MAX(0.4*U172-VLOOKUP(B162,INDIRECT($F$8),8+(O172-1)*3),0.3*S172-VLOOKUP(B162,INDIRECT($F$8),6+(O172-1)*3)),11),IF(0.3*S172-VLOOKUP(B162,INDIRECT($F$8),6+(O172-1)*3)&lt;=5,0.3*S172-VLOOKUP(B162,INDIRECT($F$8),6+(O172-1)*3),11)),IF(VLOOKUP(B162,INDIRECT($F$8),8+(O172-1)*3)&lt;U172*0.4,IF(U172*0.4-VLOOKUP(B162,INDIRECT($F$8),8+(O172-1)*3)&lt;=5,U172*0.4-VLOOKUP(B162,INDIRECT($F$8),8+(O172-1)*3),11),0))))</f>
        <v>0</v>
      </c>
      <c r="X172" s="1" t="str">
        <f ca="1">IF(ISERROR(F162),"",IF(W172=0,"",_xlfn.TEXTJOIN("",FALSE," G+",W172," in ",A172)))</f>
        <v/>
      </c>
    </row>
    <row r="173" spans="1:24" ht="11.5" customHeight="1" x14ac:dyDescent="0.2">
      <c r="A173" s="7" t="str">
        <f ca="1">IF(ISERROR(F162),"",VLOOKUP(C162,INDIRECT($F$8),6+(O173-1)*3,0))</f>
        <v>ECP 001</v>
      </c>
      <c r="B173" s="24" t="str">
        <f ca="1">IF(ISERROR(F162),"",VLOOKUP(D162,INDIRECT($F$8),6+(O173-1)*3,0))</f>
        <v>Basic Electronics Engineering Lab</v>
      </c>
      <c r="C173" s="24"/>
      <c r="D173" s="24"/>
      <c r="E173" s="24"/>
      <c r="F173" s="7">
        <f ca="1">IF(ISERROR(F162),"",VLOOKUP(E162,INDIRECT($F$8),6+(O173-1)*3,0))</f>
        <v>1</v>
      </c>
      <c r="G173" s="25" t="str">
        <f ca="1">IF(ISERROR(F162),"",_xlfn.TEXTJOIN("/",FALSE,P173,S173))</f>
        <v>16/25</v>
      </c>
      <c r="H173" s="25"/>
      <c r="I173" s="25" t="str">
        <f ca="1">IF(ISERROR(F162),"",_xlfn.TEXTJOIN("/",FALSE,Q173,T173))</f>
        <v>19/25</v>
      </c>
      <c r="J173" s="25"/>
      <c r="K173" s="25" t="str">
        <f ca="1">IF(ISERROR(F162),"",_xlfn.TEXTJOIN("/",FALSE,R173,U173))</f>
        <v>35/50</v>
      </c>
      <c r="L173" s="25"/>
      <c r="M173" s="7" t="str">
        <f ca="1">IF(ISERROR(F162),"",IF(ISTEXT(P173),IF(P173="A","Ab",IF(P173="D","Dt",IF(P173="UFM","UFM",IF(P173="NA","")))),IF(AND(ISBLANK(P173),ISBLANK(R173)),"",IF(P173&lt;0.3*S173,"F",IF(ISBLANK(R173),"",IF(ISTEXT(R173),R173,IF(R173&gt;=0.95*U173,"O",IF(R173&gt;=0.9*U173,"A+",IF(R173&gt;=0.85*U173,"A",IF(R173&gt;=0.8*U173,"B+",IF(R173&gt;=0.75*U173,"B",IF(R173&gt;=0.7*U173,"C+",IF(R173&gt;=0.65*U173,"C",IF(R173&gt;=0.6*U173,"D+",IF(R173&gt;=0.55*U173,"D",IF(R173&gt;=0.5*U173,"E+",IF(R173&gt;=0.45*U173,"E",IF(R173&gt;=0.4*U173,"P",IF(R173&lt;0.4*U173,"F",R173)))))))))))))))))))</f>
        <v>C+</v>
      </c>
      <c r="N173" s="8">
        <f t="shared" ca="1" si="15"/>
        <v>7.5</v>
      </c>
      <c r="O173">
        <f t="shared" ref="O173:O179" ca="1" si="16">O172+1</f>
        <v>8</v>
      </c>
      <c r="P173" s="1">
        <f ca="1">IF(ISERROR(F162),"",IF(ISTEXT(VLOOKUP(B162,INDIRECT($F$8),6+(O173-1)*3)),(VLOOKUP(B162,INDIRECT($F$8),6+(O173-1)*3)),SUM(VLOOKUP(B162,INDIRECT($F$8),6+(O173-1)*3),IF(W180,W173,0))))</f>
        <v>16</v>
      </c>
      <c r="Q173" s="1">
        <f ca="1">IF(ISERROR(F162),"",VLOOKUP(B162,INDIRECT($F$8),7+(O173-1)*3))</f>
        <v>19</v>
      </c>
      <c r="R173" s="1">
        <f ca="1">IF(ISERROR(F162),"",SUM(P173:Q173))</f>
        <v>35</v>
      </c>
      <c r="S173" s="1">
        <f ca="1">IF(ISERROR(F162),"",VLOOKUP(A162,INDIRECT($F$8),6+(O173-1)*3))</f>
        <v>25</v>
      </c>
      <c r="T173" s="1">
        <f ca="1">IF(ISERROR(F162),"",VLOOKUP(A162,INDIRECT($F$8),7+(O173-1)*3))</f>
        <v>25</v>
      </c>
      <c r="U173" s="1">
        <f ca="1">IF(ISERROR(F162),"",VLOOKUP(A162,INDIRECT($F$8),8+(O173-1)*3))</f>
        <v>50</v>
      </c>
      <c r="V173" s="1" t="str">
        <f ca="1">IF(ISERROR(F162),"",IF(N173=0,A173,""))</f>
        <v/>
      </c>
      <c r="W173" s="1">
        <f ca="1">IF(ISERROR(F162),"",IF(ISTEXT(VLOOKUP(B162,INDIRECT($F$8),6+(O173-1)*3)),11,IF(VLOOKUP(B162,INDIRECT($F$8),6+(O173-1)*3)&lt;S173*0.3,IF(VLOOKUP(B162,INDIRECT($F$8),8+(O173-1)*3)&lt;U173*0.4,IF(AND(0.4*U173-VLOOKUP(B162,INDIRECT($F$8),8+(O173-1)*3)&lt;=5,0.3*S173-VLOOKUP(B162,INDIRECT($F$8),6+(O173-1)*3)&lt;=5),MAX(0.4*U173-VLOOKUP(B162,INDIRECT($F$8),8+(O173-1)*3),0.3*S173-VLOOKUP(B162,INDIRECT($F$8),6+(O173-1)*3)),11),IF(0.3*S173-VLOOKUP(B162,INDIRECT($F$8),6+(O173-1)*3)&lt;=5,0.3*S173-VLOOKUP(B162,INDIRECT($F$8),6+(O173-1)*3),11)),IF(VLOOKUP(B162,INDIRECT($F$8),8+(O173-1)*3)&lt;U173*0.4,IF(U173*0.4-VLOOKUP(B162,INDIRECT($F$8),8+(O173-1)*3)&lt;=5,U173*0.4-VLOOKUP(B162,INDIRECT($F$8),8+(O173-1)*3),11),0))))</f>
        <v>0</v>
      </c>
      <c r="X173" s="1" t="str">
        <f ca="1">IF(ISERROR(F162),"",IF(W173=0,"",_xlfn.TEXTJOIN("",FALSE," G+",W173," in ",A173)))</f>
        <v/>
      </c>
    </row>
    <row r="174" spans="1:24" ht="11.5" customHeight="1" x14ac:dyDescent="0.2">
      <c r="A174" s="7" t="str">
        <f ca="1">IF(ISERROR(F162),"",VLOOKUP(C162,INDIRECT($F$8),6+(O174-1)*3,0))</f>
        <v>MEP 001</v>
      </c>
      <c r="B174" s="24" t="str">
        <f ca="1">IF(ISERROR(F162),"",VLOOKUP(D162,INDIRECT($F$8),6+(O174-1)*3,0))</f>
        <v>Basic Mechanical Engineering Lab</v>
      </c>
      <c r="C174" s="24"/>
      <c r="D174" s="24"/>
      <c r="E174" s="24"/>
      <c r="F174" s="7">
        <f ca="1">IF(ISERROR(F162),"",VLOOKUP(E162,INDIRECT($F$8),6+(O174-1)*3,0))</f>
        <v>1</v>
      </c>
      <c r="G174" s="25" t="str">
        <f ca="1">IF(ISERROR(F162),"",_xlfn.TEXTJOIN("/",FALSE,P174,S174))</f>
        <v>20/25</v>
      </c>
      <c r="H174" s="25"/>
      <c r="I174" s="25" t="str">
        <f ca="1">IF(ISERROR(F162),"",_xlfn.TEXTJOIN("/",FALSE,Q174,T174))</f>
        <v>22/25</v>
      </c>
      <c r="J174" s="25"/>
      <c r="K174" s="25" t="str">
        <f ca="1">IF(ISERROR(F162),"",_xlfn.TEXTJOIN("/",FALSE,R174,U174))</f>
        <v>42/50</v>
      </c>
      <c r="L174" s="25"/>
      <c r="M174" s="7" t="str">
        <f ca="1">IF(ISERROR(F162),"",IF(ISTEXT(P174),IF(P174="A","Ab",IF(P174="D","Dt",IF(P174="UFM","UFM",IF(P174="NA","")))),IF(AND(ISBLANK(P174),ISBLANK(R174)),"",IF(P174&lt;0.3*S174,"F",IF(ISBLANK(R174),"",IF(ISTEXT(R174),R174,IF(R174&gt;=0.95*U174,"O",IF(R174&gt;=0.9*U174,"A+",IF(R174&gt;=0.85*U174,"A",IF(R174&gt;=0.8*U174,"B+",IF(R174&gt;=0.75*U174,"B",IF(R174&gt;=0.7*U174,"C+",IF(R174&gt;=0.65*U174,"C",IF(R174&gt;=0.6*U174,"D+",IF(R174&gt;=0.55*U174,"D",IF(R174&gt;=0.5*U174,"E+",IF(R174&gt;=0.45*U174,"E",IF(R174&gt;=0.4*U174,"P",IF(R174&lt;0.4*U174,"F",R174)))))))))))))))))))</f>
        <v>B+</v>
      </c>
      <c r="N174" s="8">
        <f t="shared" ca="1" si="15"/>
        <v>8.5</v>
      </c>
      <c r="O174">
        <f t="shared" ca="1" si="16"/>
        <v>9</v>
      </c>
      <c r="P174" s="1">
        <f ca="1">IF(ISERROR(F162),"",IF(ISTEXT(VLOOKUP(B162,INDIRECT($F$8),6+(O174-1)*3)),(VLOOKUP(B162,INDIRECT($F$8),6+(O174-1)*3)),SUM(VLOOKUP(B162,INDIRECT($F$8),6+(O174-1)*3),IF(W180,W174,0))))</f>
        <v>20</v>
      </c>
      <c r="Q174" s="1">
        <f ca="1">IF(ISERROR(F162),"",VLOOKUP(B162,INDIRECT($F$8),7+(O174-1)*3))</f>
        <v>22</v>
      </c>
      <c r="R174" s="1">
        <f ca="1">IF(ISERROR(F162),"",SUM(P174:Q174))</f>
        <v>42</v>
      </c>
      <c r="S174" s="1">
        <f ca="1">IF(ISERROR(F162),"",VLOOKUP(A162,INDIRECT($F$8),6+(O174-1)*3))</f>
        <v>25</v>
      </c>
      <c r="T174" s="1">
        <f ca="1">IF(ISERROR(F162),"",VLOOKUP(A162,INDIRECT($F$8),7+(O174-1)*3))</f>
        <v>25</v>
      </c>
      <c r="U174" s="1">
        <f ca="1">IF(ISERROR(F162),"",VLOOKUP(A162,INDIRECT($F$8),8+(O174-1)*3))</f>
        <v>50</v>
      </c>
      <c r="V174" s="1" t="str">
        <f ca="1">IF(ISERROR(F162),"",IF(N174=0,A174,""))</f>
        <v/>
      </c>
      <c r="W174" s="1">
        <f ca="1">IF(ISERROR(F162),"",IF(ISTEXT(VLOOKUP(B162,INDIRECT($F$8),6+(O174-1)*3)),11,IF(VLOOKUP(B162,INDIRECT($F$8),6+(O174-1)*3)&lt;S174*0.3,IF(VLOOKUP(B162,INDIRECT($F$8),8+(O174-1)*3)&lt;U174*0.4,IF(AND(0.4*U174-VLOOKUP(B162,INDIRECT($F$8),8+(O174-1)*3)&lt;=5,0.3*S174-VLOOKUP(B162,INDIRECT($F$8),6+(O174-1)*3)&lt;=5),MAX(0.4*U174-VLOOKUP(B162,INDIRECT($F$8),8+(O174-1)*3),0.3*S174-VLOOKUP(B162,INDIRECT($F$8),6+(O174-1)*3)),11),IF(0.3*S174-VLOOKUP(B162,INDIRECT($F$8),6+(O174-1)*3)&lt;=5,0.3*S174-VLOOKUP(B162,INDIRECT($F$8),6+(O174-1)*3),11)),IF(VLOOKUP(B162,INDIRECT($F$8),8+(O174-1)*3)&lt;U174*0.4,IF(U174*0.4-VLOOKUP(B162,INDIRECT($F$8),8+(O174-1)*3)&lt;=5,U174*0.4-VLOOKUP(B162,INDIRECT($F$8),8+(O174-1)*3),11),0))))</f>
        <v>0</v>
      </c>
      <c r="X174" s="1" t="str">
        <f ca="1">IF(ISERROR(F162),"",IF(W174=0,"",_xlfn.TEXTJOIN("",FALSE," G+",W174," in ",A174)))</f>
        <v/>
      </c>
    </row>
    <row r="175" spans="1:24" ht="11.5" customHeight="1" x14ac:dyDescent="0.2">
      <c r="A175" s="7" t="str">
        <f ca="1">IF(ISERROR(F162),"",VLOOKUP(C162,INDIRECT($F$8),6+(O175-1)*3,0))</f>
        <v>MEP 003</v>
      </c>
      <c r="B175" s="24" t="str">
        <f ca="1">IF(ISERROR(F162),"",VLOOKUP(D162,INDIRECT($F$8),6+(O175-1)*3-Z175,0))</f>
        <v>Workshop Practices Lab</v>
      </c>
      <c r="C175" s="24"/>
      <c r="D175" s="24"/>
      <c r="E175" s="24"/>
      <c r="F175" s="7">
        <f ca="1">IF(ISERROR(F162),"",VLOOKUP(E162,INDIRECT($F$8),6+(O175-1)*3,0))</f>
        <v>2</v>
      </c>
      <c r="G175" s="25" t="str">
        <f ca="1">IF(ISERROR(F162),"",_xlfn.TEXTJOIN("/",FALSE,P175,S175))</f>
        <v>44/50</v>
      </c>
      <c r="H175" s="25"/>
      <c r="I175" s="25" t="str">
        <f ca="1">IF(ISERROR(F162),"",_xlfn.TEXTJOIN("/",FALSE,Q175,T175))</f>
        <v>42/50</v>
      </c>
      <c r="J175" s="25"/>
      <c r="K175" s="25" t="str">
        <f ca="1">IF(ISERROR(F162),"",_xlfn.TEXTJOIN("/",FALSE,R175,U175))</f>
        <v>86/100</v>
      </c>
      <c r="L175" s="25"/>
      <c r="M175" s="7" t="str">
        <f ca="1">IF(ISERROR(F162),"",IF(ISTEXT(P175),IF(P175="A","Ab",IF(P175="D","Dt",IF(P175="UFM","UFM",IF(P175="NA","")))),IF(AND(ISBLANK(P175),ISBLANK(R175)),"",IF(P175&lt;0.3*S175,"F",IF(ISBLANK(R175),"",IF(ISTEXT(R175),R175,IF(R175&gt;=0.95*U175,"O",IF(R175&gt;=0.9*U175,"A+",IF(R175&gt;=0.85*U175,"A",IF(R175&gt;=0.8*U175,"B+",IF(R175&gt;=0.75*U175,"B",IF(R175&gt;=0.7*U175,"C+",IF(R175&gt;=0.65*U175,"C",IF(R175&gt;=0.6*U175,"D+",IF(R175&gt;=0.55*U175,"D",IF(R175&gt;=0.5*U175,"E+",IF(R175&gt;=0.45*U175,"E",IF(R175&gt;=0.4*U175,"P",IF(R175&lt;0.4*U175,"F",R175)))))))))))))))))))</f>
        <v>A</v>
      </c>
      <c r="N175" s="8">
        <f t="shared" ca="1" si="15"/>
        <v>9</v>
      </c>
      <c r="O175">
        <f t="shared" ca="1" si="16"/>
        <v>10</v>
      </c>
      <c r="P175" s="1">
        <f ca="1">IF(ISERROR(F162),"",IF(ISTEXT(VLOOKUP(B162,INDIRECT($F$8),6+(O175-1)*3)),(VLOOKUP(B162,INDIRECT($F$8),6+(O175-1)*3)),SUM(VLOOKUP(B162,INDIRECT($F$8),6+(O175-1)*3),IF(W180,W175,0))))</f>
        <v>44</v>
      </c>
      <c r="Q175" s="1">
        <f ca="1">IF(ISERROR(F162),"",VLOOKUP(B162,INDIRECT($F$8),7+(O175-1)*3))</f>
        <v>42</v>
      </c>
      <c r="R175" s="1">
        <f ca="1">IF(ISERROR(F162),"",SUM(P175:Q175))</f>
        <v>86</v>
      </c>
      <c r="S175" s="1">
        <f ca="1">IF(ISERROR(F162),"",VLOOKUP(A162,INDIRECT($F$8),6+(O175-1)*3))</f>
        <v>50</v>
      </c>
      <c r="T175" s="1">
        <f ca="1">IF(ISERROR(F162),"",VLOOKUP(A162,INDIRECT($F$8),7+(O175-1)*3))</f>
        <v>50</v>
      </c>
      <c r="U175" s="1">
        <f ca="1">IF(ISERROR(F162),"",VLOOKUP(A162,INDIRECT($F$8),8+(O175-1)*3))</f>
        <v>100</v>
      </c>
      <c r="V175" s="1" t="str">
        <f ca="1">IF(ISERROR(F162),"",IF(N175=0,A175,""))</f>
        <v/>
      </c>
      <c r="W175" s="1">
        <f ca="1">IF(ISERROR(F162),"",IF(ISTEXT(VLOOKUP(B162,INDIRECT($F$8),6+(O175-1)*3)),11,IF(VLOOKUP(B162,INDIRECT($F$8),6+(O175-1)*3)&lt;S175*0.3,IF(VLOOKUP(B162,INDIRECT($F$8),8+(O175-1)*3)&lt;U175*0.4,IF(AND(0.4*U175-VLOOKUP(B162,INDIRECT($F$8),8+(O175-1)*3)&lt;=5,0.3*S175-VLOOKUP(B162,INDIRECT($F$8),6+(O175-1)*3)&lt;=5),MAX(0.4*U175-VLOOKUP(B162,INDIRECT($F$8),8+(O175-1)*3),0.3*S175-VLOOKUP(B162,INDIRECT($F$8),6+(O175-1)*3)),11),IF(0.3*S175-VLOOKUP(B162,INDIRECT($F$8),6+(O175-1)*3)&lt;=5,0.3*S175-VLOOKUP(B162,INDIRECT($F$8),6+(O175-1)*3),11)),IF(VLOOKUP(B162,INDIRECT($F$8),8+(O175-1)*3)&lt;U175*0.4,IF(U175*0.4-VLOOKUP(B162,INDIRECT($F$8),8+(O175-1)*3)&lt;=5,U175*0.4-VLOOKUP(B162,INDIRECT($F$8),8+(O175-1)*3),11),0))))</f>
        <v>0</v>
      </c>
      <c r="X175" s="1" t="str">
        <f ca="1">IF(ISERROR(F162),"",IF(W175=0,"",_xlfn.TEXTJOIN("",FALSE," G+",W175," in ",A175)))</f>
        <v/>
      </c>
    </row>
    <row r="176" spans="1:24" ht="11.5" customHeight="1" x14ac:dyDescent="0.2">
      <c r="A176" s="7" t="str">
        <f ca="1">IF(ISERROR(F162),"",VLOOKUP(C162,INDIRECT($F$8),6+(O176-1)*3,0))</f>
        <v>AHP 004</v>
      </c>
      <c r="B176" s="24" t="str">
        <f ca="1">IF(ISERROR(F162),"",VLOOKUP(D162,INDIRECT($F$8),6+(O176-1)*3-Z176,0))</f>
        <v>Emerging Technologies in Engineering Lab</v>
      </c>
      <c r="C176" s="24"/>
      <c r="D176" s="24"/>
      <c r="E176" s="24"/>
      <c r="F176" s="7">
        <f ca="1">IF(ISERROR(F162),"",VLOOKUP(E162,INDIRECT($F$8),6+(O176-1)*3,0))</f>
        <v>1</v>
      </c>
      <c r="G176" s="25" t="str">
        <f ca="1">IF(ISERROR(F162),"",_xlfn.TEXTJOIN("/",FALSE,P176,S176))</f>
        <v>21/25</v>
      </c>
      <c r="H176" s="25"/>
      <c r="I176" s="25" t="str">
        <f ca="1">IF(ISERROR(F162),"",_xlfn.TEXTJOIN("/",FALSE,Q176,T176))</f>
        <v>22/25</v>
      </c>
      <c r="J176" s="25"/>
      <c r="K176" s="25" t="str">
        <f ca="1">IF(ISERROR(F162),"",_xlfn.TEXTJOIN("/",FALSE,R176,U176))</f>
        <v>43/50</v>
      </c>
      <c r="L176" s="25"/>
      <c r="M176" s="7" t="str">
        <f ca="1">IF(ISERROR(F162),"",IF(ISTEXT(P176),IF(P176="A","Ab",IF(P176="D","Dt",IF(P176="UFM","UFM",IF(P176="NA","")))),IF(AND(ISBLANK(P176),ISBLANK(R176)),"",IF(P176&lt;0.3*S176,"F",IF(ISBLANK(R176),"",IF(ISTEXT(R176),R176,IF(R176&gt;=0.95*U176,"O",IF(R176&gt;=0.9*U176,"A+",IF(R176&gt;=0.85*U176,"A",IF(R176&gt;=0.8*U176,"B+",IF(R176&gt;=0.75*U176,"B",IF(R176&gt;=0.7*U176,"C+",IF(R176&gt;=0.65*U176,"C",IF(R176&gt;=0.6*U176,"D+",IF(R176&gt;=0.55*U176,"D",IF(R176&gt;=0.5*U176,"E+",IF(R176&gt;=0.45*U176,"E",IF(R176&gt;=0.4*U176,"P",IF(R176&lt;0.4*U176,"F",R176)))))))))))))))))))</f>
        <v>A</v>
      </c>
      <c r="N176" s="8">
        <f t="shared" ca="1" si="15"/>
        <v>9</v>
      </c>
      <c r="O176">
        <f t="shared" ca="1" si="16"/>
        <v>11</v>
      </c>
      <c r="P176" s="1">
        <f ca="1">IF(ISERROR(F162),"",IF(ISTEXT(VLOOKUP(B162,INDIRECT($F$8),6+(O176-1)*3)),(VLOOKUP(B162,INDIRECT($F$8),6+(O176-1)*3)),SUM(VLOOKUP(B162,INDIRECT($F$8),6+(O176-1)*3),IF(W180,W176,0))))</f>
        <v>21</v>
      </c>
      <c r="Q176" s="1">
        <f ca="1">IF(ISERROR(F162),"",VLOOKUP(B162,INDIRECT($F$8),7+(O176-1)*3))</f>
        <v>22</v>
      </c>
      <c r="R176" s="1">
        <f ca="1">IF(ISERROR(F162),"",SUM(P176:Q176))</f>
        <v>43</v>
      </c>
      <c r="S176" s="1">
        <f ca="1">IF(ISERROR(F162),"",VLOOKUP(A162,INDIRECT($F$8),6+(O176-1)*3))</f>
        <v>25</v>
      </c>
      <c r="T176" s="1">
        <f ca="1">IF(ISERROR(F162),"",VLOOKUP(A162,INDIRECT($F$8),7+(O176-1)*3))</f>
        <v>25</v>
      </c>
      <c r="U176" s="1">
        <f ca="1">IF(ISERROR(F162),"",VLOOKUP(A162,INDIRECT($F$8),8+(O176-1)*3))</f>
        <v>50</v>
      </c>
      <c r="V176" s="1" t="str">
        <f ca="1">IF(ISERROR(F162),"",IF(N176=0,A176,""))</f>
        <v/>
      </c>
      <c r="W176" s="1">
        <f ca="1">IF(ISERROR(F162),"",IF(ISTEXT(VLOOKUP(B162,INDIRECT($F$8),6+(O176-1)*3)),11,IF(VLOOKUP(B162,INDIRECT($F$8),6+(O176-1)*3)&lt;S176*0.3,IF(VLOOKUP(B162,INDIRECT($F$8),8+(O176-1)*3)&lt;U176*0.4,IF(AND(0.4*U176-VLOOKUP(B162,INDIRECT($F$8),8+(O176-1)*3)&lt;=5,0.3*S176-VLOOKUP(B162,INDIRECT($F$8),6+(O176-1)*3)&lt;=5),MAX(0.4*U176-VLOOKUP(B162,INDIRECT($F$8),8+(O176-1)*3),0.3*S176-VLOOKUP(B162,INDIRECT($F$8),6+(O176-1)*3)),11),IF(0.3*S176-VLOOKUP(B162,INDIRECT($F$8),6+(O176-1)*3)&lt;=5,0.3*S176-VLOOKUP(B162,INDIRECT($F$8),6+(O176-1)*3),11)),IF(VLOOKUP(B162,INDIRECT($F$8),8+(O176-1)*3)&lt;U176*0.4,IF(U176*0.4-VLOOKUP(B162,INDIRECT($F$8),8+(O176-1)*3)&lt;=5,U176*0.4-VLOOKUP(B162,INDIRECT($F$8),8+(O176-1)*3),11),0))))</f>
        <v>0</v>
      </c>
      <c r="X176" s="1" t="str">
        <f ca="1">IF(ISERROR(F162),"",IF(W176=0,"",_xlfn.TEXTJOIN("",FALSE," G+",W176," in ",A176)))</f>
        <v/>
      </c>
    </row>
    <row r="177" spans="1:24" ht="11.5" customHeight="1" x14ac:dyDescent="0.2">
      <c r="A177" s="7" t="str">
        <f ca="1">IF(ISERROR(F162),"",VLOOKUP(C162,INDIRECT($F$8),6+(O177-1)*3,0))</f>
        <v>CSP 002</v>
      </c>
      <c r="B177" s="24" t="str">
        <f ca="1">IF(ISERROR(F162),"",VLOOKUP(D162,INDIRECT($F$8),6+(O177-1)*3,0))</f>
        <v>Computer Applications and IOT</v>
      </c>
      <c r="C177" s="24"/>
      <c r="D177" s="24"/>
      <c r="E177" s="24"/>
      <c r="F177" s="7">
        <f ca="1">IF(ISERROR(F162),"",VLOOKUP(E162,INDIRECT($F$8),6+(O177-1)*3,0))</f>
        <v>1</v>
      </c>
      <c r="G177" s="25" t="str">
        <f ca="1">IF(ISERROR(F162),"",_xlfn.TEXTJOIN("/",FALSE,P177,S177))</f>
        <v>24/25</v>
      </c>
      <c r="H177" s="25"/>
      <c r="I177" s="25" t="str">
        <f ca="1">IF(ISERROR(F162),"",_xlfn.TEXTJOIN("/",FALSE,Q177,T177))</f>
        <v>24/25</v>
      </c>
      <c r="J177" s="25"/>
      <c r="K177" s="25" t="str">
        <f ca="1">IF(ISERROR(F162),"",_xlfn.TEXTJOIN("/",FALSE,R177,U177))</f>
        <v>48/50</v>
      </c>
      <c r="L177" s="25"/>
      <c r="M177" s="7" t="str">
        <f ca="1">IF(ISERROR(F162),"",IF(ISTEXT(P177),IF(P177="A","Ab",IF(P177="D","Dt",IF(P177="UFM","UFM",IF(P177="NA","")))),IF(AND(ISBLANK(P177),ISBLANK(R177)),"",IF(P177&lt;0.3*S177,"F",IF(ISBLANK(R177),"",IF(ISTEXT(R177),R177,IF(R177&gt;=0.95*U177,"O",IF(R177&gt;=0.9*U177,"A+",IF(R177&gt;=0.85*U177,"A",IF(R177&gt;=0.8*U177,"B+",IF(R177&gt;=0.75*U177,"B",IF(R177&gt;=0.7*U177,"C+",IF(R177&gt;=0.65*U177,"C",IF(R177&gt;=0.6*U177,"D+",IF(R177&gt;=0.55*U177,"D",IF(R177&gt;=0.5*U177,"E+",IF(R177&gt;=0.45*U177,"E",IF(R177&gt;=0.4*U177,"P",IF(R177&lt;0.4*U177,"F",R177)))))))))))))))))))</f>
        <v>O</v>
      </c>
      <c r="N177" s="8">
        <f t="shared" ca="1" si="15"/>
        <v>10</v>
      </c>
      <c r="O177">
        <f t="shared" ca="1" si="16"/>
        <v>12</v>
      </c>
      <c r="P177" s="1">
        <f ca="1">IF(ISERROR(F162),"",IF(ISTEXT(VLOOKUP(B162,INDIRECT($F$8),6+(O177-1)*3)),(VLOOKUP(B162,INDIRECT($F$8),6+(O177-1)*3)),SUM(VLOOKUP(B162,INDIRECT($F$8),6+(O177-1)*3),IF(W180,W177,0))))</f>
        <v>24</v>
      </c>
      <c r="Q177" s="1">
        <f ca="1">IF(ISERROR(F162),"",VLOOKUP(B162,INDIRECT($F$8),7+(O177-1)*3))</f>
        <v>24</v>
      </c>
      <c r="R177" s="1">
        <f ca="1">IF(ISERROR(F162),"",SUM(P177:Q177))</f>
        <v>48</v>
      </c>
      <c r="S177" s="1">
        <f ca="1">IF(ISERROR(F162),"",VLOOKUP(A162,INDIRECT($F$8),6+(O177-1)*3))</f>
        <v>25</v>
      </c>
      <c r="T177" s="1">
        <f ca="1">IF(ISERROR(F162),"",VLOOKUP(A162,INDIRECT($F$8),7+(O177-1)*3))</f>
        <v>25</v>
      </c>
      <c r="U177" s="1">
        <f ca="1">IF(ISERROR(F162),"",VLOOKUP(A162,INDIRECT($F$8),8+(O177-1)*3))</f>
        <v>50</v>
      </c>
      <c r="V177" s="1" t="str">
        <f ca="1">IF(ISERROR(F162),"",IF(N177=0,A177,""))</f>
        <v/>
      </c>
      <c r="W177" s="1">
        <f ca="1">IF(ISERROR(F162),"",IF(ISTEXT(VLOOKUP(B162,INDIRECT($F$8),6+(O177-1)*3)),11,IF(VLOOKUP(B162,INDIRECT($F$8),6+(O177-1)*3)&lt;S177*0.3,IF(VLOOKUP(B162,INDIRECT($F$8),8+(O177-1)*3)&lt;U177*0.4,IF(AND(0.4*U177-VLOOKUP(B162,INDIRECT($F$8),8+(O177-1)*3)&lt;=5,0.3*S177-VLOOKUP(B162,INDIRECT($F$8),6+(O177-1)*3)&lt;=5),MAX(0.4*U177-VLOOKUP(B162,INDIRECT($F$8),8+(O177-1)*3),0.3*S177-VLOOKUP(B162,INDIRECT($F$8),6+(O177-1)*3)),11),IF(0.3*S177-VLOOKUP(B162,INDIRECT($F$8),6+(O177-1)*3)&lt;=5,0.3*S177-VLOOKUP(B162,INDIRECT($F$8),6+(O177-1)*3),11)),IF(VLOOKUP(B162,INDIRECT($F$8),8+(O177-1)*3)&lt;U177*0.4,IF(U177*0.4-VLOOKUP(B162,INDIRECT($F$8),8+(O177-1)*3)&lt;=5,U177*0.4-VLOOKUP(B162,INDIRECT($F$8),8+(O177-1)*3),11),0))))</f>
        <v>0</v>
      </c>
      <c r="X177" s="1" t="str">
        <f ca="1">IF(ISERROR(F162),"",IF(W177=0,"",_xlfn.TEXTJOIN("",FALSE," G+",W177," in ",A177)))</f>
        <v/>
      </c>
    </row>
    <row r="178" spans="1:24" ht="11.5" customHeight="1" x14ac:dyDescent="0.2">
      <c r="A178" s="7" t="str">
        <f ca="1">IF(ISERROR(F162),"",VLOOKUP(C162,INDIRECT($F$8),6+(O178-1)*3,0))</f>
        <v>AHP 006</v>
      </c>
      <c r="B178" s="24" t="str">
        <f ca="1">IF(ISERROR(F162),"",VLOOKUP(D162,INDIRECT($F$8),6+(O178-1)*3,0))</f>
        <v>English Language Lab ($)</v>
      </c>
      <c r="C178" s="24"/>
      <c r="D178" s="24"/>
      <c r="E178" s="24"/>
      <c r="F178" s="7">
        <f ca="1">IF(ISERROR(F162),"",VLOOKUP(E162,INDIRECT($F$8),6+(O178-1)*3,0))</f>
        <v>0</v>
      </c>
      <c r="G178" s="25" t="str">
        <f ca="1">IF(ISERROR(F162),"",_xlfn.TEXTJOIN("/",FALSE,P178,S178))</f>
        <v>16/25</v>
      </c>
      <c r="H178" s="25"/>
      <c r="I178" s="25" t="str">
        <f ca="1">IF(ISERROR(F162),"",_xlfn.TEXTJOIN("/",FALSE,Q178,T178))</f>
        <v>35/50</v>
      </c>
      <c r="J178" s="25"/>
      <c r="K178" s="25" t="str">
        <f ca="1">IF(ISERROR(F162),"",_xlfn.TEXTJOIN("/",FALSE,R178,U178))</f>
        <v>51/75</v>
      </c>
      <c r="L178" s="25"/>
      <c r="M178" s="7" t="str">
        <f ca="1">IF(ISERROR(F162),"",IF(ISTEXT(P178),IF(P178="A","Ab",IF(P178="D","Dt",IF(P178="UFM","UFM",IF(P178="NA","")))),IF(AND(ISBLANK(P178),ISBLANK(R178)),"",IF(P178&lt;0.3*S178,"F",IF(ISBLANK(R178),"",IF(ISTEXT(R178),R178,IF(R178&gt;=0.95*U178,"O",IF(R178&gt;=0.9*U178,"A+",IF(R178&gt;=0.85*U178,"A",IF(R178&gt;=0.8*U178,"B+",IF(R178&gt;=0.75*U178,"B",IF(R178&gt;=0.7*U178,"C+",IF(R178&gt;=0.65*U178,"C",IF(R178&gt;=0.6*U178,"D+",IF(R178&gt;=0.55*U178,"D",IF(R178&gt;=0.5*U178,"E+",IF(R178&gt;=0.45*U178,"E",IF(R178&gt;=0.4*U178,"P",IF(R178&lt;0.4*U178,"F",R178)))))))))))))))))))</f>
        <v>C</v>
      </c>
      <c r="N178" s="8">
        <f ca="1">INDEX($Z$2:$Z$17,MATCH(M178,$Y$2:$Y$17,0))</f>
        <v>7</v>
      </c>
      <c r="O178">
        <f t="shared" ca="1" si="16"/>
        <v>13</v>
      </c>
      <c r="P178" s="1">
        <f ca="1">IF(ISERROR(F162),"",IF(ISTEXT(VLOOKUP(B162,INDIRECT($F$8),6+(O178-1)*3)),(VLOOKUP(B162,INDIRECT($F$8),6+(O178-1)*3)),SUM(VLOOKUP(B162,INDIRECT($F$8),6+(O178-1)*3),IF(W180,W178,0))))</f>
        <v>16</v>
      </c>
      <c r="Q178" s="1">
        <f ca="1">IF(ISERROR(F162),"",VLOOKUP(B162,INDIRECT($F$8),7+(O178-1)*3))</f>
        <v>35</v>
      </c>
      <c r="R178" s="1">
        <f ca="1">IF(ISERROR(F162),"",SUM(P178:Q178))</f>
        <v>51</v>
      </c>
      <c r="S178" s="1">
        <f ca="1">IF(ISERROR(F162),"",VLOOKUP(A162,INDIRECT($F$8),6+(O178-1)*3))</f>
        <v>25</v>
      </c>
      <c r="T178" s="1">
        <f ca="1">IF(ISERROR(F162),"",VLOOKUP(A162,INDIRECT($F$8),7+(O178-1)*3))</f>
        <v>50</v>
      </c>
      <c r="U178" s="1">
        <f ca="1">IF(ISERROR(F162),"",VLOOKUP(A162,INDIRECT($F$8),8+(O178-1)*3))</f>
        <v>75</v>
      </c>
      <c r="V178" s="1"/>
      <c r="W178" s="1">
        <f ca="1">IF(ISERROR(F162),"",IF(ISTEXT(VLOOKUP(B162,INDIRECT($F$8),6+(O178-1)*3)),11,IF(VLOOKUP(B162,INDIRECT($F$8),6+(O178-1)*3)&lt;S178*0.3,IF(VLOOKUP(B162,INDIRECT($F$8),8+(O178-1)*3)&lt;U178*0.4,IF(AND(0.4*U178-VLOOKUP(B162,INDIRECT($F$8),8+(O178-1)*3)&lt;=5,0.3*S178-VLOOKUP(B162,INDIRECT($F$8),6+(O178-1)*3)&lt;=5),MAX(0.4*U178-VLOOKUP(B162,INDIRECT($F$8),8+(O178-1)*3),0.3*S178-VLOOKUP(B162,INDIRECT($F$8),6+(O178-1)*3)),11),IF(0.3*S178-VLOOKUP(B162,INDIRECT($F$8),6+(O178-1)*3)&lt;=5,0.3*S178-VLOOKUP(B162,INDIRECT($F$8),6+(O178-1)*3),11)),IF(VLOOKUP(B162,INDIRECT($F$8),8+(O178-1)*3)&lt;U178*0.4,IF(U178*0.4-VLOOKUP(B162,INDIRECT($F$8),8+(O178-1)*3)&lt;=5,U178*0.4-VLOOKUP(B162,INDIRECT($F$8),8+(O178-1)*3),11),0))))</f>
        <v>0</v>
      </c>
      <c r="X178" s="1" t="str">
        <f ca="1">IF(ISERROR(F162),"",IF(W178=0,"",_xlfn.TEXTJOIN("",FALSE," G+",W178," in ",A178)))</f>
        <v/>
      </c>
    </row>
    <row r="179" spans="1:24" ht="11.5" customHeight="1" x14ac:dyDescent="0.2">
      <c r="A179" s="7" t="str">
        <f ca="1">IF(ISERROR(F162),"",VLOOKUP(C162,INDIRECT($F$8),6+(O179-1)*3-Y179,0))</f>
        <v>GP 01</v>
      </c>
      <c r="B179" s="24" t="str">
        <f ca="1">IF(ISERROR(F162),"",VLOOKUP(D162,INDIRECT($F$8),6+(O179-1)*3-Z179,0))</f>
        <v>General Proficiency ($)</v>
      </c>
      <c r="C179" s="24"/>
      <c r="D179" s="24"/>
      <c r="E179" s="24"/>
      <c r="F179" s="7">
        <f ca="1">IF(ISERROR(F162),"",VLOOKUP(E162,INDIRECT($F$8),6+(O179-1)*3-AA179,0))</f>
        <v>0</v>
      </c>
      <c r="G179" s="25" t="str">
        <f ca="1">IF(ISERROR(F162),"","-")</f>
        <v>-</v>
      </c>
      <c r="H179" s="25"/>
      <c r="I179" s="25" t="str">
        <f ca="1">IF(ISERROR(F162),"",_xlfn.TEXTJOIN("/",FALSE,Q179,T179))</f>
        <v>47/50</v>
      </c>
      <c r="J179" s="25"/>
      <c r="K179" s="25" t="str">
        <f ca="1">IF(ISERROR(F162),"",_xlfn.TEXTJOIN("/",FALSE,R179,U179))</f>
        <v>47/50</v>
      </c>
      <c r="L179" s="25"/>
      <c r="M179" s="25" t="str">
        <f ca="1">IF(ISBLANK(R179),"",IF(ISTEXT(R179),R179,IF(R179&gt;=0.8*U179,"Excellent",IF(R179&gt;=0.6*U179,"Very Good",IF(R179&gt;=0.4*U179,"Good",IF(R179&gt;=0.2*U179,"Satisfactory","Average"))))))</f>
        <v>Excellent</v>
      </c>
      <c r="N179" s="25"/>
      <c r="O179">
        <f t="shared" ca="1" si="16"/>
        <v>14</v>
      </c>
      <c r="P179" s="1">
        <f ca="1">IF(ISERROR(F162),"",IF(ISTEXT(VLOOKUP(B\28,INDIRECT($F$8),6+(O179-1)*3)),(VLOOKUP(B162,INDIRECT($F$8),6+(O179-1)*3)),SUM(VLOOKUP(B162,INDIRECT($F$8),6+(O179-1)*3),IF(W180,W180,0))))</f>
        <v>0</v>
      </c>
      <c r="Q179" s="1">
        <f ca="1">IF(ISERROR(F162),"",VLOOKUP(B162,INDIRECT($F$8),7+(O179-1)*3))</f>
        <v>47</v>
      </c>
      <c r="R179" s="1">
        <f ca="1">IF(ISERROR(F162),"",SUM(P179:Q179))</f>
        <v>47</v>
      </c>
      <c r="S179" s="1">
        <f ca="1">IF(ISERROR(F162),"",VLOOKUP(A162,INDIRECT($F$8),6+(O179-1)*3))</f>
        <v>0</v>
      </c>
      <c r="T179" s="1">
        <f ca="1">IF(ISERROR(F162),"",VLOOKUP(A162,INDIRECT($F$8),7+(O179-1)*3))</f>
        <v>50</v>
      </c>
      <c r="U179" s="1">
        <f ca="1">IF(ISERROR(F162),"",VLOOKUP(A162,INDIRECT($F$8),8+(O179-1)*3))</f>
        <v>50</v>
      </c>
      <c r="V179" s="1"/>
      <c r="W179" s="1"/>
      <c r="X179" s="1" t="str">
        <f ca="1">IF(ISERROR(F162),"",IF(W179=0,"",_xlfn.TEXTJOIN("",FALSE," G+",W179," in ",A179)))</f>
        <v/>
      </c>
    </row>
    <row r="180" spans="1:24" ht="11.5" customHeight="1" x14ac:dyDescent="0.2">
      <c r="A180" s="26" t="str">
        <f ca="1">IF(ISERROR(F162),"",A158)</f>
        <v>Total Credits/ Marks/ Total Grade Points</v>
      </c>
      <c r="B180" s="26"/>
      <c r="C180" s="26"/>
      <c r="D180" s="26"/>
      <c r="E180" s="26"/>
      <c r="F180" s="10">
        <f ca="1">IF(ISERROR(F162),"",SUM(F167:F178))</f>
        <v>23</v>
      </c>
      <c r="G180" s="27" t="str">
        <f ca="1">IF(ISERROR(F162),"",_xlfn.TEXTJOIN("/",TRUE,SUMIF(F167:F179,"&gt;0",P167:P179),SUMIF(F167:F179,"&gt;0",S167:S179)))</f>
        <v>294/575</v>
      </c>
      <c r="H180" s="27"/>
      <c r="I180" s="27" t="str">
        <f ca="1">IF(ISERROR(F162),"",_xlfn.TEXTJOIN("/",TRUE,SUMIF(F167:F179,"&gt;0",Q167:Q179),SUMIF(F167:F179,"&gt;0",T167:T179)))</f>
        <v>273/375</v>
      </c>
      <c r="J180" s="27"/>
      <c r="K180" s="27" t="str">
        <f ca="1">IF(ISERROR(F162),"",_xlfn.TEXTJOIN("/",TRUE,SUMIF(F167:F179,"&gt;0",R167:R179),SUMIF(F167:F179,"&gt;0",U167:U179)))</f>
        <v>567/950</v>
      </c>
      <c r="L180" s="27"/>
      <c r="M180" s="26">
        <f ca="1">IF(ISERROR(F162),"",SUMPRODUCT(N167:N178,F167:F178))</f>
        <v>128.5</v>
      </c>
      <c r="N180" s="26"/>
      <c r="V180" s="1" t="str">
        <f ca="1">_xlfn.TEXTJOIN(", ",TRUE,V167:V179)</f>
        <v>AHT 003</v>
      </c>
      <c r="W180" t="b">
        <f ca="1">IF(SUM(W167:W179)&lt;=W166,TRUE,FALSE)</f>
        <v>0</v>
      </c>
      <c r="X180" s="1" t="str">
        <f ca="1">IF(ISERROR(F162),"",_xlfn.TEXTJOIN(",",TRUE,X167:X179))</f>
        <v xml:space="preserve"> G+11 in AHT 003</v>
      </c>
    </row>
    <row r="181" spans="1:24" ht="11.5" customHeight="1" x14ac:dyDescent="0.2">
      <c r="A181" s="26" t="str">
        <f ca="1">IF(ISERROR(F162),"",A159)</f>
        <v>Result:</v>
      </c>
      <c r="B181" s="28" t="str" cm="1">
        <f t="array" aca="1" ref="B181" ca="1">IF(SUM(COUNTIF(M167:M178,{"Ab","Dt"}))=12, "Not Promoted to IInd Semester", IF(V180="", "PASS", "CARRY OVER"))</f>
        <v>CARRY OVER</v>
      </c>
      <c r="C181" s="28"/>
      <c r="D181" s="26" t="str">
        <f ca="1">IF(ISERROR(F162),"",D159)</f>
        <v>Remark:</v>
      </c>
      <c r="E181" s="28" t="str">
        <f ca="1">IF(ISERROR(F162),"",IF(V180="",IF(X180="","",X180),_xlfn.TEXTJOIN(" ",TRUE,"BACK IN",V180)))</f>
        <v>BACK IN AHT 003</v>
      </c>
      <c r="F181" s="28"/>
      <c r="G181" s="26" t="str">
        <f ca="1">IF(ISERROR(F162),"",G159)</f>
        <v>SGPA:</v>
      </c>
      <c r="H181" s="29">
        <f ca="1">IF(ISERROR(F162),"",M180/F180)</f>
        <v>5.5869565217391308</v>
      </c>
      <c r="I181" s="26" t="str">
        <f ca="1">IF(ISERROR(F162),"",I159)</f>
        <v>CGPA:</v>
      </c>
      <c r="J181" s="29">
        <f ca="1">IF(ISERROR(F162),"",VLOOKUP(B162,INDIRECT($F$8),12+(O179-1)*3,0))</f>
        <v>5.5869565217391308</v>
      </c>
      <c r="K181" s="28" t="str">
        <f ca="1">IF(ISERROR(F162),"",K159)</f>
        <v>Earned Credits:</v>
      </c>
      <c r="L181" s="26">
        <f ca="1">IF(ISERROR(F162),"",SUMIF(N167:N178,"&gt;0",F167:F178))</f>
        <v>19</v>
      </c>
      <c r="M181" s="28" t="str">
        <f ca="1">IF(ISERROR(F162),"",M159)</f>
        <v>Cuml. Earned Credits:</v>
      </c>
      <c r="N181" s="26">
        <f ca="1">IF(ISERROR(F162),"",VLOOKUP(B162,INDIRECT($F$8),10+(O179-1)*3,0))</f>
        <v>19</v>
      </c>
    </row>
    <row r="182" spans="1:24" ht="11.5" customHeight="1" x14ac:dyDescent="0.2">
      <c r="A182" s="26"/>
      <c r="B182" s="28"/>
      <c r="C182" s="28"/>
      <c r="D182" s="26"/>
      <c r="E182" s="28"/>
      <c r="F182" s="28"/>
      <c r="G182" s="26"/>
      <c r="H182" s="29"/>
      <c r="I182" s="26"/>
      <c r="J182" s="29"/>
      <c r="K182" s="28"/>
      <c r="L182" s="26"/>
      <c r="M182" s="28"/>
      <c r="N182" s="26"/>
    </row>
    <row r="183" spans="1:24" ht="19" customHeight="1" x14ac:dyDescent="0.2">
      <c r="A183" s="26"/>
      <c r="B183" s="28"/>
      <c r="C183" s="28"/>
      <c r="D183" s="26"/>
      <c r="E183" s="28"/>
      <c r="F183" s="28"/>
      <c r="G183" s="26"/>
      <c r="H183" s="29"/>
      <c r="I183" s="26"/>
      <c r="J183" s="29"/>
      <c r="K183" s="28"/>
      <c r="L183" s="26"/>
      <c r="M183" s="28"/>
      <c r="N183" s="26"/>
    </row>
    <row r="184" spans="1:24" ht="11.5" customHeight="1" x14ac:dyDescent="0.2">
      <c r="A184" s="11" t="str">
        <f>A162</f>
        <v>MM</v>
      </c>
      <c r="B184" s="11">
        <f>B162+1</f>
        <v>9</v>
      </c>
      <c r="C184" s="11" t="str">
        <f>C162</f>
        <v>SC</v>
      </c>
      <c r="D184" s="11" t="str">
        <f>D162</f>
        <v>SN</v>
      </c>
      <c r="E184" s="11" t="str">
        <f>E162</f>
        <v>C</v>
      </c>
      <c r="F184" s="11" t="str">
        <f ca="1">VLOOKUP(B184,INDIRECT($F$8),4,0)</f>
        <v>BANSHIKA</v>
      </c>
    </row>
    <row r="185" spans="1:24" ht="11.5" customHeight="1" x14ac:dyDescent="0.2">
      <c r="A185" s="30" t="str">
        <f ca="1">IF(ISERROR(F184),"",A163)</f>
        <v>Name:</v>
      </c>
      <c r="B185" s="30" t="str">
        <f ca="1">IFERROR(VLOOKUP(B184,INDIRECT($F$8),4,0),"")</f>
        <v>BANSHIKA</v>
      </c>
      <c r="C185" s="30"/>
      <c r="D185" s="30" t="str">
        <f ca="1">IF(ISERROR(F184),"",D163)</f>
        <v>Father's Name:</v>
      </c>
      <c r="E185" s="30" t="str">
        <f ca="1">IFERROR(VLOOKUP(B184,INDIRECT($F$8),5,0),"")</f>
        <v>OM PRAKASH</v>
      </c>
      <c r="F185" s="30"/>
      <c r="G185" s="30" t="str">
        <f ca="1">IF(ISERROR(F184),"",G163)</f>
        <v>University Roll No:</v>
      </c>
      <c r="H185" s="30"/>
      <c r="I185" s="31">
        <f ca="1">IFERROR(VLOOKUP(B184,INDIRECT($F$8),2,0),"")</f>
        <v>250090120009</v>
      </c>
      <c r="J185" s="31"/>
      <c r="K185" s="30" t="str">
        <f ca="1">IF(ISERROR(F184),"",K163)</f>
        <v>University Enrol. No:</v>
      </c>
      <c r="L185" s="30"/>
      <c r="M185" s="31" t="str">
        <f ca="1">IFERROR(VLOOKUP(B184,INDIRECT($F$8),3,0),"")</f>
        <v>UTU/2501103705</v>
      </c>
      <c r="N185" s="31"/>
    </row>
    <row r="186" spans="1:24" ht="15" x14ac:dyDescent="0.2">
      <c r="A186" s="30"/>
      <c r="B186" s="30"/>
      <c r="C186" s="30"/>
      <c r="D186" s="30"/>
      <c r="E186" s="30"/>
      <c r="F186" s="30"/>
      <c r="G186" s="30"/>
      <c r="H186" s="30"/>
      <c r="I186" s="31"/>
      <c r="J186" s="31"/>
      <c r="K186" s="30"/>
      <c r="L186" s="30"/>
      <c r="M186" s="31"/>
      <c r="N186" s="31"/>
    </row>
    <row r="187" spans="1:24" ht="11.5" customHeight="1" x14ac:dyDescent="0.2">
      <c r="A187" s="28" t="str">
        <f ca="1">IF(ISERROR(F184),"",A165)</f>
        <v>Subject Code</v>
      </c>
      <c r="B187" s="28" t="str">
        <f ca="1">IF(ISERROR(F184),"",B165)</f>
        <v>Subject Name</v>
      </c>
      <c r="C187" s="28"/>
      <c r="D187" s="28"/>
      <c r="E187" s="28"/>
      <c r="F187" s="28" t="str">
        <f ca="1">IF(ISERROR(F184),"",F165)</f>
        <v>Credits</v>
      </c>
      <c r="G187" s="28" t="str">
        <f ca="1">IF(ISERROR(F184),"",G165)</f>
        <v>External Marks</v>
      </c>
      <c r="H187" s="28"/>
      <c r="I187" s="28" t="str">
        <f ca="1">IF(ISERROR(F184),"",I165)</f>
        <v>Sessional Marks</v>
      </c>
      <c r="J187" s="28"/>
      <c r="K187" s="28" t="str">
        <f ca="1">IF(ISERROR(F184),"",K165)</f>
        <v>Total Marks</v>
      </c>
      <c r="L187" s="28"/>
      <c r="M187" s="28" t="str">
        <f ca="1">IF(ISERROR(F184),"",M165)</f>
        <v>Grade</v>
      </c>
      <c r="N187" s="28" t="str">
        <f ca="1">IF(ISERROR(F184),"",N165)</f>
        <v>Grade Points</v>
      </c>
    </row>
    <row r="188" spans="1:24" ht="11.5" customHeight="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W188">
        <f ca="1">IF(ISNUMBER(MATCH($F$8,{"I","III","V","VII"},0)),10,10-INDEX(INDIRECT(_xlfn.TEXTJOIN("",TRUE,"SEM_",$G$8,"!",ADDRESS(6,4+$I$8*3+4),":",ADDRESS(5+$H$8,4+$I$8*3+4))),MATCH(INDIRECT(_xlfn.TEXTJOIN("",TRUE,"TC_",$F$8,"!",ADDRESS(ROW(I185),COLUMN(I185)))),INDIRECT(_xlfn.TEXTJOIN("",TRUE,"SEM_",$G$8,"!",ADDRESS(6,2),":",ADDRESS(5+$H$8,2))))))</f>
        <v>10</v>
      </c>
    </row>
    <row r="189" spans="1:24" ht="11.5" customHeight="1" x14ac:dyDescent="0.2">
      <c r="A189" s="7" t="str">
        <f ca="1">IF(ISERROR(F184),"",VLOOKUP(C184,INDIRECT($F$8),6+(O189-1)*3,0))</f>
        <v>AHT 002</v>
      </c>
      <c r="B189" s="24" t="str">
        <f ca="1">IF(ISERROR(F184),"",VLOOKUP(D184,INDIRECT($F$8),6+(O189-1)*3,0))</f>
        <v>Engineering Chemistry</v>
      </c>
      <c r="C189" s="24"/>
      <c r="D189" s="24"/>
      <c r="E189" s="24"/>
      <c r="F189" s="7">
        <f ca="1">IF(ISERROR(F184),"",VLOOKUP(E184,INDIRECT($F$8),6+(O189-1)*3,0))</f>
        <v>4</v>
      </c>
      <c r="G189" s="25" t="str">
        <f ca="1">IF(ISERROR(F184),"",_xlfn.TEXTJOIN("/",FALSE,P189,S189))</f>
        <v>47/100</v>
      </c>
      <c r="H189" s="25"/>
      <c r="I189" s="25" t="str">
        <f ca="1">IF(ISERROR(F184),"",_xlfn.TEXTJOIN("/",FALSE,Q189,T189))</f>
        <v>38/50</v>
      </c>
      <c r="J189" s="25"/>
      <c r="K189" s="25" t="str">
        <f ca="1">IF(ISERROR(F184),"",_xlfn.TEXTJOIN("/",FALSE,R189,U189))</f>
        <v>85/150</v>
      </c>
      <c r="L189" s="25"/>
      <c r="M189" s="7" t="str">
        <f ca="1">IF(ISERROR(F184)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D</v>
      </c>
      <c r="N189" s="8">
        <f ca="1">INDEX($Z$2:$Z$17,MATCH(M189,$Y$2:$Y$17,0))</f>
        <v>6</v>
      </c>
      <c r="O189">
        <v>1</v>
      </c>
      <c r="P189" s="1">
        <f ca="1">IF(ISERROR(F184),"",IF(ISTEXT(VLOOKUP(B184,INDIRECT($F$8),6+(O189-1)*3)),(VLOOKUP(B184,INDIRECT($F$8),6+(O189-1)*3)),SUM(VLOOKUP(B184,INDIRECT($F$8),6+(O189-1)*3),IF(W202,W189,0))))</f>
        <v>47</v>
      </c>
      <c r="Q189" s="1">
        <f ca="1">IF(ISERROR(F184),"",VLOOKUP(B184,INDIRECT($F$8),7+(O189-1)*3))</f>
        <v>38</v>
      </c>
      <c r="R189" s="1">
        <f ca="1">IF(ISERROR(F184),"",SUM(P189:Q189))</f>
        <v>85</v>
      </c>
      <c r="S189" s="1">
        <f ca="1">IF(ISERROR(F184),"",VLOOKUP(A184,INDIRECT($F$8),6+(O189-1)*3))</f>
        <v>100</v>
      </c>
      <c r="T189" s="1">
        <f ca="1">IF(ISERROR(F184),"",VLOOKUP(A184,INDIRECT($F$8),7+(O189-1)*3))</f>
        <v>50</v>
      </c>
      <c r="U189" s="1">
        <f ca="1">IF(ISERROR(F184),"",VLOOKUP(A184,INDIRECT($F$8),8+(O189-1)*3))</f>
        <v>150</v>
      </c>
      <c r="V189" s="1" t="str">
        <f ca="1">IF(ISERROR(F184),"",IF(N189=0,A189,""))</f>
        <v/>
      </c>
      <c r="W189" s="1">
        <f ca="1">IF(ISERROR(F184),"",IF(ISTEXT(VLOOKUP(B184,INDIRECT($F$8),6+(O189-1)*3)),11,IF(VLOOKUP(B184,INDIRECT($F$8),6+(O189-1)*3)&lt;S189*0.3,IF(VLOOKUP(B184,INDIRECT($F$8),8+(O189-1)*3)&lt;U189*0.4,IF(AND(0.4*U189-VLOOKUP(B184,INDIRECT($F$8),8+(O189-1)*3)&lt;=5,0.3*S189-VLOOKUP(B184,INDIRECT($F$8),6+(O189-1)*3)&lt;=5),MAX(0.4*U189-VLOOKUP(B184,INDIRECT($F$8),8+(O189-1)*3),0.3*S189-VLOOKUP(B184,INDIRECT($F$8),6+(O189-1)*3)),11),IF(0.3*S189-VLOOKUP(B184,INDIRECT($F$8),6+(O189-1)*3)&lt;=5,0.3*S189-VLOOKUP(B184,INDIRECT($F$8),6+(O189-1)*3),11)),IF(VLOOKUP(B184,INDIRECT($F$8),8+(O189-1)*3)&lt;U189*0.4,IF(U189*0.4-VLOOKUP(B184,INDIRECT($F$8),8+(O189-1)*3)&lt;=5,U189*0.4-VLOOKUP(B184,INDIRECT($F$8),8+(O189-1)*3),11),0))))</f>
        <v>0</v>
      </c>
      <c r="X189" s="1" t="str">
        <f ca="1">IF(ISERROR(F184),"",IF(W189=0,"",_xlfn.TEXTJOIN("",FALSE," G+",W189," in ",A189)))</f>
        <v/>
      </c>
    </row>
    <row r="190" spans="1:24" ht="11.5" customHeight="1" x14ac:dyDescent="0.2">
      <c r="A190" s="7" t="str">
        <f ca="1">IF(ISERROR(F184),"",VLOOKUP(C184,INDIRECT($F$8),6+(O190-1)*3,0))</f>
        <v>AHT 003</v>
      </c>
      <c r="B190" s="24" t="str">
        <f ca="1">IF(ISERROR(F184),"",VLOOKUP(D184,INDIRECT($F$8),6+(O190-1)*3,0))</f>
        <v>Introduction to Engineering Mathematics</v>
      </c>
      <c r="C190" s="24"/>
      <c r="D190" s="24"/>
      <c r="E190" s="24"/>
      <c r="F190" s="7">
        <f ca="1">IF(ISERROR(F184),"",VLOOKUP(E184,INDIRECT($F$8),6+(O190-1)*3,0))</f>
        <v>4</v>
      </c>
      <c r="G190" s="25" t="str">
        <f ca="1">IF(ISERROR(F184),"",_xlfn.TEXTJOIN("/",FALSE,P190,S190))</f>
        <v>28/100</v>
      </c>
      <c r="H190" s="25"/>
      <c r="I190" s="25" t="str">
        <f ca="1">IF(ISERROR(F184),"",_xlfn.TEXTJOIN("/",FALSE,Q190,T190))</f>
        <v>21/50</v>
      </c>
      <c r="J190" s="25"/>
      <c r="K190" s="25" t="str">
        <f ca="1">IF(ISERROR(F184),"",_xlfn.TEXTJOIN("/",FALSE,R190,U190))</f>
        <v>49/150</v>
      </c>
      <c r="L190" s="25"/>
      <c r="M190" s="7" t="str">
        <f ca="1">IF(ISERROR(F184)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F</v>
      </c>
      <c r="N190" s="8">
        <f t="shared" ref="N190:N199" ca="1" si="17">INDEX($Z$2:$Z$17,MATCH(M190,$Y$2:$Y$17,0))</f>
        <v>0</v>
      </c>
      <c r="O190">
        <f>O189+1</f>
        <v>2</v>
      </c>
      <c r="P190" s="1">
        <f ca="1">IF(ISERROR(F184),"",IF(ISTEXT(VLOOKUP(B184,INDIRECT($F$8),6+(O190-1)*3)),(VLOOKUP(B184,INDIRECT($F$8),6+(O190-1)*3)),SUM(VLOOKUP(B184,INDIRECT($F$8),6+(O190-1)*3),IF(W202,W190,0))))</f>
        <v>28</v>
      </c>
      <c r="Q190" s="1">
        <f ca="1">IF(ISERROR(F184),"",VLOOKUP(B184,INDIRECT($F$8),7+(O190-1)*3))</f>
        <v>21</v>
      </c>
      <c r="R190" s="1">
        <f ca="1">IF(ISERROR(F184),"",SUM(P190:Q190))</f>
        <v>49</v>
      </c>
      <c r="S190" s="1">
        <f ca="1">IF(ISERROR(F184),"",VLOOKUP(A184,INDIRECT($F$8),6+(O190-1)*3))</f>
        <v>100</v>
      </c>
      <c r="T190" s="1">
        <f ca="1">IF(ISERROR(F184),"",VLOOKUP(A184,INDIRECT($F$8),7+(O190-1)*3))</f>
        <v>50</v>
      </c>
      <c r="U190" s="1">
        <f ca="1">IF(ISERROR(F184),"",VLOOKUP(A184,INDIRECT($F$8),8+(O190-1)*3))</f>
        <v>150</v>
      </c>
      <c r="V190" s="1" t="str">
        <f ca="1">IF(ISERROR(F184),"",IF(N190=0,A190,""))</f>
        <v>AHT 003</v>
      </c>
      <c r="W190" s="1">
        <f ca="1">IF(ISERROR(F184),"",IF(ISTEXT(VLOOKUP(B184,INDIRECT($F$8),6+(O190-1)*3)),11,IF(VLOOKUP(B184,INDIRECT($F$8),6+(O190-1)*3)&lt;S190*0.3,IF(VLOOKUP(B184,INDIRECT($F$8),8+(O190-1)*3)&lt;U190*0.4,IF(AND(0.4*U190-VLOOKUP(B184,INDIRECT($F$8),8+(O190-1)*3)&lt;=5,0.3*S190-VLOOKUP(B184,INDIRECT($F$8),6+(O190-1)*3)&lt;=5),MAX(0.4*U190-VLOOKUP(B184,INDIRECT($F$8),8+(O190-1)*3),0.3*S190-VLOOKUP(B184,INDIRECT($F$8),6+(O190-1)*3)),11),IF(0.3*S190-VLOOKUP(B184,INDIRECT($F$8),6+(O190-1)*3)&lt;=5,0.3*S190-VLOOKUP(B184,INDIRECT($F$8),6+(O190-1)*3),11)),IF(VLOOKUP(B184,INDIRECT($F$8),8+(O190-1)*3)&lt;U190*0.4,IF(U190*0.4-VLOOKUP(B184,INDIRECT($F$8),8+(O190-1)*3)&lt;=5,U190*0.4-VLOOKUP(B184,INDIRECT($F$8),8+(O190-1)*3),11),0))))</f>
        <v>11</v>
      </c>
      <c r="X190" s="1" t="str">
        <f ca="1">IF(ISERROR(F184),"",IF(W190=0,"",_xlfn.TEXTJOIN("",FALSE," G+",W190," in ",A190)))</f>
        <v xml:space="preserve"> G+11 in AHT 003</v>
      </c>
    </row>
    <row r="191" spans="1:24" ht="11.5" customHeight="1" x14ac:dyDescent="0.2">
      <c r="A191" s="7" t="str">
        <f ca="1">IF(ISERROR(F184),"",VLOOKUP(C184,INDIRECT($F$8),6+(O191-1)*3,0))</f>
        <v>ECT 001</v>
      </c>
      <c r="B191" s="24" t="str">
        <f ca="1">IF(ISERROR(F184),"",VLOOKUP(D184,INDIRECT($F$8),6+(O191-1)*3,0))</f>
        <v>Basic Electronics Engineering</v>
      </c>
      <c r="C191" s="24"/>
      <c r="D191" s="24"/>
      <c r="E191" s="24"/>
      <c r="F191" s="7">
        <f ca="1">IF(ISERROR(F184),"",VLOOKUP(E184,INDIRECT($F$8),6+(O191-1)*3,0))</f>
        <v>4</v>
      </c>
      <c r="G191" s="25" t="str">
        <f ca="1">IF(ISERROR(F184),"",_xlfn.TEXTJOIN("/",FALSE,P191,S191))</f>
        <v>37/100</v>
      </c>
      <c r="H191" s="25"/>
      <c r="I191" s="25" t="str">
        <f ca="1">IF(ISERROR(F184),"",_xlfn.TEXTJOIN("/",FALSE,Q191,T191))</f>
        <v>45/50</v>
      </c>
      <c r="J191" s="25"/>
      <c r="K191" s="25" t="str">
        <f ca="1">IF(ISERROR(F184),"",_xlfn.TEXTJOIN("/",FALSE,R191,U191))</f>
        <v>82/150</v>
      </c>
      <c r="L191" s="25"/>
      <c r="M191" s="7" t="str">
        <f ca="1">IF(ISERROR(F184)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E+</v>
      </c>
      <c r="N191" s="8">
        <f t="shared" ca="1" si="17"/>
        <v>5.5</v>
      </c>
      <c r="O191">
        <f>O190+1</f>
        <v>3</v>
      </c>
      <c r="P191" s="1">
        <f ca="1">IF(ISERROR(F184),"",IF(ISTEXT(VLOOKUP(B184,INDIRECT($F$8),6+(O191-1)*3)),(VLOOKUP(B184,INDIRECT($F$8),6+(O191-1)*3)),SUM(VLOOKUP(B184,INDIRECT($F$8),6+(O191-1)*3),IF(W202,W191,0))))</f>
        <v>37</v>
      </c>
      <c r="Q191" s="1">
        <f ca="1">IF(ISERROR(F184),"",VLOOKUP(B184,INDIRECT($F$8),7+(O191-1)*3))</f>
        <v>45</v>
      </c>
      <c r="R191" s="1">
        <f ca="1">IF(ISERROR(F184),"",SUM(P191:Q191))</f>
        <v>82</v>
      </c>
      <c r="S191" s="1">
        <f ca="1">IF(ISERROR(F184),"",VLOOKUP(A184,INDIRECT($F$8),6+(O191-1)*3))</f>
        <v>100</v>
      </c>
      <c r="T191" s="1">
        <f ca="1">IF(ISERROR(F184),"",VLOOKUP(A184,INDIRECT($F$8),7+(O191-1)*3))</f>
        <v>50</v>
      </c>
      <c r="U191" s="1">
        <f ca="1">IF(ISERROR(F184),"",VLOOKUP(A184,INDIRECT($F$8),8+(O191-1)*3))</f>
        <v>150</v>
      </c>
      <c r="V191" s="1" t="str">
        <f ca="1">IF(ISERROR(F184),"",IF(N191=0,A191,""))</f>
        <v/>
      </c>
      <c r="W191" s="1">
        <f ca="1">IF(ISERROR(F184),"",IF(ISTEXT(VLOOKUP(B184,INDIRECT($F$8),6+(O191-1)*3)),11,IF(VLOOKUP(B184,INDIRECT($F$8),6+(O191-1)*3)&lt;S191*0.3,IF(VLOOKUP(B184,INDIRECT($F$8),8+(O191-1)*3)&lt;U191*0.4,IF(AND(0.4*U191-VLOOKUP(B184,INDIRECT($F$8),8+(O191-1)*3)&lt;=5,0.3*S191-VLOOKUP(B184,INDIRECT($F$8),6+(O191-1)*3)&lt;=5),MAX(0.4*U191-VLOOKUP(B184,INDIRECT($F$8),8+(O191-1)*3),0.3*S191-VLOOKUP(B184,INDIRECT($F$8),6+(O191-1)*3)),11),IF(0.3*S191-VLOOKUP(B184,INDIRECT($F$8),6+(O191-1)*3)&lt;=5,0.3*S191-VLOOKUP(B184,INDIRECT($F$8),6+(O191-1)*3),11)),IF(VLOOKUP(B184,INDIRECT($F$8),8+(O191-1)*3)&lt;U191*0.4,IF(U191*0.4-VLOOKUP(B184,INDIRECT($F$8),8+(O191-1)*3)&lt;=5,U191*0.4-VLOOKUP(B184,INDIRECT($F$8),8+(O191-1)*3),11),0))))</f>
        <v>0</v>
      </c>
      <c r="X191" s="1" t="str">
        <f ca="1">IF(ISERROR(F184),"",IF(W191=0,"",_xlfn.TEXTJOIN("",FALSE," G+",W191," in ",A191)))</f>
        <v/>
      </c>
    </row>
    <row r="192" spans="1:24" ht="11.5" customHeight="1" x14ac:dyDescent="0.2">
      <c r="A192" s="7" t="str">
        <f ca="1">IF(ISERROR(F184),"",VLOOKUP(C184,INDIRECT($F$8),6+(O192-1)*3,0))</f>
        <v>MET 001</v>
      </c>
      <c r="B192" s="24" t="str">
        <f ca="1">IF(ISERROR(F184),"",VLOOKUP(D184,INDIRECT($F$8),6+(O192-1)*3,0))</f>
        <v>Basic Mechanical Engineering</v>
      </c>
      <c r="C192" s="24"/>
      <c r="D192" s="24"/>
      <c r="E192" s="24"/>
      <c r="F192" s="7">
        <f ca="1">IF(ISERROR(F184),"",VLOOKUP(E184,INDIRECT($F$8),6+(O192-1)*3,0))</f>
        <v>4</v>
      </c>
      <c r="G192" s="25" t="str">
        <f ca="1">IF(ISERROR(F184),"",_xlfn.TEXTJOIN("/",FALSE,P192,S192))</f>
        <v>57/100</v>
      </c>
      <c r="H192" s="25"/>
      <c r="I192" s="25" t="str">
        <f ca="1">IF(ISERROR(F184),"",_xlfn.TEXTJOIN("/",FALSE,Q192,T192))</f>
        <v>37/50</v>
      </c>
      <c r="J192" s="25"/>
      <c r="K192" s="25" t="str">
        <f ca="1">IF(ISERROR(F184),"",_xlfn.TEXTJOIN("/",FALSE,R192,U192))</f>
        <v>94/150</v>
      </c>
      <c r="L192" s="25"/>
      <c r="M192" s="7" t="str">
        <f ca="1">IF(ISERROR(F184),"",IF(ISTEXT(P192),IF(P192="A","Ab",IF(P192="D","Dt",IF(P192="UFM","UFM",IF(P192="NA","")))),IF(AND(ISBLANK(P192),ISBLANK(R192)),"",IF(P192&lt;0.3*S192,"F",IF(ISBLANK(R192),"",IF(ISTEXT(R192),R192,IF(R192&gt;=0.95*U192,"O",IF(R192&gt;=0.9*U192,"A+",IF(R192&gt;=0.85*U192,"A",IF(R192&gt;=0.8*U192,"B+",IF(R192&gt;=0.75*U192,"B",IF(R192&gt;=0.7*U192,"C+",IF(R192&gt;=0.65*U192,"C",IF(R192&gt;=0.6*U192,"D+",IF(R192&gt;=0.55*U192,"D",IF(R192&gt;=0.5*U192,"E+",IF(R192&gt;=0.45*U192,"E",IF(R192&gt;=0.4*U192,"P",IF(R192&lt;0.4*U192,"F",R192)))))))))))))))))))</f>
        <v>D+</v>
      </c>
      <c r="N192" s="8">
        <f t="shared" ca="1" si="17"/>
        <v>6.5</v>
      </c>
      <c r="O192">
        <f>O191+1</f>
        <v>4</v>
      </c>
      <c r="P192" s="1">
        <f ca="1">IF(ISERROR(F184),"",IF(ISTEXT(VLOOKUP(B184,INDIRECT($F$8),6+(O192-1)*3)),(VLOOKUP(B184,INDIRECT($F$8),6+(O192-1)*3)),SUM(VLOOKUP(B184,INDIRECT($F$8),6+(O192-1)*3),IF(W202,W192,0))))</f>
        <v>57</v>
      </c>
      <c r="Q192" s="1">
        <f ca="1">IF(ISERROR(F184),"",VLOOKUP(B184,INDIRECT($F$8),7+(O192-1)*3))</f>
        <v>37</v>
      </c>
      <c r="R192" s="1">
        <f ca="1">IF(ISERROR(F184),"",SUM(P192:Q192))</f>
        <v>94</v>
      </c>
      <c r="S192" s="1">
        <f ca="1">IF(ISERROR(F184),"",VLOOKUP(A184,INDIRECT($F$8),6+(O192-1)*3))</f>
        <v>100</v>
      </c>
      <c r="T192" s="1">
        <f ca="1">IF(ISERROR(F184),"",VLOOKUP(A184,INDIRECT($F$8),7+(O192-1)*3))</f>
        <v>50</v>
      </c>
      <c r="U192" s="1">
        <f ca="1">IF(ISERROR(F184),"",VLOOKUP(A184,INDIRECT($F$8),8+(O192-1)*3))</f>
        <v>150</v>
      </c>
      <c r="V192" s="1" t="str">
        <f ca="1">IF(ISERROR(F184),"",IF(N192=0,A192,""))</f>
        <v/>
      </c>
      <c r="W192" s="1">
        <f ca="1">IF(ISERROR(F184),"",IF(ISTEXT(VLOOKUP(B184,INDIRECT($F$8),6+(O192-1)*3)),11,IF(VLOOKUP(B184,INDIRECT($F$8),6+(O192-1)*3)&lt;S192*0.3,IF(VLOOKUP(B184,INDIRECT($F$8),8+(O192-1)*3)&lt;U192*0.4,IF(AND(0.4*U192-VLOOKUP(B184,INDIRECT($F$8),8+(O192-1)*3)&lt;=5,0.3*S192-VLOOKUP(B184,INDIRECT($F$8),6+(O192-1)*3)&lt;=5),MAX(0.4*U192-VLOOKUP(B184,INDIRECT($F$8),8+(O192-1)*3),0.3*S192-VLOOKUP(B184,INDIRECT($F$8),6+(O192-1)*3)),11),IF(0.3*S192-VLOOKUP(B184,INDIRECT($F$8),6+(O192-1)*3)&lt;=5,0.3*S192-VLOOKUP(B184,INDIRECT($F$8),6+(O192-1)*3),11)),IF(VLOOKUP(B184,INDIRECT($F$8),8+(O192-1)*3)&lt;U192*0.4,IF(U192*0.4-VLOOKUP(B184,INDIRECT($F$8),8+(O192-1)*3)&lt;=5,U192*0.4-VLOOKUP(B184,INDIRECT($F$8),8+(O192-1)*3),11),0))))</f>
        <v>0</v>
      </c>
      <c r="X192" s="1" t="str">
        <f ca="1">IF(ISERROR(F184),"",IF(W192=0,"",_xlfn.TEXTJOIN("",FALSE," G+",W192," in ",A192)))</f>
        <v/>
      </c>
    </row>
    <row r="193" spans="1:24" ht="11.5" customHeight="1" x14ac:dyDescent="0.2">
      <c r="A193" s="7" t="str">
        <f ca="1">IF(ISERROR(F184),"",VLOOKUP(C184,INDIRECT($F$8),6+(O193-1)*3,0))</f>
        <v>AHT 000</v>
      </c>
      <c r="B193" s="24" t="str">
        <f ca="1">IF(ISERROR(F184),"",VLOOKUP(D184,INDIRECT($F$8),6+(O193-1)*3,0))</f>
        <v>Basic Mathematics (Bridge Course) ($)</v>
      </c>
      <c r="C193" s="24"/>
      <c r="D193" s="24"/>
      <c r="E193" s="24"/>
      <c r="F193" s="7">
        <f ca="1">IF(ISERROR(F184),"",VLOOKUP(E184,INDIRECT($F$8),6+(O193-1)*3,0))</f>
        <v>0</v>
      </c>
      <c r="G193" s="25" t="str">
        <f ca="1">IF(ISERROR(F184),"",_xlfn.TEXTJOIN("/",FALSE,P193,S193))</f>
        <v>44/100</v>
      </c>
      <c r="H193" s="25"/>
      <c r="I193" s="25" t="str">
        <f ca="1">IF(ISERROR(F184),"",_xlfn.TEXTJOIN("/",FALSE,Q193,T193))</f>
        <v>32/50</v>
      </c>
      <c r="J193" s="25"/>
      <c r="K193" s="25" t="str">
        <f ca="1">IF(ISERROR(F184),"",_xlfn.TEXTJOIN("/",FALSE,R193,U193))</f>
        <v>76/150</v>
      </c>
      <c r="L193" s="25"/>
      <c r="M193" s="7" t="str">
        <f ca="1">IF(ISERROR(F184),"",IF(ISTEXT(P193),IF(P193="A","Ab",IF(P193="D","Dt",IF(P193="UFM","UFM",IF(P193="NA","")))),IF(AND(ISBLANK(P193),ISBLANK(R193)),"",IF(P193&lt;0.3*S193,"F",IF(ISBLANK(R193),"",IF(ISTEXT(R193),R193,IF(R193&gt;=0.95*U193,"O",IF(R193&gt;=0.9*U193,"A+",IF(R193&gt;=0.85*U193,"A",IF(R193&gt;=0.8*U193,"B+",IF(R193&gt;=0.75*U193,"B",IF(R193&gt;=0.7*U193,"C+",IF(R193&gt;=0.65*U193,"C",IF(R193&gt;=0.6*U193,"D+",IF(R193&gt;=0.55*U193,"D",IF(R193&gt;=0.5*U193,"E+",IF(R193&gt;=0.45*U193,"E",IF(R193&gt;=0.4*U193,"P",IF(R193&lt;0.4*U193,"F",R193)))))))))))))))))))</f>
        <v>E+</v>
      </c>
      <c r="N193" s="8">
        <f t="shared" ca="1" si="17"/>
        <v>5.5</v>
      </c>
      <c r="O193" cm="1">
        <f t="array" aca="1" ref="O193" ca="1">IF(NOT(ISBLANK(INDIRECT("SEM_I!R"&amp;INT((ROW(O193)-17)/22)+6))),5,
IF(NOT(ISBLANK(INDIRECT("SEM_I!U"&amp;INT((ROW(O193)-17)/22)+6))),6))</f>
        <v>5</v>
      </c>
      <c r="P193" s="1">
        <f ca="1">IF(ISERROR(F184),"",IF(ISTEXT(VLOOKUP(B184,INDIRECT($F$8),6+(O193-1)*3)),(VLOOKUP(B184,INDIRECT($F$8),6+(O193-1)*3)),SUM(VLOOKUP(B184,INDIRECT($F$8),6+(O193-1)*3),IF(W202,W193,0))))</f>
        <v>44</v>
      </c>
      <c r="Q193" s="1">
        <f ca="1">IF(ISERROR(F184),"",VLOOKUP(B184,INDIRECT($F$8),7+(O193-1)*3))</f>
        <v>32</v>
      </c>
      <c r="R193" s="1">
        <f ca="1">IF(ISERROR(F184),"",SUM(P193:Q193))</f>
        <v>76</v>
      </c>
      <c r="S193" s="1">
        <f ca="1">IF(ISERROR(F184),"",VLOOKUP(A184,INDIRECT($F$8),6+(O193-1)*3))</f>
        <v>100</v>
      </c>
      <c r="T193" s="1">
        <f ca="1">IF(ISERROR(F184),"",VLOOKUP(A184,INDIRECT($F$8),7+(O193-1)*3))</f>
        <v>50</v>
      </c>
      <c r="U193" s="1">
        <f ca="1">IF(ISERROR(F184),"",VLOOKUP(A184,INDIRECT($F$8),8+(O193-1)*3))</f>
        <v>150</v>
      </c>
      <c r="V193" s="1" t="str">
        <f ca="1">IF(ISERROR(F184),"",IF(N193=0,A193,""))</f>
        <v/>
      </c>
      <c r="W193" s="1">
        <f ca="1">IF(ISERROR(F184),"",IF(ISTEXT(VLOOKUP(B184,INDIRECT($F$8),6+(O193-1)*3)),11,IF(VLOOKUP(B184,INDIRECT($F$8),6+(O193-1)*3)&lt;S193*0.3,IF(VLOOKUP(B184,INDIRECT($F$8),8+(O193-1)*3)&lt;U193*0.4,IF(AND(0.4*U193-VLOOKUP(B184,INDIRECT($F$8),8+(O193-1)*3)&lt;=5,0.3*S193-VLOOKUP(B184,INDIRECT($F$8),6+(O193-1)*3)&lt;=5),MAX(0.4*U193-VLOOKUP(B184,INDIRECT($F$8),8+(O193-1)*3),0.3*S193-VLOOKUP(B184,INDIRECT($F$8),6+(O193-1)*3)),11),IF(0.3*S193-VLOOKUP(B184,INDIRECT($F$8),6+(O193-1)*3)&lt;=5,0.3*S193-VLOOKUP(B184,INDIRECT($F$8),6+(O193-1)*3),11)),IF(VLOOKUP(B184,INDIRECT($F$8),8+(O193-1)*3)&lt;U193*0.4,IF(U193*0.4-VLOOKUP(B184,INDIRECT($F$8),8+(O193-1)*3)&lt;=5,U193*0.4-VLOOKUP(B184,INDIRECT($F$8),8+(O193-1)*3),11),0))))</f>
        <v>0</v>
      </c>
      <c r="X193" s="1" t="str">
        <f ca="1">IF(ISERROR(F184),"",IF(W193=0,"",_xlfn.TEXTJOIN("",FALSE," G+",W193," in ",A193)))</f>
        <v/>
      </c>
    </row>
    <row r="194" spans="1:24" ht="11.5" customHeight="1" x14ac:dyDescent="0.2">
      <c r="A194" s="7" t="str">
        <f ca="1">IF(ISERROR(F184),"",VLOOKUP(C184,INDIRECT($F$8),6+(O194-1)*3,0))</f>
        <v>AHP 002</v>
      </c>
      <c r="B194" s="24" t="str">
        <f ca="1">IF(ISERROR(F184),"",VLOOKUP(D184,INDIRECT($F$8),6+(O194-1)*3,0))</f>
        <v>Engineering Chemistry Lab</v>
      </c>
      <c r="C194" s="24"/>
      <c r="D194" s="24"/>
      <c r="E194" s="24"/>
      <c r="F194" s="7">
        <f ca="1">IF(ISERROR(F184),"",VLOOKUP(E184,INDIRECT($F$8),6+(O194-1)*3,0))</f>
        <v>1</v>
      </c>
      <c r="G194" s="25" t="str">
        <f ca="1">IF(ISERROR(F184),"",_xlfn.TEXTJOIN("/",FALSE,P194,S194))</f>
        <v>17/25</v>
      </c>
      <c r="H194" s="25"/>
      <c r="I194" s="25" t="str">
        <f ca="1">IF(ISERROR(F184),"",_xlfn.TEXTJOIN("/",FALSE,Q194,T194))</f>
        <v>14/25</v>
      </c>
      <c r="J194" s="25"/>
      <c r="K194" s="25" t="str">
        <f ca="1">IF(ISERROR(F184),"",_xlfn.TEXTJOIN("/",FALSE,R194,U194))</f>
        <v>31/50</v>
      </c>
      <c r="L194" s="25"/>
      <c r="M194" s="7" t="str">
        <f ca="1">IF(ISERROR(F184),"",IF(ISTEXT(P194),IF(P194="A","Ab",IF(P194="D","Dt",IF(P194="UFM","UFM",IF(P194="NA","")))),IF(AND(ISBLANK(P194),ISBLANK(R194)),"",IF(P194&lt;0.3*S194,"F",IF(ISBLANK(R194),"",IF(ISTEXT(R194),R194,IF(R194&gt;=0.95*U194,"O",IF(R194&gt;=0.9*U194,"A+",IF(R194&gt;=0.85*U194,"A",IF(R194&gt;=0.8*U194,"B+",IF(R194&gt;=0.75*U194,"B",IF(R194&gt;=0.7*U194,"C+",IF(R194&gt;=0.65*U194,"C",IF(R194&gt;=0.6*U194,"D+",IF(R194&gt;=0.55*U194,"D",IF(R194&gt;=0.5*U194,"E+",IF(R194&gt;=0.45*U194,"E",IF(R194&gt;=0.4*U194,"P",IF(R194&lt;0.4*U194,"F",R194)))))))))))))))))))</f>
        <v>D+</v>
      </c>
      <c r="N194" s="8">
        <f t="shared" ca="1" si="17"/>
        <v>6.5</v>
      </c>
      <c r="O194">
        <f ca="1">IF(O193&gt;0,7)</f>
        <v>7</v>
      </c>
      <c r="P194" s="1">
        <f ca="1">IF(ISERROR(F184),"",IF(ISTEXT(VLOOKUP(B184,INDIRECT($F$8),6+(O194-1)*3)),(VLOOKUP(B184,INDIRECT($F$8),6+(O194-1)*3)),SUM(VLOOKUP(B184,INDIRECT($F$8),6+(O194-1)*3),IF(W202,W194,0))))</f>
        <v>17</v>
      </c>
      <c r="Q194" s="1">
        <f ca="1">IF(ISERROR(F184),"",VLOOKUP(B184,INDIRECT($F$8),7+(O194-1)*3))</f>
        <v>14</v>
      </c>
      <c r="R194" s="1">
        <f ca="1">IF(ISERROR(F184),"",SUM(P194:Q194))</f>
        <v>31</v>
      </c>
      <c r="S194" s="1">
        <f ca="1">IF(ISERROR(F184),"",VLOOKUP(A184,INDIRECT($F$8),6+(O194-1)*3))</f>
        <v>25</v>
      </c>
      <c r="T194" s="1">
        <f ca="1">IF(ISERROR(F184),"",VLOOKUP(A184,INDIRECT($F$8),7+(O194-1)*3))</f>
        <v>25</v>
      </c>
      <c r="U194" s="1">
        <f ca="1">IF(ISERROR(F184),"",VLOOKUP(A184,INDIRECT($F$8),8+(O194-1)*3))</f>
        <v>50</v>
      </c>
      <c r="V194" s="1" t="str">
        <f ca="1">IF(ISERROR(F184),"",IF(N194=0,A194,""))</f>
        <v/>
      </c>
      <c r="W194" s="1">
        <f ca="1">IF(ISERROR(F184),"",IF(ISTEXT(VLOOKUP(B184,INDIRECT($F$8),6+(O194-1)*3)),11,IF(VLOOKUP(B184,INDIRECT($F$8),6+(O194-1)*3)&lt;S194*0.3,IF(VLOOKUP(B184,INDIRECT($F$8),8+(O194-1)*3)&lt;U194*0.4,IF(AND(0.4*U194-VLOOKUP(B184,INDIRECT($F$8),8+(O194-1)*3)&lt;=5,0.3*S194-VLOOKUP(B184,INDIRECT($F$8),6+(O194-1)*3)&lt;=5),MAX(0.4*U194-VLOOKUP(B184,INDIRECT($F$8),8+(O194-1)*3),0.3*S194-VLOOKUP(B184,INDIRECT($F$8),6+(O194-1)*3)),11),IF(0.3*S194-VLOOKUP(B184,INDIRECT($F$8),6+(O194-1)*3)&lt;=5,0.3*S194-VLOOKUP(B184,INDIRECT($F$8),6+(O194-1)*3),11)),IF(VLOOKUP(B184,INDIRECT($F$8),8+(O194-1)*3)&lt;U194*0.4,IF(U194*0.4-VLOOKUP(B184,INDIRECT($F$8),8+(O194-1)*3)&lt;=5,U194*0.4-VLOOKUP(B184,INDIRECT($F$8),8+(O194-1)*3),11),0))))</f>
        <v>0</v>
      </c>
      <c r="X194" s="1" t="str">
        <f ca="1">IF(ISERROR(F184),"",IF(W194=0,"",_xlfn.TEXTJOIN("",FALSE," G+",W194," in ",A194)))</f>
        <v/>
      </c>
    </row>
    <row r="195" spans="1:24" ht="11.5" customHeight="1" x14ac:dyDescent="0.2">
      <c r="A195" s="7" t="str">
        <f ca="1">IF(ISERROR(F184),"",VLOOKUP(C184,INDIRECT($F$8),6+(O195-1)*3,0))</f>
        <v>ECP 001</v>
      </c>
      <c r="B195" s="24" t="str">
        <f ca="1">IF(ISERROR(F184),"",VLOOKUP(D184,INDIRECT($F$8),6+(O195-1)*3,0))</f>
        <v>Basic Electronics Engineering Lab</v>
      </c>
      <c r="C195" s="24"/>
      <c r="D195" s="24"/>
      <c r="E195" s="24"/>
      <c r="F195" s="7">
        <f ca="1">IF(ISERROR(F184),"",VLOOKUP(E184,INDIRECT($F$8),6+(O195-1)*3,0))</f>
        <v>1</v>
      </c>
      <c r="G195" s="25" t="str">
        <f ca="1">IF(ISERROR(F184),"",_xlfn.TEXTJOIN("/",FALSE,P195,S195))</f>
        <v>16/25</v>
      </c>
      <c r="H195" s="25"/>
      <c r="I195" s="25" t="str">
        <f ca="1">IF(ISERROR(F184),"",_xlfn.TEXTJOIN("/",FALSE,Q195,T195))</f>
        <v>19/25</v>
      </c>
      <c r="J195" s="25"/>
      <c r="K195" s="25" t="str">
        <f ca="1">IF(ISERROR(F184),"",_xlfn.TEXTJOIN("/",FALSE,R195,U195))</f>
        <v>35/50</v>
      </c>
      <c r="L195" s="25"/>
      <c r="M195" s="7" t="str">
        <f ca="1">IF(ISERROR(F184),"",IF(ISTEXT(P195),IF(P195="A","Ab",IF(P195="D","Dt",IF(P195="UFM","UFM",IF(P195="NA","")))),IF(AND(ISBLANK(P195),ISBLANK(R195)),"",IF(P195&lt;0.3*S195,"F",IF(ISBLANK(R195),"",IF(ISTEXT(R195),R195,IF(R195&gt;=0.95*U195,"O",IF(R195&gt;=0.9*U195,"A+",IF(R195&gt;=0.85*U195,"A",IF(R195&gt;=0.8*U195,"B+",IF(R195&gt;=0.75*U195,"B",IF(R195&gt;=0.7*U195,"C+",IF(R195&gt;=0.65*U195,"C",IF(R195&gt;=0.6*U195,"D+",IF(R195&gt;=0.55*U195,"D",IF(R195&gt;=0.5*U195,"E+",IF(R195&gt;=0.45*U195,"E",IF(R195&gt;=0.4*U195,"P",IF(R195&lt;0.4*U195,"F",R195)))))))))))))))))))</f>
        <v>C+</v>
      </c>
      <c r="N195" s="8">
        <f t="shared" ca="1" si="17"/>
        <v>7.5</v>
      </c>
      <c r="O195">
        <f t="shared" ref="O195:O201" ca="1" si="18">O194+1</f>
        <v>8</v>
      </c>
      <c r="P195" s="1">
        <f ca="1">IF(ISERROR(F184),"",IF(ISTEXT(VLOOKUP(B184,INDIRECT($F$8),6+(O195-1)*3)),(VLOOKUP(B184,INDIRECT($F$8),6+(O195-1)*3)),SUM(VLOOKUP(B184,INDIRECT($F$8),6+(O195-1)*3),IF(W202,W195,0))))</f>
        <v>16</v>
      </c>
      <c r="Q195" s="1">
        <f ca="1">IF(ISERROR(F184),"",VLOOKUP(B184,INDIRECT($F$8),7+(O195-1)*3))</f>
        <v>19</v>
      </c>
      <c r="R195" s="1">
        <f ca="1">IF(ISERROR(F184),"",SUM(P195:Q195))</f>
        <v>35</v>
      </c>
      <c r="S195" s="1">
        <f ca="1">IF(ISERROR(F184),"",VLOOKUP(A184,INDIRECT($F$8),6+(O195-1)*3))</f>
        <v>25</v>
      </c>
      <c r="T195" s="1">
        <f ca="1">IF(ISERROR(F184),"",VLOOKUP(A184,INDIRECT($F$8),7+(O195-1)*3))</f>
        <v>25</v>
      </c>
      <c r="U195" s="1">
        <f ca="1">IF(ISERROR(F184),"",VLOOKUP(A184,INDIRECT($F$8),8+(O195-1)*3))</f>
        <v>50</v>
      </c>
      <c r="V195" s="1" t="str">
        <f ca="1">IF(ISERROR(F184),"",IF(N195=0,A195,""))</f>
        <v/>
      </c>
      <c r="W195" s="1">
        <f ca="1">IF(ISERROR(F184),"",IF(ISTEXT(VLOOKUP(B184,INDIRECT($F$8),6+(O195-1)*3)),11,IF(VLOOKUP(B184,INDIRECT($F$8),6+(O195-1)*3)&lt;S195*0.3,IF(VLOOKUP(B184,INDIRECT($F$8),8+(O195-1)*3)&lt;U195*0.4,IF(AND(0.4*U195-VLOOKUP(B184,INDIRECT($F$8),8+(O195-1)*3)&lt;=5,0.3*S195-VLOOKUP(B184,INDIRECT($F$8),6+(O195-1)*3)&lt;=5),MAX(0.4*U195-VLOOKUP(B184,INDIRECT($F$8),8+(O195-1)*3),0.3*S195-VLOOKUP(B184,INDIRECT($F$8),6+(O195-1)*3)),11),IF(0.3*S195-VLOOKUP(B184,INDIRECT($F$8),6+(O195-1)*3)&lt;=5,0.3*S195-VLOOKUP(B184,INDIRECT($F$8),6+(O195-1)*3),11)),IF(VLOOKUP(B184,INDIRECT($F$8),8+(O195-1)*3)&lt;U195*0.4,IF(U195*0.4-VLOOKUP(B184,INDIRECT($F$8),8+(O195-1)*3)&lt;=5,U195*0.4-VLOOKUP(B184,INDIRECT($F$8),8+(O195-1)*3),11),0))))</f>
        <v>0</v>
      </c>
      <c r="X195" s="1" t="str">
        <f ca="1">IF(ISERROR(F184),"",IF(W195=0,"",_xlfn.TEXTJOIN("",FALSE," G+",W195," in ",A195)))</f>
        <v/>
      </c>
    </row>
    <row r="196" spans="1:24" ht="11.5" customHeight="1" x14ac:dyDescent="0.2">
      <c r="A196" s="7" t="str">
        <f ca="1">IF(ISERROR(F184),"",VLOOKUP(C184,INDIRECT($F$8),6+(O196-1)*3,0))</f>
        <v>MEP 001</v>
      </c>
      <c r="B196" s="24" t="str">
        <f ca="1">IF(ISERROR(F184),"",VLOOKUP(D184,INDIRECT($F$8),6+(O196-1)*3,0))</f>
        <v>Basic Mechanical Engineering Lab</v>
      </c>
      <c r="C196" s="24"/>
      <c r="D196" s="24"/>
      <c r="E196" s="24"/>
      <c r="F196" s="7">
        <f ca="1">IF(ISERROR(F184),"",VLOOKUP(E184,INDIRECT($F$8),6+(O196-1)*3,0))</f>
        <v>1</v>
      </c>
      <c r="G196" s="25" t="str">
        <f ca="1">IF(ISERROR(F184),"",_xlfn.TEXTJOIN("/",FALSE,P196,S196))</f>
        <v>21/25</v>
      </c>
      <c r="H196" s="25"/>
      <c r="I196" s="25" t="str">
        <f ca="1">IF(ISERROR(F184),"",_xlfn.TEXTJOIN("/",FALSE,Q196,T196))</f>
        <v>22/25</v>
      </c>
      <c r="J196" s="25"/>
      <c r="K196" s="25" t="str">
        <f ca="1">IF(ISERROR(F184),"",_xlfn.TEXTJOIN("/",FALSE,R196,U196))</f>
        <v>43/50</v>
      </c>
      <c r="L196" s="25"/>
      <c r="M196" s="7" t="str">
        <f ca="1">IF(ISERROR(F184),"",IF(ISTEXT(P196),IF(P196="A","Ab",IF(P196="D","Dt",IF(P196="UFM","UFM",IF(P196="NA","")))),IF(AND(ISBLANK(P196),ISBLANK(R196)),"",IF(P196&lt;0.3*S196,"F",IF(ISBLANK(R196),"",IF(ISTEXT(R196),R196,IF(R196&gt;=0.95*U196,"O",IF(R196&gt;=0.9*U196,"A+",IF(R196&gt;=0.85*U196,"A",IF(R196&gt;=0.8*U196,"B+",IF(R196&gt;=0.75*U196,"B",IF(R196&gt;=0.7*U196,"C+",IF(R196&gt;=0.65*U196,"C",IF(R196&gt;=0.6*U196,"D+",IF(R196&gt;=0.55*U196,"D",IF(R196&gt;=0.5*U196,"E+",IF(R196&gt;=0.45*U196,"E",IF(R196&gt;=0.4*U196,"P",IF(R196&lt;0.4*U196,"F",R196)))))))))))))))))))</f>
        <v>A</v>
      </c>
      <c r="N196" s="8">
        <f t="shared" ca="1" si="17"/>
        <v>9</v>
      </c>
      <c r="O196">
        <f t="shared" ca="1" si="18"/>
        <v>9</v>
      </c>
      <c r="P196" s="1">
        <f ca="1">IF(ISERROR(F184),"",IF(ISTEXT(VLOOKUP(B184,INDIRECT($F$8),6+(O196-1)*3)),(VLOOKUP(B184,INDIRECT($F$8),6+(O196-1)*3)),SUM(VLOOKUP(B184,INDIRECT($F$8),6+(O196-1)*3),IF(W202,W196,0))))</f>
        <v>21</v>
      </c>
      <c r="Q196" s="1">
        <f ca="1">IF(ISERROR(F184),"",VLOOKUP(B184,INDIRECT($F$8),7+(O196-1)*3))</f>
        <v>22</v>
      </c>
      <c r="R196" s="1">
        <f ca="1">IF(ISERROR(F184),"",SUM(P196:Q196))</f>
        <v>43</v>
      </c>
      <c r="S196" s="1">
        <f ca="1">IF(ISERROR(F184),"",VLOOKUP(A184,INDIRECT($F$8),6+(O196-1)*3))</f>
        <v>25</v>
      </c>
      <c r="T196" s="1">
        <f ca="1">IF(ISERROR(F184),"",VLOOKUP(A184,INDIRECT($F$8),7+(O196-1)*3))</f>
        <v>25</v>
      </c>
      <c r="U196" s="1">
        <f ca="1">IF(ISERROR(F184),"",VLOOKUP(A184,INDIRECT($F$8),8+(O196-1)*3))</f>
        <v>50</v>
      </c>
      <c r="V196" s="1" t="str">
        <f ca="1">IF(ISERROR(F184),"",IF(N196=0,A196,""))</f>
        <v/>
      </c>
      <c r="W196" s="1">
        <f ca="1">IF(ISERROR(F184),"",IF(ISTEXT(VLOOKUP(B184,INDIRECT($F$8),6+(O196-1)*3)),11,IF(VLOOKUP(B184,INDIRECT($F$8),6+(O196-1)*3)&lt;S196*0.3,IF(VLOOKUP(B184,INDIRECT($F$8),8+(O196-1)*3)&lt;U196*0.4,IF(AND(0.4*U196-VLOOKUP(B184,INDIRECT($F$8),8+(O196-1)*3)&lt;=5,0.3*S196-VLOOKUP(B184,INDIRECT($F$8),6+(O196-1)*3)&lt;=5),MAX(0.4*U196-VLOOKUP(B184,INDIRECT($F$8),8+(O196-1)*3),0.3*S196-VLOOKUP(B184,INDIRECT($F$8),6+(O196-1)*3)),11),IF(0.3*S196-VLOOKUP(B184,INDIRECT($F$8),6+(O196-1)*3)&lt;=5,0.3*S196-VLOOKUP(B184,INDIRECT($F$8),6+(O196-1)*3),11)),IF(VLOOKUP(B184,INDIRECT($F$8),8+(O196-1)*3)&lt;U196*0.4,IF(U196*0.4-VLOOKUP(B184,INDIRECT($F$8),8+(O196-1)*3)&lt;=5,U196*0.4-VLOOKUP(B184,INDIRECT($F$8),8+(O196-1)*3),11),0))))</f>
        <v>0</v>
      </c>
      <c r="X196" s="1" t="str">
        <f ca="1">IF(ISERROR(F184),"",IF(W196=0,"",_xlfn.TEXTJOIN("",FALSE," G+",W196," in ",A196)))</f>
        <v/>
      </c>
    </row>
    <row r="197" spans="1:24" ht="11.5" customHeight="1" x14ac:dyDescent="0.2">
      <c r="A197" s="7" t="str">
        <f ca="1">IF(ISERROR(F184),"",VLOOKUP(C184,INDIRECT($F$8),6+(O197-1)*3,0))</f>
        <v>MEP 003</v>
      </c>
      <c r="B197" s="24" t="str">
        <f ca="1">IF(ISERROR(F184),"",VLOOKUP(D184,INDIRECT($F$8),6+(O197-1)*3-Z197,0))</f>
        <v>Workshop Practices Lab</v>
      </c>
      <c r="C197" s="24"/>
      <c r="D197" s="24"/>
      <c r="E197" s="24"/>
      <c r="F197" s="7">
        <f ca="1">IF(ISERROR(F184),"",VLOOKUP(E184,INDIRECT($F$8),6+(O197-1)*3,0))</f>
        <v>2</v>
      </c>
      <c r="G197" s="25" t="str">
        <f ca="1">IF(ISERROR(F184),"",_xlfn.TEXTJOIN("/",FALSE,P197,S197))</f>
        <v>43/50</v>
      </c>
      <c r="H197" s="25"/>
      <c r="I197" s="25" t="str">
        <f ca="1">IF(ISERROR(F184),"",_xlfn.TEXTJOIN("/",FALSE,Q197,T197))</f>
        <v>45/50</v>
      </c>
      <c r="J197" s="25"/>
      <c r="K197" s="25" t="str">
        <f ca="1">IF(ISERROR(F184),"",_xlfn.TEXTJOIN("/",FALSE,R197,U197))</f>
        <v>88/100</v>
      </c>
      <c r="L197" s="25"/>
      <c r="M197" s="7" t="str">
        <f ca="1">IF(ISERROR(F184),"",IF(ISTEXT(P197),IF(P197="A","Ab",IF(P197="D","Dt",IF(P197="UFM","UFM",IF(P197="NA","")))),IF(AND(ISBLANK(P197),ISBLANK(R197)),"",IF(P197&lt;0.3*S197,"F",IF(ISBLANK(R197),"",IF(ISTEXT(R197),R197,IF(R197&gt;=0.95*U197,"O",IF(R197&gt;=0.9*U197,"A+",IF(R197&gt;=0.85*U197,"A",IF(R197&gt;=0.8*U197,"B+",IF(R197&gt;=0.75*U197,"B",IF(R197&gt;=0.7*U197,"C+",IF(R197&gt;=0.65*U197,"C",IF(R197&gt;=0.6*U197,"D+",IF(R197&gt;=0.55*U197,"D",IF(R197&gt;=0.5*U197,"E+",IF(R197&gt;=0.45*U197,"E",IF(R197&gt;=0.4*U197,"P",IF(R197&lt;0.4*U197,"F",R197)))))))))))))))))))</f>
        <v>A</v>
      </c>
      <c r="N197" s="8">
        <f t="shared" ca="1" si="17"/>
        <v>9</v>
      </c>
      <c r="O197">
        <f t="shared" ca="1" si="18"/>
        <v>10</v>
      </c>
      <c r="P197" s="1">
        <f ca="1">IF(ISERROR(F184),"",IF(ISTEXT(VLOOKUP(B184,INDIRECT($F$8),6+(O197-1)*3)),(VLOOKUP(B184,INDIRECT($F$8),6+(O197-1)*3)),SUM(VLOOKUP(B184,INDIRECT($F$8),6+(O197-1)*3),IF(W202,W197,0))))</f>
        <v>43</v>
      </c>
      <c r="Q197" s="1">
        <f ca="1">IF(ISERROR(F184),"",VLOOKUP(B184,INDIRECT($F$8),7+(O197-1)*3))</f>
        <v>45</v>
      </c>
      <c r="R197" s="1">
        <f ca="1">IF(ISERROR(F184),"",SUM(P197:Q197))</f>
        <v>88</v>
      </c>
      <c r="S197" s="1">
        <f ca="1">IF(ISERROR(F184),"",VLOOKUP(A184,INDIRECT($F$8),6+(O197-1)*3))</f>
        <v>50</v>
      </c>
      <c r="T197" s="1">
        <f ca="1">IF(ISERROR(F184),"",VLOOKUP(A184,INDIRECT($F$8),7+(O197-1)*3))</f>
        <v>50</v>
      </c>
      <c r="U197" s="1">
        <f ca="1">IF(ISERROR(F184),"",VLOOKUP(A184,INDIRECT($F$8),8+(O197-1)*3))</f>
        <v>100</v>
      </c>
      <c r="V197" s="1" t="str">
        <f ca="1">IF(ISERROR(F184),"",IF(N197=0,A197,""))</f>
        <v/>
      </c>
      <c r="W197" s="1">
        <f ca="1">IF(ISERROR(F184),"",IF(ISTEXT(VLOOKUP(B184,INDIRECT($F$8),6+(O197-1)*3)),11,IF(VLOOKUP(B184,INDIRECT($F$8),6+(O197-1)*3)&lt;S197*0.3,IF(VLOOKUP(B184,INDIRECT($F$8),8+(O197-1)*3)&lt;U197*0.4,IF(AND(0.4*U197-VLOOKUP(B184,INDIRECT($F$8),8+(O197-1)*3)&lt;=5,0.3*S197-VLOOKUP(B184,INDIRECT($F$8),6+(O197-1)*3)&lt;=5),MAX(0.4*U197-VLOOKUP(B184,INDIRECT($F$8),8+(O197-1)*3),0.3*S197-VLOOKUP(B184,INDIRECT($F$8),6+(O197-1)*3)),11),IF(0.3*S197-VLOOKUP(B184,INDIRECT($F$8),6+(O197-1)*3)&lt;=5,0.3*S197-VLOOKUP(B184,INDIRECT($F$8),6+(O197-1)*3),11)),IF(VLOOKUP(B184,INDIRECT($F$8),8+(O197-1)*3)&lt;U197*0.4,IF(U197*0.4-VLOOKUP(B184,INDIRECT($F$8),8+(O197-1)*3)&lt;=5,U197*0.4-VLOOKUP(B184,INDIRECT($F$8),8+(O197-1)*3),11),0))))</f>
        <v>0</v>
      </c>
      <c r="X197" s="1" t="str">
        <f ca="1">IF(ISERROR(F184),"",IF(W197=0,"",_xlfn.TEXTJOIN("",FALSE," G+",W197," in ",A197)))</f>
        <v/>
      </c>
    </row>
    <row r="198" spans="1:24" ht="11.5" customHeight="1" x14ac:dyDescent="0.2">
      <c r="A198" s="7" t="str">
        <f ca="1">IF(ISERROR(F184),"",VLOOKUP(C184,INDIRECT($F$8),6+(O198-1)*3,0))</f>
        <v>AHP 004</v>
      </c>
      <c r="B198" s="24" t="str">
        <f ca="1">IF(ISERROR(F184),"",VLOOKUP(D184,INDIRECT($F$8),6+(O198-1)*3-Z198,0))</f>
        <v>Emerging Technologies in Engineering Lab</v>
      </c>
      <c r="C198" s="24"/>
      <c r="D198" s="24"/>
      <c r="E198" s="24"/>
      <c r="F198" s="7">
        <f ca="1">IF(ISERROR(F184),"",VLOOKUP(E184,INDIRECT($F$8),6+(O198-1)*3,0))</f>
        <v>1</v>
      </c>
      <c r="G198" s="25" t="str">
        <f ca="1">IF(ISERROR(F184),"",_xlfn.TEXTJOIN("/",FALSE,P198,S198))</f>
        <v>22/25</v>
      </c>
      <c r="H198" s="25"/>
      <c r="I198" s="25" t="str">
        <f ca="1">IF(ISERROR(F184),"",_xlfn.TEXTJOIN("/",FALSE,Q198,T198))</f>
        <v>23/25</v>
      </c>
      <c r="J198" s="25"/>
      <c r="K198" s="25" t="str">
        <f ca="1">IF(ISERROR(F184),"",_xlfn.TEXTJOIN("/",FALSE,R198,U198))</f>
        <v>45/50</v>
      </c>
      <c r="L198" s="25"/>
      <c r="M198" s="7" t="str">
        <f ca="1">IF(ISERROR(F184),"",IF(ISTEXT(P198),IF(P198="A","Ab",IF(P198="D","Dt",IF(P198="UFM","UFM",IF(P198="NA","")))),IF(AND(ISBLANK(P198),ISBLANK(R198)),"",IF(P198&lt;0.3*S198,"F",IF(ISBLANK(R198),"",IF(ISTEXT(R198),R198,IF(R198&gt;=0.95*U198,"O",IF(R198&gt;=0.9*U198,"A+",IF(R198&gt;=0.85*U198,"A",IF(R198&gt;=0.8*U198,"B+",IF(R198&gt;=0.75*U198,"B",IF(R198&gt;=0.7*U198,"C+",IF(R198&gt;=0.65*U198,"C",IF(R198&gt;=0.6*U198,"D+",IF(R198&gt;=0.55*U198,"D",IF(R198&gt;=0.5*U198,"E+",IF(R198&gt;=0.45*U198,"E",IF(R198&gt;=0.4*U198,"P",IF(R198&lt;0.4*U198,"F",R198)))))))))))))))))))</f>
        <v>A+</v>
      </c>
      <c r="N198" s="8">
        <f t="shared" ca="1" si="17"/>
        <v>9.5</v>
      </c>
      <c r="O198">
        <f t="shared" ca="1" si="18"/>
        <v>11</v>
      </c>
      <c r="P198" s="1">
        <f ca="1">IF(ISERROR(F184),"",IF(ISTEXT(VLOOKUP(B184,INDIRECT($F$8),6+(O198-1)*3)),(VLOOKUP(B184,INDIRECT($F$8),6+(O198-1)*3)),SUM(VLOOKUP(B184,INDIRECT($F$8),6+(O198-1)*3),IF(W202,W198,0))))</f>
        <v>22</v>
      </c>
      <c r="Q198" s="1">
        <f ca="1">IF(ISERROR(F184),"",VLOOKUP(B184,INDIRECT($F$8),7+(O198-1)*3))</f>
        <v>23</v>
      </c>
      <c r="R198" s="1">
        <f ca="1">IF(ISERROR(F184),"",SUM(P198:Q198))</f>
        <v>45</v>
      </c>
      <c r="S198" s="1">
        <f ca="1">IF(ISERROR(F184),"",VLOOKUP(A184,INDIRECT($F$8),6+(O198-1)*3))</f>
        <v>25</v>
      </c>
      <c r="T198" s="1">
        <f ca="1">IF(ISERROR(F184),"",VLOOKUP(A184,INDIRECT($F$8),7+(O198-1)*3))</f>
        <v>25</v>
      </c>
      <c r="U198" s="1">
        <f ca="1">IF(ISERROR(F184),"",VLOOKUP(A184,INDIRECT($F$8),8+(O198-1)*3))</f>
        <v>50</v>
      </c>
      <c r="V198" s="1" t="str">
        <f ca="1">IF(ISERROR(F184),"",IF(N198=0,A198,""))</f>
        <v/>
      </c>
      <c r="W198" s="1">
        <f ca="1">IF(ISERROR(F184),"",IF(ISTEXT(VLOOKUP(B184,INDIRECT($F$8),6+(O198-1)*3)),11,IF(VLOOKUP(B184,INDIRECT($F$8),6+(O198-1)*3)&lt;S198*0.3,IF(VLOOKUP(B184,INDIRECT($F$8),8+(O198-1)*3)&lt;U198*0.4,IF(AND(0.4*U198-VLOOKUP(B184,INDIRECT($F$8),8+(O198-1)*3)&lt;=5,0.3*S198-VLOOKUP(B184,INDIRECT($F$8),6+(O198-1)*3)&lt;=5),MAX(0.4*U198-VLOOKUP(B184,INDIRECT($F$8),8+(O198-1)*3),0.3*S198-VLOOKUP(B184,INDIRECT($F$8),6+(O198-1)*3)),11),IF(0.3*S198-VLOOKUP(B184,INDIRECT($F$8),6+(O198-1)*3)&lt;=5,0.3*S198-VLOOKUP(B184,INDIRECT($F$8),6+(O198-1)*3),11)),IF(VLOOKUP(B184,INDIRECT($F$8),8+(O198-1)*3)&lt;U198*0.4,IF(U198*0.4-VLOOKUP(B184,INDIRECT($F$8),8+(O198-1)*3)&lt;=5,U198*0.4-VLOOKUP(B184,INDIRECT($F$8),8+(O198-1)*3),11),0))))</f>
        <v>0</v>
      </c>
      <c r="X198" s="1" t="str">
        <f ca="1">IF(ISERROR(F184),"",IF(W198=0,"",_xlfn.TEXTJOIN("",FALSE," G+",W198," in ",A198)))</f>
        <v/>
      </c>
    </row>
    <row r="199" spans="1:24" ht="11.5" customHeight="1" x14ac:dyDescent="0.2">
      <c r="A199" s="7" t="str">
        <f ca="1">IF(ISERROR(F184),"",VLOOKUP(C184,INDIRECT($F$8),6+(O199-1)*3,0))</f>
        <v>CSP 002</v>
      </c>
      <c r="B199" s="24" t="str">
        <f ca="1">IF(ISERROR(F184),"",VLOOKUP(D184,INDIRECT($F$8),6+(O199-1)*3,0))</f>
        <v>Computer Applications and IOT</v>
      </c>
      <c r="C199" s="24"/>
      <c r="D199" s="24"/>
      <c r="E199" s="24"/>
      <c r="F199" s="7">
        <f ca="1">IF(ISERROR(F184),"",VLOOKUP(E184,INDIRECT($F$8),6+(O199-1)*3,0))</f>
        <v>1</v>
      </c>
      <c r="G199" s="25" t="str">
        <f ca="1">IF(ISERROR(F184),"",_xlfn.TEXTJOIN("/",FALSE,P199,S199))</f>
        <v>23/25</v>
      </c>
      <c r="H199" s="25"/>
      <c r="I199" s="25" t="str">
        <f ca="1">IF(ISERROR(F184),"",_xlfn.TEXTJOIN("/",FALSE,Q199,T199))</f>
        <v>23/25</v>
      </c>
      <c r="J199" s="25"/>
      <c r="K199" s="25" t="str">
        <f ca="1">IF(ISERROR(F184),"",_xlfn.TEXTJOIN("/",FALSE,R199,U199))</f>
        <v>46/50</v>
      </c>
      <c r="L199" s="25"/>
      <c r="M199" s="7" t="str">
        <f ca="1">IF(ISERROR(F184),"",IF(ISTEXT(P199),IF(P199="A","Ab",IF(P199="D","Dt",IF(P199="UFM","UFM",IF(P199="NA","")))),IF(AND(ISBLANK(P199),ISBLANK(R199)),"",IF(P199&lt;0.3*S199,"F",IF(ISBLANK(R199),"",IF(ISTEXT(R199),R199,IF(R199&gt;=0.95*U199,"O",IF(R199&gt;=0.9*U199,"A+",IF(R199&gt;=0.85*U199,"A",IF(R199&gt;=0.8*U199,"B+",IF(R199&gt;=0.75*U199,"B",IF(R199&gt;=0.7*U199,"C+",IF(R199&gt;=0.65*U199,"C",IF(R199&gt;=0.6*U199,"D+",IF(R199&gt;=0.55*U199,"D",IF(R199&gt;=0.5*U199,"E+",IF(R199&gt;=0.45*U199,"E",IF(R199&gt;=0.4*U199,"P",IF(R199&lt;0.4*U199,"F",R199)))))))))))))))))))</f>
        <v>A+</v>
      </c>
      <c r="N199" s="8">
        <f t="shared" ca="1" si="17"/>
        <v>9.5</v>
      </c>
      <c r="O199">
        <f t="shared" ca="1" si="18"/>
        <v>12</v>
      </c>
      <c r="P199" s="1">
        <f ca="1">IF(ISERROR(F184),"",IF(ISTEXT(VLOOKUP(B184,INDIRECT($F$8),6+(O199-1)*3)),(VLOOKUP(B184,INDIRECT($F$8),6+(O199-1)*3)),SUM(VLOOKUP(B184,INDIRECT($F$8),6+(O199-1)*3),IF(W202,W199,0))))</f>
        <v>23</v>
      </c>
      <c r="Q199" s="1">
        <f ca="1">IF(ISERROR(F184),"",VLOOKUP(B184,INDIRECT($F$8),7+(O199-1)*3))</f>
        <v>23</v>
      </c>
      <c r="R199" s="1">
        <f ca="1">IF(ISERROR(F184),"",SUM(P199:Q199))</f>
        <v>46</v>
      </c>
      <c r="S199" s="1">
        <f ca="1">IF(ISERROR(F184),"",VLOOKUP(A184,INDIRECT($F$8),6+(O199-1)*3))</f>
        <v>25</v>
      </c>
      <c r="T199" s="1">
        <f ca="1">IF(ISERROR(F184),"",VLOOKUP(A184,INDIRECT($F$8),7+(O199-1)*3))</f>
        <v>25</v>
      </c>
      <c r="U199" s="1">
        <f ca="1">IF(ISERROR(F184),"",VLOOKUP(A184,INDIRECT($F$8),8+(O199-1)*3))</f>
        <v>50</v>
      </c>
      <c r="V199" s="1" t="str">
        <f ca="1">IF(ISERROR(F184),"",IF(N199=0,A199,""))</f>
        <v/>
      </c>
      <c r="W199" s="1">
        <f ca="1">IF(ISERROR(F184),"",IF(ISTEXT(VLOOKUP(B184,INDIRECT($F$8),6+(O199-1)*3)),11,IF(VLOOKUP(B184,INDIRECT($F$8),6+(O199-1)*3)&lt;S199*0.3,IF(VLOOKUP(B184,INDIRECT($F$8),8+(O199-1)*3)&lt;U199*0.4,IF(AND(0.4*U199-VLOOKUP(B184,INDIRECT($F$8),8+(O199-1)*3)&lt;=5,0.3*S199-VLOOKUP(B184,INDIRECT($F$8),6+(O199-1)*3)&lt;=5),MAX(0.4*U199-VLOOKUP(B184,INDIRECT($F$8),8+(O199-1)*3),0.3*S199-VLOOKUP(B184,INDIRECT($F$8),6+(O199-1)*3)),11),IF(0.3*S199-VLOOKUP(B184,INDIRECT($F$8),6+(O199-1)*3)&lt;=5,0.3*S199-VLOOKUP(B184,INDIRECT($F$8),6+(O199-1)*3),11)),IF(VLOOKUP(B184,INDIRECT($F$8),8+(O199-1)*3)&lt;U199*0.4,IF(U199*0.4-VLOOKUP(B184,INDIRECT($F$8),8+(O199-1)*3)&lt;=5,U199*0.4-VLOOKUP(B184,INDIRECT($F$8),8+(O199-1)*3),11),0))))</f>
        <v>0</v>
      </c>
      <c r="X199" s="1" t="str">
        <f ca="1">IF(ISERROR(F184),"",IF(W199=0,"",_xlfn.TEXTJOIN("",FALSE," G+",W199," in ",A199)))</f>
        <v/>
      </c>
    </row>
    <row r="200" spans="1:24" ht="11.5" customHeight="1" x14ac:dyDescent="0.2">
      <c r="A200" s="7" t="str">
        <f ca="1">IF(ISERROR(F184),"",VLOOKUP(C184,INDIRECT($F$8),6+(O200-1)*3,0))</f>
        <v>AHP 006</v>
      </c>
      <c r="B200" s="24" t="str">
        <f ca="1">IF(ISERROR(F184),"",VLOOKUP(D184,INDIRECT($F$8),6+(O200-1)*3,0))</f>
        <v>English Language Lab ($)</v>
      </c>
      <c r="C200" s="24"/>
      <c r="D200" s="24"/>
      <c r="E200" s="24"/>
      <c r="F200" s="7">
        <f ca="1">IF(ISERROR(F184),"",VLOOKUP(E184,INDIRECT($F$8),6+(O200-1)*3,0))</f>
        <v>0</v>
      </c>
      <c r="G200" s="25" t="str">
        <f ca="1">IF(ISERROR(F184),"",_xlfn.TEXTJOIN("/",FALSE,P200,S200))</f>
        <v>17/25</v>
      </c>
      <c r="H200" s="25"/>
      <c r="I200" s="25" t="str">
        <f ca="1">IF(ISERROR(F184),"",_xlfn.TEXTJOIN("/",FALSE,Q200,T200))</f>
        <v>33/50</v>
      </c>
      <c r="J200" s="25"/>
      <c r="K200" s="25" t="str">
        <f ca="1">IF(ISERROR(F184),"",_xlfn.TEXTJOIN("/",FALSE,R200,U200))</f>
        <v>50/75</v>
      </c>
      <c r="L200" s="25"/>
      <c r="M200" s="7" t="str">
        <f ca="1">IF(ISERROR(F184),"",IF(ISTEXT(P200),IF(P200="A","Ab",IF(P200="D","Dt",IF(P200="UFM","UFM",IF(P200="NA","")))),IF(AND(ISBLANK(P200),ISBLANK(R200)),"",IF(P200&lt;0.3*S200,"F",IF(ISBLANK(R200),"",IF(ISTEXT(R200),R200,IF(R200&gt;=0.95*U200,"O",IF(R200&gt;=0.9*U200,"A+",IF(R200&gt;=0.85*U200,"A",IF(R200&gt;=0.8*U200,"B+",IF(R200&gt;=0.75*U200,"B",IF(R200&gt;=0.7*U200,"C+",IF(R200&gt;=0.65*U200,"C",IF(R200&gt;=0.6*U200,"D+",IF(R200&gt;=0.55*U200,"D",IF(R200&gt;=0.5*U200,"E+",IF(R200&gt;=0.45*U200,"E",IF(R200&gt;=0.4*U200,"P",IF(R200&lt;0.4*U200,"F",R200)))))))))))))))))))</f>
        <v>C</v>
      </c>
      <c r="N200" s="8">
        <f ca="1">INDEX($Z$2:$Z$17,MATCH(M200,$Y$2:$Y$17,0))</f>
        <v>7</v>
      </c>
      <c r="O200">
        <f t="shared" ca="1" si="18"/>
        <v>13</v>
      </c>
      <c r="P200" s="1">
        <f ca="1">IF(ISERROR(F184),"",IF(ISTEXT(VLOOKUP(B184,INDIRECT($F$8),6+(O200-1)*3)),(VLOOKUP(B184,INDIRECT($F$8),6+(O200-1)*3)),SUM(VLOOKUP(B184,INDIRECT($F$8),6+(O200-1)*3),IF(W202,W200,0))))</f>
        <v>17</v>
      </c>
      <c r="Q200" s="1">
        <f ca="1">IF(ISERROR(F184),"",VLOOKUP(B184,INDIRECT($F$8),7+(O200-1)*3))</f>
        <v>33</v>
      </c>
      <c r="R200" s="1">
        <f ca="1">IF(ISERROR(F184),"",SUM(P200:Q200))</f>
        <v>50</v>
      </c>
      <c r="S200" s="1">
        <f ca="1">IF(ISERROR(F184),"",VLOOKUP(A184,INDIRECT($F$8),6+(O200-1)*3))</f>
        <v>25</v>
      </c>
      <c r="T200" s="1">
        <f ca="1">IF(ISERROR(F184),"",VLOOKUP(A184,INDIRECT($F$8),7+(O200-1)*3))</f>
        <v>50</v>
      </c>
      <c r="U200" s="1">
        <f ca="1">IF(ISERROR(F184),"",VLOOKUP(A184,INDIRECT($F$8),8+(O200-1)*3))</f>
        <v>75</v>
      </c>
      <c r="V200" s="1"/>
      <c r="W200" s="1">
        <f ca="1">IF(ISERROR(F184),"",IF(ISTEXT(VLOOKUP(B184,INDIRECT($F$8),6+(O200-1)*3)),11,IF(VLOOKUP(B184,INDIRECT($F$8),6+(O200-1)*3)&lt;S200*0.3,IF(VLOOKUP(B184,INDIRECT($F$8),8+(O200-1)*3)&lt;U200*0.4,IF(AND(0.4*U200-VLOOKUP(B184,INDIRECT($F$8),8+(O200-1)*3)&lt;=5,0.3*S200-VLOOKUP(B184,INDIRECT($F$8),6+(O200-1)*3)&lt;=5),MAX(0.4*U200-VLOOKUP(B184,INDIRECT($F$8),8+(O200-1)*3),0.3*S200-VLOOKUP(B184,INDIRECT($F$8),6+(O200-1)*3)),11),IF(0.3*S200-VLOOKUP(B184,INDIRECT($F$8),6+(O200-1)*3)&lt;=5,0.3*S200-VLOOKUP(B184,INDIRECT($F$8),6+(O200-1)*3),11)),IF(VLOOKUP(B184,INDIRECT($F$8),8+(O200-1)*3)&lt;U200*0.4,IF(U200*0.4-VLOOKUP(B184,INDIRECT($F$8),8+(O200-1)*3)&lt;=5,U200*0.4-VLOOKUP(B184,INDIRECT($F$8),8+(O200-1)*3),11),0))))</f>
        <v>0</v>
      </c>
      <c r="X200" s="1" t="str">
        <f ca="1">IF(ISERROR(F184),"",IF(W200=0,"",_xlfn.TEXTJOIN("",FALSE," G+",W200," in ",A200)))</f>
        <v/>
      </c>
    </row>
    <row r="201" spans="1:24" ht="11.5" customHeight="1" x14ac:dyDescent="0.2">
      <c r="A201" s="7" t="str">
        <f ca="1">IF(ISERROR(F184),"",VLOOKUP(C184,INDIRECT($F$8),6+(O201-1)*3-Y201,0))</f>
        <v>GP 01</v>
      </c>
      <c r="B201" s="24" t="str">
        <f ca="1">IF(ISERROR(F184),"",VLOOKUP(D184,INDIRECT($F$8),6+(O201-1)*3-Z201,0))</f>
        <v>General Proficiency ($)</v>
      </c>
      <c r="C201" s="24"/>
      <c r="D201" s="24"/>
      <c r="E201" s="24"/>
      <c r="F201" s="7">
        <f ca="1">IF(ISERROR(F184),"",VLOOKUP(E184,INDIRECT($F$8),6+(O201-1)*3-AA201,0))</f>
        <v>0</v>
      </c>
      <c r="G201" s="25" t="str">
        <f ca="1">IF(ISERROR(F184),"","-")</f>
        <v>-</v>
      </c>
      <c r="H201" s="25"/>
      <c r="I201" s="25" t="str">
        <f ca="1">IF(ISERROR(F184),"",_xlfn.TEXTJOIN("/",FALSE,Q201,T201))</f>
        <v>47/50</v>
      </c>
      <c r="J201" s="25"/>
      <c r="K201" s="25" t="str">
        <f ca="1">IF(ISERROR(F184),"",_xlfn.TEXTJOIN("/",FALSE,R201,U201))</f>
        <v>47/50</v>
      </c>
      <c r="L201" s="25"/>
      <c r="M201" s="25" t="str">
        <f ca="1">IF(ISBLANK(R201),"",IF(ISTEXT(R201),R201,IF(R201&gt;=0.8*U201,"Excellent",IF(R201&gt;=0.6*U201,"Very Good",IF(R201&gt;=0.4*U201,"Good",IF(R201&gt;=0.2*U201,"Satisfactory","Average"))))))</f>
        <v>Excellent</v>
      </c>
      <c r="N201" s="25"/>
      <c r="O201">
        <f t="shared" ca="1" si="18"/>
        <v>14</v>
      </c>
      <c r="P201" s="1">
        <f ca="1">IF(ISERROR(F184),"",IF(ISTEXT(VLOOKUP(B\28,INDIRECT($F$8),6+(O201-1)*3)),(VLOOKUP(B184,INDIRECT($F$8),6+(O201-1)*3)),SUM(VLOOKUP(B184,INDIRECT($F$8),6+(O201-1)*3),IF(W202,W202,0))))</f>
        <v>0</v>
      </c>
      <c r="Q201" s="1">
        <f ca="1">IF(ISERROR(F184),"",VLOOKUP(B184,INDIRECT($F$8),7+(O201-1)*3))</f>
        <v>47</v>
      </c>
      <c r="R201" s="1">
        <f ca="1">IF(ISERROR(F184),"",SUM(P201:Q201))</f>
        <v>47</v>
      </c>
      <c r="S201" s="1">
        <f ca="1">IF(ISERROR(F184),"",VLOOKUP(A184,INDIRECT($F$8),6+(O201-1)*3))</f>
        <v>0</v>
      </c>
      <c r="T201" s="1">
        <f ca="1">IF(ISERROR(F184),"",VLOOKUP(A184,INDIRECT($F$8),7+(O201-1)*3))</f>
        <v>50</v>
      </c>
      <c r="U201" s="1">
        <f ca="1">IF(ISERROR(F184),"",VLOOKUP(A184,INDIRECT($F$8),8+(O201-1)*3))</f>
        <v>50</v>
      </c>
      <c r="V201" s="1"/>
      <c r="W201" s="1"/>
      <c r="X201" s="1" t="str">
        <f ca="1">IF(ISERROR(F184),"",IF(W201=0,"",_xlfn.TEXTJOIN("",FALSE," G+",W201," in ",A201)))</f>
        <v/>
      </c>
    </row>
    <row r="202" spans="1:24" ht="11.5" customHeight="1" x14ac:dyDescent="0.2">
      <c r="A202" s="26" t="str">
        <f ca="1">IF(ISERROR(F184),"",A180)</f>
        <v>Total Credits/ Marks/ Total Grade Points</v>
      </c>
      <c r="B202" s="26"/>
      <c r="C202" s="26"/>
      <c r="D202" s="26"/>
      <c r="E202" s="26"/>
      <c r="F202" s="10">
        <f ca="1">IF(ISERROR(F184),"",SUM(F189:F200))</f>
        <v>23</v>
      </c>
      <c r="G202" s="27" t="str">
        <f ca="1">IF(ISERROR(F184),"",_xlfn.TEXTJOIN("/",TRUE,SUMIF(F189:F201,"&gt;0",P189:P201),SUMIF(F189:F201,"&gt;0",S189:S201)))</f>
        <v>311/575</v>
      </c>
      <c r="H202" s="27"/>
      <c r="I202" s="27" t="str">
        <f ca="1">IF(ISERROR(F184),"",_xlfn.TEXTJOIN("/",TRUE,SUMIF(F189:F201,"&gt;0",Q189:Q201),SUMIF(F189:F201,"&gt;0",T189:T201)))</f>
        <v>287/375</v>
      </c>
      <c r="J202" s="27"/>
      <c r="K202" s="27" t="str">
        <f ca="1">IF(ISERROR(F184),"",_xlfn.TEXTJOIN("/",TRUE,SUMIF(F189:F201,"&gt;0",R189:R201),SUMIF(F189:F201,"&gt;0",U189:U201)))</f>
        <v>598/950</v>
      </c>
      <c r="L202" s="27"/>
      <c r="M202" s="26">
        <f ca="1">IF(ISERROR(F184),"",SUMPRODUCT(N189:N200,F189:F200))</f>
        <v>132</v>
      </c>
      <c r="N202" s="26"/>
      <c r="V202" s="1" t="str">
        <f ca="1">_xlfn.TEXTJOIN(", ",TRUE,V189:V201)</f>
        <v>AHT 003</v>
      </c>
      <c r="W202" t="b">
        <f ca="1">IF(SUM(W189:W201)&lt;=W188,TRUE,FALSE)</f>
        <v>0</v>
      </c>
      <c r="X202" s="1" t="str">
        <f ca="1">IF(ISERROR(F184),"",_xlfn.TEXTJOIN(",",TRUE,X189:X201))</f>
        <v xml:space="preserve"> G+11 in AHT 003</v>
      </c>
    </row>
    <row r="203" spans="1:24" ht="11.5" customHeight="1" x14ac:dyDescent="0.2">
      <c r="A203" s="26" t="str">
        <f ca="1">IF(ISERROR(F184),"",A181)</f>
        <v>Result:</v>
      </c>
      <c r="B203" s="28" t="str" cm="1">
        <f t="array" aca="1" ref="B203" ca="1">IF(SUM(COUNTIF(M189:M200,{"Ab","Dt"}))=12, "Not Promoted to IInd Semester", IF(V202="", "PASS", "CARRY OVER"))</f>
        <v>CARRY OVER</v>
      </c>
      <c r="C203" s="28"/>
      <c r="D203" s="26" t="str">
        <f ca="1">IF(ISERROR(F184),"",D181)</f>
        <v>Remark:</v>
      </c>
      <c r="E203" s="28" t="str">
        <f ca="1">IF(ISERROR(F184),"",IF(V202="",IF(X202="","",X202),_xlfn.TEXTJOIN(" ",TRUE,"BACK IN",V202)))</f>
        <v>BACK IN AHT 003</v>
      </c>
      <c r="F203" s="28"/>
      <c r="G203" s="26" t="str">
        <f ca="1">IF(ISERROR(F184),"",G181)</f>
        <v>SGPA:</v>
      </c>
      <c r="H203" s="29">
        <f ca="1">IF(ISERROR(F184),"",M202/F202)</f>
        <v>5.7391304347826084</v>
      </c>
      <c r="I203" s="26" t="str">
        <f ca="1">IF(ISERROR(F184),"",I181)</f>
        <v>CGPA:</v>
      </c>
      <c r="J203" s="29">
        <f ca="1">IF(ISERROR(F184),"",VLOOKUP(B184,INDIRECT($F$8),12+(O201-1)*3,0))</f>
        <v>5.7391304347826084</v>
      </c>
      <c r="K203" s="28" t="str">
        <f ca="1">IF(ISERROR(F184),"",K181)</f>
        <v>Earned Credits:</v>
      </c>
      <c r="L203" s="26">
        <f ca="1">IF(ISERROR(F184),"",SUMIF(N189:N200,"&gt;0",F189:F200))</f>
        <v>19</v>
      </c>
      <c r="M203" s="28" t="str">
        <f ca="1">IF(ISERROR(F184),"",M181)</f>
        <v>Cuml. Earned Credits:</v>
      </c>
      <c r="N203" s="26">
        <f ca="1">IF(ISERROR(F184),"",VLOOKUP(B184,INDIRECT($F$8),10+(O201-1)*3,0))</f>
        <v>19</v>
      </c>
    </row>
    <row r="204" spans="1:24" ht="11.5" customHeight="1" x14ac:dyDescent="0.2">
      <c r="A204" s="26"/>
      <c r="B204" s="28"/>
      <c r="C204" s="28"/>
      <c r="D204" s="26"/>
      <c r="E204" s="28"/>
      <c r="F204" s="28"/>
      <c r="G204" s="26"/>
      <c r="H204" s="29"/>
      <c r="I204" s="26"/>
      <c r="J204" s="29"/>
      <c r="K204" s="28"/>
      <c r="L204" s="26"/>
      <c r="M204" s="28"/>
      <c r="N204" s="26"/>
    </row>
    <row r="205" spans="1:24" ht="19" customHeight="1" x14ac:dyDescent="0.2">
      <c r="A205" s="26"/>
      <c r="B205" s="28"/>
      <c r="C205" s="28"/>
      <c r="D205" s="26"/>
      <c r="E205" s="28"/>
      <c r="F205" s="28"/>
      <c r="G205" s="26"/>
      <c r="H205" s="29"/>
      <c r="I205" s="26"/>
      <c r="J205" s="29"/>
      <c r="K205" s="28"/>
      <c r="L205" s="26"/>
      <c r="M205" s="28"/>
      <c r="N205" s="26"/>
    </row>
    <row r="206" spans="1:24" ht="11.5" customHeight="1" x14ac:dyDescent="0.2">
      <c r="A206" s="11" t="str">
        <f>A184</f>
        <v>MM</v>
      </c>
      <c r="B206" s="11">
        <f>B184+1</f>
        <v>10</v>
      </c>
      <c r="C206" s="11" t="str">
        <f>C184</f>
        <v>SC</v>
      </c>
      <c r="D206" s="11" t="str">
        <f>D184</f>
        <v>SN</v>
      </c>
      <c r="E206" s="11" t="str">
        <f>E184</f>
        <v>C</v>
      </c>
      <c r="F206" s="11" t="str">
        <f ca="1">VLOOKUP(B206,INDIRECT($F$8),4,0)</f>
        <v>GAURAV SINGH KRISHALI</v>
      </c>
    </row>
    <row r="207" spans="1:24" ht="11.5" customHeight="1" x14ac:dyDescent="0.2">
      <c r="A207" s="30" t="str">
        <f ca="1">IF(ISERROR(F206),"",A185)</f>
        <v>Name:</v>
      </c>
      <c r="B207" s="30" t="str">
        <f ca="1">IFERROR(VLOOKUP(B206,INDIRECT($F$8),4,0),"")</f>
        <v>GAURAV SINGH KRISHALI</v>
      </c>
      <c r="C207" s="30"/>
      <c r="D207" s="30" t="str">
        <f ca="1">IF(ISERROR(F206),"",D185)</f>
        <v>Father's Name:</v>
      </c>
      <c r="E207" s="30" t="str">
        <f ca="1">IFERROR(VLOOKUP(B206,INDIRECT($F$8),5,0),"")</f>
        <v>SURENDRA SINGH KRISHALI</v>
      </c>
      <c r="F207" s="30"/>
      <c r="G207" s="30" t="str">
        <f ca="1">IF(ISERROR(F206),"",G185)</f>
        <v>University Roll No:</v>
      </c>
      <c r="H207" s="30"/>
      <c r="I207" s="31">
        <f ca="1">IFERROR(VLOOKUP(B206,INDIRECT($F$8),2,0),"")</f>
        <v>250090120010</v>
      </c>
      <c r="J207" s="31"/>
      <c r="K207" s="30" t="str">
        <f ca="1">IF(ISERROR(F206),"",K185)</f>
        <v>University Enrol. No:</v>
      </c>
      <c r="L207" s="30"/>
      <c r="M207" s="31" t="str">
        <f ca="1">IFERROR(VLOOKUP(B206,INDIRECT($F$8),3,0),"")</f>
        <v>UTU/2501103642</v>
      </c>
      <c r="N207" s="31"/>
    </row>
    <row r="208" spans="1:24" ht="11.5" customHeight="1" x14ac:dyDescent="0.2">
      <c r="A208" s="30"/>
      <c r="B208" s="30"/>
      <c r="C208" s="30"/>
      <c r="D208" s="30"/>
      <c r="E208" s="30"/>
      <c r="F208" s="30"/>
      <c r="G208" s="30"/>
      <c r="H208" s="30"/>
      <c r="I208" s="31"/>
      <c r="J208" s="31"/>
      <c r="K208" s="30"/>
      <c r="L208" s="30"/>
      <c r="M208" s="31"/>
      <c r="N208" s="31"/>
    </row>
    <row r="209" spans="1:24" ht="11.5" customHeight="1" x14ac:dyDescent="0.2">
      <c r="A209" s="28" t="str">
        <f ca="1">IF(ISERROR(F206),"",A187)</f>
        <v>Subject Code</v>
      </c>
      <c r="B209" s="28" t="str">
        <f ca="1">IF(ISERROR(F206),"",B187)</f>
        <v>Subject Name</v>
      </c>
      <c r="C209" s="28"/>
      <c r="D209" s="28"/>
      <c r="E209" s="28"/>
      <c r="F209" s="28" t="str">
        <f ca="1">IF(ISERROR(F206),"",F187)</f>
        <v>Credits</v>
      </c>
      <c r="G209" s="28" t="str">
        <f ca="1">IF(ISERROR(F206),"",G187)</f>
        <v>External Marks</v>
      </c>
      <c r="H209" s="28"/>
      <c r="I209" s="28" t="str">
        <f ca="1">IF(ISERROR(F206),"",I187)</f>
        <v>Sessional Marks</v>
      </c>
      <c r="J209" s="28"/>
      <c r="K209" s="28" t="str">
        <f ca="1">IF(ISERROR(F206),"",K187)</f>
        <v>Total Marks</v>
      </c>
      <c r="L209" s="28"/>
      <c r="M209" s="28" t="str">
        <f ca="1">IF(ISERROR(F206),"",M187)</f>
        <v>Grade</v>
      </c>
      <c r="N209" s="28" t="str">
        <f ca="1">IF(ISERROR(F206),"",N187)</f>
        <v>Grade Points</v>
      </c>
    </row>
    <row r="210" spans="1:24" ht="11.5" customHeight="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W210">
        <f ca="1">IF(ISNUMBER(MATCH($F$8,{"I","III","V","VII"},0)),10,10-INDEX(INDIRECT(_xlfn.TEXTJOIN("",TRUE,"SEM_",$G$8,"!",ADDRESS(6,4+$I$8*3+4),":",ADDRESS(5+$H$8,4+$I$8*3+4))),MATCH(INDIRECT(_xlfn.TEXTJOIN("",TRUE,"TC_",$F$8,"!",ADDRESS(ROW(I207),COLUMN(I207)))),INDIRECT(_xlfn.TEXTJOIN("",TRUE,"SEM_",$G$8,"!",ADDRESS(6,2),":",ADDRESS(5+$H$8,2))))))</f>
        <v>10</v>
      </c>
    </row>
    <row r="211" spans="1:24" ht="11.5" customHeight="1" x14ac:dyDescent="0.2">
      <c r="A211" s="7" t="str">
        <f ca="1">IF(ISERROR(F206),"",VLOOKUP(C206,INDIRECT($F$8),6+(O211-1)*3,0))</f>
        <v>AHT 002</v>
      </c>
      <c r="B211" s="24" t="str">
        <f ca="1">IF(ISERROR(F206),"",VLOOKUP(D206,INDIRECT($F$8),6+(O211-1)*3,0))</f>
        <v>Engineering Chemistry</v>
      </c>
      <c r="C211" s="24"/>
      <c r="D211" s="24"/>
      <c r="E211" s="24"/>
      <c r="F211" s="7">
        <f ca="1">IF(ISERROR(F206),"",VLOOKUP(E206,INDIRECT($F$8),6+(O211-1)*3,0))</f>
        <v>4</v>
      </c>
      <c r="G211" s="25" t="str">
        <f ca="1">IF(ISERROR(F206),"",_xlfn.TEXTJOIN("/",FALSE,P211,S211))</f>
        <v>55/100</v>
      </c>
      <c r="H211" s="25"/>
      <c r="I211" s="25" t="str">
        <f ca="1">IF(ISERROR(F206),"",_xlfn.TEXTJOIN("/",FALSE,Q211,T211))</f>
        <v>40/50</v>
      </c>
      <c r="J211" s="25"/>
      <c r="K211" s="25" t="str">
        <f ca="1">IF(ISERROR(F206),"",_xlfn.TEXTJOIN("/",FALSE,R211,U211))</f>
        <v>95/150</v>
      </c>
      <c r="L211" s="25"/>
      <c r="M211" s="7" t="str">
        <f ca="1">IF(ISERROR(F206)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D+</v>
      </c>
      <c r="N211" s="8">
        <f ca="1">INDEX($Z$2:$Z$17,MATCH(M211,$Y$2:$Y$17,0))</f>
        <v>6.5</v>
      </c>
      <c r="O211">
        <v>1</v>
      </c>
      <c r="P211" s="1">
        <f ca="1">IF(ISERROR(F206),"",IF(ISTEXT(VLOOKUP(B206,INDIRECT($F$8),6+(O211-1)*3)),(VLOOKUP(B206,INDIRECT($F$8),6+(O211-1)*3)),SUM(VLOOKUP(B206,INDIRECT($F$8),6+(O211-1)*3),IF(W224,W211,0))))</f>
        <v>55</v>
      </c>
      <c r="Q211" s="1">
        <f ca="1">IF(ISERROR(F206),"",VLOOKUP(B206,INDIRECT($F$8),7+(O211-1)*3))</f>
        <v>40</v>
      </c>
      <c r="R211" s="1">
        <f ca="1">IF(ISERROR(F206),"",SUM(P211:Q211))</f>
        <v>95</v>
      </c>
      <c r="S211" s="1">
        <f ca="1">IF(ISERROR(F206),"",VLOOKUP(A206,INDIRECT($F$8),6+(O211-1)*3))</f>
        <v>100</v>
      </c>
      <c r="T211" s="1">
        <f ca="1">IF(ISERROR(F206),"",VLOOKUP(A206,INDIRECT($F$8),7+(O211-1)*3))</f>
        <v>50</v>
      </c>
      <c r="U211" s="1">
        <f ca="1">IF(ISERROR(F206),"",VLOOKUP(A206,INDIRECT($F$8),8+(O211-1)*3))</f>
        <v>150</v>
      </c>
      <c r="V211" s="1" t="str">
        <f ca="1">IF(ISERROR(F206),"",IF(N211=0,A211,""))</f>
        <v/>
      </c>
      <c r="W211" s="1">
        <f ca="1">IF(ISERROR(F206),"",IF(ISTEXT(VLOOKUP(B206,INDIRECT($F$8),6+(O211-1)*3)),11,IF(VLOOKUP(B206,INDIRECT($F$8),6+(O211-1)*3)&lt;S211*0.3,IF(VLOOKUP(B206,INDIRECT($F$8),8+(O211-1)*3)&lt;U211*0.4,IF(AND(0.4*U211-VLOOKUP(B206,INDIRECT($F$8),8+(O211-1)*3)&lt;=5,0.3*S211-VLOOKUP(B206,INDIRECT($F$8),6+(O211-1)*3)&lt;=5),MAX(0.4*U211-VLOOKUP(B206,INDIRECT($F$8),8+(O211-1)*3),0.3*S211-VLOOKUP(B206,INDIRECT($F$8),6+(O211-1)*3)),11),IF(0.3*S211-VLOOKUP(B206,INDIRECT($F$8),6+(O211-1)*3)&lt;=5,0.3*S211-VLOOKUP(B206,INDIRECT($F$8),6+(O211-1)*3),11)),IF(VLOOKUP(B206,INDIRECT($F$8),8+(O211-1)*3)&lt;U211*0.4,IF(U211*0.4-VLOOKUP(B206,INDIRECT($F$8),8+(O211-1)*3)&lt;=5,U211*0.4-VLOOKUP(B206,INDIRECT($F$8),8+(O211-1)*3),11),0))))</f>
        <v>0</v>
      </c>
      <c r="X211" s="1" t="str">
        <f ca="1">IF(ISERROR(F206),"",IF(W211=0,"",_xlfn.TEXTJOIN("",FALSE," G+",W211," in ",A211)))</f>
        <v/>
      </c>
    </row>
    <row r="212" spans="1:24" ht="11.5" customHeight="1" x14ac:dyDescent="0.2">
      <c r="A212" s="7" t="str">
        <f ca="1">IF(ISERROR(F206),"",VLOOKUP(C206,INDIRECT($F$8),6+(O212-1)*3,0))</f>
        <v>AHT 003</v>
      </c>
      <c r="B212" s="24" t="str">
        <f ca="1">IF(ISERROR(F206),"",VLOOKUP(D206,INDIRECT($F$8),6+(O212-1)*3,0))</f>
        <v>Introduction to Engineering Mathematics</v>
      </c>
      <c r="C212" s="24"/>
      <c r="D212" s="24"/>
      <c r="E212" s="24"/>
      <c r="F212" s="7">
        <f ca="1">IF(ISERROR(F206),"",VLOOKUP(E206,INDIRECT($F$8),6+(O212-1)*3,0))</f>
        <v>4</v>
      </c>
      <c r="G212" s="25" t="str">
        <f ca="1">IF(ISERROR(F206),"",_xlfn.TEXTJOIN("/",FALSE,P212,S212))</f>
        <v>48/100</v>
      </c>
      <c r="H212" s="25"/>
      <c r="I212" s="25" t="str">
        <f ca="1">IF(ISERROR(F206),"",_xlfn.TEXTJOIN("/",FALSE,Q212,T212))</f>
        <v>29/50</v>
      </c>
      <c r="J212" s="25"/>
      <c r="K212" s="25" t="str">
        <f ca="1">IF(ISERROR(F206),"",_xlfn.TEXTJOIN("/",FALSE,R212,U212))</f>
        <v>77/150</v>
      </c>
      <c r="L212" s="25"/>
      <c r="M212" s="7" t="str">
        <f ca="1">IF(ISERROR(F206)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E+</v>
      </c>
      <c r="N212" s="8">
        <f t="shared" ref="N212:N221" ca="1" si="19">INDEX($Z$2:$Z$17,MATCH(M212,$Y$2:$Y$17,0))</f>
        <v>5.5</v>
      </c>
      <c r="O212">
        <f>O211+1</f>
        <v>2</v>
      </c>
      <c r="P212" s="1">
        <f ca="1">IF(ISERROR(F206),"",IF(ISTEXT(VLOOKUP(B206,INDIRECT($F$8),6+(O212-1)*3)),(VLOOKUP(B206,INDIRECT($F$8),6+(O212-1)*3)),SUM(VLOOKUP(B206,INDIRECT($F$8),6+(O212-1)*3),IF(W224,W212,0))))</f>
        <v>48</v>
      </c>
      <c r="Q212" s="1">
        <f ca="1">IF(ISERROR(F206),"",VLOOKUP(B206,INDIRECT($F$8),7+(O212-1)*3))</f>
        <v>29</v>
      </c>
      <c r="R212" s="1">
        <f ca="1">IF(ISERROR(F206),"",SUM(P212:Q212))</f>
        <v>77</v>
      </c>
      <c r="S212" s="1">
        <f ca="1">IF(ISERROR(F206),"",VLOOKUP(A206,INDIRECT($F$8),6+(O212-1)*3))</f>
        <v>100</v>
      </c>
      <c r="T212" s="1">
        <f ca="1">IF(ISERROR(F206),"",VLOOKUP(A206,INDIRECT($F$8),7+(O212-1)*3))</f>
        <v>50</v>
      </c>
      <c r="U212" s="1">
        <f ca="1">IF(ISERROR(F206),"",VLOOKUP(A206,INDIRECT($F$8),8+(O212-1)*3))</f>
        <v>150</v>
      </c>
      <c r="V212" s="1" t="str">
        <f ca="1">IF(ISERROR(F206),"",IF(N212=0,A212,""))</f>
        <v/>
      </c>
      <c r="W212" s="1">
        <f ca="1">IF(ISERROR(F206),"",IF(ISTEXT(VLOOKUP(B206,INDIRECT($F$8),6+(O212-1)*3)),11,IF(VLOOKUP(B206,INDIRECT($F$8),6+(O212-1)*3)&lt;S212*0.3,IF(VLOOKUP(B206,INDIRECT($F$8),8+(O212-1)*3)&lt;U212*0.4,IF(AND(0.4*U212-VLOOKUP(B206,INDIRECT($F$8),8+(O212-1)*3)&lt;=5,0.3*S212-VLOOKUP(B206,INDIRECT($F$8),6+(O212-1)*3)&lt;=5),MAX(0.4*U212-VLOOKUP(B206,INDIRECT($F$8),8+(O212-1)*3),0.3*S212-VLOOKUP(B206,INDIRECT($F$8),6+(O212-1)*3)),11),IF(0.3*S212-VLOOKUP(B206,INDIRECT($F$8),6+(O212-1)*3)&lt;=5,0.3*S212-VLOOKUP(B206,INDIRECT($F$8),6+(O212-1)*3),11)),IF(VLOOKUP(B206,INDIRECT($F$8),8+(O212-1)*3)&lt;U212*0.4,IF(U212*0.4-VLOOKUP(B206,INDIRECT($F$8),8+(O212-1)*3)&lt;=5,U212*0.4-VLOOKUP(B206,INDIRECT($F$8),8+(O212-1)*3),11),0))))</f>
        <v>0</v>
      </c>
      <c r="X212" s="1" t="str">
        <f ca="1">IF(ISERROR(F206),"",IF(W212=0,"",_xlfn.TEXTJOIN("",FALSE," G+",W212," in ",A212)))</f>
        <v/>
      </c>
    </row>
    <row r="213" spans="1:24" ht="11.5" customHeight="1" x14ac:dyDescent="0.2">
      <c r="A213" s="7" t="str">
        <f ca="1">IF(ISERROR(F206),"",VLOOKUP(C206,INDIRECT($F$8),6+(O213-1)*3,0))</f>
        <v>ECT 001</v>
      </c>
      <c r="B213" s="24" t="str">
        <f ca="1">IF(ISERROR(F206),"",VLOOKUP(D206,INDIRECT($F$8),6+(O213-1)*3,0))</f>
        <v>Basic Electronics Engineering</v>
      </c>
      <c r="C213" s="24"/>
      <c r="D213" s="24"/>
      <c r="E213" s="24"/>
      <c r="F213" s="7">
        <f ca="1">IF(ISERROR(F206),"",VLOOKUP(E206,INDIRECT($F$8),6+(O213-1)*3,0))</f>
        <v>4</v>
      </c>
      <c r="G213" s="25" t="str">
        <f ca="1">IF(ISERROR(F206),"",_xlfn.TEXTJOIN("/",FALSE,P213,S213))</f>
        <v>66/100</v>
      </c>
      <c r="H213" s="25"/>
      <c r="I213" s="25" t="str">
        <f ca="1">IF(ISERROR(F206),"",_xlfn.TEXTJOIN("/",FALSE,Q213,T213))</f>
        <v>42/50</v>
      </c>
      <c r="J213" s="25"/>
      <c r="K213" s="25" t="str">
        <f ca="1">IF(ISERROR(F206),"",_xlfn.TEXTJOIN("/",FALSE,R213,U213))</f>
        <v>108/150</v>
      </c>
      <c r="L213" s="25"/>
      <c r="M213" s="7" t="str">
        <f ca="1">IF(ISERROR(F206),"",IF(ISTEXT(P213),IF(P213="A","Ab",IF(P213="D","Dt",IF(P213="UFM","UFM",IF(P213="NA","")))),IF(AND(ISBLANK(P213),ISBLANK(R213)),"",IF(P213&lt;0.3*S213,"F",IF(ISBLANK(R213),"",IF(ISTEXT(R213),R213,IF(R213&gt;=0.95*U213,"O",IF(R213&gt;=0.9*U213,"A+",IF(R213&gt;=0.85*U213,"A",IF(R213&gt;=0.8*U213,"B+",IF(R213&gt;=0.75*U213,"B",IF(R213&gt;=0.7*U213,"C+",IF(R213&gt;=0.65*U213,"C",IF(R213&gt;=0.6*U213,"D+",IF(R213&gt;=0.55*U213,"D",IF(R213&gt;=0.5*U213,"E+",IF(R213&gt;=0.45*U213,"E",IF(R213&gt;=0.4*U213,"P",IF(R213&lt;0.4*U213,"F",R213)))))))))))))))))))</f>
        <v>C+</v>
      </c>
      <c r="N213" s="8">
        <f t="shared" ca="1" si="19"/>
        <v>7.5</v>
      </c>
      <c r="O213">
        <f>O212+1</f>
        <v>3</v>
      </c>
      <c r="P213" s="1">
        <f ca="1">IF(ISERROR(F206),"",IF(ISTEXT(VLOOKUP(B206,INDIRECT($F$8),6+(O213-1)*3)),(VLOOKUP(B206,INDIRECT($F$8),6+(O213-1)*3)),SUM(VLOOKUP(B206,INDIRECT($F$8),6+(O213-1)*3),IF(W224,W213,0))))</f>
        <v>66</v>
      </c>
      <c r="Q213" s="1">
        <f ca="1">IF(ISERROR(F206),"",VLOOKUP(B206,INDIRECT($F$8),7+(O213-1)*3))</f>
        <v>42</v>
      </c>
      <c r="R213" s="1">
        <f ca="1">IF(ISERROR(F206),"",SUM(P213:Q213))</f>
        <v>108</v>
      </c>
      <c r="S213" s="1">
        <f ca="1">IF(ISERROR(F206),"",VLOOKUP(A206,INDIRECT($F$8),6+(O213-1)*3))</f>
        <v>100</v>
      </c>
      <c r="T213" s="1">
        <f ca="1">IF(ISERROR(F206),"",VLOOKUP(A206,INDIRECT($F$8),7+(O213-1)*3))</f>
        <v>50</v>
      </c>
      <c r="U213" s="1">
        <f ca="1">IF(ISERROR(F206),"",VLOOKUP(A206,INDIRECT($F$8),8+(O213-1)*3))</f>
        <v>150</v>
      </c>
      <c r="V213" s="1" t="str">
        <f ca="1">IF(ISERROR(F206),"",IF(N213=0,A213,""))</f>
        <v/>
      </c>
      <c r="W213" s="1">
        <f ca="1">IF(ISERROR(F206),"",IF(ISTEXT(VLOOKUP(B206,INDIRECT($F$8),6+(O213-1)*3)),11,IF(VLOOKUP(B206,INDIRECT($F$8),6+(O213-1)*3)&lt;S213*0.3,IF(VLOOKUP(B206,INDIRECT($F$8),8+(O213-1)*3)&lt;U213*0.4,IF(AND(0.4*U213-VLOOKUP(B206,INDIRECT($F$8),8+(O213-1)*3)&lt;=5,0.3*S213-VLOOKUP(B206,INDIRECT($F$8),6+(O213-1)*3)&lt;=5),MAX(0.4*U213-VLOOKUP(B206,INDIRECT($F$8),8+(O213-1)*3),0.3*S213-VLOOKUP(B206,INDIRECT($F$8),6+(O213-1)*3)),11),IF(0.3*S213-VLOOKUP(B206,INDIRECT($F$8),6+(O213-1)*3)&lt;=5,0.3*S213-VLOOKUP(B206,INDIRECT($F$8),6+(O213-1)*3),11)),IF(VLOOKUP(B206,INDIRECT($F$8),8+(O213-1)*3)&lt;U213*0.4,IF(U213*0.4-VLOOKUP(B206,INDIRECT($F$8),8+(O213-1)*3)&lt;=5,U213*0.4-VLOOKUP(B206,INDIRECT($F$8),8+(O213-1)*3),11),0))))</f>
        <v>0</v>
      </c>
      <c r="X213" s="1" t="str">
        <f ca="1">IF(ISERROR(F206),"",IF(W213=0,"",_xlfn.TEXTJOIN("",FALSE," G+",W213," in ",A213)))</f>
        <v/>
      </c>
    </row>
    <row r="214" spans="1:24" ht="11.5" customHeight="1" x14ac:dyDescent="0.2">
      <c r="A214" s="7" t="str">
        <f ca="1">IF(ISERROR(F206),"",VLOOKUP(C206,INDIRECT($F$8),6+(O214-1)*3,0))</f>
        <v>MET 001</v>
      </c>
      <c r="B214" s="24" t="str">
        <f ca="1">IF(ISERROR(F206),"",VLOOKUP(D206,INDIRECT($F$8),6+(O214-1)*3,0))</f>
        <v>Basic Mechanical Engineering</v>
      </c>
      <c r="C214" s="24"/>
      <c r="D214" s="24"/>
      <c r="E214" s="24"/>
      <c r="F214" s="7">
        <f ca="1">IF(ISERROR(F206),"",VLOOKUP(E206,INDIRECT($F$8),6+(O214-1)*3,0))</f>
        <v>4</v>
      </c>
      <c r="G214" s="25" t="str">
        <f ca="1">IF(ISERROR(F206),"",_xlfn.TEXTJOIN("/",FALSE,P214,S214))</f>
        <v>48/100</v>
      </c>
      <c r="H214" s="25"/>
      <c r="I214" s="25" t="str">
        <f ca="1">IF(ISERROR(F206),"",_xlfn.TEXTJOIN("/",FALSE,Q214,T214))</f>
        <v>43/50</v>
      </c>
      <c r="J214" s="25"/>
      <c r="K214" s="25" t="str">
        <f ca="1">IF(ISERROR(F206),"",_xlfn.TEXTJOIN("/",FALSE,R214,U214))</f>
        <v>91/150</v>
      </c>
      <c r="L214" s="25"/>
      <c r="M214" s="7" t="str">
        <f ca="1">IF(ISERROR(F206),"",IF(ISTEXT(P214),IF(P214="A","Ab",IF(P214="D","Dt",IF(P214="UFM","UFM",IF(P214="NA","")))),IF(AND(ISBLANK(P214),ISBLANK(R214)),"",IF(P214&lt;0.3*S214,"F",IF(ISBLANK(R214),"",IF(ISTEXT(R214),R214,IF(R214&gt;=0.95*U214,"O",IF(R214&gt;=0.9*U214,"A+",IF(R214&gt;=0.85*U214,"A",IF(R214&gt;=0.8*U214,"B+",IF(R214&gt;=0.75*U214,"B",IF(R214&gt;=0.7*U214,"C+",IF(R214&gt;=0.65*U214,"C",IF(R214&gt;=0.6*U214,"D+",IF(R214&gt;=0.55*U214,"D",IF(R214&gt;=0.5*U214,"E+",IF(R214&gt;=0.45*U214,"E",IF(R214&gt;=0.4*U214,"P",IF(R214&lt;0.4*U214,"F",R214)))))))))))))))))))</f>
        <v>D+</v>
      </c>
      <c r="N214" s="8">
        <f t="shared" ca="1" si="19"/>
        <v>6.5</v>
      </c>
      <c r="O214">
        <f>O213+1</f>
        <v>4</v>
      </c>
      <c r="P214" s="1">
        <f ca="1">IF(ISERROR(F206),"",IF(ISTEXT(VLOOKUP(B206,INDIRECT($F$8),6+(O214-1)*3)),(VLOOKUP(B206,INDIRECT($F$8),6+(O214-1)*3)),SUM(VLOOKUP(B206,INDIRECT($F$8),6+(O214-1)*3),IF(W224,W214,0))))</f>
        <v>48</v>
      </c>
      <c r="Q214" s="1">
        <f ca="1">IF(ISERROR(F206),"",VLOOKUP(B206,INDIRECT($F$8),7+(O214-1)*3))</f>
        <v>43</v>
      </c>
      <c r="R214" s="1">
        <f ca="1">IF(ISERROR(F206),"",SUM(P214:Q214))</f>
        <v>91</v>
      </c>
      <c r="S214" s="1">
        <f ca="1">IF(ISERROR(F206),"",VLOOKUP(A206,INDIRECT($F$8),6+(O214-1)*3))</f>
        <v>100</v>
      </c>
      <c r="T214" s="1">
        <f ca="1">IF(ISERROR(F206),"",VLOOKUP(A206,INDIRECT($F$8),7+(O214-1)*3))</f>
        <v>50</v>
      </c>
      <c r="U214" s="1">
        <f ca="1">IF(ISERROR(F206),"",VLOOKUP(A206,INDIRECT($F$8),8+(O214-1)*3))</f>
        <v>150</v>
      </c>
      <c r="V214" s="1" t="str">
        <f ca="1">IF(ISERROR(F206),"",IF(N214=0,A214,""))</f>
        <v/>
      </c>
      <c r="W214" s="1">
        <f ca="1">IF(ISERROR(F206),"",IF(ISTEXT(VLOOKUP(B206,INDIRECT($F$8),6+(O214-1)*3)),11,IF(VLOOKUP(B206,INDIRECT($F$8),6+(O214-1)*3)&lt;S214*0.3,IF(VLOOKUP(B206,INDIRECT($F$8),8+(O214-1)*3)&lt;U214*0.4,IF(AND(0.4*U214-VLOOKUP(B206,INDIRECT($F$8),8+(O214-1)*3)&lt;=5,0.3*S214-VLOOKUP(B206,INDIRECT($F$8),6+(O214-1)*3)&lt;=5),MAX(0.4*U214-VLOOKUP(B206,INDIRECT($F$8),8+(O214-1)*3),0.3*S214-VLOOKUP(B206,INDIRECT($F$8),6+(O214-1)*3)),11),IF(0.3*S214-VLOOKUP(B206,INDIRECT($F$8),6+(O214-1)*3)&lt;=5,0.3*S214-VLOOKUP(B206,INDIRECT($F$8),6+(O214-1)*3),11)),IF(VLOOKUP(B206,INDIRECT($F$8),8+(O214-1)*3)&lt;U214*0.4,IF(U214*0.4-VLOOKUP(B206,INDIRECT($F$8),8+(O214-1)*3)&lt;=5,U214*0.4-VLOOKUP(B206,INDIRECT($F$8),8+(O214-1)*3),11),0))))</f>
        <v>0</v>
      </c>
      <c r="X214" s="1" t="str">
        <f ca="1">IF(ISERROR(F206),"",IF(W214=0,"",_xlfn.TEXTJOIN("",FALSE," G+",W214," in ",A214)))</f>
        <v/>
      </c>
    </row>
    <row r="215" spans="1:24" ht="11.5" customHeight="1" x14ac:dyDescent="0.2">
      <c r="A215" s="7" t="str">
        <f ca="1">IF(ISERROR(F206),"",VLOOKUP(C206,INDIRECT($F$8),6+(O215-1)*3,0))</f>
        <v>BTT 001</v>
      </c>
      <c r="B215" s="24" t="str">
        <f ca="1">IF(ISERROR(F206),"",VLOOKUP(D206,INDIRECT($F$8),6+(O215-1)*3,0))</f>
        <v>Biology for Engineers (Bridge Course) ($)</v>
      </c>
      <c r="C215" s="24"/>
      <c r="D215" s="24"/>
      <c r="E215" s="24"/>
      <c r="F215" s="7">
        <f ca="1">IF(ISERROR(F206),"",VLOOKUP(E206,INDIRECT($F$8),6+(O215-1)*3,0))</f>
        <v>0</v>
      </c>
      <c r="G215" s="25" t="str">
        <f ca="1">IF(ISERROR(F206),"",_xlfn.TEXTJOIN("/",FALSE,P215,S215))</f>
        <v>61/100</v>
      </c>
      <c r="H215" s="25"/>
      <c r="I215" s="25" t="str">
        <f ca="1">IF(ISERROR(F206),"",_xlfn.TEXTJOIN("/",FALSE,Q215,T215))</f>
        <v>33/50</v>
      </c>
      <c r="J215" s="25"/>
      <c r="K215" s="25" t="str">
        <f ca="1">IF(ISERROR(F206),"",_xlfn.TEXTJOIN("/",FALSE,R215,U215))</f>
        <v>94/150</v>
      </c>
      <c r="L215" s="25"/>
      <c r="M215" s="7" t="str">
        <f ca="1">IF(ISERROR(F206),"",IF(ISTEXT(P215),IF(P215="A","Ab",IF(P215="D","Dt",IF(P215="UFM","UFM",IF(P215="NA","")))),IF(AND(ISBLANK(P215),ISBLANK(R215)),"",IF(P215&lt;0.3*S215,"F",IF(ISBLANK(R215),"",IF(ISTEXT(R215),R215,IF(R215&gt;=0.95*U215,"O",IF(R215&gt;=0.9*U215,"A+",IF(R215&gt;=0.85*U215,"A",IF(R215&gt;=0.8*U215,"B+",IF(R215&gt;=0.75*U215,"B",IF(R215&gt;=0.7*U215,"C+",IF(R215&gt;=0.65*U215,"C",IF(R215&gt;=0.6*U215,"D+",IF(R215&gt;=0.55*U215,"D",IF(R215&gt;=0.5*U215,"E+",IF(R215&gt;=0.45*U215,"E",IF(R215&gt;=0.4*U215,"P",IF(R215&lt;0.4*U215,"F",R215)))))))))))))))))))</f>
        <v>D+</v>
      </c>
      <c r="N215" s="8">
        <f t="shared" ca="1" si="19"/>
        <v>6.5</v>
      </c>
      <c r="O215" cm="1">
        <f t="array" aca="1" ref="O215" ca="1">IF(NOT(ISBLANK(INDIRECT("SEM_I!R"&amp;INT((ROW(O215)-17)/22)+6))),5,
IF(NOT(ISBLANK(INDIRECT("SEM_I!U"&amp;INT((ROW(O215)-17)/22)+6))),6))</f>
        <v>6</v>
      </c>
      <c r="P215" s="1">
        <f ca="1">IF(ISERROR(F206),"",IF(ISTEXT(VLOOKUP(B206,INDIRECT($F$8),6+(O215-1)*3)),(VLOOKUP(B206,INDIRECT($F$8),6+(O215-1)*3)),SUM(VLOOKUP(B206,INDIRECT($F$8),6+(O215-1)*3),IF(W224,W215,0))))</f>
        <v>61</v>
      </c>
      <c r="Q215" s="1">
        <f ca="1">IF(ISERROR(F206),"",VLOOKUP(B206,INDIRECT($F$8),7+(O215-1)*3))</f>
        <v>33</v>
      </c>
      <c r="R215" s="1">
        <f ca="1">IF(ISERROR(F206),"",SUM(P215:Q215))</f>
        <v>94</v>
      </c>
      <c r="S215" s="1">
        <f ca="1">IF(ISERROR(F206),"",VLOOKUP(A206,INDIRECT($F$8),6+(O215-1)*3))</f>
        <v>100</v>
      </c>
      <c r="T215" s="1">
        <f ca="1">IF(ISERROR(F206),"",VLOOKUP(A206,INDIRECT($F$8),7+(O215-1)*3))</f>
        <v>50</v>
      </c>
      <c r="U215" s="1">
        <f ca="1">IF(ISERROR(F206),"",VLOOKUP(A206,INDIRECT($F$8),8+(O215-1)*3))</f>
        <v>150</v>
      </c>
      <c r="V215" s="1" t="str">
        <f ca="1">IF(ISERROR(F206),"",IF(N215=0,A215,""))</f>
        <v/>
      </c>
      <c r="W215" s="1">
        <f ca="1">IF(ISERROR(F206),"",IF(ISTEXT(VLOOKUP(B206,INDIRECT($F$8),6+(O215-1)*3)),11,IF(VLOOKUP(B206,INDIRECT($F$8),6+(O215-1)*3)&lt;S215*0.3,IF(VLOOKUP(B206,INDIRECT($F$8),8+(O215-1)*3)&lt;U215*0.4,IF(AND(0.4*U215-VLOOKUP(B206,INDIRECT($F$8),8+(O215-1)*3)&lt;=5,0.3*S215-VLOOKUP(B206,INDIRECT($F$8),6+(O215-1)*3)&lt;=5),MAX(0.4*U215-VLOOKUP(B206,INDIRECT($F$8),8+(O215-1)*3),0.3*S215-VLOOKUP(B206,INDIRECT($F$8),6+(O215-1)*3)),11),IF(0.3*S215-VLOOKUP(B206,INDIRECT($F$8),6+(O215-1)*3)&lt;=5,0.3*S215-VLOOKUP(B206,INDIRECT($F$8),6+(O215-1)*3),11)),IF(VLOOKUP(B206,INDIRECT($F$8),8+(O215-1)*3)&lt;U215*0.4,IF(U215*0.4-VLOOKUP(B206,INDIRECT($F$8),8+(O215-1)*3)&lt;=5,U215*0.4-VLOOKUP(B206,INDIRECT($F$8),8+(O215-1)*3),11),0))))</f>
        <v>0</v>
      </c>
      <c r="X215" s="1" t="str">
        <f ca="1">IF(ISERROR(F206),"",IF(W215=0,"",_xlfn.TEXTJOIN("",FALSE," G+",W215," in ",A215)))</f>
        <v/>
      </c>
    </row>
    <row r="216" spans="1:24" ht="11.5" customHeight="1" x14ac:dyDescent="0.2">
      <c r="A216" s="7" t="str">
        <f ca="1">IF(ISERROR(F206),"",VLOOKUP(C206,INDIRECT($F$8),6+(O216-1)*3,0))</f>
        <v>AHP 002</v>
      </c>
      <c r="B216" s="24" t="str">
        <f ca="1">IF(ISERROR(F206),"",VLOOKUP(D206,INDIRECT($F$8),6+(O216-1)*3,0))</f>
        <v>Engineering Chemistry Lab</v>
      </c>
      <c r="C216" s="24"/>
      <c r="D216" s="24"/>
      <c r="E216" s="24"/>
      <c r="F216" s="7">
        <f ca="1">IF(ISERROR(F206),"",VLOOKUP(E206,INDIRECT($F$8),6+(O216-1)*3,0))</f>
        <v>1</v>
      </c>
      <c r="G216" s="25" t="str">
        <f ca="1">IF(ISERROR(F206),"",_xlfn.TEXTJOIN("/",FALSE,P216,S216))</f>
        <v>17/25</v>
      </c>
      <c r="H216" s="25"/>
      <c r="I216" s="25" t="str">
        <f ca="1">IF(ISERROR(F206),"",_xlfn.TEXTJOIN("/",FALSE,Q216,T216))</f>
        <v>18/25</v>
      </c>
      <c r="J216" s="25"/>
      <c r="K216" s="25" t="str">
        <f ca="1">IF(ISERROR(F206),"",_xlfn.TEXTJOIN("/",FALSE,R216,U216))</f>
        <v>35/50</v>
      </c>
      <c r="L216" s="25"/>
      <c r="M216" s="7" t="str">
        <f ca="1">IF(ISERROR(F206),"",IF(ISTEXT(P216),IF(P216="A","Ab",IF(P216="D","Dt",IF(P216="UFM","UFM",IF(P216="NA","")))),IF(AND(ISBLANK(P216),ISBLANK(R216)),"",IF(P216&lt;0.3*S216,"F",IF(ISBLANK(R216),"",IF(ISTEXT(R216),R216,IF(R216&gt;=0.95*U216,"O",IF(R216&gt;=0.9*U216,"A+",IF(R216&gt;=0.85*U216,"A",IF(R216&gt;=0.8*U216,"B+",IF(R216&gt;=0.75*U216,"B",IF(R216&gt;=0.7*U216,"C+",IF(R216&gt;=0.65*U216,"C",IF(R216&gt;=0.6*U216,"D+",IF(R216&gt;=0.55*U216,"D",IF(R216&gt;=0.5*U216,"E+",IF(R216&gt;=0.45*U216,"E",IF(R216&gt;=0.4*U216,"P",IF(R216&lt;0.4*U216,"F",R216)))))))))))))))))))</f>
        <v>C+</v>
      </c>
      <c r="N216" s="8">
        <f t="shared" ca="1" si="19"/>
        <v>7.5</v>
      </c>
      <c r="O216">
        <f ca="1">IF(O215&gt;0,7)</f>
        <v>7</v>
      </c>
      <c r="P216" s="1">
        <f ca="1">IF(ISERROR(F206),"",IF(ISTEXT(VLOOKUP(B206,INDIRECT($F$8),6+(O216-1)*3)),(VLOOKUP(B206,INDIRECT($F$8),6+(O216-1)*3)),SUM(VLOOKUP(B206,INDIRECT($F$8),6+(O216-1)*3),IF(W224,W216,0))))</f>
        <v>17</v>
      </c>
      <c r="Q216" s="1">
        <f ca="1">IF(ISERROR(F206),"",VLOOKUP(B206,INDIRECT($F$8),7+(O216-1)*3))</f>
        <v>18</v>
      </c>
      <c r="R216" s="1">
        <f ca="1">IF(ISERROR(F206),"",SUM(P216:Q216))</f>
        <v>35</v>
      </c>
      <c r="S216" s="1">
        <f ca="1">IF(ISERROR(F206),"",VLOOKUP(A206,INDIRECT($F$8),6+(O216-1)*3))</f>
        <v>25</v>
      </c>
      <c r="T216" s="1">
        <f ca="1">IF(ISERROR(F206),"",VLOOKUP(A206,INDIRECT($F$8),7+(O216-1)*3))</f>
        <v>25</v>
      </c>
      <c r="U216" s="1">
        <f ca="1">IF(ISERROR(F206),"",VLOOKUP(A206,INDIRECT($F$8),8+(O216-1)*3))</f>
        <v>50</v>
      </c>
      <c r="V216" s="1" t="str">
        <f ca="1">IF(ISERROR(F206),"",IF(N216=0,A216,""))</f>
        <v/>
      </c>
      <c r="W216" s="1">
        <f ca="1">IF(ISERROR(F206),"",IF(ISTEXT(VLOOKUP(B206,INDIRECT($F$8),6+(O216-1)*3)),11,IF(VLOOKUP(B206,INDIRECT($F$8),6+(O216-1)*3)&lt;S216*0.3,IF(VLOOKUP(B206,INDIRECT($F$8),8+(O216-1)*3)&lt;U216*0.4,IF(AND(0.4*U216-VLOOKUP(B206,INDIRECT($F$8),8+(O216-1)*3)&lt;=5,0.3*S216-VLOOKUP(B206,INDIRECT($F$8),6+(O216-1)*3)&lt;=5),MAX(0.4*U216-VLOOKUP(B206,INDIRECT($F$8),8+(O216-1)*3),0.3*S216-VLOOKUP(B206,INDIRECT($F$8),6+(O216-1)*3)),11),IF(0.3*S216-VLOOKUP(B206,INDIRECT($F$8),6+(O216-1)*3)&lt;=5,0.3*S216-VLOOKUP(B206,INDIRECT($F$8),6+(O216-1)*3),11)),IF(VLOOKUP(B206,INDIRECT($F$8),8+(O216-1)*3)&lt;U216*0.4,IF(U216*0.4-VLOOKUP(B206,INDIRECT($F$8),8+(O216-1)*3)&lt;=5,U216*0.4-VLOOKUP(B206,INDIRECT($F$8),8+(O216-1)*3),11),0))))</f>
        <v>0</v>
      </c>
      <c r="X216" s="1" t="str">
        <f ca="1">IF(ISERROR(F206),"",IF(W216=0,"",_xlfn.TEXTJOIN("",FALSE," G+",W216," in ",A216)))</f>
        <v/>
      </c>
    </row>
    <row r="217" spans="1:24" ht="11.5" customHeight="1" x14ac:dyDescent="0.2">
      <c r="A217" s="7" t="str">
        <f ca="1">IF(ISERROR(F206),"",VLOOKUP(C206,INDIRECT($F$8),6+(O217-1)*3,0))</f>
        <v>ECP 001</v>
      </c>
      <c r="B217" s="24" t="str">
        <f ca="1">IF(ISERROR(F206),"",VLOOKUP(D206,INDIRECT($F$8),6+(O217-1)*3,0))</f>
        <v>Basic Electronics Engineering Lab</v>
      </c>
      <c r="C217" s="24"/>
      <c r="D217" s="24"/>
      <c r="E217" s="24"/>
      <c r="F217" s="7">
        <f ca="1">IF(ISERROR(F206),"",VLOOKUP(E206,INDIRECT($F$8),6+(O217-1)*3,0))</f>
        <v>1</v>
      </c>
      <c r="G217" s="25" t="str">
        <f ca="1">IF(ISERROR(F206),"",_xlfn.TEXTJOIN("/",FALSE,P217,S217))</f>
        <v>17/25</v>
      </c>
      <c r="H217" s="25"/>
      <c r="I217" s="25" t="str">
        <f ca="1">IF(ISERROR(F206),"",_xlfn.TEXTJOIN("/",FALSE,Q217,T217))</f>
        <v>18/25</v>
      </c>
      <c r="J217" s="25"/>
      <c r="K217" s="25" t="str">
        <f ca="1">IF(ISERROR(F206),"",_xlfn.TEXTJOIN("/",FALSE,R217,U217))</f>
        <v>35/50</v>
      </c>
      <c r="L217" s="25"/>
      <c r="M217" s="7" t="str">
        <f ca="1">IF(ISERROR(F206),"",IF(ISTEXT(P217),IF(P217="A","Ab",IF(P217="D","Dt",IF(P217="UFM","UFM",IF(P217="NA","")))),IF(AND(ISBLANK(P217),ISBLANK(R217)),"",IF(P217&lt;0.3*S217,"F",IF(ISBLANK(R217),"",IF(ISTEXT(R217),R217,IF(R217&gt;=0.95*U217,"O",IF(R217&gt;=0.9*U217,"A+",IF(R217&gt;=0.85*U217,"A",IF(R217&gt;=0.8*U217,"B+",IF(R217&gt;=0.75*U217,"B",IF(R217&gt;=0.7*U217,"C+",IF(R217&gt;=0.65*U217,"C",IF(R217&gt;=0.6*U217,"D+",IF(R217&gt;=0.55*U217,"D",IF(R217&gt;=0.5*U217,"E+",IF(R217&gt;=0.45*U217,"E",IF(R217&gt;=0.4*U217,"P",IF(R217&lt;0.4*U217,"F",R217)))))))))))))))))))</f>
        <v>C+</v>
      </c>
      <c r="N217" s="8">
        <f t="shared" ca="1" si="19"/>
        <v>7.5</v>
      </c>
      <c r="O217">
        <f t="shared" ref="O217:O223" ca="1" si="20">O216+1</f>
        <v>8</v>
      </c>
      <c r="P217" s="1">
        <f ca="1">IF(ISERROR(F206),"",IF(ISTEXT(VLOOKUP(B206,INDIRECT($F$8),6+(O217-1)*3)),(VLOOKUP(B206,INDIRECT($F$8),6+(O217-1)*3)),SUM(VLOOKUP(B206,INDIRECT($F$8),6+(O217-1)*3),IF(W224,W217,0))))</f>
        <v>17</v>
      </c>
      <c r="Q217" s="1">
        <f ca="1">IF(ISERROR(F206),"",VLOOKUP(B206,INDIRECT($F$8),7+(O217-1)*3))</f>
        <v>18</v>
      </c>
      <c r="R217" s="1">
        <f ca="1">IF(ISERROR(F206),"",SUM(P217:Q217))</f>
        <v>35</v>
      </c>
      <c r="S217" s="1">
        <f ca="1">IF(ISERROR(F206),"",VLOOKUP(A206,INDIRECT($F$8),6+(O217-1)*3))</f>
        <v>25</v>
      </c>
      <c r="T217" s="1">
        <f ca="1">IF(ISERROR(F206),"",VLOOKUP(A206,INDIRECT($F$8),7+(O217-1)*3))</f>
        <v>25</v>
      </c>
      <c r="U217" s="1">
        <f ca="1">IF(ISERROR(F206),"",VLOOKUP(A206,INDIRECT($F$8),8+(O217-1)*3))</f>
        <v>50</v>
      </c>
      <c r="V217" s="1" t="str">
        <f ca="1">IF(ISERROR(F206),"",IF(N217=0,A217,""))</f>
        <v/>
      </c>
      <c r="W217" s="1">
        <f ca="1">IF(ISERROR(F206),"",IF(ISTEXT(VLOOKUP(B206,INDIRECT($F$8),6+(O217-1)*3)),11,IF(VLOOKUP(B206,INDIRECT($F$8),6+(O217-1)*3)&lt;S217*0.3,IF(VLOOKUP(B206,INDIRECT($F$8),8+(O217-1)*3)&lt;U217*0.4,IF(AND(0.4*U217-VLOOKUP(B206,INDIRECT($F$8),8+(O217-1)*3)&lt;=5,0.3*S217-VLOOKUP(B206,INDIRECT($F$8),6+(O217-1)*3)&lt;=5),MAX(0.4*U217-VLOOKUP(B206,INDIRECT($F$8),8+(O217-1)*3),0.3*S217-VLOOKUP(B206,INDIRECT($F$8),6+(O217-1)*3)),11),IF(0.3*S217-VLOOKUP(B206,INDIRECT($F$8),6+(O217-1)*3)&lt;=5,0.3*S217-VLOOKUP(B206,INDIRECT($F$8),6+(O217-1)*3),11)),IF(VLOOKUP(B206,INDIRECT($F$8),8+(O217-1)*3)&lt;U217*0.4,IF(U217*0.4-VLOOKUP(B206,INDIRECT($F$8),8+(O217-1)*3)&lt;=5,U217*0.4-VLOOKUP(B206,INDIRECT($F$8),8+(O217-1)*3),11),0))))</f>
        <v>0</v>
      </c>
      <c r="X217" s="1" t="str">
        <f ca="1">IF(ISERROR(F206),"",IF(W217=0,"",_xlfn.TEXTJOIN("",FALSE," G+",W217," in ",A217)))</f>
        <v/>
      </c>
    </row>
    <row r="218" spans="1:24" ht="11.5" customHeight="1" x14ac:dyDescent="0.2">
      <c r="A218" s="7" t="str">
        <f ca="1">IF(ISERROR(F206),"",VLOOKUP(C206,INDIRECT($F$8),6+(O218-1)*3,0))</f>
        <v>MEP 001</v>
      </c>
      <c r="B218" s="24" t="str">
        <f ca="1">IF(ISERROR(F206),"",VLOOKUP(D206,INDIRECT($F$8),6+(O218-1)*3,0))</f>
        <v>Basic Mechanical Engineering Lab</v>
      </c>
      <c r="C218" s="24"/>
      <c r="D218" s="24"/>
      <c r="E218" s="24"/>
      <c r="F218" s="7">
        <f ca="1">IF(ISERROR(F206),"",VLOOKUP(E206,INDIRECT($F$8),6+(O218-1)*3,0))</f>
        <v>1</v>
      </c>
      <c r="G218" s="25" t="str">
        <f ca="1">IF(ISERROR(F206),"",_xlfn.TEXTJOIN("/",FALSE,P218,S218))</f>
        <v>24/25</v>
      </c>
      <c r="H218" s="25"/>
      <c r="I218" s="25" t="str">
        <f ca="1">IF(ISERROR(F206),"",_xlfn.TEXTJOIN("/",FALSE,Q218,T218))</f>
        <v>23/25</v>
      </c>
      <c r="J218" s="25"/>
      <c r="K218" s="25" t="str">
        <f ca="1">IF(ISERROR(F206),"",_xlfn.TEXTJOIN("/",FALSE,R218,U218))</f>
        <v>47/50</v>
      </c>
      <c r="L218" s="25"/>
      <c r="M218" s="7" t="str">
        <f ca="1">IF(ISERROR(F206),"",IF(ISTEXT(P218),IF(P218="A","Ab",IF(P218="D","Dt",IF(P218="UFM","UFM",IF(P218="NA","")))),IF(AND(ISBLANK(P218),ISBLANK(R218)),"",IF(P218&lt;0.3*S218,"F",IF(ISBLANK(R218),"",IF(ISTEXT(R218),R218,IF(R218&gt;=0.95*U218,"O",IF(R218&gt;=0.9*U218,"A+",IF(R218&gt;=0.85*U218,"A",IF(R218&gt;=0.8*U218,"B+",IF(R218&gt;=0.75*U218,"B",IF(R218&gt;=0.7*U218,"C+",IF(R218&gt;=0.65*U218,"C",IF(R218&gt;=0.6*U218,"D+",IF(R218&gt;=0.55*U218,"D",IF(R218&gt;=0.5*U218,"E+",IF(R218&gt;=0.45*U218,"E",IF(R218&gt;=0.4*U218,"P",IF(R218&lt;0.4*U218,"F",R218)))))))))))))))))))</f>
        <v>A+</v>
      </c>
      <c r="N218" s="8">
        <f t="shared" ca="1" si="19"/>
        <v>9.5</v>
      </c>
      <c r="O218">
        <f t="shared" ca="1" si="20"/>
        <v>9</v>
      </c>
      <c r="P218" s="1">
        <f ca="1">IF(ISERROR(F206),"",IF(ISTEXT(VLOOKUP(B206,INDIRECT($F$8),6+(O218-1)*3)),(VLOOKUP(B206,INDIRECT($F$8),6+(O218-1)*3)),SUM(VLOOKUP(B206,INDIRECT($F$8),6+(O218-1)*3),IF(W224,W218,0))))</f>
        <v>24</v>
      </c>
      <c r="Q218" s="1">
        <f ca="1">IF(ISERROR(F206),"",VLOOKUP(B206,INDIRECT($F$8),7+(O218-1)*3))</f>
        <v>23</v>
      </c>
      <c r="R218" s="1">
        <f ca="1">IF(ISERROR(F206),"",SUM(P218:Q218))</f>
        <v>47</v>
      </c>
      <c r="S218" s="1">
        <f ca="1">IF(ISERROR(F206),"",VLOOKUP(A206,INDIRECT($F$8),6+(O218-1)*3))</f>
        <v>25</v>
      </c>
      <c r="T218" s="1">
        <f ca="1">IF(ISERROR(F206),"",VLOOKUP(A206,INDIRECT($F$8),7+(O218-1)*3))</f>
        <v>25</v>
      </c>
      <c r="U218" s="1">
        <f ca="1">IF(ISERROR(F206),"",VLOOKUP(A206,INDIRECT($F$8),8+(O218-1)*3))</f>
        <v>50</v>
      </c>
      <c r="V218" s="1" t="str">
        <f ca="1">IF(ISERROR(F206),"",IF(N218=0,A218,""))</f>
        <v/>
      </c>
      <c r="W218" s="1">
        <f ca="1">IF(ISERROR(F206),"",IF(ISTEXT(VLOOKUP(B206,INDIRECT($F$8),6+(O218-1)*3)),11,IF(VLOOKUP(B206,INDIRECT($F$8),6+(O218-1)*3)&lt;S218*0.3,IF(VLOOKUP(B206,INDIRECT($F$8),8+(O218-1)*3)&lt;U218*0.4,IF(AND(0.4*U218-VLOOKUP(B206,INDIRECT($F$8),8+(O218-1)*3)&lt;=5,0.3*S218-VLOOKUP(B206,INDIRECT($F$8),6+(O218-1)*3)&lt;=5),MAX(0.4*U218-VLOOKUP(B206,INDIRECT($F$8),8+(O218-1)*3),0.3*S218-VLOOKUP(B206,INDIRECT($F$8),6+(O218-1)*3)),11),IF(0.3*S218-VLOOKUP(B206,INDIRECT($F$8),6+(O218-1)*3)&lt;=5,0.3*S218-VLOOKUP(B206,INDIRECT($F$8),6+(O218-1)*3),11)),IF(VLOOKUP(B206,INDIRECT($F$8),8+(O218-1)*3)&lt;U218*0.4,IF(U218*0.4-VLOOKUP(B206,INDIRECT($F$8),8+(O218-1)*3)&lt;=5,U218*0.4-VLOOKUP(B206,INDIRECT($F$8),8+(O218-1)*3),11),0))))</f>
        <v>0</v>
      </c>
      <c r="X218" s="1" t="str">
        <f ca="1">IF(ISERROR(F206),"",IF(W218=0,"",_xlfn.TEXTJOIN("",FALSE," G+",W218," in ",A218)))</f>
        <v/>
      </c>
    </row>
    <row r="219" spans="1:24" ht="11.5" customHeight="1" x14ac:dyDescent="0.2">
      <c r="A219" s="7" t="str">
        <f ca="1">IF(ISERROR(F206),"",VLOOKUP(C206,INDIRECT($F$8),6+(O219-1)*3,0))</f>
        <v>MEP 003</v>
      </c>
      <c r="B219" s="24" t="str">
        <f ca="1">IF(ISERROR(F206),"",VLOOKUP(D206,INDIRECT($F$8),6+(O219-1)*3-Z219,0))</f>
        <v>Workshop Practices Lab</v>
      </c>
      <c r="C219" s="24"/>
      <c r="D219" s="24"/>
      <c r="E219" s="24"/>
      <c r="F219" s="7">
        <f ca="1">IF(ISERROR(F206),"",VLOOKUP(E206,INDIRECT($F$8),6+(O219-1)*3,0))</f>
        <v>2</v>
      </c>
      <c r="G219" s="25" t="str">
        <f ca="1">IF(ISERROR(F206),"",_xlfn.TEXTJOIN("/",FALSE,P219,S219))</f>
        <v>48/50</v>
      </c>
      <c r="H219" s="25"/>
      <c r="I219" s="25" t="str">
        <f ca="1">IF(ISERROR(F206),"",_xlfn.TEXTJOIN("/",FALSE,Q219,T219))</f>
        <v>49/50</v>
      </c>
      <c r="J219" s="25"/>
      <c r="K219" s="25" t="str">
        <f ca="1">IF(ISERROR(F206),"",_xlfn.TEXTJOIN("/",FALSE,R219,U219))</f>
        <v>97/100</v>
      </c>
      <c r="L219" s="25"/>
      <c r="M219" s="7" t="str">
        <f ca="1">IF(ISERROR(F206),"",IF(ISTEXT(P219),IF(P219="A","Ab",IF(P219="D","Dt",IF(P219="UFM","UFM",IF(P219="NA","")))),IF(AND(ISBLANK(P219),ISBLANK(R219)),"",IF(P219&lt;0.3*S219,"F",IF(ISBLANK(R219),"",IF(ISTEXT(R219),R219,IF(R219&gt;=0.95*U219,"O",IF(R219&gt;=0.9*U219,"A+",IF(R219&gt;=0.85*U219,"A",IF(R219&gt;=0.8*U219,"B+",IF(R219&gt;=0.75*U219,"B",IF(R219&gt;=0.7*U219,"C+",IF(R219&gt;=0.65*U219,"C",IF(R219&gt;=0.6*U219,"D+",IF(R219&gt;=0.55*U219,"D",IF(R219&gt;=0.5*U219,"E+",IF(R219&gt;=0.45*U219,"E",IF(R219&gt;=0.4*U219,"P",IF(R219&lt;0.4*U219,"F",R219)))))))))))))))))))</f>
        <v>O</v>
      </c>
      <c r="N219" s="8">
        <f t="shared" ca="1" si="19"/>
        <v>10</v>
      </c>
      <c r="O219">
        <f t="shared" ca="1" si="20"/>
        <v>10</v>
      </c>
      <c r="P219" s="1">
        <f ca="1">IF(ISERROR(F206),"",IF(ISTEXT(VLOOKUP(B206,INDIRECT($F$8),6+(O219-1)*3)),(VLOOKUP(B206,INDIRECT($F$8),6+(O219-1)*3)),SUM(VLOOKUP(B206,INDIRECT($F$8),6+(O219-1)*3),IF(W224,W219,0))))</f>
        <v>48</v>
      </c>
      <c r="Q219" s="1">
        <f ca="1">IF(ISERROR(F206),"",VLOOKUP(B206,INDIRECT($F$8),7+(O219-1)*3))</f>
        <v>49</v>
      </c>
      <c r="R219" s="1">
        <f ca="1">IF(ISERROR(F206),"",SUM(P219:Q219))</f>
        <v>97</v>
      </c>
      <c r="S219" s="1">
        <f ca="1">IF(ISERROR(F206),"",VLOOKUP(A206,INDIRECT($F$8),6+(O219-1)*3))</f>
        <v>50</v>
      </c>
      <c r="T219" s="1">
        <f ca="1">IF(ISERROR(F206),"",VLOOKUP(A206,INDIRECT($F$8),7+(O219-1)*3))</f>
        <v>50</v>
      </c>
      <c r="U219" s="1">
        <f ca="1">IF(ISERROR(F206),"",VLOOKUP(A206,INDIRECT($F$8),8+(O219-1)*3))</f>
        <v>100</v>
      </c>
      <c r="V219" s="1" t="str">
        <f ca="1">IF(ISERROR(F206),"",IF(N219=0,A219,""))</f>
        <v/>
      </c>
      <c r="W219" s="1">
        <f ca="1">IF(ISERROR(F206),"",IF(ISTEXT(VLOOKUP(B206,INDIRECT($F$8),6+(O219-1)*3)),11,IF(VLOOKUP(B206,INDIRECT($F$8),6+(O219-1)*3)&lt;S219*0.3,IF(VLOOKUP(B206,INDIRECT($F$8),8+(O219-1)*3)&lt;U219*0.4,IF(AND(0.4*U219-VLOOKUP(B206,INDIRECT($F$8),8+(O219-1)*3)&lt;=5,0.3*S219-VLOOKUP(B206,INDIRECT($F$8),6+(O219-1)*3)&lt;=5),MAX(0.4*U219-VLOOKUP(B206,INDIRECT($F$8),8+(O219-1)*3),0.3*S219-VLOOKUP(B206,INDIRECT($F$8),6+(O219-1)*3)),11),IF(0.3*S219-VLOOKUP(B206,INDIRECT($F$8),6+(O219-1)*3)&lt;=5,0.3*S219-VLOOKUP(B206,INDIRECT($F$8),6+(O219-1)*3),11)),IF(VLOOKUP(B206,INDIRECT($F$8),8+(O219-1)*3)&lt;U219*0.4,IF(U219*0.4-VLOOKUP(B206,INDIRECT($F$8),8+(O219-1)*3)&lt;=5,U219*0.4-VLOOKUP(B206,INDIRECT($F$8),8+(O219-1)*3),11),0))))</f>
        <v>0</v>
      </c>
      <c r="X219" s="1" t="str">
        <f ca="1">IF(ISERROR(F206),"",IF(W219=0,"",_xlfn.TEXTJOIN("",FALSE," G+",W219," in ",A219)))</f>
        <v/>
      </c>
    </row>
    <row r="220" spans="1:24" ht="11.5" customHeight="1" x14ac:dyDescent="0.2">
      <c r="A220" s="7" t="str">
        <f ca="1">IF(ISERROR(F206),"",VLOOKUP(C206,INDIRECT($F$8),6+(O220-1)*3,0))</f>
        <v>AHP 004</v>
      </c>
      <c r="B220" s="24" t="str">
        <f ca="1">IF(ISERROR(F206),"",VLOOKUP(D206,INDIRECT($F$8),6+(O220-1)*3-Z220,0))</f>
        <v>Emerging Technologies in Engineering Lab</v>
      </c>
      <c r="C220" s="24"/>
      <c r="D220" s="24"/>
      <c r="E220" s="24"/>
      <c r="F220" s="7">
        <f ca="1">IF(ISERROR(F206),"",VLOOKUP(E206,INDIRECT($F$8),6+(O220-1)*3,0))</f>
        <v>1</v>
      </c>
      <c r="G220" s="25" t="str">
        <f ca="1">IF(ISERROR(F206),"",_xlfn.TEXTJOIN("/",FALSE,P220,S220))</f>
        <v>21/25</v>
      </c>
      <c r="H220" s="25"/>
      <c r="I220" s="25" t="str">
        <f ca="1">IF(ISERROR(F206),"",_xlfn.TEXTJOIN("/",FALSE,Q220,T220))</f>
        <v>21/25</v>
      </c>
      <c r="J220" s="25"/>
      <c r="K220" s="25" t="str">
        <f ca="1">IF(ISERROR(F206),"",_xlfn.TEXTJOIN("/",FALSE,R220,U220))</f>
        <v>42/50</v>
      </c>
      <c r="L220" s="25"/>
      <c r="M220" s="7" t="str">
        <f ca="1">IF(ISERROR(F206),"",IF(ISTEXT(P220),IF(P220="A","Ab",IF(P220="D","Dt",IF(P220="UFM","UFM",IF(P220="NA","")))),IF(AND(ISBLANK(P220),ISBLANK(R220)),"",IF(P220&lt;0.3*S220,"F",IF(ISBLANK(R220),"",IF(ISTEXT(R220),R220,IF(R220&gt;=0.95*U220,"O",IF(R220&gt;=0.9*U220,"A+",IF(R220&gt;=0.85*U220,"A",IF(R220&gt;=0.8*U220,"B+",IF(R220&gt;=0.75*U220,"B",IF(R220&gt;=0.7*U220,"C+",IF(R220&gt;=0.65*U220,"C",IF(R220&gt;=0.6*U220,"D+",IF(R220&gt;=0.55*U220,"D",IF(R220&gt;=0.5*U220,"E+",IF(R220&gt;=0.45*U220,"E",IF(R220&gt;=0.4*U220,"P",IF(R220&lt;0.4*U220,"F",R220)))))))))))))))))))</f>
        <v>B+</v>
      </c>
      <c r="N220" s="8">
        <f t="shared" ca="1" si="19"/>
        <v>8.5</v>
      </c>
      <c r="O220">
        <f t="shared" ca="1" si="20"/>
        <v>11</v>
      </c>
      <c r="P220" s="1">
        <f ca="1">IF(ISERROR(F206),"",IF(ISTEXT(VLOOKUP(B206,INDIRECT($F$8),6+(O220-1)*3)),(VLOOKUP(B206,INDIRECT($F$8),6+(O220-1)*3)),SUM(VLOOKUP(B206,INDIRECT($F$8),6+(O220-1)*3),IF(W224,W220,0))))</f>
        <v>21</v>
      </c>
      <c r="Q220" s="1">
        <f ca="1">IF(ISERROR(F206),"",VLOOKUP(B206,INDIRECT($F$8),7+(O220-1)*3))</f>
        <v>21</v>
      </c>
      <c r="R220" s="1">
        <f ca="1">IF(ISERROR(F206),"",SUM(P220:Q220))</f>
        <v>42</v>
      </c>
      <c r="S220" s="1">
        <f ca="1">IF(ISERROR(F206),"",VLOOKUP(A206,INDIRECT($F$8),6+(O220-1)*3))</f>
        <v>25</v>
      </c>
      <c r="T220" s="1">
        <f ca="1">IF(ISERROR(F206),"",VLOOKUP(A206,INDIRECT($F$8),7+(O220-1)*3))</f>
        <v>25</v>
      </c>
      <c r="U220" s="1">
        <f ca="1">IF(ISERROR(F206),"",VLOOKUP(A206,INDIRECT($F$8),8+(O220-1)*3))</f>
        <v>50</v>
      </c>
      <c r="V220" s="1" t="str">
        <f ca="1">IF(ISERROR(F206),"",IF(N220=0,A220,""))</f>
        <v/>
      </c>
      <c r="W220" s="1">
        <f ca="1">IF(ISERROR(F206),"",IF(ISTEXT(VLOOKUP(B206,INDIRECT($F$8),6+(O220-1)*3)),11,IF(VLOOKUP(B206,INDIRECT($F$8),6+(O220-1)*3)&lt;S220*0.3,IF(VLOOKUP(B206,INDIRECT($F$8),8+(O220-1)*3)&lt;U220*0.4,IF(AND(0.4*U220-VLOOKUP(B206,INDIRECT($F$8),8+(O220-1)*3)&lt;=5,0.3*S220-VLOOKUP(B206,INDIRECT($F$8),6+(O220-1)*3)&lt;=5),MAX(0.4*U220-VLOOKUP(B206,INDIRECT($F$8),8+(O220-1)*3),0.3*S220-VLOOKUP(B206,INDIRECT($F$8),6+(O220-1)*3)),11),IF(0.3*S220-VLOOKUP(B206,INDIRECT($F$8),6+(O220-1)*3)&lt;=5,0.3*S220-VLOOKUP(B206,INDIRECT($F$8),6+(O220-1)*3),11)),IF(VLOOKUP(B206,INDIRECT($F$8),8+(O220-1)*3)&lt;U220*0.4,IF(U220*0.4-VLOOKUP(B206,INDIRECT($F$8),8+(O220-1)*3)&lt;=5,U220*0.4-VLOOKUP(B206,INDIRECT($F$8),8+(O220-1)*3),11),0))))</f>
        <v>0</v>
      </c>
      <c r="X220" s="1" t="str">
        <f ca="1">IF(ISERROR(F206),"",IF(W220=0,"",_xlfn.TEXTJOIN("",FALSE," G+",W220," in ",A220)))</f>
        <v/>
      </c>
    </row>
    <row r="221" spans="1:24" ht="11.5" customHeight="1" x14ac:dyDescent="0.2">
      <c r="A221" s="7" t="str">
        <f ca="1">IF(ISERROR(F206),"",VLOOKUP(C206,INDIRECT($F$8),6+(O221-1)*3,0))</f>
        <v>CSP 002</v>
      </c>
      <c r="B221" s="24" t="str">
        <f ca="1">IF(ISERROR(F206),"",VLOOKUP(D206,INDIRECT($F$8),6+(O221-1)*3,0))</f>
        <v>Computer Applications and IOT</v>
      </c>
      <c r="C221" s="24"/>
      <c r="D221" s="24"/>
      <c r="E221" s="24"/>
      <c r="F221" s="7">
        <f ca="1">IF(ISERROR(F206),"",VLOOKUP(E206,INDIRECT($F$8),6+(O221-1)*3,0))</f>
        <v>1</v>
      </c>
      <c r="G221" s="25" t="str">
        <f ca="1">IF(ISERROR(F206),"",_xlfn.TEXTJOIN("/",FALSE,P221,S221))</f>
        <v>22/25</v>
      </c>
      <c r="H221" s="25"/>
      <c r="I221" s="25" t="str">
        <f ca="1">IF(ISERROR(F206),"",_xlfn.TEXTJOIN("/",FALSE,Q221,T221))</f>
        <v>22/25</v>
      </c>
      <c r="J221" s="25"/>
      <c r="K221" s="25" t="str">
        <f ca="1">IF(ISERROR(F206),"",_xlfn.TEXTJOIN("/",FALSE,R221,U221))</f>
        <v>44/50</v>
      </c>
      <c r="L221" s="25"/>
      <c r="M221" s="7" t="str">
        <f ca="1">IF(ISERROR(F206),"",IF(ISTEXT(P221),IF(P221="A","Ab",IF(P221="D","Dt",IF(P221="UFM","UFM",IF(P221="NA","")))),IF(AND(ISBLANK(P221),ISBLANK(R221)),"",IF(P221&lt;0.3*S221,"F",IF(ISBLANK(R221),"",IF(ISTEXT(R221),R221,IF(R221&gt;=0.95*U221,"O",IF(R221&gt;=0.9*U221,"A+",IF(R221&gt;=0.85*U221,"A",IF(R221&gt;=0.8*U221,"B+",IF(R221&gt;=0.75*U221,"B",IF(R221&gt;=0.7*U221,"C+",IF(R221&gt;=0.65*U221,"C",IF(R221&gt;=0.6*U221,"D+",IF(R221&gt;=0.55*U221,"D",IF(R221&gt;=0.5*U221,"E+",IF(R221&gt;=0.45*U221,"E",IF(R221&gt;=0.4*U221,"P",IF(R221&lt;0.4*U221,"F",R221)))))))))))))))))))</f>
        <v>A</v>
      </c>
      <c r="N221" s="8">
        <f t="shared" ca="1" si="19"/>
        <v>9</v>
      </c>
      <c r="O221">
        <f t="shared" ca="1" si="20"/>
        <v>12</v>
      </c>
      <c r="P221" s="1">
        <f ca="1">IF(ISERROR(F206),"",IF(ISTEXT(VLOOKUP(B206,INDIRECT($F$8),6+(O221-1)*3)),(VLOOKUP(B206,INDIRECT($F$8),6+(O221-1)*3)),SUM(VLOOKUP(B206,INDIRECT($F$8),6+(O221-1)*3),IF(W224,W221,0))))</f>
        <v>22</v>
      </c>
      <c r="Q221" s="1">
        <f ca="1">IF(ISERROR(F206),"",VLOOKUP(B206,INDIRECT($F$8),7+(O221-1)*3))</f>
        <v>22</v>
      </c>
      <c r="R221" s="1">
        <f ca="1">IF(ISERROR(F206),"",SUM(P221:Q221))</f>
        <v>44</v>
      </c>
      <c r="S221" s="1">
        <f ca="1">IF(ISERROR(F206),"",VLOOKUP(A206,INDIRECT($F$8),6+(O221-1)*3))</f>
        <v>25</v>
      </c>
      <c r="T221" s="1">
        <f ca="1">IF(ISERROR(F206),"",VLOOKUP(A206,INDIRECT($F$8),7+(O221-1)*3))</f>
        <v>25</v>
      </c>
      <c r="U221" s="1">
        <f ca="1">IF(ISERROR(F206),"",VLOOKUP(A206,INDIRECT($F$8),8+(O221-1)*3))</f>
        <v>50</v>
      </c>
      <c r="V221" s="1" t="str">
        <f ca="1">IF(ISERROR(F206),"",IF(N221=0,A221,""))</f>
        <v/>
      </c>
      <c r="W221" s="1">
        <f ca="1">IF(ISERROR(F206),"",IF(ISTEXT(VLOOKUP(B206,INDIRECT($F$8),6+(O221-1)*3)),11,IF(VLOOKUP(B206,INDIRECT($F$8),6+(O221-1)*3)&lt;S221*0.3,IF(VLOOKUP(B206,INDIRECT($F$8),8+(O221-1)*3)&lt;U221*0.4,IF(AND(0.4*U221-VLOOKUP(B206,INDIRECT($F$8),8+(O221-1)*3)&lt;=5,0.3*S221-VLOOKUP(B206,INDIRECT($F$8),6+(O221-1)*3)&lt;=5),MAX(0.4*U221-VLOOKUP(B206,INDIRECT($F$8),8+(O221-1)*3),0.3*S221-VLOOKUP(B206,INDIRECT($F$8),6+(O221-1)*3)),11),IF(0.3*S221-VLOOKUP(B206,INDIRECT($F$8),6+(O221-1)*3)&lt;=5,0.3*S221-VLOOKUP(B206,INDIRECT($F$8),6+(O221-1)*3),11)),IF(VLOOKUP(B206,INDIRECT($F$8),8+(O221-1)*3)&lt;U221*0.4,IF(U221*0.4-VLOOKUP(B206,INDIRECT($F$8),8+(O221-1)*3)&lt;=5,U221*0.4-VLOOKUP(B206,INDIRECT($F$8),8+(O221-1)*3),11),0))))</f>
        <v>0</v>
      </c>
      <c r="X221" s="1" t="str">
        <f ca="1">IF(ISERROR(F206),"",IF(W221=0,"",_xlfn.TEXTJOIN("",FALSE," G+",W221," in ",A221)))</f>
        <v/>
      </c>
    </row>
    <row r="222" spans="1:24" ht="11.5" customHeight="1" x14ac:dyDescent="0.2">
      <c r="A222" s="7" t="str">
        <f ca="1">IF(ISERROR(F206),"",VLOOKUP(C206,INDIRECT($F$8),6+(O222-1)*3,0))</f>
        <v>AHP 006</v>
      </c>
      <c r="B222" s="24" t="str">
        <f ca="1">IF(ISERROR(F206),"",VLOOKUP(D206,INDIRECT($F$8),6+(O222-1)*3,0))</f>
        <v>English Language Lab ($)</v>
      </c>
      <c r="C222" s="24"/>
      <c r="D222" s="24"/>
      <c r="E222" s="24"/>
      <c r="F222" s="7">
        <f ca="1">IF(ISERROR(F206),"",VLOOKUP(E206,INDIRECT($F$8),6+(O222-1)*3,0))</f>
        <v>0</v>
      </c>
      <c r="G222" s="25" t="str">
        <f ca="1">IF(ISERROR(F206),"",_xlfn.TEXTJOIN("/",FALSE,P222,S222))</f>
        <v>16/25</v>
      </c>
      <c r="H222" s="25"/>
      <c r="I222" s="25" t="str">
        <f ca="1">IF(ISERROR(F206),"",_xlfn.TEXTJOIN("/",FALSE,Q222,T222))</f>
        <v>31/50</v>
      </c>
      <c r="J222" s="25"/>
      <c r="K222" s="25" t="str">
        <f ca="1">IF(ISERROR(F206),"",_xlfn.TEXTJOIN("/",FALSE,R222,U222))</f>
        <v>47/75</v>
      </c>
      <c r="L222" s="25"/>
      <c r="M222" s="7" t="str">
        <f ca="1">IF(ISERROR(F206),"",IF(ISTEXT(P222),IF(P222="A","Ab",IF(P222="D","Dt",IF(P222="UFM","UFM",IF(P222="NA","")))),IF(AND(ISBLANK(P222),ISBLANK(R222)),"",IF(P222&lt;0.3*S222,"F",IF(ISBLANK(R222),"",IF(ISTEXT(R222),R222,IF(R222&gt;=0.95*U222,"O",IF(R222&gt;=0.9*U222,"A+",IF(R222&gt;=0.85*U222,"A",IF(R222&gt;=0.8*U222,"B+",IF(R222&gt;=0.75*U222,"B",IF(R222&gt;=0.7*U222,"C+",IF(R222&gt;=0.65*U222,"C",IF(R222&gt;=0.6*U222,"D+",IF(R222&gt;=0.55*U222,"D",IF(R222&gt;=0.5*U222,"E+",IF(R222&gt;=0.45*U222,"E",IF(R222&gt;=0.4*U222,"P",IF(R222&lt;0.4*U222,"F",R222)))))))))))))))))))</f>
        <v>D+</v>
      </c>
      <c r="N222" s="8">
        <f ca="1">INDEX($Z$2:$Z$17,MATCH(M222,$Y$2:$Y$17,0))</f>
        <v>6.5</v>
      </c>
      <c r="O222">
        <f t="shared" ca="1" si="20"/>
        <v>13</v>
      </c>
      <c r="P222" s="1">
        <f ca="1">IF(ISERROR(F206),"",IF(ISTEXT(VLOOKUP(B206,INDIRECT($F$8),6+(O222-1)*3)),(VLOOKUP(B206,INDIRECT($F$8),6+(O222-1)*3)),SUM(VLOOKUP(B206,INDIRECT($F$8),6+(O222-1)*3),IF(W224,W222,0))))</f>
        <v>16</v>
      </c>
      <c r="Q222" s="1">
        <f ca="1">IF(ISERROR(F206),"",VLOOKUP(B206,INDIRECT($F$8),7+(O222-1)*3))</f>
        <v>31</v>
      </c>
      <c r="R222" s="1">
        <f ca="1">IF(ISERROR(F206),"",SUM(P222:Q222))</f>
        <v>47</v>
      </c>
      <c r="S222" s="1">
        <f ca="1">IF(ISERROR(F206),"",VLOOKUP(A206,INDIRECT($F$8),6+(O222-1)*3))</f>
        <v>25</v>
      </c>
      <c r="T222" s="1">
        <f ca="1">IF(ISERROR(F206),"",VLOOKUP(A206,INDIRECT($F$8),7+(O222-1)*3))</f>
        <v>50</v>
      </c>
      <c r="U222" s="1">
        <f ca="1">IF(ISERROR(F206),"",VLOOKUP(A206,INDIRECT($F$8),8+(O222-1)*3))</f>
        <v>75</v>
      </c>
      <c r="V222" s="1"/>
      <c r="W222" s="1">
        <f ca="1">IF(ISERROR(F206),"",IF(ISTEXT(VLOOKUP(B206,INDIRECT($F$8),6+(O222-1)*3)),11,IF(VLOOKUP(B206,INDIRECT($F$8),6+(O222-1)*3)&lt;S222*0.3,IF(VLOOKUP(B206,INDIRECT($F$8),8+(O222-1)*3)&lt;U222*0.4,IF(AND(0.4*U222-VLOOKUP(B206,INDIRECT($F$8),8+(O222-1)*3)&lt;=5,0.3*S222-VLOOKUP(B206,INDIRECT($F$8),6+(O222-1)*3)&lt;=5),MAX(0.4*U222-VLOOKUP(B206,INDIRECT($F$8),8+(O222-1)*3),0.3*S222-VLOOKUP(B206,INDIRECT($F$8),6+(O222-1)*3)),11),IF(0.3*S222-VLOOKUP(B206,INDIRECT($F$8),6+(O222-1)*3)&lt;=5,0.3*S222-VLOOKUP(B206,INDIRECT($F$8),6+(O222-1)*3),11)),IF(VLOOKUP(B206,INDIRECT($F$8),8+(O222-1)*3)&lt;U222*0.4,IF(U222*0.4-VLOOKUP(B206,INDIRECT($F$8),8+(O222-1)*3)&lt;=5,U222*0.4-VLOOKUP(B206,INDIRECT($F$8),8+(O222-1)*3),11),0))))</f>
        <v>0</v>
      </c>
      <c r="X222" s="1" t="str">
        <f ca="1">IF(ISERROR(F206),"",IF(W222=0,"",_xlfn.TEXTJOIN("",FALSE," G+",W222," in ",A222)))</f>
        <v/>
      </c>
    </row>
    <row r="223" spans="1:24" ht="11.5" customHeight="1" x14ac:dyDescent="0.2">
      <c r="A223" s="7" t="str">
        <f ca="1">IF(ISERROR(F206),"",VLOOKUP(C206,INDIRECT($F$8),6+(O223-1)*3-Y223,0))</f>
        <v>GP 01</v>
      </c>
      <c r="B223" s="24" t="str">
        <f ca="1">IF(ISERROR(F206),"",VLOOKUP(D206,INDIRECT($F$8),6+(O223-1)*3-Z223,0))</f>
        <v>General Proficiency ($)</v>
      </c>
      <c r="C223" s="24"/>
      <c r="D223" s="24"/>
      <c r="E223" s="24"/>
      <c r="F223" s="7">
        <f ca="1">IF(ISERROR(F206),"",VLOOKUP(E206,INDIRECT($F$8),6+(O223-1)*3-AA223,0))</f>
        <v>0</v>
      </c>
      <c r="G223" s="25" t="str">
        <f ca="1">IF(ISERROR(F206),"","-")</f>
        <v>-</v>
      </c>
      <c r="H223" s="25"/>
      <c r="I223" s="25" t="str">
        <f ca="1">IF(ISERROR(F206),"",_xlfn.TEXTJOIN("/",FALSE,Q223,T223))</f>
        <v>47/50</v>
      </c>
      <c r="J223" s="25"/>
      <c r="K223" s="25" t="str">
        <f ca="1">IF(ISERROR(F206),"",_xlfn.TEXTJOIN("/",FALSE,R223,U223))</f>
        <v>47/50</v>
      </c>
      <c r="L223" s="25"/>
      <c r="M223" s="25" t="str">
        <f ca="1">IF(ISBLANK(R223),"",IF(ISTEXT(R223),R223,IF(R223&gt;=0.8*U223,"Excellent",IF(R223&gt;=0.6*U223,"Very Good",IF(R223&gt;=0.4*U223,"Good",IF(R223&gt;=0.2*U223,"Satisfactory","Average"))))))</f>
        <v>Excellent</v>
      </c>
      <c r="N223" s="25"/>
      <c r="O223">
        <f t="shared" ca="1" si="20"/>
        <v>14</v>
      </c>
      <c r="P223" s="1">
        <f ca="1">IF(ISERROR(F206),"",IF(ISTEXT(VLOOKUP(B\28,INDIRECT($F$8),6+(O223-1)*3)),(VLOOKUP(B206,INDIRECT($F$8),6+(O223-1)*3)),SUM(VLOOKUP(B206,INDIRECT($F$8),6+(O223-1)*3),IF(W224,W224,0))))</f>
        <v>0</v>
      </c>
      <c r="Q223" s="1">
        <f ca="1">IF(ISERROR(F206),"",VLOOKUP(B206,INDIRECT($F$8),7+(O223-1)*3))</f>
        <v>47</v>
      </c>
      <c r="R223" s="1">
        <f ca="1">IF(ISERROR(F206),"",SUM(P223:Q223))</f>
        <v>47</v>
      </c>
      <c r="S223" s="1">
        <f ca="1">IF(ISERROR(F206),"",VLOOKUP(A206,INDIRECT($F$8),6+(O223-1)*3))</f>
        <v>0</v>
      </c>
      <c r="T223" s="1">
        <f ca="1">IF(ISERROR(F206),"",VLOOKUP(A206,INDIRECT($F$8),7+(O223-1)*3))</f>
        <v>50</v>
      </c>
      <c r="U223" s="1">
        <f ca="1">IF(ISERROR(F206),"",VLOOKUP(A206,INDIRECT($F$8),8+(O223-1)*3))</f>
        <v>50</v>
      </c>
      <c r="V223" s="1"/>
      <c r="W223" s="1"/>
      <c r="X223" s="1" t="str">
        <f ca="1">IF(ISERROR(F206),"",IF(W223=0,"",_xlfn.TEXTJOIN("",FALSE," G+",W223," in ",A223)))</f>
        <v/>
      </c>
    </row>
    <row r="224" spans="1:24" ht="11.5" customHeight="1" x14ac:dyDescent="0.2">
      <c r="A224" s="26" t="str">
        <f ca="1">IF(ISERROR(F206),"",A202)</f>
        <v>Total Credits/ Marks/ Total Grade Points</v>
      </c>
      <c r="B224" s="26"/>
      <c r="C224" s="26"/>
      <c r="D224" s="26"/>
      <c r="E224" s="26"/>
      <c r="F224" s="10">
        <f ca="1">IF(ISERROR(F206),"",SUM(F211:F222))</f>
        <v>23</v>
      </c>
      <c r="G224" s="27" t="str">
        <f ca="1">IF(ISERROR(F206),"",_xlfn.TEXTJOIN("/",TRUE,SUMIF(F211:F223,"&gt;0",P211:P223),SUMIF(F211:F223,"&gt;0",S211:S223)))</f>
        <v>366/575</v>
      </c>
      <c r="H224" s="27"/>
      <c r="I224" s="27" t="str">
        <f ca="1">IF(ISERROR(F206),"",_xlfn.TEXTJOIN("/",TRUE,SUMIF(F211:F223,"&gt;0",Q211:Q223),SUMIF(F211:F223,"&gt;0",T211:T223)))</f>
        <v>305/375</v>
      </c>
      <c r="J224" s="27"/>
      <c r="K224" s="27" t="str">
        <f ca="1">IF(ISERROR(F206),"",_xlfn.TEXTJOIN("/",TRUE,SUMIF(F211:F223,"&gt;0",R211:R223),SUMIF(F211:F223,"&gt;0",U211:U223)))</f>
        <v>671/950</v>
      </c>
      <c r="L224" s="27"/>
      <c r="M224" s="26">
        <f ca="1">IF(ISERROR(F206),"",SUMPRODUCT(N211:N222,F211:F222))</f>
        <v>166</v>
      </c>
      <c r="N224" s="26"/>
      <c r="V224" s="1" t="str">
        <f ca="1">_xlfn.TEXTJOIN(", ",TRUE,V211:V223)</f>
        <v/>
      </c>
      <c r="W224" t="b">
        <f ca="1">IF(SUM(W211:W223)&lt;=W210,TRUE,FALSE)</f>
        <v>1</v>
      </c>
      <c r="X224" s="1" t="str">
        <f ca="1">IF(ISERROR(F206),"",_xlfn.TEXTJOIN(",",TRUE,X211:X223))</f>
        <v/>
      </c>
    </row>
    <row r="225" spans="1:24" ht="11.5" customHeight="1" x14ac:dyDescent="0.2">
      <c r="A225" s="26" t="str">
        <f ca="1">IF(ISERROR(F206),"",A203)</f>
        <v>Result:</v>
      </c>
      <c r="B225" s="28" t="str" cm="1">
        <f t="array" aca="1" ref="B225" ca="1">IF(SUM(COUNTIF(M211:M222,{"Ab","Dt"}))=12, "Not Promoted to IInd Semester", IF(V224="", "PASS", "CARRY OVER"))</f>
        <v>PASS</v>
      </c>
      <c r="C225" s="28"/>
      <c r="D225" s="26" t="str">
        <f ca="1">IF(ISERROR(F206),"",D203)</f>
        <v>Remark:</v>
      </c>
      <c r="E225" s="28" t="str">
        <f ca="1">IF(ISERROR(F206),"",IF(V224="",IF(X224="","",X224),_xlfn.TEXTJOIN(" ",TRUE,"BACK IN",V224)))</f>
        <v/>
      </c>
      <c r="F225" s="28"/>
      <c r="G225" s="26" t="str">
        <f ca="1">IF(ISERROR(F206),"",G203)</f>
        <v>SGPA:</v>
      </c>
      <c r="H225" s="29">
        <f ca="1">IF(ISERROR(F206),"",M224/F224)</f>
        <v>7.2173913043478262</v>
      </c>
      <c r="I225" s="26" t="str">
        <f ca="1">IF(ISERROR(F206),"",I203)</f>
        <v>CGPA:</v>
      </c>
      <c r="J225" s="29">
        <f ca="1">IF(ISERROR(F206),"",VLOOKUP(B206,INDIRECT($F$8),12+(O223-1)*3,0))</f>
        <v>7.2173913043478262</v>
      </c>
      <c r="K225" s="28" t="str">
        <f ca="1">IF(ISERROR(F206),"",K203)</f>
        <v>Earned Credits:</v>
      </c>
      <c r="L225" s="26">
        <f ca="1">IF(ISERROR(F206),"",SUMIF(N211:N222,"&gt;0",F211:F222))</f>
        <v>23</v>
      </c>
      <c r="M225" s="28" t="str">
        <f ca="1">IF(ISERROR(F206),"",M203)</f>
        <v>Cuml. Earned Credits:</v>
      </c>
      <c r="N225" s="26">
        <f ca="1">IF(ISERROR(F206),"",VLOOKUP(B206,INDIRECT($F$8),10+(O223-1)*3,0))</f>
        <v>23</v>
      </c>
    </row>
    <row r="226" spans="1:24" ht="11.5" customHeight="1" x14ac:dyDescent="0.2">
      <c r="A226" s="26"/>
      <c r="B226" s="28"/>
      <c r="C226" s="28"/>
      <c r="D226" s="26"/>
      <c r="E226" s="28"/>
      <c r="F226" s="28"/>
      <c r="G226" s="26"/>
      <c r="H226" s="29"/>
      <c r="I226" s="26"/>
      <c r="J226" s="29"/>
      <c r="K226" s="28"/>
      <c r="L226" s="26"/>
      <c r="M226" s="28"/>
      <c r="N226" s="26"/>
    </row>
    <row r="227" spans="1:24" ht="11.5" customHeight="1" x14ac:dyDescent="0.2">
      <c r="A227" s="26"/>
      <c r="B227" s="28"/>
      <c r="C227" s="28"/>
      <c r="D227" s="26"/>
      <c r="E227" s="28"/>
      <c r="F227" s="28"/>
      <c r="G227" s="26"/>
      <c r="H227" s="29"/>
      <c r="I227" s="26"/>
      <c r="J227" s="29"/>
      <c r="K227" s="28"/>
      <c r="L227" s="26"/>
      <c r="M227" s="28"/>
      <c r="N227" s="26"/>
    </row>
    <row r="228" spans="1:24" ht="11.5" customHeight="1" x14ac:dyDescent="0.2">
      <c r="A228" s="11" t="str">
        <f>A206</f>
        <v>MM</v>
      </c>
      <c r="B228" s="11">
        <f>B206+1</f>
        <v>11</v>
      </c>
      <c r="C228" s="11" t="str">
        <f>C206</f>
        <v>SC</v>
      </c>
      <c r="D228" s="11" t="str">
        <f>D206</f>
        <v>SN</v>
      </c>
      <c r="E228" s="11" t="str">
        <f>E206</f>
        <v>C</v>
      </c>
      <c r="F228" s="11" t="str">
        <f ca="1">VLOOKUP(B228,INDIRECT($F$8),4,0)</f>
        <v>KHUSHI BUDAKOTI</v>
      </c>
    </row>
    <row r="229" spans="1:24" ht="11.5" customHeight="1" x14ac:dyDescent="0.2">
      <c r="A229" s="30" t="str">
        <f ca="1">IF(ISERROR(F228),"",A207)</f>
        <v>Name:</v>
      </c>
      <c r="B229" s="30" t="str">
        <f ca="1">IFERROR(VLOOKUP(B228,INDIRECT($F$8),4,0),"")</f>
        <v>KHUSHI BUDAKOTI</v>
      </c>
      <c r="C229" s="30"/>
      <c r="D229" s="30" t="str">
        <f ca="1">IF(ISERROR(F228),"",D207)</f>
        <v>Father's Name:</v>
      </c>
      <c r="E229" s="30" t="str">
        <f ca="1">IFERROR(VLOOKUP(B228,INDIRECT($F$8),5,0),"")</f>
        <v>RAKESH CHANDRA</v>
      </c>
      <c r="F229" s="30"/>
      <c r="G229" s="30" t="str">
        <f ca="1">IF(ISERROR(F228),"",G207)</f>
        <v>University Roll No:</v>
      </c>
      <c r="H229" s="30"/>
      <c r="I229" s="31">
        <f ca="1">IFERROR(VLOOKUP(B228,INDIRECT($F$8),2,0),"")</f>
        <v>250090120012</v>
      </c>
      <c r="J229" s="31"/>
      <c r="K229" s="30" t="str">
        <f ca="1">IF(ISERROR(F228),"",K207)</f>
        <v>University Enrol. No:</v>
      </c>
      <c r="L229" s="30"/>
      <c r="M229" s="31" t="str">
        <f ca="1">IFERROR(VLOOKUP(B228,INDIRECT($F$8),3,0),"")</f>
        <v>UTU/2501103798</v>
      </c>
      <c r="N229" s="31"/>
    </row>
    <row r="230" spans="1:24" ht="11.5" customHeight="1" x14ac:dyDescent="0.2">
      <c r="A230" s="30"/>
      <c r="B230" s="30"/>
      <c r="C230" s="30"/>
      <c r="D230" s="30"/>
      <c r="E230" s="30"/>
      <c r="F230" s="30"/>
      <c r="G230" s="30"/>
      <c r="H230" s="30"/>
      <c r="I230" s="31"/>
      <c r="J230" s="31"/>
      <c r="K230" s="30"/>
      <c r="L230" s="30"/>
      <c r="M230" s="31"/>
      <c r="N230" s="31"/>
    </row>
    <row r="231" spans="1:24" ht="11.5" customHeight="1" x14ac:dyDescent="0.2">
      <c r="A231" s="28" t="str">
        <f ca="1">IF(ISERROR(F228),"",A209)</f>
        <v>Subject Code</v>
      </c>
      <c r="B231" s="28" t="str">
        <f ca="1">IF(ISERROR(F228),"",B209)</f>
        <v>Subject Name</v>
      </c>
      <c r="C231" s="28"/>
      <c r="D231" s="28"/>
      <c r="E231" s="28"/>
      <c r="F231" s="28" t="str">
        <f ca="1">IF(ISERROR(F228),"",F209)</f>
        <v>Credits</v>
      </c>
      <c r="G231" s="28" t="str">
        <f ca="1">IF(ISERROR(F228),"",G209)</f>
        <v>External Marks</v>
      </c>
      <c r="H231" s="28"/>
      <c r="I231" s="28" t="str">
        <f ca="1">IF(ISERROR(F228),"",I209)</f>
        <v>Sessional Marks</v>
      </c>
      <c r="J231" s="28"/>
      <c r="K231" s="28" t="str">
        <f ca="1">IF(ISERROR(F228),"",K209)</f>
        <v>Total Marks</v>
      </c>
      <c r="L231" s="28"/>
      <c r="M231" s="28" t="str">
        <f ca="1">IF(ISERROR(F228),"",M209)</f>
        <v>Grade</v>
      </c>
      <c r="N231" s="28" t="str">
        <f ca="1">IF(ISERROR(F228),"",N209)</f>
        <v>Grade Points</v>
      </c>
    </row>
    <row r="232" spans="1:24" ht="11.5" customHeight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W232">
        <f ca="1">IF(ISNUMBER(MATCH($F$8,{"I","III","V","VII"},0)),10,10-INDEX(INDIRECT(_xlfn.TEXTJOIN("",TRUE,"SEM_",$G$8,"!",ADDRESS(6,4+$I$8*3+4),":",ADDRESS(5+$H$8,4+$I$8*3+4))),MATCH(INDIRECT(_xlfn.TEXTJOIN("",TRUE,"TC_",$F$8,"!",ADDRESS(ROW(I229),COLUMN(I229)))),INDIRECT(_xlfn.TEXTJOIN("",TRUE,"SEM_",$G$8,"!",ADDRESS(6,2),":",ADDRESS(5+$H$8,2))))))</f>
        <v>10</v>
      </c>
    </row>
    <row r="233" spans="1:24" ht="11.5" customHeight="1" x14ac:dyDescent="0.2">
      <c r="A233" s="7" t="str">
        <f ca="1">IF(ISERROR(F228),"",VLOOKUP(C228,INDIRECT($F$8),6+(O233-1)*3,0))</f>
        <v>AHT 002</v>
      </c>
      <c r="B233" s="24" t="str">
        <f ca="1">IF(ISERROR(F228),"",VLOOKUP(D228,INDIRECT($F$8),6+(O233-1)*3,0))</f>
        <v>Engineering Chemistry</v>
      </c>
      <c r="C233" s="24"/>
      <c r="D233" s="24"/>
      <c r="E233" s="24"/>
      <c r="F233" s="7">
        <f ca="1">IF(ISERROR(F228),"",VLOOKUP(E228,INDIRECT($F$8),6+(O233-1)*3,0))</f>
        <v>4</v>
      </c>
      <c r="G233" s="25" t="str">
        <f ca="1">IF(ISERROR(F228),"",_xlfn.TEXTJOIN("/",FALSE,P233,S233))</f>
        <v>47/100</v>
      </c>
      <c r="H233" s="25"/>
      <c r="I233" s="25" t="str">
        <f ca="1">IF(ISERROR(F228),"",_xlfn.TEXTJOIN("/",FALSE,Q233,T233))</f>
        <v>29/50</v>
      </c>
      <c r="J233" s="25"/>
      <c r="K233" s="25" t="str">
        <f ca="1">IF(ISERROR(F228),"",_xlfn.TEXTJOIN("/",FALSE,R233,U233))</f>
        <v>76/150</v>
      </c>
      <c r="L233" s="25"/>
      <c r="M233" s="7" t="str">
        <f ca="1">IF(ISERROR(F228)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E+</v>
      </c>
      <c r="N233" s="8">
        <f ca="1">INDEX($Z$2:$Z$17,MATCH(M233,$Y$2:$Y$17,0))</f>
        <v>5.5</v>
      </c>
      <c r="O233">
        <v>1</v>
      </c>
      <c r="P233" s="1">
        <f ca="1">IF(ISERROR(F228),"",IF(ISTEXT(VLOOKUP(B228,INDIRECT($F$8),6+(O233-1)*3)),(VLOOKUP(B228,INDIRECT($F$8),6+(O233-1)*3)),SUM(VLOOKUP(B228,INDIRECT($F$8),6+(O233-1)*3),IF(W246,W233,0))))</f>
        <v>47</v>
      </c>
      <c r="Q233" s="1">
        <f ca="1">IF(ISERROR(F228),"",VLOOKUP(B228,INDIRECT($F$8),7+(O233-1)*3))</f>
        <v>29</v>
      </c>
      <c r="R233" s="1">
        <f ca="1">IF(ISERROR(F228),"",SUM(P233:Q233))</f>
        <v>76</v>
      </c>
      <c r="S233" s="1">
        <f ca="1">IF(ISERROR(F228),"",VLOOKUP(A228,INDIRECT($F$8),6+(O233-1)*3))</f>
        <v>100</v>
      </c>
      <c r="T233" s="1">
        <f ca="1">IF(ISERROR(F228),"",VLOOKUP(A228,INDIRECT($F$8),7+(O233-1)*3))</f>
        <v>50</v>
      </c>
      <c r="U233" s="1">
        <f ca="1">IF(ISERROR(F228),"",VLOOKUP(A228,INDIRECT($F$8),8+(O233-1)*3))</f>
        <v>150</v>
      </c>
      <c r="V233" s="1" t="str">
        <f ca="1">IF(ISERROR(F228),"",IF(N233=0,A233,""))</f>
        <v/>
      </c>
      <c r="W233" s="1">
        <f ca="1">IF(ISERROR(F228),"",IF(ISTEXT(VLOOKUP(B228,INDIRECT($F$8),6+(O233-1)*3)),11,IF(VLOOKUP(B228,INDIRECT($F$8),6+(O233-1)*3)&lt;S233*0.3,IF(VLOOKUP(B228,INDIRECT($F$8),8+(O233-1)*3)&lt;U233*0.4,IF(AND(0.4*U233-VLOOKUP(B228,INDIRECT($F$8),8+(O233-1)*3)&lt;=5,0.3*S233-VLOOKUP(B228,INDIRECT($F$8),6+(O233-1)*3)&lt;=5),MAX(0.4*U233-VLOOKUP(B228,INDIRECT($F$8),8+(O233-1)*3),0.3*S233-VLOOKUP(B228,INDIRECT($F$8),6+(O233-1)*3)),11),IF(0.3*S233-VLOOKUP(B228,INDIRECT($F$8),6+(O233-1)*3)&lt;=5,0.3*S233-VLOOKUP(B228,INDIRECT($F$8),6+(O233-1)*3),11)),IF(VLOOKUP(B228,INDIRECT($F$8),8+(O233-1)*3)&lt;U233*0.4,IF(U233*0.4-VLOOKUP(B228,INDIRECT($F$8),8+(O233-1)*3)&lt;=5,U233*0.4-VLOOKUP(B228,INDIRECT($F$8),8+(O233-1)*3),11),0))))</f>
        <v>0</v>
      </c>
      <c r="X233" s="1" t="str">
        <f ca="1">IF(ISERROR(F228),"",IF(W233=0,"",_xlfn.TEXTJOIN("",FALSE," G+",W233," in ",A233)))</f>
        <v/>
      </c>
    </row>
    <row r="234" spans="1:24" ht="11.5" customHeight="1" x14ac:dyDescent="0.2">
      <c r="A234" s="7" t="str">
        <f ca="1">IF(ISERROR(F228),"",VLOOKUP(C228,INDIRECT($F$8),6+(O234-1)*3,0))</f>
        <v>AHT 003</v>
      </c>
      <c r="B234" s="24" t="str">
        <f ca="1">IF(ISERROR(F228),"",VLOOKUP(D228,INDIRECT($F$8),6+(O234-1)*3,0))</f>
        <v>Introduction to Engineering Mathematics</v>
      </c>
      <c r="C234" s="24"/>
      <c r="D234" s="24"/>
      <c r="E234" s="24"/>
      <c r="F234" s="7">
        <f ca="1">IF(ISERROR(F228),"",VLOOKUP(E228,INDIRECT($F$8),6+(O234-1)*3,0))</f>
        <v>4</v>
      </c>
      <c r="G234" s="25" t="str">
        <f ca="1">IF(ISERROR(F228),"",_xlfn.TEXTJOIN("/",FALSE,P234,S234))</f>
        <v>22/100</v>
      </c>
      <c r="H234" s="25"/>
      <c r="I234" s="25" t="str">
        <f ca="1">IF(ISERROR(F228),"",_xlfn.TEXTJOIN("/",FALSE,Q234,T234))</f>
        <v>24/50</v>
      </c>
      <c r="J234" s="25"/>
      <c r="K234" s="25" t="str">
        <f ca="1">IF(ISERROR(F228),"",_xlfn.TEXTJOIN("/",FALSE,R234,U234))</f>
        <v>46/150</v>
      </c>
      <c r="L234" s="25"/>
      <c r="M234" s="7" t="str">
        <f ca="1">IF(ISERROR(F228),"",IF(ISTEXT(P234),IF(P234="A","Ab",IF(P234="D","Dt",IF(P234="UFM","UFM",IF(P234="NA","")))),IF(AND(ISBLANK(P234),ISBLANK(R234)),"",IF(P234&lt;0.3*S234,"F",IF(ISBLANK(R234),"",IF(ISTEXT(R234),R234,IF(R234&gt;=0.95*U234,"O",IF(R234&gt;=0.9*U234,"A+",IF(R234&gt;=0.85*U234,"A",IF(R234&gt;=0.8*U234,"B+",IF(R234&gt;=0.75*U234,"B",IF(R234&gt;=0.7*U234,"C+",IF(R234&gt;=0.65*U234,"C",IF(R234&gt;=0.6*U234,"D+",IF(R234&gt;=0.55*U234,"D",IF(R234&gt;=0.5*U234,"E+",IF(R234&gt;=0.45*U234,"E",IF(R234&gt;=0.4*U234,"P",IF(R234&lt;0.4*U234,"F",R234)))))))))))))))))))</f>
        <v>F</v>
      </c>
      <c r="N234" s="8">
        <f t="shared" ref="N234:N243" ca="1" si="21">INDEX($Z$2:$Z$17,MATCH(M234,$Y$2:$Y$17,0))</f>
        <v>0</v>
      </c>
      <c r="O234">
        <f>O233+1</f>
        <v>2</v>
      </c>
      <c r="P234" s="1">
        <f ca="1">IF(ISERROR(F228),"",IF(ISTEXT(VLOOKUP(B228,INDIRECT($F$8),6+(O234-1)*3)),(VLOOKUP(B228,INDIRECT($F$8),6+(O234-1)*3)),SUM(VLOOKUP(B228,INDIRECT($F$8),6+(O234-1)*3),IF(W246,W234,0))))</f>
        <v>22</v>
      </c>
      <c r="Q234" s="1">
        <f ca="1">IF(ISERROR(F228),"",VLOOKUP(B228,INDIRECT($F$8),7+(O234-1)*3))</f>
        <v>24</v>
      </c>
      <c r="R234" s="1">
        <f ca="1">IF(ISERROR(F228),"",SUM(P234:Q234))</f>
        <v>46</v>
      </c>
      <c r="S234" s="1">
        <f ca="1">IF(ISERROR(F228),"",VLOOKUP(A228,INDIRECT($F$8),6+(O234-1)*3))</f>
        <v>100</v>
      </c>
      <c r="T234" s="1">
        <f ca="1">IF(ISERROR(F228),"",VLOOKUP(A228,INDIRECT($F$8),7+(O234-1)*3))</f>
        <v>50</v>
      </c>
      <c r="U234" s="1">
        <f ca="1">IF(ISERROR(F228),"",VLOOKUP(A228,INDIRECT($F$8),8+(O234-1)*3))</f>
        <v>150</v>
      </c>
      <c r="V234" s="1" t="str">
        <f ca="1">IF(ISERROR(F228),"",IF(N234=0,A234,""))</f>
        <v>AHT 003</v>
      </c>
      <c r="W234" s="1">
        <f ca="1">IF(ISERROR(F228),"",IF(ISTEXT(VLOOKUP(B228,INDIRECT($F$8),6+(O234-1)*3)),11,IF(VLOOKUP(B228,INDIRECT($F$8),6+(O234-1)*3)&lt;S234*0.3,IF(VLOOKUP(B228,INDIRECT($F$8),8+(O234-1)*3)&lt;U234*0.4,IF(AND(0.4*U234-VLOOKUP(B228,INDIRECT($F$8),8+(O234-1)*3)&lt;=5,0.3*S234-VLOOKUP(B228,INDIRECT($F$8),6+(O234-1)*3)&lt;=5),MAX(0.4*U234-VLOOKUP(B228,INDIRECT($F$8),8+(O234-1)*3),0.3*S234-VLOOKUP(B228,INDIRECT($F$8),6+(O234-1)*3)),11),IF(0.3*S234-VLOOKUP(B228,INDIRECT($F$8),6+(O234-1)*3)&lt;=5,0.3*S234-VLOOKUP(B228,INDIRECT($F$8),6+(O234-1)*3),11)),IF(VLOOKUP(B228,INDIRECT($F$8),8+(O234-1)*3)&lt;U234*0.4,IF(U234*0.4-VLOOKUP(B228,INDIRECT($F$8),8+(O234-1)*3)&lt;=5,U234*0.4-VLOOKUP(B228,INDIRECT($F$8),8+(O234-1)*3),11),0))))</f>
        <v>11</v>
      </c>
      <c r="X234" s="1" t="str">
        <f ca="1">IF(ISERROR(F228),"",IF(W234=0,"",_xlfn.TEXTJOIN("",FALSE," G+",W234," in ",A234)))</f>
        <v xml:space="preserve"> G+11 in AHT 003</v>
      </c>
    </row>
    <row r="235" spans="1:24" ht="11.5" customHeight="1" x14ac:dyDescent="0.2">
      <c r="A235" s="7" t="str">
        <f ca="1">IF(ISERROR(F228),"",VLOOKUP(C228,INDIRECT($F$8),6+(O235-1)*3,0))</f>
        <v>ECT 001</v>
      </c>
      <c r="B235" s="24" t="str">
        <f ca="1">IF(ISERROR(F228),"",VLOOKUP(D228,INDIRECT($F$8),6+(O235-1)*3,0))</f>
        <v>Basic Electronics Engineering</v>
      </c>
      <c r="C235" s="24"/>
      <c r="D235" s="24"/>
      <c r="E235" s="24"/>
      <c r="F235" s="7">
        <f ca="1">IF(ISERROR(F228),"",VLOOKUP(E228,INDIRECT($F$8),6+(O235-1)*3,0))</f>
        <v>4</v>
      </c>
      <c r="G235" s="25" t="str">
        <f ca="1">IF(ISERROR(F228),"",_xlfn.TEXTJOIN("/",FALSE,P235,S235))</f>
        <v>42/100</v>
      </c>
      <c r="H235" s="25"/>
      <c r="I235" s="25" t="str">
        <f ca="1">IF(ISERROR(F228),"",_xlfn.TEXTJOIN("/",FALSE,Q235,T235))</f>
        <v>42/50</v>
      </c>
      <c r="J235" s="25"/>
      <c r="K235" s="25" t="str">
        <f ca="1">IF(ISERROR(F228),"",_xlfn.TEXTJOIN("/",FALSE,R235,U235))</f>
        <v>84/150</v>
      </c>
      <c r="L235" s="25"/>
      <c r="M235" s="7" t="str">
        <f ca="1">IF(ISERROR(F228),"",IF(ISTEXT(P235),IF(P235="A","Ab",IF(P235="D","Dt",IF(P235="UFM","UFM",IF(P235="NA","")))),IF(AND(ISBLANK(P235),ISBLANK(R235)),"",IF(P235&lt;0.3*S235,"F",IF(ISBLANK(R235),"",IF(ISTEXT(R235),R235,IF(R235&gt;=0.95*U235,"O",IF(R235&gt;=0.9*U235,"A+",IF(R235&gt;=0.85*U235,"A",IF(R235&gt;=0.8*U235,"B+",IF(R235&gt;=0.75*U235,"B",IF(R235&gt;=0.7*U235,"C+",IF(R235&gt;=0.65*U235,"C",IF(R235&gt;=0.6*U235,"D+",IF(R235&gt;=0.55*U235,"D",IF(R235&gt;=0.5*U235,"E+",IF(R235&gt;=0.45*U235,"E",IF(R235&gt;=0.4*U235,"P",IF(R235&lt;0.4*U235,"F",R235)))))))))))))))))))</f>
        <v>D</v>
      </c>
      <c r="N235" s="8">
        <f t="shared" ca="1" si="21"/>
        <v>6</v>
      </c>
      <c r="O235">
        <f>O234+1</f>
        <v>3</v>
      </c>
      <c r="P235" s="1">
        <f ca="1">IF(ISERROR(F228),"",IF(ISTEXT(VLOOKUP(B228,INDIRECT($F$8),6+(O235-1)*3)),(VLOOKUP(B228,INDIRECT($F$8),6+(O235-1)*3)),SUM(VLOOKUP(B228,INDIRECT($F$8),6+(O235-1)*3),IF(W246,W235,0))))</f>
        <v>42</v>
      </c>
      <c r="Q235" s="1">
        <f ca="1">IF(ISERROR(F228),"",VLOOKUP(B228,INDIRECT($F$8),7+(O235-1)*3))</f>
        <v>42</v>
      </c>
      <c r="R235" s="1">
        <f ca="1">IF(ISERROR(F228),"",SUM(P235:Q235))</f>
        <v>84</v>
      </c>
      <c r="S235" s="1">
        <f ca="1">IF(ISERROR(F228),"",VLOOKUP(A228,INDIRECT($F$8),6+(O235-1)*3))</f>
        <v>100</v>
      </c>
      <c r="T235" s="1">
        <f ca="1">IF(ISERROR(F228),"",VLOOKUP(A228,INDIRECT($F$8),7+(O235-1)*3))</f>
        <v>50</v>
      </c>
      <c r="U235" s="1">
        <f ca="1">IF(ISERROR(F228),"",VLOOKUP(A228,INDIRECT($F$8),8+(O235-1)*3))</f>
        <v>150</v>
      </c>
      <c r="V235" s="1" t="str">
        <f ca="1">IF(ISERROR(F228),"",IF(N235=0,A235,""))</f>
        <v/>
      </c>
      <c r="W235" s="1">
        <f ca="1">IF(ISERROR(F228),"",IF(ISTEXT(VLOOKUP(B228,INDIRECT($F$8),6+(O235-1)*3)),11,IF(VLOOKUP(B228,INDIRECT($F$8),6+(O235-1)*3)&lt;S235*0.3,IF(VLOOKUP(B228,INDIRECT($F$8),8+(O235-1)*3)&lt;U235*0.4,IF(AND(0.4*U235-VLOOKUP(B228,INDIRECT($F$8),8+(O235-1)*3)&lt;=5,0.3*S235-VLOOKUP(B228,INDIRECT($F$8),6+(O235-1)*3)&lt;=5),MAX(0.4*U235-VLOOKUP(B228,INDIRECT($F$8),8+(O235-1)*3),0.3*S235-VLOOKUP(B228,INDIRECT($F$8),6+(O235-1)*3)),11),IF(0.3*S235-VLOOKUP(B228,INDIRECT($F$8),6+(O235-1)*3)&lt;=5,0.3*S235-VLOOKUP(B228,INDIRECT($F$8),6+(O235-1)*3),11)),IF(VLOOKUP(B228,INDIRECT($F$8),8+(O235-1)*3)&lt;U235*0.4,IF(U235*0.4-VLOOKUP(B228,INDIRECT($F$8),8+(O235-1)*3)&lt;=5,U235*0.4-VLOOKUP(B228,INDIRECT($F$8),8+(O235-1)*3),11),0))))</f>
        <v>0</v>
      </c>
      <c r="X235" s="1" t="str">
        <f ca="1">IF(ISERROR(F228),"",IF(W235=0,"",_xlfn.TEXTJOIN("",FALSE," G+",W235," in ",A235)))</f>
        <v/>
      </c>
    </row>
    <row r="236" spans="1:24" ht="11.5" customHeight="1" x14ac:dyDescent="0.2">
      <c r="A236" s="7" t="str">
        <f ca="1">IF(ISERROR(F228),"",VLOOKUP(C228,INDIRECT($F$8),6+(O236-1)*3,0))</f>
        <v>MET 001</v>
      </c>
      <c r="B236" s="24" t="str">
        <f ca="1">IF(ISERROR(F228),"",VLOOKUP(D228,INDIRECT($F$8),6+(O236-1)*3,0))</f>
        <v>Basic Mechanical Engineering</v>
      </c>
      <c r="C236" s="24"/>
      <c r="D236" s="24"/>
      <c r="E236" s="24"/>
      <c r="F236" s="7">
        <f ca="1">IF(ISERROR(F228),"",VLOOKUP(E228,INDIRECT($F$8),6+(O236-1)*3,0))</f>
        <v>4</v>
      </c>
      <c r="G236" s="25" t="str">
        <f ca="1">IF(ISERROR(F228),"",_xlfn.TEXTJOIN("/",FALSE,P236,S236))</f>
        <v>55/100</v>
      </c>
      <c r="H236" s="25"/>
      <c r="I236" s="25" t="str">
        <f ca="1">IF(ISERROR(F228),"",_xlfn.TEXTJOIN("/",FALSE,Q236,T236))</f>
        <v>42/50</v>
      </c>
      <c r="J236" s="25"/>
      <c r="K236" s="25" t="str">
        <f ca="1">IF(ISERROR(F228),"",_xlfn.TEXTJOIN("/",FALSE,R236,U236))</f>
        <v>97/150</v>
      </c>
      <c r="L236" s="25"/>
      <c r="M236" s="7" t="str">
        <f ca="1">IF(ISERROR(F228),"",IF(ISTEXT(P236),IF(P236="A","Ab",IF(P236="D","Dt",IF(P236="UFM","UFM",IF(P236="NA","")))),IF(AND(ISBLANK(P236),ISBLANK(R236)),"",IF(P236&lt;0.3*S236,"F",IF(ISBLANK(R236),"",IF(ISTEXT(R236),R236,IF(R236&gt;=0.95*U236,"O",IF(R236&gt;=0.9*U236,"A+",IF(R236&gt;=0.85*U236,"A",IF(R236&gt;=0.8*U236,"B+",IF(R236&gt;=0.75*U236,"B",IF(R236&gt;=0.7*U236,"C+",IF(R236&gt;=0.65*U236,"C",IF(R236&gt;=0.6*U236,"D+",IF(R236&gt;=0.55*U236,"D",IF(R236&gt;=0.5*U236,"E+",IF(R236&gt;=0.45*U236,"E",IF(R236&gt;=0.4*U236,"P",IF(R236&lt;0.4*U236,"F",R236)))))))))))))))))))</f>
        <v>D+</v>
      </c>
      <c r="N236" s="8">
        <f t="shared" ca="1" si="21"/>
        <v>6.5</v>
      </c>
      <c r="O236">
        <f>O235+1</f>
        <v>4</v>
      </c>
      <c r="P236" s="1">
        <f ca="1">IF(ISERROR(F228),"",IF(ISTEXT(VLOOKUP(B228,INDIRECT($F$8),6+(O236-1)*3)),(VLOOKUP(B228,INDIRECT($F$8),6+(O236-1)*3)),SUM(VLOOKUP(B228,INDIRECT($F$8),6+(O236-1)*3),IF(W246,W236,0))))</f>
        <v>55</v>
      </c>
      <c r="Q236" s="1">
        <f ca="1">IF(ISERROR(F228),"",VLOOKUP(B228,INDIRECT($F$8),7+(O236-1)*3))</f>
        <v>42</v>
      </c>
      <c r="R236" s="1">
        <f ca="1">IF(ISERROR(F228),"",SUM(P236:Q236))</f>
        <v>97</v>
      </c>
      <c r="S236" s="1">
        <f ca="1">IF(ISERROR(F228),"",VLOOKUP(A228,INDIRECT($F$8),6+(O236-1)*3))</f>
        <v>100</v>
      </c>
      <c r="T236" s="1">
        <f ca="1">IF(ISERROR(F228),"",VLOOKUP(A228,INDIRECT($F$8),7+(O236-1)*3))</f>
        <v>50</v>
      </c>
      <c r="U236" s="1">
        <f ca="1">IF(ISERROR(F228),"",VLOOKUP(A228,INDIRECT($F$8),8+(O236-1)*3))</f>
        <v>150</v>
      </c>
      <c r="V236" s="1" t="str">
        <f ca="1">IF(ISERROR(F228),"",IF(N236=0,A236,""))</f>
        <v/>
      </c>
      <c r="W236" s="1">
        <f ca="1">IF(ISERROR(F228),"",IF(ISTEXT(VLOOKUP(B228,INDIRECT($F$8),6+(O236-1)*3)),11,IF(VLOOKUP(B228,INDIRECT($F$8),6+(O236-1)*3)&lt;S236*0.3,IF(VLOOKUP(B228,INDIRECT($F$8),8+(O236-1)*3)&lt;U236*0.4,IF(AND(0.4*U236-VLOOKUP(B228,INDIRECT($F$8),8+(O236-1)*3)&lt;=5,0.3*S236-VLOOKUP(B228,INDIRECT($F$8),6+(O236-1)*3)&lt;=5),MAX(0.4*U236-VLOOKUP(B228,INDIRECT($F$8),8+(O236-1)*3),0.3*S236-VLOOKUP(B228,INDIRECT($F$8),6+(O236-1)*3)),11),IF(0.3*S236-VLOOKUP(B228,INDIRECT($F$8),6+(O236-1)*3)&lt;=5,0.3*S236-VLOOKUP(B228,INDIRECT($F$8),6+(O236-1)*3),11)),IF(VLOOKUP(B228,INDIRECT($F$8),8+(O236-1)*3)&lt;U236*0.4,IF(U236*0.4-VLOOKUP(B228,INDIRECT($F$8),8+(O236-1)*3)&lt;=5,U236*0.4-VLOOKUP(B228,INDIRECT($F$8),8+(O236-1)*3),11),0))))</f>
        <v>0</v>
      </c>
      <c r="X236" s="1" t="str">
        <f ca="1">IF(ISERROR(F228),"",IF(W236=0,"",_xlfn.TEXTJOIN("",FALSE," G+",W236," in ",A236)))</f>
        <v/>
      </c>
    </row>
    <row r="237" spans="1:24" ht="11.5" customHeight="1" x14ac:dyDescent="0.2">
      <c r="A237" s="7" t="str">
        <f ca="1">IF(ISERROR(F228),"",VLOOKUP(C228,INDIRECT($F$8),6+(O237-1)*3,0))</f>
        <v>AHT 000</v>
      </c>
      <c r="B237" s="24" t="str">
        <f ca="1">IF(ISERROR(F228),"",VLOOKUP(D228,INDIRECT($F$8),6+(O237-1)*3,0))</f>
        <v>Basic Mathematics (Bridge Course) ($)</v>
      </c>
      <c r="C237" s="24"/>
      <c r="D237" s="24"/>
      <c r="E237" s="24"/>
      <c r="F237" s="7">
        <f ca="1">IF(ISERROR(F228),"",VLOOKUP(E228,INDIRECT($F$8),6+(O237-1)*3,0))</f>
        <v>0</v>
      </c>
      <c r="G237" s="25" t="str">
        <f ca="1">IF(ISERROR(F228),"",_xlfn.TEXTJOIN("/",FALSE,P237,S237))</f>
        <v>41/100</v>
      </c>
      <c r="H237" s="25"/>
      <c r="I237" s="25" t="str">
        <f ca="1">IF(ISERROR(F228),"",_xlfn.TEXTJOIN("/",FALSE,Q237,T237))</f>
        <v>26/50</v>
      </c>
      <c r="J237" s="25"/>
      <c r="K237" s="25" t="str">
        <f ca="1">IF(ISERROR(F228),"",_xlfn.TEXTJOIN("/",FALSE,R237,U237))</f>
        <v>67/150</v>
      </c>
      <c r="L237" s="25"/>
      <c r="M237" s="7" t="str">
        <f ca="1">IF(ISERROR(F228),"",IF(ISTEXT(P237),IF(P237="A","Ab",IF(P237="D","Dt",IF(P237="UFM","UFM",IF(P237="NA","")))),IF(AND(ISBLANK(P237),ISBLANK(R237)),"",IF(P237&lt;0.3*S237,"F",IF(ISBLANK(R237),"",IF(ISTEXT(R237),R237,IF(R237&gt;=0.95*U237,"O",IF(R237&gt;=0.9*U237,"A+",IF(R237&gt;=0.85*U237,"A",IF(R237&gt;=0.8*U237,"B+",IF(R237&gt;=0.75*U237,"B",IF(R237&gt;=0.7*U237,"C+",IF(R237&gt;=0.65*U237,"C",IF(R237&gt;=0.6*U237,"D+",IF(R237&gt;=0.55*U237,"D",IF(R237&gt;=0.5*U237,"E+",IF(R237&gt;=0.45*U237,"E",IF(R237&gt;=0.4*U237,"P",IF(R237&lt;0.4*U237,"F",R237)))))))))))))))))))</f>
        <v>P</v>
      </c>
      <c r="N237" s="8">
        <f t="shared" ca="1" si="21"/>
        <v>4.5</v>
      </c>
      <c r="O237" cm="1">
        <f t="array" aca="1" ref="O237" ca="1">IF(NOT(ISBLANK(INDIRECT("SEM_I!R"&amp;INT((ROW(O237)-17)/22)+6))),5,
IF(NOT(ISBLANK(INDIRECT("SEM_I!U"&amp;INT((ROW(O237)-17)/22)+6))),6))</f>
        <v>5</v>
      </c>
      <c r="P237" s="1">
        <f ca="1">IF(ISERROR(F228),"",IF(ISTEXT(VLOOKUP(B228,INDIRECT($F$8),6+(O237-1)*3)),(VLOOKUP(B228,INDIRECT($F$8),6+(O237-1)*3)),SUM(VLOOKUP(B228,INDIRECT($F$8),6+(O237-1)*3),IF(W246,W237,0))))</f>
        <v>41</v>
      </c>
      <c r="Q237" s="1">
        <f ca="1">IF(ISERROR(F228),"",VLOOKUP(B228,INDIRECT($F$8),7+(O237-1)*3))</f>
        <v>26</v>
      </c>
      <c r="R237" s="1">
        <f ca="1">IF(ISERROR(F228),"",SUM(P237:Q237))</f>
        <v>67</v>
      </c>
      <c r="S237" s="1">
        <f ca="1">IF(ISERROR(F228),"",VLOOKUP(A228,INDIRECT($F$8),6+(O237-1)*3))</f>
        <v>100</v>
      </c>
      <c r="T237" s="1">
        <f ca="1">IF(ISERROR(F228),"",VLOOKUP(A228,INDIRECT($F$8),7+(O237-1)*3))</f>
        <v>50</v>
      </c>
      <c r="U237" s="1">
        <f ca="1">IF(ISERROR(F228),"",VLOOKUP(A228,INDIRECT($F$8),8+(O237-1)*3))</f>
        <v>150</v>
      </c>
      <c r="V237" s="1" t="str">
        <f ca="1">IF(ISERROR(F228),"",IF(N237=0,A237,""))</f>
        <v/>
      </c>
      <c r="W237" s="1">
        <f ca="1">IF(ISERROR(F228),"",IF(ISTEXT(VLOOKUP(B228,INDIRECT($F$8),6+(O237-1)*3)),11,IF(VLOOKUP(B228,INDIRECT($F$8),6+(O237-1)*3)&lt;S237*0.3,IF(VLOOKUP(B228,INDIRECT($F$8),8+(O237-1)*3)&lt;U237*0.4,IF(AND(0.4*U237-VLOOKUP(B228,INDIRECT($F$8),8+(O237-1)*3)&lt;=5,0.3*S237-VLOOKUP(B228,INDIRECT($F$8),6+(O237-1)*3)&lt;=5),MAX(0.4*U237-VLOOKUP(B228,INDIRECT($F$8),8+(O237-1)*3),0.3*S237-VLOOKUP(B228,INDIRECT($F$8),6+(O237-1)*3)),11),IF(0.3*S237-VLOOKUP(B228,INDIRECT($F$8),6+(O237-1)*3)&lt;=5,0.3*S237-VLOOKUP(B228,INDIRECT($F$8),6+(O237-1)*3),11)),IF(VLOOKUP(B228,INDIRECT($F$8),8+(O237-1)*3)&lt;U237*0.4,IF(U237*0.4-VLOOKUP(B228,INDIRECT($F$8),8+(O237-1)*3)&lt;=5,U237*0.4-VLOOKUP(B228,INDIRECT($F$8),8+(O237-1)*3),11),0))))</f>
        <v>0</v>
      </c>
      <c r="X237" s="1" t="str">
        <f ca="1">IF(ISERROR(F228),"",IF(W237=0,"",_xlfn.TEXTJOIN("",FALSE," G+",W237," in ",A237)))</f>
        <v/>
      </c>
    </row>
    <row r="238" spans="1:24" ht="11.5" customHeight="1" x14ac:dyDescent="0.2">
      <c r="A238" s="7" t="str">
        <f ca="1">IF(ISERROR(F228),"",VLOOKUP(C228,INDIRECT($F$8),6+(O238-1)*3,0))</f>
        <v>AHP 002</v>
      </c>
      <c r="B238" s="24" t="str">
        <f ca="1">IF(ISERROR(F228),"",VLOOKUP(D228,INDIRECT($F$8),6+(O238-1)*3,0))</f>
        <v>Engineering Chemistry Lab</v>
      </c>
      <c r="C238" s="24"/>
      <c r="D238" s="24"/>
      <c r="E238" s="24"/>
      <c r="F238" s="7">
        <f ca="1">IF(ISERROR(F228),"",VLOOKUP(E228,INDIRECT($F$8),6+(O238-1)*3,0))</f>
        <v>1</v>
      </c>
      <c r="G238" s="25" t="str">
        <f ca="1">IF(ISERROR(F228),"",_xlfn.TEXTJOIN("/",FALSE,P238,S238))</f>
        <v>16/25</v>
      </c>
      <c r="H238" s="25"/>
      <c r="I238" s="25" t="str">
        <f ca="1">IF(ISERROR(F228),"",_xlfn.TEXTJOIN("/",FALSE,Q238,T238))</f>
        <v>18/25</v>
      </c>
      <c r="J238" s="25"/>
      <c r="K238" s="25" t="str">
        <f ca="1">IF(ISERROR(F228),"",_xlfn.TEXTJOIN("/",FALSE,R238,U238))</f>
        <v>34/50</v>
      </c>
      <c r="L238" s="25"/>
      <c r="M238" s="7" t="str">
        <f ca="1">IF(ISERROR(F228),"",IF(ISTEXT(P238),IF(P238="A","Ab",IF(P238="D","Dt",IF(P238="UFM","UFM",IF(P238="NA","")))),IF(AND(ISBLANK(P238),ISBLANK(R238)),"",IF(P238&lt;0.3*S238,"F",IF(ISBLANK(R238),"",IF(ISTEXT(R238),R238,IF(R238&gt;=0.95*U238,"O",IF(R238&gt;=0.9*U238,"A+",IF(R238&gt;=0.85*U238,"A",IF(R238&gt;=0.8*U238,"B+",IF(R238&gt;=0.75*U238,"B",IF(R238&gt;=0.7*U238,"C+",IF(R238&gt;=0.65*U238,"C",IF(R238&gt;=0.6*U238,"D+",IF(R238&gt;=0.55*U238,"D",IF(R238&gt;=0.5*U238,"E+",IF(R238&gt;=0.45*U238,"E",IF(R238&gt;=0.4*U238,"P",IF(R238&lt;0.4*U238,"F",R238)))))))))))))))))))</f>
        <v>C</v>
      </c>
      <c r="N238" s="8">
        <f t="shared" ca="1" si="21"/>
        <v>7</v>
      </c>
      <c r="O238">
        <f ca="1">IF(O237&gt;0,7)</f>
        <v>7</v>
      </c>
      <c r="P238" s="1">
        <f ca="1">IF(ISERROR(F228),"",IF(ISTEXT(VLOOKUP(B228,INDIRECT($F$8),6+(O238-1)*3)),(VLOOKUP(B228,INDIRECT($F$8),6+(O238-1)*3)),SUM(VLOOKUP(B228,INDIRECT($F$8),6+(O238-1)*3),IF(W246,W238,0))))</f>
        <v>16</v>
      </c>
      <c r="Q238" s="1">
        <f ca="1">IF(ISERROR(F228),"",VLOOKUP(B228,INDIRECT($F$8),7+(O238-1)*3))</f>
        <v>18</v>
      </c>
      <c r="R238" s="1">
        <f ca="1">IF(ISERROR(F228),"",SUM(P238:Q238))</f>
        <v>34</v>
      </c>
      <c r="S238" s="1">
        <f ca="1">IF(ISERROR(F228),"",VLOOKUP(A228,INDIRECT($F$8),6+(O238-1)*3))</f>
        <v>25</v>
      </c>
      <c r="T238" s="1">
        <f ca="1">IF(ISERROR(F228),"",VLOOKUP(A228,INDIRECT($F$8),7+(O238-1)*3))</f>
        <v>25</v>
      </c>
      <c r="U238" s="1">
        <f ca="1">IF(ISERROR(F228),"",VLOOKUP(A228,INDIRECT($F$8),8+(O238-1)*3))</f>
        <v>50</v>
      </c>
      <c r="V238" s="1" t="str">
        <f ca="1">IF(ISERROR(F228),"",IF(N238=0,A238,""))</f>
        <v/>
      </c>
      <c r="W238" s="1">
        <f ca="1">IF(ISERROR(F228),"",IF(ISTEXT(VLOOKUP(B228,INDIRECT($F$8),6+(O238-1)*3)),11,IF(VLOOKUP(B228,INDIRECT($F$8),6+(O238-1)*3)&lt;S238*0.3,IF(VLOOKUP(B228,INDIRECT($F$8),8+(O238-1)*3)&lt;U238*0.4,IF(AND(0.4*U238-VLOOKUP(B228,INDIRECT($F$8),8+(O238-1)*3)&lt;=5,0.3*S238-VLOOKUP(B228,INDIRECT($F$8),6+(O238-1)*3)&lt;=5),MAX(0.4*U238-VLOOKUP(B228,INDIRECT($F$8),8+(O238-1)*3),0.3*S238-VLOOKUP(B228,INDIRECT($F$8),6+(O238-1)*3)),11),IF(0.3*S238-VLOOKUP(B228,INDIRECT($F$8),6+(O238-1)*3)&lt;=5,0.3*S238-VLOOKUP(B228,INDIRECT($F$8),6+(O238-1)*3),11)),IF(VLOOKUP(B228,INDIRECT($F$8),8+(O238-1)*3)&lt;U238*0.4,IF(U238*0.4-VLOOKUP(B228,INDIRECT($F$8),8+(O238-1)*3)&lt;=5,U238*0.4-VLOOKUP(B228,INDIRECT($F$8),8+(O238-1)*3),11),0))))</f>
        <v>0</v>
      </c>
      <c r="X238" s="1" t="str">
        <f ca="1">IF(ISERROR(F228),"",IF(W238=0,"",_xlfn.TEXTJOIN("",FALSE," G+",W238," in ",A238)))</f>
        <v/>
      </c>
    </row>
    <row r="239" spans="1:24" ht="11.5" customHeight="1" x14ac:dyDescent="0.2">
      <c r="A239" s="7" t="str">
        <f ca="1">IF(ISERROR(F228),"",VLOOKUP(C228,INDIRECT($F$8),6+(O239-1)*3,0))</f>
        <v>ECP 001</v>
      </c>
      <c r="B239" s="24" t="str">
        <f ca="1">IF(ISERROR(F228),"",VLOOKUP(D228,INDIRECT($F$8),6+(O239-1)*3,0))</f>
        <v>Basic Electronics Engineering Lab</v>
      </c>
      <c r="C239" s="24"/>
      <c r="D239" s="24"/>
      <c r="E239" s="24"/>
      <c r="F239" s="7">
        <f ca="1">IF(ISERROR(F228),"",VLOOKUP(E228,INDIRECT($F$8),6+(O239-1)*3,0))</f>
        <v>1</v>
      </c>
      <c r="G239" s="25" t="str">
        <f ca="1">IF(ISERROR(F228),"",_xlfn.TEXTJOIN("/",FALSE,P239,S239))</f>
        <v>17/25</v>
      </c>
      <c r="H239" s="25"/>
      <c r="I239" s="25" t="str">
        <f ca="1">IF(ISERROR(F228),"",_xlfn.TEXTJOIN("/",FALSE,Q239,T239))</f>
        <v>18/25</v>
      </c>
      <c r="J239" s="25"/>
      <c r="K239" s="25" t="str">
        <f ca="1">IF(ISERROR(F228),"",_xlfn.TEXTJOIN("/",FALSE,R239,U239))</f>
        <v>35/50</v>
      </c>
      <c r="L239" s="25"/>
      <c r="M239" s="7" t="str">
        <f ca="1">IF(ISERROR(F228),"",IF(ISTEXT(P239),IF(P239="A","Ab",IF(P239="D","Dt",IF(P239="UFM","UFM",IF(P239="NA","")))),IF(AND(ISBLANK(P239),ISBLANK(R239)),"",IF(P239&lt;0.3*S239,"F",IF(ISBLANK(R239),"",IF(ISTEXT(R239),R239,IF(R239&gt;=0.95*U239,"O",IF(R239&gt;=0.9*U239,"A+",IF(R239&gt;=0.85*U239,"A",IF(R239&gt;=0.8*U239,"B+",IF(R239&gt;=0.75*U239,"B",IF(R239&gt;=0.7*U239,"C+",IF(R239&gt;=0.65*U239,"C",IF(R239&gt;=0.6*U239,"D+",IF(R239&gt;=0.55*U239,"D",IF(R239&gt;=0.5*U239,"E+",IF(R239&gt;=0.45*U239,"E",IF(R239&gt;=0.4*U239,"P",IF(R239&lt;0.4*U239,"F",R239)))))))))))))))))))</f>
        <v>C+</v>
      </c>
      <c r="N239" s="8">
        <f t="shared" ca="1" si="21"/>
        <v>7.5</v>
      </c>
      <c r="O239">
        <f t="shared" ref="O239:O245" ca="1" si="22">O238+1</f>
        <v>8</v>
      </c>
      <c r="P239" s="1">
        <f ca="1">IF(ISERROR(F228),"",IF(ISTEXT(VLOOKUP(B228,INDIRECT($F$8),6+(O239-1)*3)),(VLOOKUP(B228,INDIRECT($F$8),6+(O239-1)*3)),SUM(VLOOKUP(B228,INDIRECT($F$8),6+(O239-1)*3),IF(W246,W239,0))))</f>
        <v>17</v>
      </c>
      <c r="Q239" s="1">
        <f ca="1">IF(ISERROR(F228),"",VLOOKUP(B228,INDIRECT($F$8),7+(O239-1)*3))</f>
        <v>18</v>
      </c>
      <c r="R239" s="1">
        <f ca="1">IF(ISERROR(F228),"",SUM(P239:Q239))</f>
        <v>35</v>
      </c>
      <c r="S239" s="1">
        <f ca="1">IF(ISERROR(F228),"",VLOOKUP(A228,INDIRECT($F$8),6+(O239-1)*3))</f>
        <v>25</v>
      </c>
      <c r="T239" s="1">
        <f ca="1">IF(ISERROR(F228),"",VLOOKUP(A228,INDIRECT($F$8),7+(O239-1)*3))</f>
        <v>25</v>
      </c>
      <c r="U239" s="1">
        <f ca="1">IF(ISERROR(F228),"",VLOOKUP(A228,INDIRECT($F$8),8+(O239-1)*3))</f>
        <v>50</v>
      </c>
      <c r="V239" s="1" t="str">
        <f ca="1">IF(ISERROR(F228),"",IF(N239=0,A239,""))</f>
        <v/>
      </c>
      <c r="W239" s="1">
        <f ca="1">IF(ISERROR(F228),"",IF(ISTEXT(VLOOKUP(B228,INDIRECT($F$8),6+(O239-1)*3)),11,IF(VLOOKUP(B228,INDIRECT($F$8),6+(O239-1)*3)&lt;S239*0.3,IF(VLOOKUP(B228,INDIRECT($F$8),8+(O239-1)*3)&lt;U239*0.4,IF(AND(0.4*U239-VLOOKUP(B228,INDIRECT($F$8),8+(O239-1)*3)&lt;=5,0.3*S239-VLOOKUP(B228,INDIRECT($F$8),6+(O239-1)*3)&lt;=5),MAX(0.4*U239-VLOOKUP(B228,INDIRECT($F$8),8+(O239-1)*3),0.3*S239-VLOOKUP(B228,INDIRECT($F$8),6+(O239-1)*3)),11),IF(0.3*S239-VLOOKUP(B228,INDIRECT($F$8),6+(O239-1)*3)&lt;=5,0.3*S239-VLOOKUP(B228,INDIRECT($F$8),6+(O239-1)*3),11)),IF(VLOOKUP(B228,INDIRECT($F$8),8+(O239-1)*3)&lt;U239*0.4,IF(U239*0.4-VLOOKUP(B228,INDIRECT($F$8),8+(O239-1)*3)&lt;=5,U239*0.4-VLOOKUP(B228,INDIRECT($F$8),8+(O239-1)*3),11),0))))</f>
        <v>0</v>
      </c>
      <c r="X239" s="1" t="str">
        <f ca="1">IF(ISERROR(F228),"",IF(W239=0,"",_xlfn.TEXTJOIN("",FALSE," G+",W239," in ",A239)))</f>
        <v/>
      </c>
    </row>
    <row r="240" spans="1:24" ht="11.5" customHeight="1" x14ac:dyDescent="0.2">
      <c r="A240" s="7" t="str">
        <f ca="1">IF(ISERROR(F228),"",VLOOKUP(C228,INDIRECT($F$8),6+(O240-1)*3,0))</f>
        <v>MEP 001</v>
      </c>
      <c r="B240" s="24" t="str">
        <f ca="1">IF(ISERROR(F228),"",VLOOKUP(D228,INDIRECT($F$8),6+(O240-1)*3,0))</f>
        <v>Basic Mechanical Engineering Lab</v>
      </c>
      <c r="C240" s="24"/>
      <c r="D240" s="24"/>
      <c r="E240" s="24"/>
      <c r="F240" s="7">
        <f ca="1">IF(ISERROR(F228),"",VLOOKUP(E228,INDIRECT($F$8),6+(O240-1)*3,0))</f>
        <v>1</v>
      </c>
      <c r="G240" s="25" t="str">
        <f ca="1">IF(ISERROR(F228),"",_xlfn.TEXTJOIN("/",FALSE,P240,S240))</f>
        <v>22/25</v>
      </c>
      <c r="H240" s="25"/>
      <c r="I240" s="25" t="str">
        <f ca="1">IF(ISERROR(F228),"",_xlfn.TEXTJOIN("/",FALSE,Q240,T240))</f>
        <v>21/25</v>
      </c>
      <c r="J240" s="25"/>
      <c r="K240" s="25" t="str">
        <f ca="1">IF(ISERROR(F228),"",_xlfn.TEXTJOIN("/",FALSE,R240,U240))</f>
        <v>43/50</v>
      </c>
      <c r="L240" s="25"/>
      <c r="M240" s="7" t="str">
        <f ca="1">IF(ISERROR(F228),"",IF(ISTEXT(P240),IF(P240="A","Ab",IF(P240="D","Dt",IF(P240="UFM","UFM",IF(P240="NA","")))),IF(AND(ISBLANK(P240),ISBLANK(R240)),"",IF(P240&lt;0.3*S240,"F",IF(ISBLANK(R240),"",IF(ISTEXT(R240),R240,IF(R240&gt;=0.95*U240,"O",IF(R240&gt;=0.9*U240,"A+",IF(R240&gt;=0.85*U240,"A",IF(R240&gt;=0.8*U240,"B+",IF(R240&gt;=0.75*U240,"B",IF(R240&gt;=0.7*U240,"C+",IF(R240&gt;=0.65*U240,"C",IF(R240&gt;=0.6*U240,"D+",IF(R240&gt;=0.55*U240,"D",IF(R240&gt;=0.5*U240,"E+",IF(R240&gt;=0.45*U240,"E",IF(R240&gt;=0.4*U240,"P",IF(R240&lt;0.4*U240,"F",R240)))))))))))))))))))</f>
        <v>A</v>
      </c>
      <c r="N240" s="8">
        <f t="shared" ca="1" si="21"/>
        <v>9</v>
      </c>
      <c r="O240">
        <f t="shared" ca="1" si="22"/>
        <v>9</v>
      </c>
      <c r="P240" s="1">
        <f ca="1">IF(ISERROR(F228),"",IF(ISTEXT(VLOOKUP(B228,INDIRECT($F$8),6+(O240-1)*3)),(VLOOKUP(B228,INDIRECT($F$8),6+(O240-1)*3)),SUM(VLOOKUP(B228,INDIRECT($F$8),6+(O240-1)*3),IF(W246,W240,0))))</f>
        <v>22</v>
      </c>
      <c r="Q240" s="1">
        <f ca="1">IF(ISERROR(F228),"",VLOOKUP(B228,INDIRECT($F$8),7+(O240-1)*3))</f>
        <v>21</v>
      </c>
      <c r="R240" s="1">
        <f ca="1">IF(ISERROR(F228),"",SUM(P240:Q240))</f>
        <v>43</v>
      </c>
      <c r="S240" s="1">
        <f ca="1">IF(ISERROR(F228),"",VLOOKUP(A228,INDIRECT($F$8),6+(O240-1)*3))</f>
        <v>25</v>
      </c>
      <c r="T240" s="1">
        <f ca="1">IF(ISERROR(F228),"",VLOOKUP(A228,INDIRECT($F$8),7+(O240-1)*3))</f>
        <v>25</v>
      </c>
      <c r="U240" s="1">
        <f ca="1">IF(ISERROR(F228),"",VLOOKUP(A228,INDIRECT($F$8),8+(O240-1)*3))</f>
        <v>50</v>
      </c>
      <c r="V240" s="1" t="str">
        <f ca="1">IF(ISERROR(F228),"",IF(N240=0,A240,""))</f>
        <v/>
      </c>
      <c r="W240" s="1">
        <f ca="1">IF(ISERROR(F228),"",IF(ISTEXT(VLOOKUP(B228,INDIRECT($F$8),6+(O240-1)*3)),11,IF(VLOOKUP(B228,INDIRECT($F$8),6+(O240-1)*3)&lt;S240*0.3,IF(VLOOKUP(B228,INDIRECT($F$8),8+(O240-1)*3)&lt;U240*0.4,IF(AND(0.4*U240-VLOOKUP(B228,INDIRECT($F$8),8+(O240-1)*3)&lt;=5,0.3*S240-VLOOKUP(B228,INDIRECT($F$8),6+(O240-1)*3)&lt;=5),MAX(0.4*U240-VLOOKUP(B228,INDIRECT($F$8),8+(O240-1)*3),0.3*S240-VLOOKUP(B228,INDIRECT($F$8),6+(O240-1)*3)),11),IF(0.3*S240-VLOOKUP(B228,INDIRECT($F$8),6+(O240-1)*3)&lt;=5,0.3*S240-VLOOKUP(B228,INDIRECT($F$8),6+(O240-1)*3),11)),IF(VLOOKUP(B228,INDIRECT($F$8),8+(O240-1)*3)&lt;U240*0.4,IF(U240*0.4-VLOOKUP(B228,INDIRECT($F$8),8+(O240-1)*3)&lt;=5,U240*0.4-VLOOKUP(B228,INDIRECT($F$8),8+(O240-1)*3),11),0))))</f>
        <v>0</v>
      </c>
      <c r="X240" s="1" t="str">
        <f ca="1">IF(ISERROR(F228),"",IF(W240=0,"",_xlfn.TEXTJOIN("",FALSE," G+",W240," in ",A240)))</f>
        <v/>
      </c>
    </row>
    <row r="241" spans="1:24" ht="11.5" customHeight="1" x14ac:dyDescent="0.2">
      <c r="A241" s="7" t="str">
        <f ca="1">IF(ISERROR(F228),"",VLOOKUP(C228,INDIRECT($F$8),6+(O241-1)*3,0))</f>
        <v>MEP 003</v>
      </c>
      <c r="B241" s="24" t="str">
        <f ca="1">IF(ISERROR(F228),"",VLOOKUP(D228,INDIRECT($F$8),6+(O241-1)*3-Z241,0))</f>
        <v>Workshop Practices Lab</v>
      </c>
      <c r="C241" s="24"/>
      <c r="D241" s="24"/>
      <c r="E241" s="24"/>
      <c r="F241" s="7">
        <f ca="1">IF(ISERROR(F228),"",VLOOKUP(E228,INDIRECT($F$8),6+(O241-1)*3,0))</f>
        <v>2</v>
      </c>
      <c r="G241" s="25" t="str">
        <f ca="1">IF(ISERROR(F228),"",_xlfn.TEXTJOIN("/",FALSE,P241,S241))</f>
        <v>44/50</v>
      </c>
      <c r="H241" s="25"/>
      <c r="I241" s="25" t="str">
        <f ca="1">IF(ISERROR(F228),"",_xlfn.TEXTJOIN("/",FALSE,Q241,T241))</f>
        <v>42/50</v>
      </c>
      <c r="J241" s="25"/>
      <c r="K241" s="25" t="str">
        <f ca="1">IF(ISERROR(F228),"",_xlfn.TEXTJOIN("/",FALSE,R241,U241))</f>
        <v>86/100</v>
      </c>
      <c r="L241" s="25"/>
      <c r="M241" s="7" t="str">
        <f ca="1">IF(ISERROR(F228),"",IF(ISTEXT(P241),IF(P241="A","Ab",IF(P241="D","Dt",IF(P241="UFM","UFM",IF(P241="NA","")))),IF(AND(ISBLANK(P241),ISBLANK(R241)),"",IF(P241&lt;0.3*S241,"F",IF(ISBLANK(R241),"",IF(ISTEXT(R241),R241,IF(R241&gt;=0.95*U241,"O",IF(R241&gt;=0.9*U241,"A+",IF(R241&gt;=0.85*U241,"A",IF(R241&gt;=0.8*U241,"B+",IF(R241&gt;=0.75*U241,"B",IF(R241&gt;=0.7*U241,"C+",IF(R241&gt;=0.65*U241,"C",IF(R241&gt;=0.6*U241,"D+",IF(R241&gt;=0.55*U241,"D",IF(R241&gt;=0.5*U241,"E+",IF(R241&gt;=0.45*U241,"E",IF(R241&gt;=0.4*U241,"P",IF(R241&lt;0.4*U241,"F",R241)))))))))))))))))))</f>
        <v>A</v>
      </c>
      <c r="N241" s="8">
        <f t="shared" ca="1" si="21"/>
        <v>9</v>
      </c>
      <c r="O241">
        <f t="shared" ca="1" si="22"/>
        <v>10</v>
      </c>
      <c r="P241" s="1">
        <f ca="1">IF(ISERROR(F228),"",IF(ISTEXT(VLOOKUP(B228,INDIRECT($F$8),6+(O241-1)*3)),(VLOOKUP(B228,INDIRECT($F$8),6+(O241-1)*3)),SUM(VLOOKUP(B228,INDIRECT($F$8),6+(O241-1)*3),IF(W246,W241,0))))</f>
        <v>44</v>
      </c>
      <c r="Q241" s="1">
        <f ca="1">IF(ISERROR(F228),"",VLOOKUP(B228,INDIRECT($F$8),7+(O241-1)*3))</f>
        <v>42</v>
      </c>
      <c r="R241" s="1">
        <f ca="1">IF(ISERROR(F228),"",SUM(P241:Q241))</f>
        <v>86</v>
      </c>
      <c r="S241" s="1">
        <f ca="1">IF(ISERROR(F228),"",VLOOKUP(A228,INDIRECT($F$8),6+(O241-1)*3))</f>
        <v>50</v>
      </c>
      <c r="T241" s="1">
        <f ca="1">IF(ISERROR(F228),"",VLOOKUP(A228,INDIRECT($F$8),7+(O241-1)*3))</f>
        <v>50</v>
      </c>
      <c r="U241" s="1">
        <f ca="1">IF(ISERROR(F228),"",VLOOKUP(A228,INDIRECT($F$8),8+(O241-1)*3))</f>
        <v>100</v>
      </c>
      <c r="V241" s="1" t="str">
        <f ca="1">IF(ISERROR(F228),"",IF(N241=0,A241,""))</f>
        <v/>
      </c>
      <c r="W241" s="1">
        <f ca="1">IF(ISERROR(F228),"",IF(ISTEXT(VLOOKUP(B228,INDIRECT($F$8),6+(O241-1)*3)),11,IF(VLOOKUP(B228,INDIRECT($F$8),6+(O241-1)*3)&lt;S241*0.3,IF(VLOOKUP(B228,INDIRECT($F$8),8+(O241-1)*3)&lt;U241*0.4,IF(AND(0.4*U241-VLOOKUP(B228,INDIRECT($F$8),8+(O241-1)*3)&lt;=5,0.3*S241-VLOOKUP(B228,INDIRECT($F$8),6+(O241-1)*3)&lt;=5),MAX(0.4*U241-VLOOKUP(B228,INDIRECT($F$8),8+(O241-1)*3),0.3*S241-VLOOKUP(B228,INDIRECT($F$8),6+(O241-1)*3)),11),IF(0.3*S241-VLOOKUP(B228,INDIRECT($F$8),6+(O241-1)*3)&lt;=5,0.3*S241-VLOOKUP(B228,INDIRECT($F$8),6+(O241-1)*3),11)),IF(VLOOKUP(B228,INDIRECT($F$8),8+(O241-1)*3)&lt;U241*0.4,IF(U241*0.4-VLOOKUP(B228,INDIRECT($F$8),8+(O241-1)*3)&lt;=5,U241*0.4-VLOOKUP(B228,INDIRECT($F$8),8+(O241-1)*3),11),0))))</f>
        <v>0</v>
      </c>
      <c r="X241" s="1" t="str">
        <f ca="1">IF(ISERROR(F228),"",IF(W241=0,"",_xlfn.TEXTJOIN("",FALSE," G+",W241," in ",A241)))</f>
        <v/>
      </c>
    </row>
    <row r="242" spans="1:24" ht="11.5" customHeight="1" x14ac:dyDescent="0.2">
      <c r="A242" s="7" t="str">
        <f ca="1">IF(ISERROR(F228),"",VLOOKUP(C228,INDIRECT($F$8),6+(O242-1)*3,0))</f>
        <v>AHP 004</v>
      </c>
      <c r="B242" s="24" t="str">
        <f ca="1">IF(ISERROR(F228),"",VLOOKUP(D228,INDIRECT($F$8),6+(O242-1)*3-Z242,0))</f>
        <v>Emerging Technologies in Engineering Lab</v>
      </c>
      <c r="C242" s="24"/>
      <c r="D242" s="24"/>
      <c r="E242" s="24"/>
      <c r="F242" s="7">
        <f ca="1">IF(ISERROR(F228),"",VLOOKUP(E228,INDIRECT($F$8),6+(O242-1)*3,0))</f>
        <v>1</v>
      </c>
      <c r="G242" s="25" t="str">
        <f ca="1">IF(ISERROR(F228),"",_xlfn.TEXTJOIN("/",FALSE,P242,S242))</f>
        <v>23/25</v>
      </c>
      <c r="H242" s="25"/>
      <c r="I242" s="25" t="str">
        <f ca="1">IF(ISERROR(F228),"",_xlfn.TEXTJOIN("/",FALSE,Q242,T242))</f>
        <v>23/25</v>
      </c>
      <c r="J242" s="25"/>
      <c r="K242" s="25" t="str">
        <f ca="1">IF(ISERROR(F228),"",_xlfn.TEXTJOIN("/",FALSE,R242,U242))</f>
        <v>46/50</v>
      </c>
      <c r="L242" s="25"/>
      <c r="M242" s="7" t="str">
        <f ca="1">IF(ISERROR(F228),"",IF(ISTEXT(P242),IF(P242="A","Ab",IF(P242="D","Dt",IF(P242="UFM","UFM",IF(P242="NA","")))),IF(AND(ISBLANK(P242),ISBLANK(R242)),"",IF(P242&lt;0.3*S242,"F",IF(ISBLANK(R242),"",IF(ISTEXT(R242),R242,IF(R242&gt;=0.95*U242,"O",IF(R242&gt;=0.9*U242,"A+",IF(R242&gt;=0.85*U242,"A",IF(R242&gt;=0.8*U242,"B+",IF(R242&gt;=0.75*U242,"B",IF(R242&gt;=0.7*U242,"C+",IF(R242&gt;=0.65*U242,"C",IF(R242&gt;=0.6*U242,"D+",IF(R242&gt;=0.55*U242,"D",IF(R242&gt;=0.5*U242,"E+",IF(R242&gt;=0.45*U242,"E",IF(R242&gt;=0.4*U242,"P",IF(R242&lt;0.4*U242,"F",R242)))))))))))))))))))</f>
        <v>A+</v>
      </c>
      <c r="N242" s="8">
        <f t="shared" ca="1" si="21"/>
        <v>9.5</v>
      </c>
      <c r="O242">
        <f t="shared" ca="1" si="22"/>
        <v>11</v>
      </c>
      <c r="P242" s="1">
        <f ca="1">IF(ISERROR(F228),"",IF(ISTEXT(VLOOKUP(B228,INDIRECT($F$8),6+(O242-1)*3)),(VLOOKUP(B228,INDIRECT($F$8),6+(O242-1)*3)),SUM(VLOOKUP(B228,INDIRECT($F$8),6+(O242-1)*3),IF(W246,W242,0))))</f>
        <v>23</v>
      </c>
      <c r="Q242" s="1">
        <f ca="1">IF(ISERROR(F228),"",VLOOKUP(B228,INDIRECT($F$8),7+(O242-1)*3))</f>
        <v>23</v>
      </c>
      <c r="R242" s="1">
        <f ca="1">IF(ISERROR(F228),"",SUM(P242:Q242))</f>
        <v>46</v>
      </c>
      <c r="S242" s="1">
        <f ca="1">IF(ISERROR(F228),"",VLOOKUP(A228,INDIRECT($F$8),6+(O242-1)*3))</f>
        <v>25</v>
      </c>
      <c r="T242" s="1">
        <f ca="1">IF(ISERROR(F228),"",VLOOKUP(A228,INDIRECT($F$8),7+(O242-1)*3))</f>
        <v>25</v>
      </c>
      <c r="U242" s="1">
        <f ca="1">IF(ISERROR(F228),"",VLOOKUP(A228,INDIRECT($F$8),8+(O242-1)*3))</f>
        <v>50</v>
      </c>
      <c r="V242" s="1" t="str">
        <f ca="1">IF(ISERROR(F228),"",IF(N242=0,A242,""))</f>
        <v/>
      </c>
      <c r="W242" s="1">
        <f ca="1">IF(ISERROR(F228),"",IF(ISTEXT(VLOOKUP(B228,INDIRECT($F$8),6+(O242-1)*3)),11,IF(VLOOKUP(B228,INDIRECT($F$8),6+(O242-1)*3)&lt;S242*0.3,IF(VLOOKUP(B228,INDIRECT($F$8),8+(O242-1)*3)&lt;U242*0.4,IF(AND(0.4*U242-VLOOKUP(B228,INDIRECT($F$8),8+(O242-1)*3)&lt;=5,0.3*S242-VLOOKUP(B228,INDIRECT($F$8),6+(O242-1)*3)&lt;=5),MAX(0.4*U242-VLOOKUP(B228,INDIRECT($F$8),8+(O242-1)*3),0.3*S242-VLOOKUP(B228,INDIRECT($F$8),6+(O242-1)*3)),11),IF(0.3*S242-VLOOKUP(B228,INDIRECT($F$8),6+(O242-1)*3)&lt;=5,0.3*S242-VLOOKUP(B228,INDIRECT($F$8),6+(O242-1)*3),11)),IF(VLOOKUP(B228,INDIRECT($F$8),8+(O242-1)*3)&lt;U242*0.4,IF(U242*0.4-VLOOKUP(B228,INDIRECT($F$8),8+(O242-1)*3)&lt;=5,U242*0.4-VLOOKUP(B228,INDIRECT($F$8),8+(O242-1)*3),11),0))))</f>
        <v>0</v>
      </c>
      <c r="X242" s="1" t="str">
        <f ca="1">IF(ISERROR(F228),"",IF(W242=0,"",_xlfn.TEXTJOIN("",FALSE," G+",W242," in ",A242)))</f>
        <v/>
      </c>
    </row>
    <row r="243" spans="1:24" ht="11.5" customHeight="1" x14ac:dyDescent="0.2">
      <c r="A243" s="7" t="str">
        <f ca="1">IF(ISERROR(F228),"",VLOOKUP(C228,INDIRECT($F$8),6+(O243-1)*3,0))</f>
        <v>CSP 002</v>
      </c>
      <c r="B243" s="24" t="str">
        <f ca="1">IF(ISERROR(F228),"",VLOOKUP(D228,INDIRECT($F$8),6+(O243-1)*3,0))</f>
        <v>Computer Applications and IOT</v>
      </c>
      <c r="C243" s="24"/>
      <c r="D243" s="24"/>
      <c r="E243" s="24"/>
      <c r="F243" s="7">
        <f ca="1">IF(ISERROR(F228),"",VLOOKUP(E228,INDIRECT($F$8),6+(O243-1)*3,0))</f>
        <v>1</v>
      </c>
      <c r="G243" s="25" t="str">
        <f ca="1">IF(ISERROR(F228),"",_xlfn.TEXTJOIN("/",FALSE,P243,S243))</f>
        <v>25/25</v>
      </c>
      <c r="H243" s="25"/>
      <c r="I243" s="25" t="str">
        <f ca="1">IF(ISERROR(F228),"",_xlfn.TEXTJOIN("/",FALSE,Q243,T243))</f>
        <v>25/25</v>
      </c>
      <c r="J243" s="25"/>
      <c r="K243" s="25" t="str">
        <f ca="1">IF(ISERROR(F228),"",_xlfn.TEXTJOIN("/",FALSE,R243,U243))</f>
        <v>50/50</v>
      </c>
      <c r="L243" s="25"/>
      <c r="M243" s="7" t="str">
        <f ca="1">IF(ISERROR(F228),"",IF(ISTEXT(P243),IF(P243="A","Ab",IF(P243="D","Dt",IF(P243="UFM","UFM",IF(P243="NA","")))),IF(AND(ISBLANK(P243),ISBLANK(R243)),"",IF(P243&lt;0.3*S243,"F",IF(ISBLANK(R243),"",IF(ISTEXT(R243),R243,IF(R243&gt;=0.95*U243,"O",IF(R243&gt;=0.9*U243,"A+",IF(R243&gt;=0.85*U243,"A",IF(R243&gt;=0.8*U243,"B+",IF(R243&gt;=0.75*U243,"B",IF(R243&gt;=0.7*U243,"C+",IF(R243&gt;=0.65*U243,"C",IF(R243&gt;=0.6*U243,"D+",IF(R243&gt;=0.55*U243,"D",IF(R243&gt;=0.5*U243,"E+",IF(R243&gt;=0.45*U243,"E",IF(R243&gt;=0.4*U243,"P",IF(R243&lt;0.4*U243,"F",R243)))))))))))))))))))</f>
        <v>O</v>
      </c>
      <c r="N243" s="8">
        <f t="shared" ca="1" si="21"/>
        <v>10</v>
      </c>
      <c r="O243">
        <f t="shared" ca="1" si="22"/>
        <v>12</v>
      </c>
      <c r="P243" s="1">
        <f ca="1">IF(ISERROR(F228),"",IF(ISTEXT(VLOOKUP(B228,INDIRECT($F$8),6+(O243-1)*3)),(VLOOKUP(B228,INDIRECT($F$8),6+(O243-1)*3)),SUM(VLOOKUP(B228,INDIRECT($F$8),6+(O243-1)*3),IF(W246,W243,0))))</f>
        <v>25</v>
      </c>
      <c r="Q243" s="1">
        <f ca="1">IF(ISERROR(F228),"",VLOOKUP(B228,INDIRECT($F$8),7+(O243-1)*3))</f>
        <v>25</v>
      </c>
      <c r="R243" s="1">
        <f ca="1">IF(ISERROR(F228),"",SUM(P243:Q243))</f>
        <v>50</v>
      </c>
      <c r="S243" s="1">
        <f ca="1">IF(ISERROR(F228),"",VLOOKUP(A228,INDIRECT($F$8),6+(O243-1)*3))</f>
        <v>25</v>
      </c>
      <c r="T243" s="1">
        <f ca="1">IF(ISERROR(F228),"",VLOOKUP(A228,INDIRECT($F$8),7+(O243-1)*3))</f>
        <v>25</v>
      </c>
      <c r="U243" s="1">
        <f ca="1">IF(ISERROR(F228),"",VLOOKUP(A228,INDIRECT($F$8),8+(O243-1)*3))</f>
        <v>50</v>
      </c>
      <c r="V243" s="1" t="str">
        <f ca="1">IF(ISERROR(F228),"",IF(N243=0,A243,""))</f>
        <v/>
      </c>
      <c r="W243" s="1">
        <f ca="1">IF(ISERROR(F228),"",IF(ISTEXT(VLOOKUP(B228,INDIRECT($F$8),6+(O243-1)*3)),11,IF(VLOOKUP(B228,INDIRECT($F$8),6+(O243-1)*3)&lt;S243*0.3,IF(VLOOKUP(B228,INDIRECT($F$8),8+(O243-1)*3)&lt;U243*0.4,IF(AND(0.4*U243-VLOOKUP(B228,INDIRECT($F$8),8+(O243-1)*3)&lt;=5,0.3*S243-VLOOKUP(B228,INDIRECT($F$8),6+(O243-1)*3)&lt;=5),MAX(0.4*U243-VLOOKUP(B228,INDIRECT($F$8),8+(O243-1)*3),0.3*S243-VLOOKUP(B228,INDIRECT($F$8),6+(O243-1)*3)),11),IF(0.3*S243-VLOOKUP(B228,INDIRECT($F$8),6+(O243-1)*3)&lt;=5,0.3*S243-VLOOKUP(B228,INDIRECT($F$8),6+(O243-1)*3),11)),IF(VLOOKUP(B228,INDIRECT($F$8),8+(O243-1)*3)&lt;U243*0.4,IF(U243*0.4-VLOOKUP(B228,INDIRECT($F$8),8+(O243-1)*3)&lt;=5,U243*0.4-VLOOKUP(B228,INDIRECT($F$8),8+(O243-1)*3),11),0))))</f>
        <v>0</v>
      </c>
      <c r="X243" s="1" t="str">
        <f ca="1">IF(ISERROR(F228),"",IF(W243=0,"",_xlfn.TEXTJOIN("",FALSE," G+",W243," in ",A243)))</f>
        <v/>
      </c>
    </row>
    <row r="244" spans="1:24" ht="11.5" customHeight="1" x14ac:dyDescent="0.2">
      <c r="A244" s="7" t="str">
        <f ca="1">IF(ISERROR(F228),"",VLOOKUP(C228,INDIRECT($F$8),6+(O244-1)*3,0))</f>
        <v>AHP 006</v>
      </c>
      <c r="B244" s="24" t="str">
        <f ca="1">IF(ISERROR(F228),"",VLOOKUP(D228,INDIRECT($F$8),6+(O244-1)*3,0))</f>
        <v>English Language Lab ($)</v>
      </c>
      <c r="C244" s="24"/>
      <c r="D244" s="24"/>
      <c r="E244" s="24"/>
      <c r="F244" s="7">
        <f ca="1">IF(ISERROR(F228),"",VLOOKUP(E228,INDIRECT($F$8),6+(O244-1)*3,0))</f>
        <v>0</v>
      </c>
      <c r="G244" s="25" t="str">
        <f ca="1">IF(ISERROR(F228),"",_xlfn.TEXTJOIN("/",FALSE,P244,S244))</f>
        <v>16/25</v>
      </c>
      <c r="H244" s="25"/>
      <c r="I244" s="25" t="str">
        <f ca="1">IF(ISERROR(F228),"",_xlfn.TEXTJOIN("/",FALSE,Q244,T244))</f>
        <v>40/50</v>
      </c>
      <c r="J244" s="25"/>
      <c r="K244" s="25" t="str">
        <f ca="1">IF(ISERROR(F228),"",_xlfn.TEXTJOIN("/",FALSE,R244,U244))</f>
        <v>56/75</v>
      </c>
      <c r="L244" s="25"/>
      <c r="M244" s="7" t="str">
        <f ca="1">IF(ISERROR(F228)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C+</v>
      </c>
      <c r="N244" s="8">
        <f ca="1">INDEX($Z$2:$Z$17,MATCH(M244,$Y$2:$Y$17,0))</f>
        <v>7.5</v>
      </c>
      <c r="O244">
        <f t="shared" ca="1" si="22"/>
        <v>13</v>
      </c>
      <c r="P244" s="1">
        <f ca="1">IF(ISERROR(F228),"",IF(ISTEXT(VLOOKUP(B228,INDIRECT($F$8),6+(O244-1)*3)),(VLOOKUP(B228,INDIRECT($F$8),6+(O244-1)*3)),SUM(VLOOKUP(B228,INDIRECT($F$8),6+(O244-1)*3),IF(W246,W244,0))))</f>
        <v>16</v>
      </c>
      <c r="Q244" s="1">
        <f ca="1">IF(ISERROR(F228),"",VLOOKUP(B228,INDIRECT($F$8),7+(O244-1)*3))</f>
        <v>40</v>
      </c>
      <c r="R244" s="1">
        <f ca="1">IF(ISERROR(F228),"",SUM(P244:Q244))</f>
        <v>56</v>
      </c>
      <c r="S244" s="1">
        <f ca="1">IF(ISERROR(F228),"",VLOOKUP(A228,INDIRECT($F$8),6+(O244-1)*3))</f>
        <v>25</v>
      </c>
      <c r="T244" s="1">
        <f ca="1">IF(ISERROR(F228),"",VLOOKUP(A228,INDIRECT($F$8),7+(O244-1)*3))</f>
        <v>50</v>
      </c>
      <c r="U244" s="1">
        <f ca="1">IF(ISERROR(F228),"",VLOOKUP(A228,INDIRECT($F$8),8+(O244-1)*3))</f>
        <v>75</v>
      </c>
      <c r="V244" s="1"/>
      <c r="W244" s="1">
        <f ca="1">IF(ISERROR(F228),"",IF(ISTEXT(VLOOKUP(B228,INDIRECT($F$8),6+(O244-1)*3)),11,IF(VLOOKUP(B228,INDIRECT($F$8),6+(O244-1)*3)&lt;S244*0.3,IF(VLOOKUP(B228,INDIRECT($F$8),8+(O244-1)*3)&lt;U244*0.4,IF(AND(0.4*U244-VLOOKUP(B228,INDIRECT($F$8),8+(O244-1)*3)&lt;=5,0.3*S244-VLOOKUP(B228,INDIRECT($F$8),6+(O244-1)*3)&lt;=5),MAX(0.4*U244-VLOOKUP(B228,INDIRECT($F$8),8+(O244-1)*3),0.3*S244-VLOOKUP(B228,INDIRECT($F$8),6+(O244-1)*3)),11),IF(0.3*S244-VLOOKUP(B228,INDIRECT($F$8),6+(O244-1)*3)&lt;=5,0.3*S244-VLOOKUP(B228,INDIRECT($F$8),6+(O244-1)*3),11)),IF(VLOOKUP(B228,INDIRECT($F$8),8+(O244-1)*3)&lt;U244*0.4,IF(U244*0.4-VLOOKUP(B228,INDIRECT($F$8),8+(O244-1)*3)&lt;=5,U244*0.4-VLOOKUP(B228,INDIRECT($F$8),8+(O244-1)*3),11),0))))</f>
        <v>0</v>
      </c>
      <c r="X244" s="1" t="str">
        <f ca="1">IF(ISERROR(F228),"",IF(W244=0,"",_xlfn.TEXTJOIN("",FALSE," G+",W244," in ",A244)))</f>
        <v/>
      </c>
    </row>
    <row r="245" spans="1:24" ht="11.5" customHeight="1" x14ac:dyDescent="0.2">
      <c r="A245" s="7" t="str">
        <f ca="1">IF(ISERROR(F228),"",VLOOKUP(C228,INDIRECT($F$8),6+(O245-1)*3-Y245,0))</f>
        <v>GP 01</v>
      </c>
      <c r="B245" s="24" t="str">
        <f ca="1">IF(ISERROR(F228),"",VLOOKUP(D228,INDIRECT($F$8),6+(O245-1)*3-Z245,0))</f>
        <v>General Proficiency ($)</v>
      </c>
      <c r="C245" s="24"/>
      <c r="D245" s="24"/>
      <c r="E245" s="24"/>
      <c r="F245" s="7">
        <f ca="1">IF(ISERROR(F228),"",VLOOKUP(E228,INDIRECT($F$8),6+(O245-1)*3-AA245,0))</f>
        <v>0</v>
      </c>
      <c r="G245" s="25" t="str">
        <f ca="1">IF(ISERROR(F228),"","-")</f>
        <v>-</v>
      </c>
      <c r="H245" s="25"/>
      <c r="I245" s="25" t="str">
        <f ca="1">IF(ISERROR(F228),"",_xlfn.TEXTJOIN("/",FALSE,Q245,T245))</f>
        <v>47/50</v>
      </c>
      <c r="J245" s="25"/>
      <c r="K245" s="25" t="str">
        <f ca="1">IF(ISERROR(F228),"",_xlfn.TEXTJOIN("/",FALSE,R245,U245))</f>
        <v>47/50</v>
      </c>
      <c r="L245" s="25"/>
      <c r="M245" s="25" t="str">
        <f ca="1">IF(ISBLANK(R245),"",IF(ISTEXT(R245),R245,IF(R245&gt;=0.8*U245,"Excellent",IF(R245&gt;=0.6*U245,"Very Good",IF(R245&gt;=0.4*U245,"Good",IF(R245&gt;=0.2*U245,"Satisfactory","Average"))))))</f>
        <v>Excellent</v>
      </c>
      <c r="N245" s="25"/>
      <c r="O245">
        <f t="shared" ca="1" si="22"/>
        <v>14</v>
      </c>
      <c r="P245" s="1">
        <f ca="1">IF(ISERROR(F228),"",IF(ISTEXT(VLOOKUP(B\28,INDIRECT($F$8),6+(O245-1)*3)),(VLOOKUP(B228,INDIRECT($F$8),6+(O245-1)*3)),SUM(VLOOKUP(B228,INDIRECT($F$8),6+(O245-1)*3),IF(W246,W246,0))))</f>
        <v>0</v>
      </c>
      <c r="Q245" s="1">
        <f ca="1">IF(ISERROR(F228),"",VLOOKUP(B228,INDIRECT($F$8),7+(O245-1)*3))</f>
        <v>47</v>
      </c>
      <c r="R245" s="1">
        <f ca="1">IF(ISERROR(F228),"",SUM(P245:Q245))</f>
        <v>47</v>
      </c>
      <c r="S245" s="1">
        <f ca="1">IF(ISERROR(F228),"",VLOOKUP(A228,INDIRECT($F$8),6+(O245-1)*3))</f>
        <v>0</v>
      </c>
      <c r="T245" s="1">
        <f ca="1">IF(ISERROR(F228),"",VLOOKUP(A228,INDIRECT($F$8),7+(O245-1)*3))</f>
        <v>50</v>
      </c>
      <c r="U245" s="1">
        <f ca="1">IF(ISERROR(F228),"",VLOOKUP(A228,INDIRECT($F$8),8+(O245-1)*3))</f>
        <v>50</v>
      </c>
      <c r="V245" s="1"/>
      <c r="W245" s="1"/>
      <c r="X245" s="1" t="str">
        <f ca="1">IF(ISERROR(F228),"",IF(W245=0,"",_xlfn.TEXTJOIN("",FALSE," G+",W245," in ",A245)))</f>
        <v/>
      </c>
    </row>
    <row r="246" spans="1:24" ht="11.5" customHeight="1" x14ac:dyDescent="0.2">
      <c r="A246" s="26" t="str">
        <f ca="1">IF(ISERROR(F228),"",A224)</f>
        <v>Total Credits/ Marks/ Total Grade Points</v>
      </c>
      <c r="B246" s="26"/>
      <c r="C246" s="26"/>
      <c r="D246" s="26"/>
      <c r="E246" s="26"/>
      <c r="F246" s="10">
        <f ca="1">IF(ISERROR(F228),"",SUM(F233:F244))</f>
        <v>23</v>
      </c>
      <c r="G246" s="27" t="str">
        <f ca="1">IF(ISERROR(F228),"",_xlfn.TEXTJOIN("/",TRUE,SUMIF(F233:F245,"&gt;0",P233:P245),SUMIF(F233:F245,"&gt;0",S233:S245)))</f>
        <v>313/575</v>
      </c>
      <c r="H246" s="27"/>
      <c r="I246" s="27" t="str">
        <f ca="1">IF(ISERROR(F228),"",_xlfn.TEXTJOIN("/",TRUE,SUMIF(F233:F245,"&gt;0",Q233:Q245),SUMIF(F233:F245,"&gt;0",T233:T245)))</f>
        <v>284/375</v>
      </c>
      <c r="J246" s="27"/>
      <c r="K246" s="27" t="str">
        <f ca="1">IF(ISERROR(F228),"",_xlfn.TEXTJOIN("/",TRUE,SUMIF(F233:F245,"&gt;0",R233:R245),SUMIF(F233:F245,"&gt;0",U233:U245)))</f>
        <v>597/950</v>
      </c>
      <c r="L246" s="27"/>
      <c r="M246" s="26">
        <f ca="1">IF(ISERROR(F228),"",SUMPRODUCT(N233:N244,F233:F244))</f>
        <v>133</v>
      </c>
      <c r="N246" s="26"/>
      <c r="V246" s="1" t="str">
        <f ca="1">_xlfn.TEXTJOIN(", ",TRUE,V233:V245)</f>
        <v>AHT 003</v>
      </c>
      <c r="W246" t="b">
        <f ca="1">IF(SUM(W233:W245)&lt;=W232,TRUE,FALSE)</f>
        <v>0</v>
      </c>
      <c r="X246" s="1" t="str">
        <f ca="1">IF(ISERROR(F228),"",_xlfn.TEXTJOIN(",",TRUE,X233:X245))</f>
        <v xml:space="preserve"> G+11 in AHT 003</v>
      </c>
    </row>
    <row r="247" spans="1:24" ht="11.5" customHeight="1" x14ac:dyDescent="0.2">
      <c r="A247" s="26" t="str">
        <f ca="1">IF(ISERROR(F228),"",A225)</f>
        <v>Result:</v>
      </c>
      <c r="B247" s="28" t="str" cm="1">
        <f t="array" aca="1" ref="B247" ca="1">IF(SUM(COUNTIF(M233:M244,{"Ab","Dt"}))=12, "Not Promoted to IInd Semester", IF(V246="", "PASS", "CARRY OVER"))</f>
        <v>CARRY OVER</v>
      </c>
      <c r="C247" s="28"/>
      <c r="D247" s="26" t="str">
        <f ca="1">IF(ISERROR(F228),"",D225)</f>
        <v>Remark:</v>
      </c>
      <c r="E247" s="28" t="str">
        <f ca="1">IF(ISERROR(F228),"",IF(V246="",IF(X246="","",X246),_xlfn.TEXTJOIN(" ",TRUE,"BACK IN",V246)))</f>
        <v>BACK IN AHT 003</v>
      </c>
      <c r="F247" s="28"/>
      <c r="G247" s="26" t="str">
        <f ca="1">IF(ISERROR(F228),"",G225)</f>
        <v>SGPA:</v>
      </c>
      <c r="H247" s="29">
        <f ca="1">IF(ISERROR(F228),"",M246/F246)</f>
        <v>5.7826086956521738</v>
      </c>
      <c r="I247" s="26" t="str">
        <f ca="1">IF(ISERROR(F228),"",I225)</f>
        <v>CGPA:</v>
      </c>
      <c r="J247" s="29">
        <f ca="1">IF(ISERROR(F228),"",VLOOKUP(B228,INDIRECT($F$8),12+(O245-1)*3,0))</f>
        <v>5.7826086956521738</v>
      </c>
      <c r="K247" s="28" t="str">
        <f ca="1">IF(ISERROR(F228),"",K225)</f>
        <v>Earned Credits:</v>
      </c>
      <c r="L247" s="26">
        <f ca="1">IF(ISERROR(F228),"",SUMIF(N233:N244,"&gt;0",F233:F244))</f>
        <v>19</v>
      </c>
      <c r="M247" s="28" t="str">
        <f ca="1">IF(ISERROR(F228),"",M225)</f>
        <v>Cuml. Earned Credits:</v>
      </c>
      <c r="N247" s="26">
        <f ca="1">IF(ISERROR(F228),"",VLOOKUP(B228,INDIRECT($F$8),10+(O245-1)*3,0))</f>
        <v>19</v>
      </c>
    </row>
    <row r="248" spans="1:24" ht="11.5" customHeight="1" x14ac:dyDescent="0.2">
      <c r="A248" s="26"/>
      <c r="B248" s="28"/>
      <c r="C248" s="28"/>
      <c r="D248" s="26"/>
      <c r="E248" s="28"/>
      <c r="F248" s="28"/>
      <c r="G248" s="26"/>
      <c r="H248" s="29"/>
      <c r="I248" s="26"/>
      <c r="J248" s="29"/>
      <c r="K248" s="28"/>
      <c r="L248" s="26"/>
      <c r="M248" s="28"/>
      <c r="N248" s="26"/>
    </row>
    <row r="249" spans="1:24" ht="29" customHeight="1" x14ac:dyDescent="0.2">
      <c r="A249" s="26"/>
      <c r="B249" s="28"/>
      <c r="C249" s="28"/>
      <c r="D249" s="26"/>
      <c r="E249" s="28"/>
      <c r="F249" s="28"/>
      <c r="G249" s="26"/>
      <c r="H249" s="29"/>
      <c r="I249" s="26"/>
      <c r="J249" s="29"/>
      <c r="K249" s="28"/>
      <c r="L249" s="26"/>
      <c r="M249" s="28"/>
      <c r="N249" s="26"/>
    </row>
    <row r="250" spans="1:24" ht="11.5" customHeight="1" x14ac:dyDescent="0.2">
      <c r="A250" s="11" t="str">
        <f>A228</f>
        <v>MM</v>
      </c>
      <c r="B250" s="11">
        <f>B228+1</f>
        <v>12</v>
      </c>
      <c r="C250" s="11" t="str">
        <f>C228</f>
        <v>SC</v>
      </c>
      <c r="D250" s="11" t="str">
        <f>D228</f>
        <v>SN</v>
      </c>
      <c r="E250" s="11" t="str">
        <f>E228</f>
        <v>C</v>
      </c>
      <c r="F250" s="11" t="str">
        <f ca="1">VLOOKUP(B250,INDIRECT($F$8),4,0)</f>
        <v>KHYATI NEGI</v>
      </c>
    </row>
    <row r="251" spans="1:24" ht="11.5" customHeight="1" x14ac:dyDescent="0.2">
      <c r="A251" s="30" t="str">
        <f ca="1">IF(ISERROR(F250),"",A229)</f>
        <v>Name:</v>
      </c>
      <c r="B251" s="30" t="str">
        <f ca="1">IFERROR(VLOOKUP(B250,INDIRECT($F$8),4,0),"")</f>
        <v>KHYATI NEGI</v>
      </c>
      <c r="C251" s="30"/>
      <c r="D251" s="30" t="str">
        <f ca="1">IF(ISERROR(F250),"",D229)</f>
        <v>Father's Name:</v>
      </c>
      <c r="E251" s="30" t="str">
        <f ca="1">IFERROR(VLOOKUP(B250,INDIRECT($F$8),5,0),"")</f>
        <v>RAVINDRA SINGH NEGI</v>
      </c>
      <c r="F251" s="30"/>
      <c r="G251" s="30" t="str">
        <f ca="1">IF(ISERROR(F250),"",G229)</f>
        <v>University Roll No:</v>
      </c>
      <c r="H251" s="30"/>
      <c r="I251" s="31">
        <f ca="1">IFERROR(VLOOKUP(B250,INDIRECT($F$8),2,0),"")</f>
        <v>250090120013</v>
      </c>
      <c r="J251" s="31"/>
      <c r="K251" s="30" t="str">
        <f ca="1">IF(ISERROR(F250),"",K229)</f>
        <v>University Enrol. No:</v>
      </c>
      <c r="L251" s="30"/>
      <c r="M251" s="31" t="str">
        <f ca="1">IFERROR(VLOOKUP(B250,INDIRECT($F$8),3,0),"")</f>
        <v>UTU/2501104023</v>
      </c>
      <c r="N251" s="31"/>
    </row>
    <row r="252" spans="1:24" ht="11.5" customHeight="1" x14ac:dyDescent="0.2">
      <c r="A252" s="30"/>
      <c r="B252" s="30"/>
      <c r="C252" s="30"/>
      <c r="D252" s="30"/>
      <c r="E252" s="30"/>
      <c r="F252" s="30"/>
      <c r="G252" s="30"/>
      <c r="H252" s="30"/>
      <c r="I252" s="31"/>
      <c r="J252" s="31"/>
      <c r="K252" s="30"/>
      <c r="L252" s="30"/>
      <c r="M252" s="31"/>
      <c r="N252" s="31"/>
    </row>
    <row r="253" spans="1:24" ht="11.5" customHeight="1" x14ac:dyDescent="0.2">
      <c r="A253" s="28" t="str">
        <f ca="1">IF(ISERROR(F250),"",A231)</f>
        <v>Subject Code</v>
      </c>
      <c r="B253" s="28" t="str">
        <f ca="1">IF(ISERROR(F250),"",B231)</f>
        <v>Subject Name</v>
      </c>
      <c r="C253" s="28"/>
      <c r="D253" s="28"/>
      <c r="E253" s="28"/>
      <c r="F253" s="28" t="str">
        <f ca="1">IF(ISERROR(F250),"",F231)</f>
        <v>Credits</v>
      </c>
      <c r="G253" s="28" t="str">
        <f ca="1">IF(ISERROR(F250),"",G231)</f>
        <v>External Marks</v>
      </c>
      <c r="H253" s="28"/>
      <c r="I253" s="28" t="str">
        <f ca="1">IF(ISERROR(F250),"",I231)</f>
        <v>Sessional Marks</v>
      </c>
      <c r="J253" s="28"/>
      <c r="K253" s="28" t="str">
        <f ca="1">IF(ISERROR(F250),"",K231)</f>
        <v>Total Marks</v>
      </c>
      <c r="L253" s="28"/>
      <c r="M253" s="28" t="str">
        <f ca="1">IF(ISERROR(F250),"",M231)</f>
        <v>Grade</v>
      </c>
      <c r="N253" s="28" t="str">
        <f ca="1">IF(ISERROR(F250),"",N231)</f>
        <v>Grade Points</v>
      </c>
    </row>
    <row r="254" spans="1:24" ht="11.5" customHeight="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W254">
        <f ca="1">IF(ISNUMBER(MATCH($F$8,{"I","III","V","VII"},0)),10,10-INDEX(INDIRECT(_xlfn.TEXTJOIN("",TRUE,"SEM_",$G$8,"!",ADDRESS(6,4+$I$8*3+4),":",ADDRESS(5+$H$8,4+$I$8*3+4))),MATCH(INDIRECT(_xlfn.TEXTJOIN("",TRUE,"TC_",$F$8,"!",ADDRESS(ROW(I251),COLUMN(I251)))),INDIRECT(_xlfn.TEXTJOIN("",TRUE,"SEM_",$G$8,"!",ADDRESS(6,2),":",ADDRESS(5+$H$8,2))))))</f>
        <v>10</v>
      </c>
    </row>
    <row r="255" spans="1:24" ht="11.5" customHeight="1" x14ac:dyDescent="0.2">
      <c r="A255" s="7" t="str">
        <f ca="1">IF(ISERROR(F250),"",VLOOKUP(C250,INDIRECT($F$8),6+(O255-1)*3,0))</f>
        <v>AHT 002</v>
      </c>
      <c r="B255" s="24" t="str">
        <f ca="1">IF(ISERROR(F250),"",VLOOKUP(D250,INDIRECT($F$8),6+(O255-1)*3,0))</f>
        <v>Engineering Chemistry</v>
      </c>
      <c r="C255" s="24"/>
      <c r="D255" s="24"/>
      <c r="E255" s="24"/>
      <c r="F255" s="7">
        <f ca="1">IF(ISERROR(F250),"",VLOOKUP(E250,INDIRECT($F$8),6+(O255-1)*3,0))</f>
        <v>4</v>
      </c>
      <c r="G255" s="25" t="str">
        <f ca="1">IF(ISERROR(F250),"",_xlfn.TEXTJOIN("/",FALSE,P255,S255))</f>
        <v>46/100</v>
      </c>
      <c r="H255" s="25"/>
      <c r="I255" s="25" t="str">
        <f ca="1">IF(ISERROR(F250),"",_xlfn.TEXTJOIN("/",FALSE,Q255,T255))</f>
        <v>38/50</v>
      </c>
      <c r="J255" s="25"/>
      <c r="K255" s="25" t="str">
        <f ca="1">IF(ISERROR(F250),"",_xlfn.TEXTJOIN("/",FALSE,R255,U255))</f>
        <v>84/150</v>
      </c>
      <c r="L255" s="25"/>
      <c r="M255" s="7" t="str">
        <f ca="1">IF(ISERROR(F250),"",IF(ISTEXT(P255),IF(P255="A","Ab",IF(P255="D","Dt",IF(P255="UFM","UFM",IF(P255="NA","")))),IF(AND(ISBLANK(P255),ISBLANK(R255)),"",IF(P255&lt;0.3*S255,"F",IF(ISBLANK(R255),"",IF(ISTEXT(R255),R255,IF(R255&gt;=0.95*U255,"O",IF(R255&gt;=0.9*U255,"A+",IF(R255&gt;=0.85*U255,"A",IF(R255&gt;=0.8*U255,"B+",IF(R255&gt;=0.75*U255,"B",IF(R255&gt;=0.7*U255,"C+",IF(R255&gt;=0.65*U255,"C",IF(R255&gt;=0.6*U255,"D+",IF(R255&gt;=0.55*U255,"D",IF(R255&gt;=0.5*U255,"E+",IF(R255&gt;=0.45*U255,"E",IF(R255&gt;=0.4*U255,"P",IF(R255&lt;0.4*U255,"F",R255)))))))))))))))))))</f>
        <v>D</v>
      </c>
      <c r="N255" s="8">
        <f ca="1">INDEX($Z$2:$Z$17,MATCH(M255,$Y$2:$Y$17,0))</f>
        <v>6</v>
      </c>
      <c r="O255">
        <v>1</v>
      </c>
      <c r="P255" s="1">
        <f ca="1">IF(ISERROR(F250),"",IF(ISTEXT(VLOOKUP(B250,INDIRECT($F$8),6+(O255-1)*3)),(VLOOKUP(B250,INDIRECT($F$8),6+(O255-1)*3)),SUM(VLOOKUP(B250,INDIRECT($F$8),6+(O255-1)*3),IF(W268,W255,0))))</f>
        <v>46</v>
      </c>
      <c r="Q255" s="1">
        <f ca="1">IF(ISERROR(F250),"",VLOOKUP(B250,INDIRECT($F$8),7+(O255-1)*3))</f>
        <v>38</v>
      </c>
      <c r="R255" s="1">
        <f ca="1">IF(ISERROR(F250),"",SUM(P255:Q255))</f>
        <v>84</v>
      </c>
      <c r="S255" s="1">
        <f ca="1">IF(ISERROR(F250),"",VLOOKUP(A250,INDIRECT($F$8),6+(O255-1)*3))</f>
        <v>100</v>
      </c>
      <c r="T255" s="1">
        <f ca="1">IF(ISERROR(F250),"",VLOOKUP(A250,INDIRECT($F$8),7+(O255-1)*3))</f>
        <v>50</v>
      </c>
      <c r="U255" s="1">
        <f ca="1">IF(ISERROR(F250),"",VLOOKUP(A250,INDIRECT($F$8),8+(O255-1)*3))</f>
        <v>150</v>
      </c>
      <c r="V255" s="1" t="str">
        <f ca="1">IF(ISERROR(F250),"",IF(N255=0,A255,""))</f>
        <v/>
      </c>
      <c r="W255" s="1">
        <f ca="1">IF(ISERROR(F250),"",IF(ISTEXT(VLOOKUP(B250,INDIRECT($F$8),6+(O255-1)*3)),11,IF(VLOOKUP(B250,INDIRECT($F$8),6+(O255-1)*3)&lt;S255*0.3,IF(VLOOKUP(B250,INDIRECT($F$8),8+(O255-1)*3)&lt;U255*0.4,IF(AND(0.4*U255-VLOOKUP(B250,INDIRECT($F$8),8+(O255-1)*3)&lt;=5,0.3*S255-VLOOKUP(B250,INDIRECT($F$8),6+(O255-1)*3)&lt;=5),MAX(0.4*U255-VLOOKUP(B250,INDIRECT($F$8),8+(O255-1)*3),0.3*S255-VLOOKUP(B250,INDIRECT($F$8),6+(O255-1)*3)),11),IF(0.3*S255-VLOOKUP(B250,INDIRECT($F$8),6+(O255-1)*3)&lt;=5,0.3*S255-VLOOKUP(B250,INDIRECT($F$8),6+(O255-1)*3),11)),IF(VLOOKUP(B250,INDIRECT($F$8),8+(O255-1)*3)&lt;U255*0.4,IF(U255*0.4-VLOOKUP(B250,INDIRECT($F$8),8+(O255-1)*3)&lt;=5,U255*0.4-VLOOKUP(B250,INDIRECT($F$8),8+(O255-1)*3),11),0))))</f>
        <v>0</v>
      </c>
      <c r="X255" s="1" t="str">
        <f ca="1">IF(ISERROR(F250),"",IF(W255=0,"",_xlfn.TEXTJOIN("",FALSE," G+",W255," in ",A255)))</f>
        <v/>
      </c>
    </row>
    <row r="256" spans="1:24" ht="11.5" customHeight="1" x14ac:dyDescent="0.2">
      <c r="A256" s="7" t="str">
        <f ca="1">IF(ISERROR(F250),"",VLOOKUP(C250,INDIRECT($F$8),6+(O256-1)*3,0))</f>
        <v>AHT 003</v>
      </c>
      <c r="B256" s="24" t="str">
        <f ca="1">IF(ISERROR(F250),"",VLOOKUP(D250,INDIRECT($F$8),6+(O256-1)*3,0))</f>
        <v>Introduction to Engineering Mathematics</v>
      </c>
      <c r="C256" s="24"/>
      <c r="D256" s="24"/>
      <c r="E256" s="24"/>
      <c r="F256" s="7">
        <f ca="1">IF(ISERROR(F250),"",VLOOKUP(E250,INDIRECT($F$8),6+(O256-1)*3,0))</f>
        <v>4</v>
      </c>
      <c r="G256" s="25" t="str">
        <f ca="1">IF(ISERROR(F250),"",_xlfn.TEXTJOIN("/",FALSE,P256,S256))</f>
        <v>45/100</v>
      </c>
      <c r="H256" s="25"/>
      <c r="I256" s="25" t="str">
        <f ca="1">IF(ISERROR(F250),"",_xlfn.TEXTJOIN("/",FALSE,Q256,T256))</f>
        <v>34/50</v>
      </c>
      <c r="J256" s="25"/>
      <c r="K256" s="25" t="str">
        <f ca="1">IF(ISERROR(F250),"",_xlfn.TEXTJOIN("/",FALSE,R256,U256))</f>
        <v>79/150</v>
      </c>
      <c r="L256" s="25"/>
      <c r="M256" s="7" t="str">
        <f ca="1">IF(ISERROR(F250),"",IF(ISTEXT(P256),IF(P256="A","Ab",IF(P256="D","Dt",IF(P256="UFM","UFM",IF(P256="NA","")))),IF(AND(ISBLANK(P256),ISBLANK(R256)),"",IF(P256&lt;0.3*S256,"F",IF(ISBLANK(R256),"",IF(ISTEXT(R256),R256,IF(R256&gt;=0.95*U256,"O",IF(R256&gt;=0.9*U256,"A+",IF(R256&gt;=0.85*U256,"A",IF(R256&gt;=0.8*U256,"B+",IF(R256&gt;=0.75*U256,"B",IF(R256&gt;=0.7*U256,"C+",IF(R256&gt;=0.65*U256,"C",IF(R256&gt;=0.6*U256,"D+",IF(R256&gt;=0.55*U256,"D",IF(R256&gt;=0.5*U256,"E+",IF(R256&gt;=0.45*U256,"E",IF(R256&gt;=0.4*U256,"P",IF(R256&lt;0.4*U256,"F",R256)))))))))))))))))))</f>
        <v>E+</v>
      </c>
      <c r="N256" s="8">
        <f t="shared" ref="N256:N265" ca="1" si="23">INDEX($Z$2:$Z$17,MATCH(M256,$Y$2:$Y$17,0))</f>
        <v>5.5</v>
      </c>
      <c r="O256">
        <f>O255+1</f>
        <v>2</v>
      </c>
      <c r="P256" s="1">
        <f ca="1">IF(ISERROR(F250),"",IF(ISTEXT(VLOOKUP(B250,INDIRECT($F$8),6+(O256-1)*3)),(VLOOKUP(B250,INDIRECT($F$8),6+(O256-1)*3)),SUM(VLOOKUP(B250,INDIRECT($F$8),6+(O256-1)*3),IF(W268,W256,0))))</f>
        <v>45</v>
      </c>
      <c r="Q256" s="1">
        <f ca="1">IF(ISERROR(F250),"",VLOOKUP(B250,INDIRECT($F$8),7+(O256-1)*3))</f>
        <v>34</v>
      </c>
      <c r="R256" s="1">
        <f ca="1">IF(ISERROR(F250),"",SUM(P256:Q256))</f>
        <v>79</v>
      </c>
      <c r="S256" s="1">
        <f ca="1">IF(ISERROR(F250),"",VLOOKUP(A250,INDIRECT($F$8),6+(O256-1)*3))</f>
        <v>100</v>
      </c>
      <c r="T256" s="1">
        <f ca="1">IF(ISERROR(F250),"",VLOOKUP(A250,INDIRECT($F$8),7+(O256-1)*3))</f>
        <v>50</v>
      </c>
      <c r="U256" s="1">
        <f ca="1">IF(ISERROR(F250),"",VLOOKUP(A250,INDIRECT($F$8),8+(O256-1)*3))</f>
        <v>150</v>
      </c>
      <c r="V256" s="1" t="str">
        <f ca="1">IF(ISERROR(F250),"",IF(N256=0,A256,""))</f>
        <v/>
      </c>
      <c r="W256" s="1">
        <f ca="1">IF(ISERROR(F250),"",IF(ISTEXT(VLOOKUP(B250,INDIRECT($F$8),6+(O256-1)*3)),11,IF(VLOOKUP(B250,INDIRECT($F$8),6+(O256-1)*3)&lt;S256*0.3,IF(VLOOKUP(B250,INDIRECT($F$8),8+(O256-1)*3)&lt;U256*0.4,IF(AND(0.4*U256-VLOOKUP(B250,INDIRECT($F$8),8+(O256-1)*3)&lt;=5,0.3*S256-VLOOKUP(B250,INDIRECT($F$8),6+(O256-1)*3)&lt;=5),MAX(0.4*U256-VLOOKUP(B250,INDIRECT($F$8),8+(O256-1)*3),0.3*S256-VLOOKUP(B250,INDIRECT($F$8),6+(O256-1)*3)),11),IF(0.3*S256-VLOOKUP(B250,INDIRECT($F$8),6+(O256-1)*3)&lt;=5,0.3*S256-VLOOKUP(B250,INDIRECT($F$8),6+(O256-1)*3),11)),IF(VLOOKUP(B250,INDIRECT($F$8),8+(O256-1)*3)&lt;U256*0.4,IF(U256*0.4-VLOOKUP(B250,INDIRECT($F$8),8+(O256-1)*3)&lt;=5,U256*0.4-VLOOKUP(B250,INDIRECT($F$8),8+(O256-1)*3),11),0))))</f>
        <v>0</v>
      </c>
      <c r="X256" s="1" t="str">
        <f ca="1">IF(ISERROR(F250),"",IF(W256=0,"",_xlfn.TEXTJOIN("",FALSE," G+",W256," in ",A256)))</f>
        <v/>
      </c>
    </row>
    <row r="257" spans="1:24" ht="11.5" customHeight="1" x14ac:dyDescent="0.2">
      <c r="A257" s="7" t="str">
        <f ca="1">IF(ISERROR(F250),"",VLOOKUP(C250,INDIRECT($F$8),6+(O257-1)*3,0))</f>
        <v>ECT 001</v>
      </c>
      <c r="B257" s="24" t="str">
        <f ca="1">IF(ISERROR(F250),"",VLOOKUP(D250,INDIRECT($F$8),6+(O257-1)*3,0))</f>
        <v>Basic Electronics Engineering</v>
      </c>
      <c r="C257" s="24"/>
      <c r="D257" s="24"/>
      <c r="E257" s="24"/>
      <c r="F257" s="7">
        <f ca="1">IF(ISERROR(F250),"",VLOOKUP(E250,INDIRECT($F$8),6+(O257-1)*3,0))</f>
        <v>4</v>
      </c>
      <c r="G257" s="25" t="str">
        <f ca="1">IF(ISERROR(F250),"",_xlfn.TEXTJOIN("/",FALSE,P257,S257))</f>
        <v>51/100</v>
      </c>
      <c r="H257" s="25"/>
      <c r="I257" s="25" t="str">
        <f ca="1">IF(ISERROR(F250),"",_xlfn.TEXTJOIN("/",FALSE,Q257,T257))</f>
        <v>46/50</v>
      </c>
      <c r="J257" s="25"/>
      <c r="K257" s="25" t="str">
        <f ca="1">IF(ISERROR(F250),"",_xlfn.TEXTJOIN("/",FALSE,R257,U257))</f>
        <v>97/150</v>
      </c>
      <c r="L257" s="25"/>
      <c r="M257" s="7" t="str">
        <f ca="1">IF(ISERROR(F250),"",IF(ISTEXT(P257),IF(P257="A","Ab",IF(P257="D","Dt",IF(P257="UFM","UFM",IF(P257="NA","")))),IF(AND(ISBLANK(P257),ISBLANK(R257)),"",IF(P257&lt;0.3*S257,"F",IF(ISBLANK(R257),"",IF(ISTEXT(R257),R257,IF(R257&gt;=0.95*U257,"O",IF(R257&gt;=0.9*U257,"A+",IF(R257&gt;=0.85*U257,"A",IF(R257&gt;=0.8*U257,"B+",IF(R257&gt;=0.75*U257,"B",IF(R257&gt;=0.7*U257,"C+",IF(R257&gt;=0.65*U257,"C",IF(R257&gt;=0.6*U257,"D+",IF(R257&gt;=0.55*U257,"D",IF(R257&gt;=0.5*U257,"E+",IF(R257&gt;=0.45*U257,"E",IF(R257&gt;=0.4*U257,"P",IF(R257&lt;0.4*U257,"F",R257)))))))))))))))))))</f>
        <v>D+</v>
      </c>
      <c r="N257" s="8">
        <f t="shared" ca="1" si="23"/>
        <v>6.5</v>
      </c>
      <c r="O257">
        <f>O256+1</f>
        <v>3</v>
      </c>
      <c r="P257" s="1">
        <f ca="1">IF(ISERROR(F250),"",IF(ISTEXT(VLOOKUP(B250,INDIRECT($F$8),6+(O257-1)*3)),(VLOOKUP(B250,INDIRECT($F$8),6+(O257-1)*3)),SUM(VLOOKUP(B250,INDIRECT($F$8),6+(O257-1)*3),IF(W268,W257,0))))</f>
        <v>51</v>
      </c>
      <c r="Q257" s="1">
        <f ca="1">IF(ISERROR(F250),"",VLOOKUP(B250,INDIRECT($F$8),7+(O257-1)*3))</f>
        <v>46</v>
      </c>
      <c r="R257" s="1">
        <f ca="1">IF(ISERROR(F250),"",SUM(P257:Q257))</f>
        <v>97</v>
      </c>
      <c r="S257" s="1">
        <f ca="1">IF(ISERROR(F250),"",VLOOKUP(A250,INDIRECT($F$8),6+(O257-1)*3))</f>
        <v>100</v>
      </c>
      <c r="T257" s="1">
        <f ca="1">IF(ISERROR(F250),"",VLOOKUP(A250,INDIRECT($F$8),7+(O257-1)*3))</f>
        <v>50</v>
      </c>
      <c r="U257" s="1">
        <f ca="1">IF(ISERROR(F250),"",VLOOKUP(A250,INDIRECT($F$8),8+(O257-1)*3))</f>
        <v>150</v>
      </c>
      <c r="V257" s="1" t="str">
        <f ca="1">IF(ISERROR(F250),"",IF(N257=0,A257,""))</f>
        <v/>
      </c>
      <c r="W257" s="1">
        <f ca="1">IF(ISERROR(F250),"",IF(ISTEXT(VLOOKUP(B250,INDIRECT($F$8),6+(O257-1)*3)),11,IF(VLOOKUP(B250,INDIRECT($F$8),6+(O257-1)*3)&lt;S257*0.3,IF(VLOOKUP(B250,INDIRECT($F$8),8+(O257-1)*3)&lt;U257*0.4,IF(AND(0.4*U257-VLOOKUP(B250,INDIRECT($F$8),8+(O257-1)*3)&lt;=5,0.3*S257-VLOOKUP(B250,INDIRECT($F$8),6+(O257-1)*3)&lt;=5),MAX(0.4*U257-VLOOKUP(B250,INDIRECT($F$8),8+(O257-1)*3),0.3*S257-VLOOKUP(B250,INDIRECT($F$8),6+(O257-1)*3)),11),IF(0.3*S257-VLOOKUP(B250,INDIRECT($F$8),6+(O257-1)*3)&lt;=5,0.3*S257-VLOOKUP(B250,INDIRECT($F$8),6+(O257-1)*3),11)),IF(VLOOKUP(B250,INDIRECT($F$8),8+(O257-1)*3)&lt;U257*0.4,IF(U257*0.4-VLOOKUP(B250,INDIRECT($F$8),8+(O257-1)*3)&lt;=5,U257*0.4-VLOOKUP(B250,INDIRECT($F$8),8+(O257-1)*3),11),0))))</f>
        <v>0</v>
      </c>
      <c r="X257" s="1" t="str">
        <f ca="1">IF(ISERROR(F250),"",IF(W257=0,"",_xlfn.TEXTJOIN("",FALSE," G+",W257," in ",A257)))</f>
        <v/>
      </c>
    </row>
    <row r="258" spans="1:24" ht="11.5" customHeight="1" x14ac:dyDescent="0.2">
      <c r="A258" s="7" t="str">
        <f ca="1">IF(ISERROR(F250),"",VLOOKUP(C250,INDIRECT($F$8),6+(O258-1)*3,0))</f>
        <v>MET 001</v>
      </c>
      <c r="B258" s="24" t="str">
        <f ca="1">IF(ISERROR(F250),"",VLOOKUP(D250,INDIRECT($F$8),6+(O258-1)*3,0))</f>
        <v>Basic Mechanical Engineering</v>
      </c>
      <c r="C258" s="24"/>
      <c r="D258" s="24"/>
      <c r="E258" s="24"/>
      <c r="F258" s="7">
        <f ca="1">IF(ISERROR(F250),"",VLOOKUP(E250,INDIRECT($F$8),6+(O258-1)*3,0))</f>
        <v>4</v>
      </c>
      <c r="G258" s="25" t="str">
        <f ca="1">IF(ISERROR(F250),"",_xlfn.TEXTJOIN("/",FALSE,P258,S258))</f>
        <v>67/100</v>
      </c>
      <c r="H258" s="25"/>
      <c r="I258" s="25" t="str">
        <f ca="1">IF(ISERROR(F250),"",_xlfn.TEXTJOIN("/",FALSE,Q258,T258))</f>
        <v>45/50</v>
      </c>
      <c r="J258" s="25"/>
      <c r="K258" s="25" t="str">
        <f ca="1">IF(ISERROR(F250),"",_xlfn.TEXTJOIN("/",FALSE,R258,U258))</f>
        <v>112/150</v>
      </c>
      <c r="L258" s="25"/>
      <c r="M258" s="7" t="str">
        <f ca="1">IF(ISERROR(F250),"",IF(ISTEXT(P258),IF(P258="A","Ab",IF(P258="D","Dt",IF(P258="UFM","UFM",IF(P258="NA","")))),IF(AND(ISBLANK(P258),ISBLANK(R258)),"",IF(P258&lt;0.3*S258,"F",IF(ISBLANK(R258),"",IF(ISTEXT(R258),R258,IF(R258&gt;=0.95*U258,"O",IF(R258&gt;=0.9*U258,"A+",IF(R258&gt;=0.85*U258,"A",IF(R258&gt;=0.8*U258,"B+",IF(R258&gt;=0.75*U258,"B",IF(R258&gt;=0.7*U258,"C+",IF(R258&gt;=0.65*U258,"C",IF(R258&gt;=0.6*U258,"D+",IF(R258&gt;=0.55*U258,"D",IF(R258&gt;=0.5*U258,"E+",IF(R258&gt;=0.45*U258,"E",IF(R258&gt;=0.4*U258,"P",IF(R258&lt;0.4*U258,"F",R258)))))))))))))))))))</f>
        <v>C+</v>
      </c>
      <c r="N258" s="8">
        <f t="shared" ca="1" si="23"/>
        <v>7.5</v>
      </c>
      <c r="O258">
        <f>O257+1</f>
        <v>4</v>
      </c>
      <c r="P258" s="1">
        <f ca="1">IF(ISERROR(F250),"",IF(ISTEXT(VLOOKUP(B250,INDIRECT($F$8),6+(O258-1)*3)),(VLOOKUP(B250,INDIRECT($F$8),6+(O258-1)*3)),SUM(VLOOKUP(B250,INDIRECT($F$8),6+(O258-1)*3),IF(W268,W258,0))))</f>
        <v>67</v>
      </c>
      <c r="Q258" s="1">
        <f ca="1">IF(ISERROR(F250),"",VLOOKUP(B250,INDIRECT($F$8),7+(O258-1)*3))</f>
        <v>45</v>
      </c>
      <c r="R258" s="1">
        <f ca="1">IF(ISERROR(F250),"",SUM(P258:Q258))</f>
        <v>112</v>
      </c>
      <c r="S258" s="1">
        <f ca="1">IF(ISERROR(F250),"",VLOOKUP(A250,INDIRECT($F$8),6+(O258-1)*3))</f>
        <v>100</v>
      </c>
      <c r="T258" s="1">
        <f ca="1">IF(ISERROR(F250),"",VLOOKUP(A250,INDIRECT($F$8),7+(O258-1)*3))</f>
        <v>50</v>
      </c>
      <c r="U258" s="1">
        <f ca="1">IF(ISERROR(F250),"",VLOOKUP(A250,INDIRECT($F$8),8+(O258-1)*3))</f>
        <v>150</v>
      </c>
      <c r="V258" s="1" t="str">
        <f ca="1">IF(ISERROR(F250),"",IF(N258=0,A258,""))</f>
        <v/>
      </c>
      <c r="W258" s="1">
        <f ca="1">IF(ISERROR(F250),"",IF(ISTEXT(VLOOKUP(B250,INDIRECT($F$8),6+(O258-1)*3)),11,IF(VLOOKUP(B250,INDIRECT($F$8),6+(O258-1)*3)&lt;S258*0.3,IF(VLOOKUP(B250,INDIRECT($F$8),8+(O258-1)*3)&lt;U258*0.4,IF(AND(0.4*U258-VLOOKUP(B250,INDIRECT($F$8),8+(O258-1)*3)&lt;=5,0.3*S258-VLOOKUP(B250,INDIRECT($F$8),6+(O258-1)*3)&lt;=5),MAX(0.4*U258-VLOOKUP(B250,INDIRECT($F$8),8+(O258-1)*3),0.3*S258-VLOOKUP(B250,INDIRECT($F$8),6+(O258-1)*3)),11),IF(0.3*S258-VLOOKUP(B250,INDIRECT($F$8),6+(O258-1)*3)&lt;=5,0.3*S258-VLOOKUP(B250,INDIRECT($F$8),6+(O258-1)*3),11)),IF(VLOOKUP(B250,INDIRECT($F$8),8+(O258-1)*3)&lt;U258*0.4,IF(U258*0.4-VLOOKUP(B250,INDIRECT($F$8),8+(O258-1)*3)&lt;=5,U258*0.4-VLOOKUP(B250,INDIRECT($F$8),8+(O258-1)*3),11),0))))</f>
        <v>0</v>
      </c>
      <c r="X258" s="1" t="str">
        <f ca="1">IF(ISERROR(F250),"",IF(W258=0,"",_xlfn.TEXTJOIN("",FALSE," G+",W258," in ",A258)))</f>
        <v/>
      </c>
    </row>
    <row r="259" spans="1:24" ht="11.5" customHeight="1" x14ac:dyDescent="0.2">
      <c r="A259" s="7" t="str">
        <f ca="1">IF(ISERROR(F250),"",VLOOKUP(C250,INDIRECT($F$8),6+(O259-1)*3,0))</f>
        <v>AHT 000</v>
      </c>
      <c r="B259" s="24" t="str">
        <f ca="1">IF(ISERROR(F250),"",VLOOKUP(D250,INDIRECT($F$8),6+(O259-1)*3,0))</f>
        <v>Basic Mathematics (Bridge Course) ($)</v>
      </c>
      <c r="C259" s="24"/>
      <c r="D259" s="24"/>
      <c r="E259" s="24"/>
      <c r="F259" s="7">
        <f ca="1">IF(ISERROR(F250),"",VLOOKUP(E250,INDIRECT($F$8),6+(O259-1)*3,0))</f>
        <v>0</v>
      </c>
      <c r="G259" s="25" t="str">
        <f ca="1">IF(ISERROR(F250),"",_xlfn.TEXTJOIN("/",FALSE,P259,S259))</f>
        <v>75/100</v>
      </c>
      <c r="H259" s="25"/>
      <c r="I259" s="25" t="str">
        <f ca="1">IF(ISERROR(F250),"",_xlfn.TEXTJOIN("/",FALSE,Q259,T259))</f>
        <v>41/50</v>
      </c>
      <c r="J259" s="25"/>
      <c r="K259" s="25" t="str">
        <f ca="1">IF(ISERROR(F250),"",_xlfn.TEXTJOIN("/",FALSE,R259,U259))</f>
        <v>116/150</v>
      </c>
      <c r="L259" s="25"/>
      <c r="M259" s="7" t="str">
        <f ca="1">IF(ISERROR(F250),"",IF(ISTEXT(P259),IF(P259="A","Ab",IF(P259="D","Dt",IF(P259="UFM","UFM",IF(P259="NA","")))),IF(AND(ISBLANK(P259),ISBLANK(R259)),"",IF(P259&lt;0.3*S259,"F",IF(ISBLANK(R259),"",IF(ISTEXT(R259),R259,IF(R259&gt;=0.95*U259,"O",IF(R259&gt;=0.9*U259,"A+",IF(R259&gt;=0.85*U259,"A",IF(R259&gt;=0.8*U259,"B+",IF(R259&gt;=0.75*U259,"B",IF(R259&gt;=0.7*U259,"C+",IF(R259&gt;=0.65*U259,"C",IF(R259&gt;=0.6*U259,"D+",IF(R259&gt;=0.55*U259,"D",IF(R259&gt;=0.5*U259,"E+",IF(R259&gt;=0.45*U259,"E",IF(R259&gt;=0.4*U259,"P",IF(R259&lt;0.4*U259,"F",R259)))))))))))))))))))</f>
        <v>B</v>
      </c>
      <c r="N259" s="8">
        <f t="shared" ca="1" si="23"/>
        <v>8</v>
      </c>
      <c r="O259" cm="1">
        <f t="array" aca="1" ref="O259" ca="1">IF(NOT(ISBLANK(INDIRECT("SEM_I!R"&amp;INT((ROW(O259)-17)/22)+6))),5,
IF(NOT(ISBLANK(INDIRECT("SEM_I!U"&amp;INT((ROW(O259)-17)/22)+6))),6))</f>
        <v>5</v>
      </c>
      <c r="P259" s="1">
        <f ca="1">IF(ISERROR(F250),"",IF(ISTEXT(VLOOKUP(B250,INDIRECT($F$8),6+(O259-1)*3)),(VLOOKUP(B250,INDIRECT($F$8),6+(O259-1)*3)),SUM(VLOOKUP(B250,INDIRECT($F$8),6+(O259-1)*3),IF(W268,W259,0))))</f>
        <v>75</v>
      </c>
      <c r="Q259" s="1">
        <f ca="1">IF(ISERROR(F250),"",VLOOKUP(B250,INDIRECT($F$8),7+(O259-1)*3))</f>
        <v>41</v>
      </c>
      <c r="R259" s="1">
        <f ca="1">IF(ISERROR(F250),"",SUM(P259:Q259))</f>
        <v>116</v>
      </c>
      <c r="S259" s="1">
        <f ca="1">IF(ISERROR(F250),"",VLOOKUP(A250,INDIRECT($F$8),6+(O259-1)*3))</f>
        <v>100</v>
      </c>
      <c r="T259" s="1">
        <f ca="1">IF(ISERROR(F250),"",VLOOKUP(A250,INDIRECT($F$8),7+(O259-1)*3))</f>
        <v>50</v>
      </c>
      <c r="U259" s="1">
        <f ca="1">IF(ISERROR(F250),"",VLOOKUP(A250,INDIRECT($F$8),8+(O259-1)*3))</f>
        <v>150</v>
      </c>
      <c r="V259" s="1" t="str">
        <f ca="1">IF(ISERROR(F250),"",IF(N259=0,A259,""))</f>
        <v/>
      </c>
      <c r="W259" s="1">
        <f ca="1">IF(ISERROR(F250),"",IF(ISTEXT(VLOOKUP(B250,INDIRECT($F$8),6+(O259-1)*3)),11,IF(VLOOKUP(B250,INDIRECT($F$8),6+(O259-1)*3)&lt;S259*0.3,IF(VLOOKUP(B250,INDIRECT($F$8),8+(O259-1)*3)&lt;U259*0.4,IF(AND(0.4*U259-VLOOKUP(B250,INDIRECT($F$8),8+(O259-1)*3)&lt;=5,0.3*S259-VLOOKUP(B250,INDIRECT($F$8),6+(O259-1)*3)&lt;=5),MAX(0.4*U259-VLOOKUP(B250,INDIRECT($F$8),8+(O259-1)*3),0.3*S259-VLOOKUP(B250,INDIRECT($F$8),6+(O259-1)*3)),11),IF(0.3*S259-VLOOKUP(B250,INDIRECT($F$8),6+(O259-1)*3)&lt;=5,0.3*S259-VLOOKUP(B250,INDIRECT($F$8),6+(O259-1)*3),11)),IF(VLOOKUP(B250,INDIRECT($F$8),8+(O259-1)*3)&lt;U259*0.4,IF(U259*0.4-VLOOKUP(B250,INDIRECT($F$8),8+(O259-1)*3)&lt;=5,U259*0.4-VLOOKUP(B250,INDIRECT($F$8),8+(O259-1)*3),11),0))))</f>
        <v>0</v>
      </c>
      <c r="X259" s="1" t="str">
        <f ca="1">IF(ISERROR(F250),"",IF(W259=0,"",_xlfn.TEXTJOIN("",FALSE," G+",W259," in ",A259)))</f>
        <v/>
      </c>
    </row>
    <row r="260" spans="1:24" ht="11.5" customHeight="1" x14ac:dyDescent="0.2">
      <c r="A260" s="7" t="str">
        <f ca="1">IF(ISERROR(F250),"",VLOOKUP(C250,INDIRECT($F$8),6+(O260-1)*3,0))</f>
        <v>AHP 002</v>
      </c>
      <c r="B260" s="24" t="str">
        <f ca="1">IF(ISERROR(F250),"",VLOOKUP(D250,INDIRECT($F$8),6+(O260-1)*3,0))</f>
        <v>Engineering Chemistry Lab</v>
      </c>
      <c r="C260" s="24"/>
      <c r="D260" s="24"/>
      <c r="E260" s="24"/>
      <c r="F260" s="7">
        <f ca="1">IF(ISERROR(F250),"",VLOOKUP(E250,INDIRECT($F$8),6+(O260-1)*3,0))</f>
        <v>1</v>
      </c>
      <c r="G260" s="25" t="str">
        <f ca="1">IF(ISERROR(F250),"",_xlfn.TEXTJOIN("/",FALSE,P260,S260))</f>
        <v>16/25</v>
      </c>
      <c r="H260" s="25"/>
      <c r="I260" s="25" t="str">
        <f ca="1">IF(ISERROR(F250),"",_xlfn.TEXTJOIN("/",FALSE,Q260,T260))</f>
        <v>17/25</v>
      </c>
      <c r="J260" s="25"/>
      <c r="K260" s="25" t="str">
        <f ca="1">IF(ISERROR(F250),"",_xlfn.TEXTJOIN("/",FALSE,R260,U260))</f>
        <v>33/50</v>
      </c>
      <c r="L260" s="25"/>
      <c r="M260" s="7" t="str">
        <f ca="1">IF(ISERROR(F250),"",IF(ISTEXT(P260),IF(P260="A","Ab",IF(P260="D","Dt",IF(P260="UFM","UFM",IF(P260="NA","")))),IF(AND(ISBLANK(P260),ISBLANK(R260)),"",IF(P260&lt;0.3*S260,"F",IF(ISBLANK(R260),"",IF(ISTEXT(R260),R260,IF(R260&gt;=0.95*U260,"O",IF(R260&gt;=0.9*U260,"A+",IF(R260&gt;=0.85*U260,"A",IF(R260&gt;=0.8*U260,"B+",IF(R260&gt;=0.75*U260,"B",IF(R260&gt;=0.7*U260,"C+",IF(R260&gt;=0.65*U260,"C",IF(R260&gt;=0.6*U260,"D+",IF(R260&gt;=0.55*U260,"D",IF(R260&gt;=0.5*U260,"E+",IF(R260&gt;=0.45*U260,"E",IF(R260&gt;=0.4*U260,"P",IF(R260&lt;0.4*U260,"F",R260)))))))))))))))))))</f>
        <v>C</v>
      </c>
      <c r="N260" s="8">
        <f t="shared" ca="1" si="23"/>
        <v>7</v>
      </c>
      <c r="O260">
        <f ca="1">IF(O259&gt;0,7)</f>
        <v>7</v>
      </c>
      <c r="P260" s="1">
        <f ca="1">IF(ISERROR(F250),"",IF(ISTEXT(VLOOKUP(B250,INDIRECT($F$8),6+(O260-1)*3)),(VLOOKUP(B250,INDIRECT($F$8),6+(O260-1)*3)),SUM(VLOOKUP(B250,INDIRECT($F$8),6+(O260-1)*3),IF(W268,W260,0))))</f>
        <v>16</v>
      </c>
      <c r="Q260" s="1">
        <f ca="1">IF(ISERROR(F250),"",VLOOKUP(B250,INDIRECT($F$8),7+(O260-1)*3))</f>
        <v>17</v>
      </c>
      <c r="R260" s="1">
        <f ca="1">IF(ISERROR(F250),"",SUM(P260:Q260))</f>
        <v>33</v>
      </c>
      <c r="S260" s="1">
        <f ca="1">IF(ISERROR(F250),"",VLOOKUP(A250,INDIRECT($F$8),6+(O260-1)*3))</f>
        <v>25</v>
      </c>
      <c r="T260" s="1">
        <f ca="1">IF(ISERROR(F250),"",VLOOKUP(A250,INDIRECT($F$8),7+(O260-1)*3))</f>
        <v>25</v>
      </c>
      <c r="U260" s="1">
        <f ca="1">IF(ISERROR(F250),"",VLOOKUP(A250,INDIRECT($F$8),8+(O260-1)*3))</f>
        <v>50</v>
      </c>
      <c r="V260" s="1" t="str">
        <f ca="1">IF(ISERROR(F250),"",IF(N260=0,A260,""))</f>
        <v/>
      </c>
      <c r="W260" s="1">
        <f ca="1">IF(ISERROR(F250),"",IF(ISTEXT(VLOOKUP(B250,INDIRECT($F$8),6+(O260-1)*3)),11,IF(VLOOKUP(B250,INDIRECT($F$8),6+(O260-1)*3)&lt;S260*0.3,IF(VLOOKUP(B250,INDIRECT($F$8),8+(O260-1)*3)&lt;U260*0.4,IF(AND(0.4*U260-VLOOKUP(B250,INDIRECT($F$8),8+(O260-1)*3)&lt;=5,0.3*S260-VLOOKUP(B250,INDIRECT($F$8),6+(O260-1)*3)&lt;=5),MAX(0.4*U260-VLOOKUP(B250,INDIRECT($F$8),8+(O260-1)*3),0.3*S260-VLOOKUP(B250,INDIRECT($F$8),6+(O260-1)*3)),11),IF(0.3*S260-VLOOKUP(B250,INDIRECT($F$8),6+(O260-1)*3)&lt;=5,0.3*S260-VLOOKUP(B250,INDIRECT($F$8),6+(O260-1)*3),11)),IF(VLOOKUP(B250,INDIRECT($F$8),8+(O260-1)*3)&lt;U260*0.4,IF(U260*0.4-VLOOKUP(B250,INDIRECT($F$8),8+(O260-1)*3)&lt;=5,U260*0.4-VLOOKUP(B250,INDIRECT($F$8),8+(O260-1)*3),11),0))))</f>
        <v>0</v>
      </c>
      <c r="X260" s="1" t="str">
        <f ca="1">IF(ISERROR(F250),"",IF(W260=0,"",_xlfn.TEXTJOIN("",FALSE," G+",W260," in ",A260)))</f>
        <v/>
      </c>
    </row>
    <row r="261" spans="1:24" ht="11.5" customHeight="1" x14ac:dyDescent="0.2">
      <c r="A261" s="7" t="str">
        <f ca="1">IF(ISERROR(F250),"",VLOOKUP(C250,INDIRECT($F$8),6+(O261-1)*3,0))</f>
        <v>ECP 001</v>
      </c>
      <c r="B261" s="24" t="str">
        <f ca="1">IF(ISERROR(F250),"",VLOOKUP(D250,INDIRECT($F$8),6+(O261-1)*3,0))</f>
        <v>Basic Electronics Engineering Lab</v>
      </c>
      <c r="C261" s="24"/>
      <c r="D261" s="24"/>
      <c r="E261" s="24"/>
      <c r="F261" s="7">
        <f ca="1">IF(ISERROR(F250),"",VLOOKUP(E250,INDIRECT($F$8),6+(O261-1)*3,0))</f>
        <v>1</v>
      </c>
      <c r="G261" s="25" t="str">
        <f ca="1">IF(ISERROR(F250),"",_xlfn.TEXTJOIN("/",FALSE,P261,S261))</f>
        <v>21/25</v>
      </c>
      <c r="H261" s="25"/>
      <c r="I261" s="25" t="str">
        <f ca="1">IF(ISERROR(F250),"",_xlfn.TEXTJOIN("/",FALSE,Q261,T261))</f>
        <v>23/25</v>
      </c>
      <c r="J261" s="25"/>
      <c r="K261" s="25" t="str">
        <f ca="1">IF(ISERROR(F250),"",_xlfn.TEXTJOIN("/",FALSE,R261,U261))</f>
        <v>44/50</v>
      </c>
      <c r="L261" s="25"/>
      <c r="M261" s="7" t="str">
        <f ca="1">IF(ISERROR(F250),"",IF(ISTEXT(P261),IF(P261="A","Ab",IF(P261="D","Dt",IF(P261="UFM","UFM",IF(P261="NA","")))),IF(AND(ISBLANK(P261),ISBLANK(R261)),"",IF(P261&lt;0.3*S261,"F",IF(ISBLANK(R261),"",IF(ISTEXT(R261),R261,IF(R261&gt;=0.95*U261,"O",IF(R261&gt;=0.9*U261,"A+",IF(R261&gt;=0.85*U261,"A",IF(R261&gt;=0.8*U261,"B+",IF(R261&gt;=0.75*U261,"B",IF(R261&gt;=0.7*U261,"C+",IF(R261&gt;=0.65*U261,"C",IF(R261&gt;=0.6*U261,"D+",IF(R261&gt;=0.55*U261,"D",IF(R261&gt;=0.5*U261,"E+",IF(R261&gt;=0.45*U261,"E",IF(R261&gt;=0.4*U261,"P",IF(R261&lt;0.4*U261,"F",R261)))))))))))))))))))</f>
        <v>A</v>
      </c>
      <c r="N261" s="8">
        <f t="shared" ca="1" si="23"/>
        <v>9</v>
      </c>
      <c r="O261">
        <f t="shared" ref="O261:O267" ca="1" si="24">O260+1</f>
        <v>8</v>
      </c>
      <c r="P261" s="1">
        <f ca="1">IF(ISERROR(F250),"",IF(ISTEXT(VLOOKUP(B250,INDIRECT($F$8),6+(O261-1)*3)),(VLOOKUP(B250,INDIRECT($F$8),6+(O261-1)*3)),SUM(VLOOKUP(B250,INDIRECT($F$8),6+(O261-1)*3),IF(W268,W261,0))))</f>
        <v>21</v>
      </c>
      <c r="Q261" s="1">
        <f ca="1">IF(ISERROR(F250),"",VLOOKUP(B250,INDIRECT($F$8),7+(O261-1)*3))</f>
        <v>23</v>
      </c>
      <c r="R261" s="1">
        <f ca="1">IF(ISERROR(F250),"",SUM(P261:Q261))</f>
        <v>44</v>
      </c>
      <c r="S261" s="1">
        <f ca="1">IF(ISERROR(F250),"",VLOOKUP(A250,INDIRECT($F$8),6+(O261-1)*3))</f>
        <v>25</v>
      </c>
      <c r="T261" s="1">
        <f ca="1">IF(ISERROR(F250),"",VLOOKUP(A250,INDIRECT($F$8),7+(O261-1)*3))</f>
        <v>25</v>
      </c>
      <c r="U261" s="1">
        <f ca="1">IF(ISERROR(F250),"",VLOOKUP(A250,INDIRECT($F$8),8+(O261-1)*3))</f>
        <v>50</v>
      </c>
      <c r="V261" s="1" t="str">
        <f ca="1">IF(ISERROR(F250),"",IF(N261=0,A261,""))</f>
        <v/>
      </c>
      <c r="W261" s="1">
        <f ca="1">IF(ISERROR(F250),"",IF(ISTEXT(VLOOKUP(B250,INDIRECT($F$8),6+(O261-1)*3)),11,IF(VLOOKUP(B250,INDIRECT($F$8),6+(O261-1)*3)&lt;S261*0.3,IF(VLOOKUP(B250,INDIRECT($F$8),8+(O261-1)*3)&lt;U261*0.4,IF(AND(0.4*U261-VLOOKUP(B250,INDIRECT($F$8),8+(O261-1)*3)&lt;=5,0.3*S261-VLOOKUP(B250,INDIRECT($F$8),6+(O261-1)*3)&lt;=5),MAX(0.4*U261-VLOOKUP(B250,INDIRECT($F$8),8+(O261-1)*3),0.3*S261-VLOOKUP(B250,INDIRECT($F$8),6+(O261-1)*3)),11),IF(0.3*S261-VLOOKUP(B250,INDIRECT($F$8),6+(O261-1)*3)&lt;=5,0.3*S261-VLOOKUP(B250,INDIRECT($F$8),6+(O261-1)*3),11)),IF(VLOOKUP(B250,INDIRECT($F$8),8+(O261-1)*3)&lt;U261*0.4,IF(U261*0.4-VLOOKUP(B250,INDIRECT($F$8),8+(O261-1)*3)&lt;=5,U261*0.4-VLOOKUP(B250,INDIRECT($F$8),8+(O261-1)*3),11),0))))</f>
        <v>0</v>
      </c>
      <c r="X261" s="1" t="str">
        <f ca="1">IF(ISERROR(F250),"",IF(W261=0,"",_xlfn.TEXTJOIN("",FALSE," G+",W261," in ",A261)))</f>
        <v/>
      </c>
    </row>
    <row r="262" spans="1:24" ht="11.5" customHeight="1" x14ac:dyDescent="0.2">
      <c r="A262" s="7" t="str">
        <f ca="1">IF(ISERROR(F250),"",VLOOKUP(C250,INDIRECT($F$8),6+(O262-1)*3,0))</f>
        <v>MEP 001</v>
      </c>
      <c r="B262" s="24" t="str">
        <f ca="1">IF(ISERROR(F250),"",VLOOKUP(D250,INDIRECT($F$8),6+(O262-1)*3,0))</f>
        <v>Basic Mechanical Engineering Lab</v>
      </c>
      <c r="C262" s="24"/>
      <c r="D262" s="24"/>
      <c r="E262" s="24"/>
      <c r="F262" s="7">
        <f ca="1">IF(ISERROR(F250),"",VLOOKUP(E250,INDIRECT($F$8),6+(O262-1)*3,0))</f>
        <v>1</v>
      </c>
      <c r="G262" s="25" t="str">
        <f ca="1">IF(ISERROR(F250),"",_xlfn.TEXTJOIN("/",FALSE,P262,S262))</f>
        <v>23/25</v>
      </c>
      <c r="H262" s="25"/>
      <c r="I262" s="25" t="str">
        <f ca="1">IF(ISERROR(F250),"",_xlfn.TEXTJOIN("/",FALSE,Q262,T262))</f>
        <v>23/25</v>
      </c>
      <c r="J262" s="25"/>
      <c r="K262" s="25" t="str">
        <f ca="1">IF(ISERROR(F250),"",_xlfn.TEXTJOIN("/",FALSE,R262,U262))</f>
        <v>46/50</v>
      </c>
      <c r="L262" s="25"/>
      <c r="M262" s="7" t="str">
        <f ca="1">IF(ISERROR(F250),"",IF(ISTEXT(P262),IF(P262="A","Ab",IF(P262="D","Dt",IF(P262="UFM","UFM",IF(P262="NA","")))),IF(AND(ISBLANK(P262),ISBLANK(R262)),"",IF(P262&lt;0.3*S262,"F",IF(ISBLANK(R262),"",IF(ISTEXT(R262),R262,IF(R262&gt;=0.95*U262,"O",IF(R262&gt;=0.9*U262,"A+",IF(R262&gt;=0.85*U262,"A",IF(R262&gt;=0.8*U262,"B+",IF(R262&gt;=0.75*U262,"B",IF(R262&gt;=0.7*U262,"C+",IF(R262&gt;=0.65*U262,"C",IF(R262&gt;=0.6*U262,"D+",IF(R262&gt;=0.55*U262,"D",IF(R262&gt;=0.5*U262,"E+",IF(R262&gt;=0.45*U262,"E",IF(R262&gt;=0.4*U262,"P",IF(R262&lt;0.4*U262,"F",R262)))))))))))))))))))</f>
        <v>A+</v>
      </c>
      <c r="N262" s="8">
        <f t="shared" ca="1" si="23"/>
        <v>9.5</v>
      </c>
      <c r="O262">
        <f t="shared" ca="1" si="24"/>
        <v>9</v>
      </c>
      <c r="P262" s="1">
        <f ca="1">IF(ISERROR(F250),"",IF(ISTEXT(VLOOKUP(B250,INDIRECT($F$8),6+(O262-1)*3)),(VLOOKUP(B250,INDIRECT($F$8),6+(O262-1)*3)),SUM(VLOOKUP(B250,INDIRECT($F$8),6+(O262-1)*3),IF(W268,W262,0))))</f>
        <v>23</v>
      </c>
      <c r="Q262" s="1">
        <f ca="1">IF(ISERROR(F250),"",VLOOKUP(B250,INDIRECT($F$8),7+(O262-1)*3))</f>
        <v>23</v>
      </c>
      <c r="R262" s="1">
        <f ca="1">IF(ISERROR(F250),"",SUM(P262:Q262))</f>
        <v>46</v>
      </c>
      <c r="S262" s="1">
        <f ca="1">IF(ISERROR(F250),"",VLOOKUP(A250,INDIRECT($F$8),6+(O262-1)*3))</f>
        <v>25</v>
      </c>
      <c r="T262" s="1">
        <f ca="1">IF(ISERROR(F250),"",VLOOKUP(A250,INDIRECT($F$8),7+(O262-1)*3))</f>
        <v>25</v>
      </c>
      <c r="U262" s="1">
        <f ca="1">IF(ISERROR(F250),"",VLOOKUP(A250,INDIRECT($F$8),8+(O262-1)*3))</f>
        <v>50</v>
      </c>
      <c r="V262" s="1" t="str">
        <f ca="1">IF(ISERROR(F250),"",IF(N262=0,A262,""))</f>
        <v/>
      </c>
      <c r="W262" s="1">
        <f ca="1">IF(ISERROR(F250),"",IF(ISTEXT(VLOOKUP(B250,INDIRECT($F$8),6+(O262-1)*3)),11,IF(VLOOKUP(B250,INDIRECT($F$8),6+(O262-1)*3)&lt;S262*0.3,IF(VLOOKUP(B250,INDIRECT($F$8),8+(O262-1)*3)&lt;U262*0.4,IF(AND(0.4*U262-VLOOKUP(B250,INDIRECT($F$8),8+(O262-1)*3)&lt;=5,0.3*S262-VLOOKUP(B250,INDIRECT($F$8),6+(O262-1)*3)&lt;=5),MAX(0.4*U262-VLOOKUP(B250,INDIRECT($F$8),8+(O262-1)*3),0.3*S262-VLOOKUP(B250,INDIRECT($F$8),6+(O262-1)*3)),11),IF(0.3*S262-VLOOKUP(B250,INDIRECT($F$8),6+(O262-1)*3)&lt;=5,0.3*S262-VLOOKUP(B250,INDIRECT($F$8),6+(O262-1)*3),11)),IF(VLOOKUP(B250,INDIRECT($F$8),8+(O262-1)*3)&lt;U262*0.4,IF(U262*0.4-VLOOKUP(B250,INDIRECT($F$8),8+(O262-1)*3)&lt;=5,U262*0.4-VLOOKUP(B250,INDIRECT($F$8),8+(O262-1)*3),11),0))))</f>
        <v>0</v>
      </c>
      <c r="X262" s="1" t="str">
        <f ca="1">IF(ISERROR(F250),"",IF(W262=0,"",_xlfn.TEXTJOIN("",FALSE," G+",W262," in ",A262)))</f>
        <v/>
      </c>
    </row>
    <row r="263" spans="1:24" ht="11.5" customHeight="1" x14ac:dyDescent="0.2">
      <c r="A263" s="7" t="str">
        <f ca="1">IF(ISERROR(F250),"",VLOOKUP(C250,INDIRECT($F$8),6+(O263-1)*3,0))</f>
        <v>MEP 003</v>
      </c>
      <c r="B263" s="24" t="str">
        <f ca="1">IF(ISERROR(F250),"",VLOOKUP(D250,INDIRECT($F$8),6+(O263-1)*3-Z263,0))</f>
        <v>Workshop Practices Lab</v>
      </c>
      <c r="C263" s="24"/>
      <c r="D263" s="24"/>
      <c r="E263" s="24"/>
      <c r="F263" s="7">
        <f ca="1">IF(ISERROR(F250),"",VLOOKUP(E250,INDIRECT($F$8),6+(O263-1)*3,0))</f>
        <v>2</v>
      </c>
      <c r="G263" s="25" t="str">
        <f ca="1">IF(ISERROR(F250),"",_xlfn.TEXTJOIN("/",FALSE,P263,S263))</f>
        <v>45/50</v>
      </c>
      <c r="H263" s="25"/>
      <c r="I263" s="25" t="str">
        <f ca="1">IF(ISERROR(F250),"",_xlfn.TEXTJOIN("/",FALSE,Q263,T263))</f>
        <v>43/50</v>
      </c>
      <c r="J263" s="25"/>
      <c r="K263" s="25" t="str">
        <f ca="1">IF(ISERROR(F250),"",_xlfn.TEXTJOIN("/",FALSE,R263,U263))</f>
        <v>88/100</v>
      </c>
      <c r="L263" s="25"/>
      <c r="M263" s="7" t="str">
        <f ca="1">IF(ISERROR(F250),"",IF(ISTEXT(P263),IF(P263="A","Ab",IF(P263="D","Dt",IF(P263="UFM","UFM",IF(P263="NA","")))),IF(AND(ISBLANK(P263),ISBLANK(R263)),"",IF(P263&lt;0.3*S263,"F",IF(ISBLANK(R263),"",IF(ISTEXT(R263),R263,IF(R263&gt;=0.95*U263,"O",IF(R263&gt;=0.9*U263,"A+",IF(R263&gt;=0.85*U263,"A",IF(R263&gt;=0.8*U263,"B+",IF(R263&gt;=0.75*U263,"B",IF(R263&gt;=0.7*U263,"C+",IF(R263&gt;=0.65*U263,"C",IF(R263&gt;=0.6*U263,"D+",IF(R263&gt;=0.55*U263,"D",IF(R263&gt;=0.5*U263,"E+",IF(R263&gt;=0.45*U263,"E",IF(R263&gt;=0.4*U263,"P",IF(R263&lt;0.4*U263,"F",R263)))))))))))))))))))</f>
        <v>A</v>
      </c>
      <c r="N263" s="8">
        <f t="shared" ca="1" si="23"/>
        <v>9</v>
      </c>
      <c r="O263">
        <f t="shared" ca="1" si="24"/>
        <v>10</v>
      </c>
      <c r="P263" s="1">
        <f ca="1">IF(ISERROR(F250),"",IF(ISTEXT(VLOOKUP(B250,INDIRECT($F$8),6+(O263-1)*3)),(VLOOKUP(B250,INDIRECT($F$8),6+(O263-1)*3)),SUM(VLOOKUP(B250,INDIRECT($F$8),6+(O263-1)*3),IF(W268,W263,0))))</f>
        <v>45</v>
      </c>
      <c r="Q263" s="1">
        <f ca="1">IF(ISERROR(F250),"",VLOOKUP(B250,INDIRECT($F$8),7+(O263-1)*3))</f>
        <v>43</v>
      </c>
      <c r="R263" s="1">
        <f ca="1">IF(ISERROR(F250),"",SUM(P263:Q263))</f>
        <v>88</v>
      </c>
      <c r="S263" s="1">
        <f ca="1">IF(ISERROR(F250),"",VLOOKUP(A250,INDIRECT($F$8),6+(O263-1)*3))</f>
        <v>50</v>
      </c>
      <c r="T263" s="1">
        <f ca="1">IF(ISERROR(F250),"",VLOOKUP(A250,INDIRECT($F$8),7+(O263-1)*3))</f>
        <v>50</v>
      </c>
      <c r="U263" s="1">
        <f ca="1">IF(ISERROR(F250),"",VLOOKUP(A250,INDIRECT($F$8),8+(O263-1)*3))</f>
        <v>100</v>
      </c>
      <c r="V263" s="1" t="str">
        <f ca="1">IF(ISERROR(F250),"",IF(N263=0,A263,""))</f>
        <v/>
      </c>
      <c r="W263" s="1">
        <f ca="1">IF(ISERROR(F250),"",IF(ISTEXT(VLOOKUP(B250,INDIRECT($F$8),6+(O263-1)*3)),11,IF(VLOOKUP(B250,INDIRECT($F$8),6+(O263-1)*3)&lt;S263*0.3,IF(VLOOKUP(B250,INDIRECT($F$8),8+(O263-1)*3)&lt;U263*0.4,IF(AND(0.4*U263-VLOOKUP(B250,INDIRECT($F$8),8+(O263-1)*3)&lt;=5,0.3*S263-VLOOKUP(B250,INDIRECT($F$8),6+(O263-1)*3)&lt;=5),MAX(0.4*U263-VLOOKUP(B250,INDIRECT($F$8),8+(O263-1)*3),0.3*S263-VLOOKUP(B250,INDIRECT($F$8),6+(O263-1)*3)),11),IF(0.3*S263-VLOOKUP(B250,INDIRECT($F$8),6+(O263-1)*3)&lt;=5,0.3*S263-VLOOKUP(B250,INDIRECT($F$8),6+(O263-1)*3),11)),IF(VLOOKUP(B250,INDIRECT($F$8),8+(O263-1)*3)&lt;U263*0.4,IF(U263*0.4-VLOOKUP(B250,INDIRECT($F$8),8+(O263-1)*3)&lt;=5,U263*0.4-VLOOKUP(B250,INDIRECT($F$8),8+(O263-1)*3),11),0))))</f>
        <v>0</v>
      </c>
      <c r="X263" s="1" t="str">
        <f ca="1">IF(ISERROR(F250),"",IF(W263=0,"",_xlfn.TEXTJOIN("",FALSE," G+",W263," in ",A263)))</f>
        <v/>
      </c>
    </row>
    <row r="264" spans="1:24" ht="11.5" customHeight="1" x14ac:dyDescent="0.2">
      <c r="A264" s="7" t="str">
        <f ca="1">IF(ISERROR(F250),"",VLOOKUP(C250,INDIRECT($F$8),6+(O264-1)*3,0))</f>
        <v>AHP 004</v>
      </c>
      <c r="B264" s="24" t="str">
        <f ca="1">IF(ISERROR(F250),"",VLOOKUP(D250,INDIRECT($F$8),6+(O264-1)*3-Z264,0))</f>
        <v>Emerging Technologies in Engineering Lab</v>
      </c>
      <c r="C264" s="24"/>
      <c r="D264" s="24"/>
      <c r="E264" s="24"/>
      <c r="F264" s="7">
        <f ca="1">IF(ISERROR(F250),"",VLOOKUP(E250,INDIRECT($F$8),6+(O264-1)*3,0))</f>
        <v>1</v>
      </c>
      <c r="G264" s="25" t="str">
        <f ca="1">IF(ISERROR(F250),"",_xlfn.TEXTJOIN("/",FALSE,P264,S264))</f>
        <v>24/25</v>
      </c>
      <c r="H264" s="25"/>
      <c r="I264" s="25" t="str">
        <f ca="1">IF(ISERROR(F250),"",_xlfn.TEXTJOIN("/",FALSE,Q264,T264))</f>
        <v>21/25</v>
      </c>
      <c r="J264" s="25"/>
      <c r="K264" s="25" t="str">
        <f ca="1">IF(ISERROR(F250),"",_xlfn.TEXTJOIN("/",FALSE,R264,U264))</f>
        <v>45/50</v>
      </c>
      <c r="L264" s="25"/>
      <c r="M264" s="7" t="str">
        <f ca="1">IF(ISERROR(F250),"",IF(ISTEXT(P264),IF(P264="A","Ab",IF(P264="D","Dt",IF(P264="UFM","UFM",IF(P264="NA","")))),IF(AND(ISBLANK(P264),ISBLANK(R264)),"",IF(P264&lt;0.3*S264,"F",IF(ISBLANK(R264),"",IF(ISTEXT(R264),R264,IF(R264&gt;=0.95*U264,"O",IF(R264&gt;=0.9*U264,"A+",IF(R264&gt;=0.85*U264,"A",IF(R264&gt;=0.8*U264,"B+",IF(R264&gt;=0.75*U264,"B",IF(R264&gt;=0.7*U264,"C+",IF(R264&gt;=0.65*U264,"C",IF(R264&gt;=0.6*U264,"D+",IF(R264&gt;=0.55*U264,"D",IF(R264&gt;=0.5*U264,"E+",IF(R264&gt;=0.45*U264,"E",IF(R264&gt;=0.4*U264,"P",IF(R264&lt;0.4*U264,"F",R264)))))))))))))))))))</f>
        <v>A+</v>
      </c>
      <c r="N264" s="8">
        <f t="shared" ca="1" si="23"/>
        <v>9.5</v>
      </c>
      <c r="O264">
        <f t="shared" ca="1" si="24"/>
        <v>11</v>
      </c>
      <c r="P264" s="1">
        <f ca="1">IF(ISERROR(F250),"",IF(ISTEXT(VLOOKUP(B250,INDIRECT($F$8),6+(O264-1)*3)),(VLOOKUP(B250,INDIRECT($F$8),6+(O264-1)*3)),SUM(VLOOKUP(B250,INDIRECT($F$8),6+(O264-1)*3),IF(W268,W264,0))))</f>
        <v>24</v>
      </c>
      <c r="Q264" s="1">
        <f ca="1">IF(ISERROR(F250),"",VLOOKUP(B250,INDIRECT($F$8),7+(O264-1)*3))</f>
        <v>21</v>
      </c>
      <c r="R264" s="1">
        <f ca="1">IF(ISERROR(F250),"",SUM(P264:Q264))</f>
        <v>45</v>
      </c>
      <c r="S264" s="1">
        <f ca="1">IF(ISERROR(F250),"",VLOOKUP(A250,INDIRECT($F$8),6+(O264-1)*3))</f>
        <v>25</v>
      </c>
      <c r="T264" s="1">
        <f ca="1">IF(ISERROR(F250),"",VLOOKUP(A250,INDIRECT($F$8),7+(O264-1)*3))</f>
        <v>25</v>
      </c>
      <c r="U264" s="1">
        <f ca="1">IF(ISERROR(F250),"",VLOOKUP(A250,INDIRECT($F$8),8+(O264-1)*3))</f>
        <v>50</v>
      </c>
      <c r="V264" s="1" t="str">
        <f ca="1">IF(ISERROR(F250),"",IF(N264=0,A264,""))</f>
        <v/>
      </c>
      <c r="W264" s="1">
        <f ca="1">IF(ISERROR(F250),"",IF(ISTEXT(VLOOKUP(B250,INDIRECT($F$8),6+(O264-1)*3)),11,IF(VLOOKUP(B250,INDIRECT($F$8),6+(O264-1)*3)&lt;S264*0.3,IF(VLOOKUP(B250,INDIRECT($F$8),8+(O264-1)*3)&lt;U264*0.4,IF(AND(0.4*U264-VLOOKUP(B250,INDIRECT($F$8),8+(O264-1)*3)&lt;=5,0.3*S264-VLOOKUP(B250,INDIRECT($F$8),6+(O264-1)*3)&lt;=5),MAX(0.4*U264-VLOOKUP(B250,INDIRECT($F$8),8+(O264-1)*3),0.3*S264-VLOOKUP(B250,INDIRECT($F$8),6+(O264-1)*3)),11),IF(0.3*S264-VLOOKUP(B250,INDIRECT($F$8),6+(O264-1)*3)&lt;=5,0.3*S264-VLOOKUP(B250,INDIRECT($F$8),6+(O264-1)*3),11)),IF(VLOOKUP(B250,INDIRECT($F$8),8+(O264-1)*3)&lt;U264*0.4,IF(U264*0.4-VLOOKUP(B250,INDIRECT($F$8),8+(O264-1)*3)&lt;=5,U264*0.4-VLOOKUP(B250,INDIRECT($F$8),8+(O264-1)*3),11),0))))</f>
        <v>0</v>
      </c>
      <c r="X264" s="1" t="str">
        <f ca="1">IF(ISERROR(F250),"",IF(W264=0,"",_xlfn.TEXTJOIN("",FALSE," G+",W264," in ",A264)))</f>
        <v/>
      </c>
    </row>
    <row r="265" spans="1:24" ht="11.5" customHeight="1" x14ac:dyDescent="0.2">
      <c r="A265" s="7" t="str">
        <f ca="1">IF(ISERROR(F250),"",VLOOKUP(C250,INDIRECT($F$8),6+(O265-1)*3,0))</f>
        <v>CSP 002</v>
      </c>
      <c r="B265" s="24" t="str">
        <f ca="1">IF(ISERROR(F250),"",VLOOKUP(D250,INDIRECT($F$8),6+(O265-1)*3,0))</f>
        <v>Computer Applications and IOT</v>
      </c>
      <c r="C265" s="24"/>
      <c r="D265" s="24"/>
      <c r="E265" s="24"/>
      <c r="F265" s="7">
        <f ca="1">IF(ISERROR(F250),"",VLOOKUP(E250,INDIRECT($F$8),6+(O265-1)*3,0))</f>
        <v>1</v>
      </c>
      <c r="G265" s="25" t="str">
        <f ca="1">IF(ISERROR(F250),"",_xlfn.TEXTJOIN("/",FALSE,P265,S265))</f>
        <v>24/25</v>
      </c>
      <c r="H265" s="25"/>
      <c r="I265" s="25" t="str">
        <f ca="1">IF(ISERROR(F250),"",_xlfn.TEXTJOIN("/",FALSE,Q265,T265))</f>
        <v>24/25</v>
      </c>
      <c r="J265" s="25"/>
      <c r="K265" s="25" t="str">
        <f ca="1">IF(ISERROR(F250),"",_xlfn.TEXTJOIN("/",FALSE,R265,U265))</f>
        <v>48/50</v>
      </c>
      <c r="L265" s="25"/>
      <c r="M265" s="7" t="str">
        <f ca="1">IF(ISERROR(F250)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O</v>
      </c>
      <c r="N265" s="8">
        <f t="shared" ca="1" si="23"/>
        <v>10</v>
      </c>
      <c r="O265">
        <f t="shared" ca="1" si="24"/>
        <v>12</v>
      </c>
      <c r="P265" s="1">
        <f ca="1">IF(ISERROR(F250),"",IF(ISTEXT(VLOOKUP(B250,INDIRECT($F$8),6+(O265-1)*3)),(VLOOKUP(B250,INDIRECT($F$8),6+(O265-1)*3)),SUM(VLOOKUP(B250,INDIRECT($F$8),6+(O265-1)*3),IF(W268,W265,0))))</f>
        <v>24</v>
      </c>
      <c r="Q265" s="1">
        <f ca="1">IF(ISERROR(F250),"",VLOOKUP(B250,INDIRECT($F$8),7+(O265-1)*3))</f>
        <v>24</v>
      </c>
      <c r="R265" s="1">
        <f ca="1">IF(ISERROR(F250),"",SUM(P265:Q265))</f>
        <v>48</v>
      </c>
      <c r="S265" s="1">
        <f ca="1">IF(ISERROR(F250),"",VLOOKUP(A250,INDIRECT($F$8),6+(O265-1)*3))</f>
        <v>25</v>
      </c>
      <c r="T265" s="1">
        <f ca="1">IF(ISERROR(F250),"",VLOOKUP(A250,INDIRECT($F$8),7+(O265-1)*3))</f>
        <v>25</v>
      </c>
      <c r="U265" s="1">
        <f ca="1">IF(ISERROR(F250),"",VLOOKUP(A250,INDIRECT($F$8),8+(O265-1)*3))</f>
        <v>50</v>
      </c>
      <c r="V265" s="1" t="str">
        <f ca="1">IF(ISERROR(F250),"",IF(N265=0,A265,""))</f>
        <v/>
      </c>
      <c r="W265" s="1">
        <f ca="1">IF(ISERROR(F250),"",IF(ISTEXT(VLOOKUP(B250,INDIRECT($F$8),6+(O265-1)*3)),11,IF(VLOOKUP(B250,INDIRECT($F$8),6+(O265-1)*3)&lt;S265*0.3,IF(VLOOKUP(B250,INDIRECT($F$8),8+(O265-1)*3)&lt;U265*0.4,IF(AND(0.4*U265-VLOOKUP(B250,INDIRECT($F$8),8+(O265-1)*3)&lt;=5,0.3*S265-VLOOKUP(B250,INDIRECT($F$8),6+(O265-1)*3)&lt;=5),MAX(0.4*U265-VLOOKUP(B250,INDIRECT($F$8),8+(O265-1)*3),0.3*S265-VLOOKUP(B250,INDIRECT($F$8),6+(O265-1)*3)),11),IF(0.3*S265-VLOOKUP(B250,INDIRECT($F$8),6+(O265-1)*3)&lt;=5,0.3*S265-VLOOKUP(B250,INDIRECT($F$8),6+(O265-1)*3),11)),IF(VLOOKUP(B250,INDIRECT($F$8),8+(O265-1)*3)&lt;U265*0.4,IF(U265*0.4-VLOOKUP(B250,INDIRECT($F$8),8+(O265-1)*3)&lt;=5,U265*0.4-VLOOKUP(B250,INDIRECT($F$8),8+(O265-1)*3),11),0))))</f>
        <v>0</v>
      </c>
      <c r="X265" s="1" t="str">
        <f ca="1">IF(ISERROR(F250),"",IF(W265=0,"",_xlfn.TEXTJOIN("",FALSE," G+",W265," in ",A265)))</f>
        <v/>
      </c>
    </row>
    <row r="266" spans="1:24" ht="11.5" customHeight="1" x14ac:dyDescent="0.2">
      <c r="A266" s="7" t="str">
        <f ca="1">IF(ISERROR(F250),"",VLOOKUP(C250,INDIRECT($F$8),6+(O266-1)*3,0))</f>
        <v>AHP 006</v>
      </c>
      <c r="B266" s="24" t="str">
        <f ca="1">IF(ISERROR(F250),"",VLOOKUP(D250,INDIRECT($F$8),6+(O266-1)*3,0))</f>
        <v>English Language Lab ($)</v>
      </c>
      <c r="C266" s="24"/>
      <c r="D266" s="24"/>
      <c r="E266" s="24"/>
      <c r="F266" s="7">
        <f ca="1">IF(ISERROR(F250),"",VLOOKUP(E250,INDIRECT($F$8),6+(O266-1)*3,0))</f>
        <v>0</v>
      </c>
      <c r="G266" s="25" t="str">
        <f ca="1">IF(ISERROR(F250),"",_xlfn.TEXTJOIN("/",FALSE,P266,S266))</f>
        <v>20/25</v>
      </c>
      <c r="H266" s="25"/>
      <c r="I266" s="25" t="str">
        <f ca="1">IF(ISERROR(F250),"",_xlfn.TEXTJOIN("/",FALSE,Q266,T266))</f>
        <v>41/50</v>
      </c>
      <c r="J266" s="25"/>
      <c r="K266" s="25" t="str">
        <f ca="1">IF(ISERROR(F250),"",_xlfn.TEXTJOIN("/",FALSE,R266,U266))</f>
        <v>61/75</v>
      </c>
      <c r="L266" s="25"/>
      <c r="M266" s="7" t="str">
        <f ca="1">IF(ISERROR(F250)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B+</v>
      </c>
      <c r="N266" s="8">
        <f ca="1">INDEX($Z$2:$Z$17,MATCH(M266,$Y$2:$Y$17,0))</f>
        <v>8.5</v>
      </c>
      <c r="O266">
        <f t="shared" ca="1" si="24"/>
        <v>13</v>
      </c>
      <c r="P266" s="1">
        <f ca="1">IF(ISERROR(F250),"",IF(ISTEXT(VLOOKUP(B250,INDIRECT($F$8),6+(O266-1)*3)),(VLOOKUP(B250,INDIRECT($F$8),6+(O266-1)*3)),SUM(VLOOKUP(B250,INDIRECT($F$8),6+(O266-1)*3),IF(W268,W266,0))))</f>
        <v>20</v>
      </c>
      <c r="Q266" s="1">
        <f ca="1">IF(ISERROR(F250),"",VLOOKUP(B250,INDIRECT($F$8),7+(O266-1)*3))</f>
        <v>41</v>
      </c>
      <c r="R266" s="1">
        <f ca="1">IF(ISERROR(F250),"",SUM(P266:Q266))</f>
        <v>61</v>
      </c>
      <c r="S266" s="1">
        <f ca="1">IF(ISERROR(F250),"",VLOOKUP(A250,INDIRECT($F$8),6+(O266-1)*3))</f>
        <v>25</v>
      </c>
      <c r="T266" s="1">
        <f ca="1">IF(ISERROR(F250),"",VLOOKUP(A250,INDIRECT($F$8),7+(O266-1)*3))</f>
        <v>50</v>
      </c>
      <c r="U266" s="1">
        <f ca="1">IF(ISERROR(F250),"",VLOOKUP(A250,INDIRECT($F$8),8+(O266-1)*3))</f>
        <v>75</v>
      </c>
      <c r="V266" s="1"/>
      <c r="W266" s="1">
        <f ca="1">IF(ISERROR(F250),"",IF(ISTEXT(VLOOKUP(B250,INDIRECT($F$8),6+(O266-1)*3)),11,IF(VLOOKUP(B250,INDIRECT($F$8),6+(O266-1)*3)&lt;S266*0.3,IF(VLOOKUP(B250,INDIRECT($F$8),8+(O266-1)*3)&lt;U266*0.4,IF(AND(0.4*U266-VLOOKUP(B250,INDIRECT($F$8),8+(O266-1)*3)&lt;=5,0.3*S266-VLOOKUP(B250,INDIRECT($F$8),6+(O266-1)*3)&lt;=5),MAX(0.4*U266-VLOOKUP(B250,INDIRECT($F$8),8+(O266-1)*3),0.3*S266-VLOOKUP(B250,INDIRECT($F$8),6+(O266-1)*3)),11),IF(0.3*S266-VLOOKUP(B250,INDIRECT($F$8),6+(O266-1)*3)&lt;=5,0.3*S266-VLOOKUP(B250,INDIRECT($F$8),6+(O266-1)*3),11)),IF(VLOOKUP(B250,INDIRECT($F$8),8+(O266-1)*3)&lt;U266*0.4,IF(U266*0.4-VLOOKUP(B250,INDIRECT($F$8),8+(O266-1)*3)&lt;=5,U266*0.4-VLOOKUP(B250,INDIRECT($F$8),8+(O266-1)*3),11),0))))</f>
        <v>0</v>
      </c>
      <c r="X266" s="1" t="str">
        <f ca="1">IF(ISERROR(F250),"",IF(W266=0,"",_xlfn.TEXTJOIN("",FALSE," G+",W266," in ",A266)))</f>
        <v/>
      </c>
    </row>
    <row r="267" spans="1:24" ht="11.5" customHeight="1" x14ac:dyDescent="0.2">
      <c r="A267" s="7" t="str">
        <f ca="1">IF(ISERROR(F250),"",VLOOKUP(C250,INDIRECT($F$8),6+(O267-1)*3-Y267,0))</f>
        <v>GP 01</v>
      </c>
      <c r="B267" s="24" t="str">
        <f ca="1">IF(ISERROR(F250),"",VLOOKUP(D250,INDIRECT($F$8),6+(O267-1)*3-Z267,0))</f>
        <v>General Proficiency ($)</v>
      </c>
      <c r="C267" s="24"/>
      <c r="D267" s="24"/>
      <c r="E267" s="24"/>
      <c r="F267" s="7">
        <f ca="1">IF(ISERROR(F250),"",VLOOKUP(E250,INDIRECT($F$8),6+(O267-1)*3-AA267,0))</f>
        <v>0</v>
      </c>
      <c r="G267" s="25" t="str">
        <f ca="1">IF(ISERROR(F250),"","-")</f>
        <v>-</v>
      </c>
      <c r="H267" s="25"/>
      <c r="I267" s="25" t="str">
        <f ca="1">IF(ISERROR(F250),"",_xlfn.TEXTJOIN("/",FALSE,Q267,T267))</f>
        <v>47/50</v>
      </c>
      <c r="J267" s="25"/>
      <c r="K267" s="25" t="str">
        <f ca="1">IF(ISERROR(F250),"",_xlfn.TEXTJOIN("/",FALSE,R267,U267))</f>
        <v>47/50</v>
      </c>
      <c r="L267" s="25"/>
      <c r="M267" s="25" t="str">
        <f ca="1">IF(ISBLANK(R267),"",IF(ISTEXT(R267),R267,IF(R267&gt;=0.8*U267,"Excellent",IF(R267&gt;=0.6*U267,"Very Good",IF(R267&gt;=0.4*U267,"Good",IF(R267&gt;=0.2*U267,"Satisfactory","Average"))))))</f>
        <v>Excellent</v>
      </c>
      <c r="N267" s="25"/>
      <c r="O267">
        <f t="shared" ca="1" si="24"/>
        <v>14</v>
      </c>
      <c r="P267" s="1">
        <f ca="1">IF(ISERROR(F250),"",IF(ISTEXT(VLOOKUP(B\28,INDIRECT($F$8),6+(O267-1)*3)),(VLOOKUP(B250,INDIRECT($F$8),6+(O267-1)*3)),SUM(VLOOKUP(B250,INDIRECT($F$8),6+(O267-1)*3),IF(W268,W268,0))))</f>
        <v>0</v>
      </c>
      <c r="Q267" s="1">
        <f ca="1">IF(ISERROR(F250),"",VLOOKUP(B250,INDIRECT($F$8),7+(O267-1)*3))</f>
        <v>47</v>
      </c>
      <c r="R267" s="1">
        <f ca="1">IF(ISERROR(F250),"",SUM(P267:Q267))</f>
        <v>47</v>
      </c>
      <c r="S267" s="1">
        <f ca="1">IF(ISERROR(F250),"",VLOOKUP(A250,INDIRECT($F$8),6+(O267-1)*3))</f>
        <v>0</v>
      </c>
      <c r="T267" s="1">
        <f ca="1">IF(ISERROR(F250),"",VLOOKUP(A250,INDIRECT($F$8),7+(O267-1)*3))</f>
        <v>50</v>
      </c>
      <c r="U267" s="1">
        <f ca="1">IF(ISERROR(F250),"",VLOOKUP(A250,INDIRECT($F$8),8+(O267-1)*3))</f>
        <v>50</v>
      </c>
      <c r="V267" s="1"/>
      <c r="W267" s="1"/>
      <c r="X267" s="1" t="str">
        <f ca="1">IF(ISERROR(F250),"",IF(W267=0,"",_xlfn.TEXTJOIN("",FALSE," G+",W267," in ",A267)))</f>
        <v/>
      </c>
    </row>
    <row r="268" spans="1:24" ht="11.5" customHeight="1" x14ac:dyDescent="0.2">
      <c r="A268" s="26" t="str">
        <f ca="1">IF(ISERROR(F250),"",A246)</f>
        <v>Total Credits/ Marks/ Total Grade Points</v>
      </c>
      <c r="B268" s="26"/>
      <c r="C268" s="26"/>
      <c r="D268" s="26"/>
      <c r="E268" s="26"/>
      <c r="F268" s="10">
        <f ca="1">IF(ISERROR(F250),"",SUM(F255:F266))</f>
        <v>23</v>
      </c>
      <c r="G268" s="27" t="str">
        <f ca="1">IF(ISERROR(F250),"",_xlfn.TEXTJOIN("/",TRUE,SUMIF(F255:F267,"&gt;0",P255:P267),SUMIF(F255:F267,"&gt;0",S255:S267)))</f>
        <v>362/575</v>
      </c>
      <c r="H268" s="27"/>
      <c r="I268" s="27" t="str">
        <f ca="1">IF(ISERROR(F250),"",_xlfn.TEXTJOIN("/",TRUE,SUMIF(F255:F267,"&gt;0",Q255:Q267),SUMIF(F255:F267,"&gt;0",T255:T267)))</f>
        <v>314/375</v>
      </c>
      <c r="J268" s="27"/>
      <c r="K268" s="27" t="str">
        <f ca="1">IF(ISERROR(F250),"",_xlfn.TEXTJOIN("/",TRUE,SUMIF(F255:F267,"&gt;0",R255:R267),SUMIF(F255:F267,"&gt;0",U255:U267)))</f>
        <v>676/950</v>
      </c>
      <c r="L268" s="27"/>
      <c r="M268" s="26">
        <f ca="1">IF(ISERROR(F250),"",SUMPRODUCT(N255:N266,F255:F266))</f>
        <v>165</v>
      </c>
      <c r="N268" s="26"/>
      <c r="V268" s="1" t="str">
        <f ca="1">_xlfn.TEXTJOIN(", ",TRUE,V255:V267)</f>
        <v/>
      </c>
      <c r="W268" t="b">
        <f ca="1">IF(SUM(W255:W267)&lt;=W254,TRUE,FALSE)</f>
        <v>1</v>
      </c>
      <c r="X268" s="1" t="str">
        <f ca="1">IF(ISERROR(F250),"",_xlfn.TEXTJOIN(",",TRUE,X255:X267))</f>
        <v/>
      </c>
    </row>
    <row r="269" spans="1:24" ht="11.5" customHeight="1" x14ac:dyDescent="0.2">
      <c r="A269" s="26" t="str">
        <f ca="1">IF(ISERROR(F250),"",A247)</f>
        <v>Result:</v>
      </c>
      <c r="B269" s="28" t="str" cm="1">
        <f t="array" aca="1" ref="B269" ca="1">IF(SUM(COUNTIF(M255:M266,{"Ab","Dt"}))=12, "Not Promoted to IInd Semester", IF(V268="", "PASS", "CARRY OVER"))</f>
        <v>PASS</v>
      </c>
      <c r="C269" s="28"/>
      <c r="D269" s="26" t="str">
        <f ca="1">IF(ISERROR(F250),"",D247)</f>
        <v>Remark:</v>
      </c>
      <c r="E269" s="28" t="str">
        <f ca="1">IF(ISERROR(F250),"",IF(V268="",IF(X268="","",X268),_xlfn.TEXTJOIN(" ",TRUE,"BACK IN",V268)))</f>
        <v/>
      </c>
      <c r="F269" s="28"/>
      <c r="G269" s="26" t="str">
        <f ca="1">IF(ISERROR(F250),"",G247)</f>
        <v>SGPA:</v>
      </c>
      <c r="H269" s="29">
        <f ca="1">IF(ISERROR(F250),"",M268/F268)</f>
        <v>7.1739130434782608</v>
      </c>
      <c r="I269" s="26" t="str">
        <f ca="1">IF(ISERROR(F250),"",I247)</f>
        <v>CGPA:</v>
      </c>
      <c r="J269" s="29">
        <f ca="1">IF(ISERROR(F250),"",VLOOKUP(B250,INDIRECT($F$8),12+(O267-1)*3,0))</f>
        <v>7.1739130434782608</v>
      </c>
      <c r="K269" s="28" t="str">
        <f ca="1">IF(ISERROR(F250),"",K247)</f>
        <v>Earned Credits:</v>
      </c>
      <c r="L269" s="26">
        <f ca="1">IF(ISERROR(F250),"",SUMIF(N255:N266,"&gt;0",F255:F266))</f>
        <v>23</v>
      </c>
      <c r="M269" s="28" t="str">
        <f ca="1">IF(ISERROR(F250),"",M247)</f>
        <v>Cuml. Earned Credits:</v>
      </c>
      <c r="N269" s="26">
        <f ca="1">IF(ISERROR(F250),"",VLOOKUP(B250,INDIRECT($F$8),10+(O267-1)*3,0))</f>
        <v>23</v>
      </c>
    </row>
    <row r="270" spans="1:24" ht="11.5" customHeight="1" x14ac:dyDescent="0.2">
      <c r="A270" s="26"/>
      <c r="B270" s="28"/>
      <c r="C270" s="28"/>
      <c r="D270" s="26"/>
      <c r="E270" s="28"/>
      <c r="F270" s="28"/>
      <c r="G270" s="26"/>
      <c r="H270" s="29"/>
      <c r="I270" s="26"/>
      <c r="J270" s="29"/>
      <c r="K270" s="28"/>
      <c r="L270" s="26"/>
      <c r="M270" s="28"/>
      <c r="N270" s="26"/>
    </row>
    <row r="271" spans="1:24" ht="11.5" customHeight="1" x14ac:dyDescent="0.2">
      <c r="A271" s="26"/>
      <c r="B271" s="28"/>
      <c r="C271" s="28"/>
      <c r="D271" s="26"/>
      <c r="E271" s="28"/>
      <c r="F271" s="28"/>
      <c r="G271" s="26"/>
      <c r="H271" s="29"/>
      <c r="I271" s="26"/>
      <c r="J271" s="29"/>
      <c r="K271" s="28"/>
      <c r="L271" s="26"/>
      <c r="M271" s="28"/>
      <c r="N271" s="26"/>
    </row>
    <row r="272" spans="1:24" ht="11.5" customHeight="1" x14ac:dyDescent="0.2">
      <c r="A272" s="11" t="str">
        <f>A250</f>
        <v>MM</v>
      </c>
      <c r="B272" s="11">
        <f>B250+1</f>
        <v>13</v>
      </c>
      <c r="C272" s="11" t="str">
        <f>C250</f>
        <v>SC</v>
      </c>
      <c r="D272" s="11" t="str">
        <f>D250</f>
        <v>SN</v>
      </c>
      <c r="E272" s="11" t="str">
        <f>E250</f>
        <v>C</v>
      </c>
      <c r="F272" s="11" t="str">
        <f ca="1">VLOOKUP(B272,INDIRECT($F$8),4,0)</f>
        <v>KOMAL RAWAT</v>
      </c>
    </row>
    <row r="273" spans="1:24" ht="11.5" customHeight="1" x14ac:dyDescent="0.2">
      <c r="A273" s="30" t="str">
        <f ca="1">IF(ISERROR(F272),"",A251)</f>
        <v>Name:</v>
      </c>
      <c r="B273" s="30" t="str">
        <f ca="1">IFERROR(VLOOKUP(B272,INDIRECT($F$8),4,0),"")</f>
        <v>KOMAL RAWAT</v>
      </c>
      <c r="C273" s="30"/>
      <c r="D273" s="30" t="str">
        <f ca="1">IF(ISERROR(F272),"",D251)</f>
        <v>Father's Name:</v>
      </c>
      <c r="E273" s="30" t="str">
        <f ca="1">IFERROR(VLOOKUP(B272,INDIRECT($F$8),5,0),"")</f>
        <v>SAJJAN SINGH RAWAT</v>
      </c>
      <c r="F273" s="30"/>
      <c r="G273" s="30" t="str">
        <f ca="1">IF(ISERROR(F272),"",G251)</f>
        <v>University Roll No:</v>
      </c>
      <c r="H273" s="30"/>
      <c r="I273" s="31">
        <f ca="1">IFERROR(VLOOKUP(B272,INDIRECT($F$8),2,0),"")</f>
        <v>250090120014</v>
      </c>
      <c r="J273" s="31"/>
      <c r="K273" s="30" t="str">
        <f ca="1">IF(ISERROR(F272),"",K251)</f>
        <v>University Enrol. No:</v>
      </c>
      <c r="L273" s="30"/>
      <c r="M273" s="31" t="str">
        <f ca="1">IFERROR(VLOOKUP(B272,INDIRECT($F$8),3,0),"")</f>
        <v>UTU/2501104012</v>
      </c>
      <c r="N273" s="31"/>
    </row>
    <row r="274" spans="1:24" ht="11.5" customHeight="1" x14ac:dyDescent="0.2">
      <c r="A274" s="30"/>
      <c r="B274" s="30"/>
      <c r="C274" s="30"/>
      <c r="D274" s="30"/>
      <c r="E274" s="30"/>
      <c r="F274" s="30"/>
      <c r="G274" s="30"/>
      <c r="H274" s="30"/>
      <c r="I274" s="31"/>
      <c r="J274" s="31"/>
      <c r="K274" s="30"/>
      <c r="L274" s="30"/>
      <c r="M274" s="31"/>
      <c r="N274" s="31"/>
    </row>
    <row r="275" spans="1:24" ht="11.5" customHeight="1" x14ac:dyDescent="0.2">
      <c r="A275" s="28" t="str">
        <f ca="1">IF(ISERROR(F272),"",A253)</f>
        <v>Subject Code</v>
      </c>
      <c r="B275" s="28" t="str">
        <f ca="1">IF(ISERROR(F272),"",B253)</f>
        <v>Subject Name</v>
      </c>
      <c r="C275" s="28"/>
      <c r="D275" s="28"/>
      <c r="E275" s="28"/>
      <c r="F275" s="28" t="str">
        <f ca="1">IF(ISERROR(F272),"",F253)</f>
        <v>Credits</v>
      </c>
      <c r="G275" s="28" t="str">
        <f ca="1">IF(ISERROR(F272),"",G253)</f>
        <v>External Marks</v>
      </c>
      <c r="H275" s="28"/>
      <c r="I275" s="28" t="str">
        <f ca="1">IF(ISERROR(F272),"",I253)</f>
        <v>Sessional Marks</v>
      </c>
      <c r="J275" s="28"/>
      <c r="K275" s="28" t="str">
        <f ca="1">IF(ISERROR(F272),"",K253)</f>
        <v>Total Marks</v>
      </c>
      <c r="L275" s="28"/>
      <c r="M275" s="28" t="str">
        <f ca="1">IF(ISERROR(F272),"",M253)</f>
        <v>Grade</v>
      </c>
      <c r="N275" s="28" t="str">
        <f ca="1">IF(ISERROR(F272),"",N253)</f>
        <v>Grade Points</v>
      </c>
    </row>
    <row r="276" spans="1:24" ht="11.5" customHeight="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W276">
        <f ca="1">IF(ISNUMBER(MATCH($F$8,{"I","III","V","VII"},0)),10,10-INDEX(INDIRECT(_xlfn.TEXTJOIN("",TRUE,"SEM_",$G$8,"!",ADDRESS(6,4+$I$8*3+4),":",ADDRESS(5+$H$8,4+$I$8*3+4))),MATCH(INDIRECT(_xlfn.TEXTJOIN("",TRUE,"TC_",$F$8,"!",ADDRESS(ROW(I273),COLUMN(I273)))),INDIRECT(_xlfn.TEXTJOIN("",TRUE,"SEM_",$G$8,"!",ADDRESS(6,2),":",ADDRESS(5+$H$8,2))))))</f>
        <v>10</v>
      </c>
    </row>
    <row r="277" spans="1:24" ht="11.5" customHeight="1" x14ac:dyDescent="0.2">
      <c r="A277" s="7" t="str">
        <f ca="1">IF(ISERROR(F272),"",VLOOKUP(C272,INDIRECT($F$8),6+(O277-1)*3,0))</f>
        <v>AHT 002</v>
      </c>
      <c r="B277" s="24" t="str">
        <f ca="1">IF(ISERROR(F272),"",VLOOKUP(D272,INDIRECT($F$8),6+(O277-1)*3,0))</f>
        <v>Engineering Chemistry</v>
      </c>
      <c r="C277" s="24"/>
      <c r="D277" s="24"/>
      <c r="E277" s="24"/>
      <c r="F277" s="7">
        <f ca="1">IF(ISERROR(F272),"",VLOOKUP(E272,INDIRECT($F$8),6+(O277-1)*3,0))</f>
        <v>4</v>
      </c>
      <c r="G277" s="25" t="str">
        <f ca="1">IF(ISERROR(F272),"",_xlfn.TEXTJOIN("/",FALSE,P277,S277))</f>
        <v>31/100</v>
      </c>
      <c r="H277" s="25"/>
      <c r="I277" s="25" t="str">
        <f ca="1">IF(ISERROR(F272),"",_xlfn.TEXTJOIN("/",FALSE,Q277,T277))</f>
        <v>29/50</v>
      </c>
      <c r="J277" s="25"/>
      <c r="K277" s="25" t="str">
        <f ca="1">IF(ISERROR(F272),"",_xlfn.TEXTJOIN("/",FALSE,R277,U277))</f>
        <v>60/150</v>
      </c>
      <c r="L277" s="25"/>
      <c r="M277" s="7" t="str">
        <f ca="1">IF(ISERROR(F272),"",IF(ISTEXT(P277),IF(P277="A","Ab",IF(P277="D","Dt",IF(P277="UFM","UFM",IF(P277="NA","")))),IF(AND(ISBLANK(P277),ISBLANK(R277)),"",IF(P277&lt;0.3*S277,"F",IF(ISBLANK(R277),"",IF(ISTEXT(R277),R277,IF(R277&gt;=0.95*U277,"O",IF(R277&gt;=0.9*U277,"A+",IF(R277&gt;=0.85*U277,"A",IF(R277&gt;=0.8*U277,"B+",IF(R277&gt;=0.75*U277,"B",IF(R277&gt;=0.7*U277,"C+",IF(R277&gt;=0.65*U277,"C",IF(R277&gt;=0.6*U277,"D+",IF(R277&gt;=0.55*U277,"D",IF(R277&gt;=0.5*U277,"E+",IF(R277&gt;=0.45*U277,"E",IF(R277&gt;=0.4*U277,"P",IF(R277&lt;0.4*U277,"F",R277)))))))))))))))))))</f>
        <v>P</v>
      </c>
      <c r="N277" s="8">
        <f ca="1">INDEX($Z$2:$Z$17,MATCH(M277,$Y$2:$Y$17,0))</f>
        <v>4.5</v>
      </c>
      <c r="O277">
        <v>1</v>
      </c>
      <c r="P277" s="1">
        <f ca="1">IF(ISERROR(F272),"",IF(ISTEXT(VLOOKUP(B272,INDIRECT($F$8),6+(O277-1)*3)),(VLOOKUP(B272,INDIRECT($F$8),6+(O277-1)*3)),SUM(VLOOKUP(B272,INDIRECT($F$8),6+(O277-1)*3),IF(W290,W277,0))))</f>
        <v>31</v>
      </c>
      <c r="Q277" s="1">
        <f ca="1">IF(ISERROR(F272),"",VLOOKUP(B272,INDIRECT($F$8),7+(O277-1)*3))</f>
        <v>29</v>
      </c>
      <c r="R277" s="1">
        <f ca="1">IF(ISERROR(F272),"",SUM(P277:Q277))</f>
        <v>60</v>
      </c>
      <c r="S277" s="1">
        <f ca="1">IF(ISERROR(F272),"",VLOOKUP(A272,INDIRECT($F$8),6+(O277-1)*3))</f>
        <v>100</v>
      </c>
      <c r="T277" s="1">
        <f ca="1">IF(ISERROR(F272),"",VLOOKUP(A272,INDIRECT($F$8),7+(O277-1)*3))</f>
        <v>50</v>
      </c>
      <c r="U277" s="1">
        <f ca="1">IF(ISERROR(F272),"",VLOOKUP(A272,INDIRECT($F$8),8+(O277-1)*3))</f>
        <v>150</v>
      </c>
      <c r="V277" s="1" t="str">
        <f ca="1">IF(ISERROR(F272),"",IF(N277=0,A277,""))</f>
        <v/>
      </c>
      <c r="W277" s="1">
        <f ca="1">IF(ISERROR(F272),"",IF(ISTEXT(VLOOKUP(B272,INDIRECT($F$8),6+(O277-1)*3)),11,IF(VLOOKUP(B272,INDIRECT($F$8),6+(O277-1)*3)&lt;S277*0.3,IF(VLOOKUP(B272,INDIRECT($F$8),8+(O277-1)*3)&lt;U277*0.4,IF(AND(0.4*U277-VLOOKUP(B272,INDIRECT($F$8),8+(O277-1)*3)&lt;=5,0.3*S277-VLOOKUP(B272,INDIRECT($F$8),6+(O277-1)*3)&lt;=5),MAX(0.4*U277-VLOOKUP(B272,INDIRECT($F$8),8+(O277-1)*3),0.3*S277-VLOOKUP(B272,INDIRECT($F$8),6+(O277-1)*3)),11),IF(0.3*S277-VLOOKUP(B272,INDIRECT($F$8),6+(O277-1)*3)&lt;=5,0.3*S277-VLOOKUP(B272,INDIRECT($F$8),6+(O277-1)*3),11)),IF(VLOOKUP(B272,INDIRECT($F$8),8+(O277-1)*3)&lt;U277*0.4,IF(U277*0.4-VLOOKUP(B272,INDIRECT($F$8),8+(O277-1)*3)&lt;=5,U277*0.4-VLOOKUP(B272,INDIRECT($F$8),8+(O277-1)*3),11),0))))</f>
        <v>0</v>
      </c>
      <c r="X277" s="1" t="str">
        <f ca="1">IF(ISERROR(F272),"",IF(W277=0,"",_xlfn.TEXTJOIN("",FALSE," G+",W277," in ",A277)))</f>
        <v/>
      </c>
    </row>
    <row r="278" spans="1:24" ht="11.5" customHeight="1" x14ac:dyDescent="0.2">
      <c r="A278" s="7" t="str">
        <f ca="1">IF(ISERROR(F272),"",VLOOKUP(C272,INDIRECT($F$8),6+(O278-1)*3,0))</f>
        <v>AHT 003</v>
      </c>
      <c r="B278" s="24" t="str">
        <f ca="1">IF(ISERROR(F272),"",VLOOKUP(D272,INDIRECT($F$8),6+(O278-1)*3,0))</f>
        <v>Introduction to Engineering Mathematics</v>
      </c>
      <c r="C278" s="24"/>
      <c r="D278" s="24"/>
      <c r="E278" s="24"/>
      <c r="F278" s="7">
        <f ca="1">IF(ISERROR(F272),"",VLOOKUP(E272,INDIRECT($F$8),6+(O278-1)*3,0))</f>
        <v>4</v>
      </c>
      <c r="G278" s="25" t="str">
        <f ca="1">IF(ISERROR(F272),"",_xlfn.TEXTJOIN("/",FALSE,P278,S278))</f>
        <v>12/100</v>
      </c>
      <c r="H278" s="25"/>
      <c r="I278" s="25" t="str">
        <f ca="1">IF(ISERROR(F272),"",_xlfn.TEXTJOIN("/",FALSE,Q278,T278))</f>
        <v>18/50</v>
      </c>
      <c r="J278" s="25"/>
      <c r="K278" s="25" t="str">
        <f ca="1">IF(ISERROR(F272),"",_xlfn.TEXTJOIN("/",FALSE,R278,U278))</f>
        <v>30/150</v>
      </c>
      <c r="L278" s="25"/>
      <c r="M278" s="7" t="str">
        <f ca="1">IF(ISERROR(F272),"",IF(ISTEXT(P278),IF(P278="A","Ab",IF(P278="D","Dt",IF(P278="UFM","UFM",IF(P278="NA","")))),IF(AND(ISBLANK(P278),ISBLANK(R278)),"",IF(P278&lt;0.3*S278,"F",IF(ISBLANK(R278),"",IF(ISTEXT(R278),R278,IF(R278&gt;=0.95*U278,"O",IF(R278&gt;=0.9*U278,"A+",IF(R278&gt;=0.85*U278,"A",IF(R278&gt;=0.8*U278,"B+",IF(R278&gt;=0.75*U278,"B",IF(R278&gt;=0.7*U278,"C+",IF(R278&gt;=0.65*U278,"C",IF(R278&gt;=0.6*U278,"D+",IF(R278&gt;=0.55*U278,"D",IF(R278&gt;=0.5*U278,"E+",IF(R278&gt;=0.45*U278,"E",IF(R278&gt;=0.4*U278,"P",IF(R278&lt;0.4*U278,"F",R278)))))))))))))))))))</f>
        <v>F</v>
      </c>
      <c r="N278" s="8">
        <f t="shared" ref="N278:N287" ca="1" si="25">INDEX($Z$2:$Z$17,MATCH(M278,$Y$2:$Y$17,0))</f>
        <v>0</v>
      </c>
      <c r="O278">
        <f>O277+1</f>
        <v>2</v>
      </c>
      <c r="P278" s="1">
        <f ca="1">IF(ISERROR(F272),"",IF(ISTEXT(VLOOKUP(B272,INDIRECT($F$8),6+(O278-1)*3)),(VLOOKUP(B272,INDIRECT($F$8),6+(O278-1)*3)),SUM(VLOOKUP(B272,INDIRECT($F$8),6+(O278-1)*3),IF(W290,W278,0))))</f>
        <v>12</v>
      </c>
      <c r="Q278" s="1">
        <f ca="1">IF(ISERROR(F272),"",VLOOKUP(B272,INDIRECT($F$8),7+(O278-1)*3))</f>
        <v>18</v>
      </c>
      <c r="R278" s="1">
        <f ca="1">IF(ISERROR(F272),"",SUM(P278:Q278))</f>
        <v>30</v>
      </c>
      <c r="S278" s="1">
        <f ca="1">IF(ISERROR(F272),"",VLOOKUP(A272,INDIRECT($F$8),6+(O278-1)*3))</f>
        <v>100</v>
      </c>
      <c r="T278" s="1">
        <f ca="1">IF(ISERROR(F272),"",VLOOKUP(A272,INDIRECT($F$8),7+(O278-1)*3))</f>
        <v>50</v>
      </c>
      <c r="U278" s="1">
        <f ca="1">IF(ISERROR(F272),"",VLOOKUP(A272,INDIRECT($F$8),8+(O278-1)*3))</f>
        <v>150</v>
      </c>
      <c r="V278" s="1" t="str">
        <f ca="1">IF(ISERROR(F272),"",IF(N278=0,A278,""))</f>
        <v>AHT 003</v>
      </c>
      <c r="W278" s="1">
        <f ca="1">IF(ISERROR(F272),"",IF(ISTEXT(VLOOKUP(B272,INDIRECT($F$8),6+(O278-1)*3)),11,IF(VLOOKUP(B272,INDIRECT($F$8),6+(O278-1)*3)&lt;S278*0.3,IF(VLOOKUP(B272,INDIRECT($F$8),8+(O278-1)*3)&lt;U278*0.4,IF(AND(0.4*U278-VLOOKUP(B272,INDIRECT($F$8),8+(O278-1)*3)&lt;=5,0.3*S278-VLOOKUP(B272,INDIRECT($F$8),6+(O278-1)*3)&lt;=5),MAX(0.4*U278-VLOOKUP(B272,INDIRECT($F$8),8+(O278-1)*3),0.3*S278-VLOOKUP(B272,INDIRECT($F$8),6+(O278-1)*3)),11),IF(0.3*S278-VLOOKUP(B272,INDIRECT($F$8),6+(O278-1)*3)&lt;=5,0.3*S278-VLOOKUP(B272,INDIRECT($F$8),6+(O278-1)*3),11)),IF(VLOOKUP(B272,INDIRECT($F$8),8+(O278-1)*3)&lt;U278*0.4,IF(U278*0.4-VLOOKUP(B272,INDIRECT($F$8),8+(O278-1)*3)&lt;=5,U278*0.4-VLOOKUP(B272,INDIRECT($F$8),8+(O278-1)*3),11),0))))</f>
        <v>11</v>
      </c>
      <c r="X278" s="1" t="str">
        <f ca="1">IF(ISERROR(F272),"",IF(W278=0,"",_xlfn.TEXTJOIN("",FALSE," G+",W278," in ",A278)))</f>
        <v xml:space="preserve"> G+11 in AHT 003</v>
      </c>
    </row>
    <row r="279" spans="1:24" ht="11.5" customHeight="1" x14ac:dyDescent="0.2">
      <c r="A279" s="7" t="str">
        <f ca="1">IF(ISERROR(F272),"",VLOOKUP(C272,INDIRECT($F$8),6+(O279-1)*3,0))</f>
        <v>ECT 001</v>
      </c>
      <c r="B279" s="24" t="str">
        <f ca="1">IF(ISERROR(F272),"",VLOOKUP(D272,INDIRECT($F$8),6+(O279-1)*3,0))</f>
        <v>Basic Electronics Engineering</v>
      </c>
      <c r="C279" s="24"/>
      <c r="D279" s="24"/>
      <c r="E279" s="24"/>
      <c r="F279" s="7">
        <f ca="1">IF(ISERROR(F272),"",VLOOKUP(E272,INDIRECT($F$8),6+(O279-1)*3,0))</f>
        <v>4</v>
      </c>
      <c r="G279" s="25" t="str">
        <f ca="1">IF(ISERROR(F272),"",_xlfn.TEXTJOIN("/",FALSE,P279,S279))</f>
        <v>31/100</v>
      </c>
      <c r="H279" s="25"/>
      <c r="I279" s="25" t="str">
        <f ca="1">IF(ISERROR(F272),"",_xlfn.TEXTJOIN("/",FALSE,Q279,T279))</f>
        <v>44/50</v>
      </c>
      <c r="J279" s="25"/>
      <c r="K279" s="25" t="str">
        <f ca="1">IF(ISERROR(F272),"",_xlfn.TEXTJOIN("/",FALSE,R279,U279))</f>
        <v>75/150</v>
      </c>
      <c r="L279" s="25"/>
      <c r="M279" s="7" t="str">
        <f ca="1">IF(ISERROR(F272),"",IF(ISTEXT(P279),IF(P279="A","Ab",IF(P279="D","Dt",IF(P279="UFM","UFM",IF(P279="NA","")))),IF(AND(ISBLANK(P279),ISBLANK(R279)),"",IF(P279&lt;0.3*S279,"F",IF(ISBLANK(R279),"",IF(ISTEXT(R279),R279,IF(R279&gt;=0.95*U279,"O",IF(R279&gt;=0.9*U279,"A+",IF(R279&gt;=0.85*U279,"A",IF(R279&gt;=0.8*U279,"B+",IF(R279&gt;=0.75*U279,"B",IF(R279&gt;=0.7*U279,"C+",IF(R279&gt;=0.65*U279,"C",IF(R279&gt;=0.6*U279,"D+",IF(R279&gt;=0.55*U279,"D",IF(R279&gt;=0.5*U279,"E+",IF(R279&gt;=0.45*U279,"E",IF(R279&gt;=0.4*U279,"P",IF(R279&lt;0.4*U279,"F",R279)))))))))))))))))))</f>
        <v>E+</v>
      </c>
      <c r="N279" s="8">
        <f t="shared" ca="1" si="25"/>
        <v>5.5</v>
      </c>
      <c r="O279">
        <f>O278+1</f>
        <v>3</v>
      </c>
      <c r="P279" s="1">
        <f ca="1">IF(ISERROR(F272),"",IF(ISTEXT(VLOOKUP(B272,INDIRECT($F$8),6+(O279-1)*3)),(VLOOKUP(B272,INDIRECT($F$8),6+(O279-1)*3)),SUM(VLOOKUP(B272,INDIRECT($F$8),6+(O279-1)*3),IF(W290,W279,0))))</f>
        <v>31</v>
      </c>
      <c r="Q279" s="1">
        <f ca="1">IF(ISERROR(F272),"",VLOOKUP(B272,INDIRECT($F$8),7+(O279-1)*3))</f>
        <v>44</v>
      </c>
      <c r="R279" s="1">
        <f ca="1">IF(ISERROR(F272),"",SUM(P279:Q279))</f>
        <v>75</v>
      </c>
      <c r="S279" s="1">
        <f ca="1">IF(ISERROR(F272),"",VLOOKUP(A272,INDIRECT($F$8),6+(O279-1)*3))</f>
        <v>100</v>
      </c>
      <c r="T279" s="1">
        <f ca="1">IF(ISERROR(F272),"",VLOOKUP(A272,INDIRECT($F$8),7+(O279-1)*3))</f>
        <v>50</v>
      </c>
      <c r="U279" s="1">
        <f ca="1">IF(ISERROR(F272),"",VLOOKUP(A272,INDIRECT($F$8),8+(O279-1)*3))</f>
        <v>150</v>
      </c>
      <c r="V279" s="1" t="str">
        <f ca="1">IF(ISERROR(F272),"",IF(N279=0,A279,""))</f>
        <v/>
      </c>
      <c r="W279" s="1">
        <f ca="1">IF(ISERROR(F272),"",IF(ISTEXT(VLOOKUP(B272,INDIRECT($F$8),6+(O279-1)*3)),11,IF(VLOOKUP(B272,INDIRECT($F$8),6+(O279-1)*3)&lt;S279*0.3,IF(VLOOKUP(B272,INDIRECT($F$8),8+(O279-1)*3)&lt;U279*0.4,IF(AND(0.4*U279-VLOOKUP(B272,INDIRECT($F$8),8+(O279-1)*3)&lt;=5,0.3*S279-VLOOKUP(B272,INDIRECT($F$8),6+(O279-1)*3)&lt;=5),MAX(0.4*U279-VLOOKUP(B272,INDIRECT($F$8),8+(O279-1)*3),0.3*S279-VLOOKUP(B272,INDIRECT($F$8),6+(O279-1)*3)),11),IF(0.3*S279-VLOOKUP(B272,INDIRECT($F$8),6+(O279-1)*3)&lt;=5,0.3*S279-VLOOKUP(B272,INDIRECT($F$8),6+(O279-1)*3),11)),IF(VLOOKUP(B272,INDIRECT($F$8),8+(O279-1)*3)&lt;U279*0.4,IF(U279*0.4-VLOOKUP(B272,INDIRECT($F$8),8+(O279-1)*3)&lt;=5,U279*0.4-VLOOKUP(B272,INDIRECT($F$8),8+(O279-1)*3),11),0))))</f>
        <v>0</v>
      </c>
      <c r="X279" s="1" t="str">
        <f ca="1">IF(ISERROR(F272),"",IF(W279=0,"",_xlfn.TEXTJOIN("",FALSE," G+",W279," in ",A279)))</f>
        <v/>
      </c>
    </row>
    <row r="280" spans="1:24" ht="11.5" customHeight="1" x14ac:dyDescent="0.2">
      <c r="A280" s="7" t="str">
        <f ca="1">IF(ISERROR(F272),"",VLOOKUP(C272,INDIRECT($F$8),6+(O280-1)*3,0))</f>
        <v>MET 001</v>
      </c>
      <c r="B280" s="24" t="str">
        <f ca="1">IF(ISERROR(F272),"",VLOOKUP(D272,INDIRECT($F$8),6+(O280-1)*3,0))</f>
        <v>Basic Mechanical Engineering</v>
      </c>
      <c r="C280" s="24"/>
      <c r="D280" s="24"/>
      <c r="E280" s="24"/>
      <c r="F280" s="7">
        <f ca="1">IF(ISERROR(F272),"",VLOOKUP(E272,INDIRECT($F$8),6+(O280-1)*3,0))</f>
        <v>4</v>
      </c>
      <c r="G280" s="25" t="str">
        <f ca="1">IF(ISERROR(F272),"",_xlfn.TEXTJOIN("/",FALSE,P280,S280))</f>
        <v>51/100</v>
      </c>
      <c r="H280" s="25"/>
      <c r="I280" s="25" t="str">
        <f ca="1">IF(ISERROR(F272),"",_xlfn.TEXTJOIN("/",FALSE,Q280,T280))</f>
        <v>38/50</v>
      </c>
      <c r="J280" s="25"/>
      <c r="K280" s="25" t="str">
        <f ca="1">IF(ISERROR(F272),"",_xlfn.TEXTJOIN("/",FALSE,R280,U280))</f>
        <v>89/150</v>
      </c>
      <c r="L280" s="25"/>
      <c r="M280" s="7" t="str">
        <f ca="1">IF(ISERROR(F272),"",IF(ISTEXT(P280),IF(P280="A","Ab",IF(P280="D","Dt",IF(P280="UFM","UFM",IF(P280="NA","")))),IF(AND(ISBLANK(P280),ISBLANK(R280)),"",IF(P280&lt;0.3*S280,"F",IF(ISBLANK(R280),"",IF(ISTEXT(R280),R280,IF(R280&gt;=0.95*U280,"O",IF(R280&gt;=0.9*U280,"A+",IF(R280&gt;=0.85*U280,"A",IF(R280&gt;=0.8*U280,"B+",IF(R280&gt;=0.75*U280,"B",IF(R280&gt;=0.7*U280,"C+",IF(R280&gt;=0.65*U280,"C",IF(R280&gt;=0.6*U280,"D+",IF(R280&gt;=0.55*U280,"D",IF(R280&gt;=0.5*U280,"E+",IF(R280&gt;=0.45*U280,"E",IF(R280&gt;=0.4*U280,"P",IF(R280&lt;0.4*U280,"F",R280)))))))))))))))))))</f>
        <v>D</v>
      </c>
      <c r="N280" s="8">
        <f t="shared" ca="1" si="25"/>
        <v>6</v>
      </c>
      <c r="O280">
        <f>O279+1</f>
        <v>4</v>
      </c>
      <c r="P280" s="1">
        <f ca="1">IF(ISERROR(F272),"",IF(ISTEXT(VLOOKUP(B272,INDIRECT($F$8),6+(O280-1)*3)),(VLOOKUP(B272,INDIRECT($F$8),6+(O280-1)*3)),SUM(VLOOKUP(B272,INDIRECT($F$8),6+(O280-1)*3),IF(W290,W280,0))))</f>
        <v>51</v>
      </c>
      <c r="Q280" s="1">
        <f ca="1">IF(ISERROR(F272),"",VLOOKUP(B272,INDIRECT($F$8),7+(O280-1)*3))</f>
        <v>38</v>
      </c>
      <c r="R280" s="1">
        <f ca="1">IF(ISERROR(F272),"",SUM(P280:Q280))</f>
        <v>89</v>
      </c>
      <c r="S280" s="1">
        <f ca="1">IF(ISERROR(F272),"",VLOOKUP(A272,INDIRECT($F$8),6+(O280-1)*3))</f>
        <v>100</v>
      </c>
      <c r="T280" s="1">
        <f ca="1">IF(ISERROR(F272),"",VLOOKUP(A272,INDIRECT($F$8),7+(O280-1)*3))</f>
        <v>50</v>
      </c>
      <c r="U280" s="1">
        <f ca="1">IF(ISERROR(F272),"",VLOOKUP(A272,INDIRECT($F$8),8+(O280-1)*3))</f>
        <v>150</v>
      </c>
      <c r="V280" s="1" t="str">
        <f ca="1">IF(ISERROR(F272),"",IF(N280=0,A280,""))</f>
        <v/>
      </c>
      <c r="W280" s="1">
        <f ca="1">IF(ISERROR(F272),"",IF(ISTEXT(VLOOKUP(B272,INDIRECT($F$8),6+(O280-1)*3)),11,IF(VLOOKUP(B272,INDIRECT($F$8),6+(O280-1)*3)&lt;S280*0.3,IF(VLOOKUP(B272,INDIRECT($F$8),8+(O280-1)*3)&lt;U280*0.4,IF(AND(0.4*U280-VLOOKUP(B272,INDIRECT($F$8),8+(O280-1)*3)&lt;=5,0.3*S280-VLOOKUP(B272,INDIRECT($F$8),6+(O280-1)*3)&lt;=5),MAX(0.4*U280-VLOOKUP(B272,INDIRECT($F$8),8+(O280-1)*3),0.3*S280-VLOOKUP(B272,INDIRECT($F$8),6+(O280-1)*3)),11),IF(0.3*S280-VLOOKUP(B272,INDIRECT($F$8),6+(O280-1)*3)&lt;=5,0.3*S280-VLOOKUP(B272,INDIRECT($F$8),6+(O280-1)*3),11)),IF(VLOOKUP(B272,INDIRECT($F$8),8+(O280-1)*3)&lt;U280*0.4,IF(U280*0.4-VLOOKUP(B272,INDIRECT($F$8),8+(O280-1)*3)&lt;=5,U280*0.4-VLOOKUP(B272,INDIRECT($F$8),8+(O280-1)*3),11),0))))</f>
        <v>0</v>
      </c>
      <c r="X280" s="1" t="str">
        <f ca="1">IF(ISERROR(F272),"",IF(W280=0,"",_xlfn.TEXTJOIN("",FALSE," G+",W280," in ",A280)))</f>
        <v/>
      </c>
    </row>
    <row r="281" spans="1:24" ht="11.5" customHeight="1" x14ac:dyDescent="0.2">
      <c r="A281" s="7" t="str">
        <f ca="1">IF(ISERROR(F272),"",VLOOKUP(C272,INDIRECT($F$8),6+(O281-1)*3,0))</f>
        <v>AHT 000</v>
      </c>
      <c r="B281" s="24" t="str">
        <f ca="1">IF(ISERROR(F272),"",VLOOKUP(D272,INDIRECT($F$8),6+(O281-1)*3,0))</f>
        <v>Basic Mathematics (Bridge Course) ($)</v>
      </c>
      <c r="C281" s="24"/>
      <c r="D281" s="24"/>
      <c r="E281" s="24"/>
      <c r="F281" s="7">
        <f ca="1">IF(ISERROR(F272),"",VLOOKUP(E272,INDIRECT($F$8),6+(O281-1)*3,0))</f>
        <v>0</v>
      </c>
      <c r="G281" s="25" t="str">
        <f ca="1">IF(ISERROR(F272),"",_xlfn.TEXTJOIN("/",FALSE,P281,S281))</f>
        <v>55/100</v>
      </c>
      <c r="H281" s="25"/>
      <c r="I281" s="25" t="str">
        <f ca="1">IF(ISERROR(F272),"",_xlfn.TEXTJOIN("/",FALSE,Q281,T281))</f>
        <v>30/50</v>
      </c>
      <c r="J281" s="25"/>
      <c r="K281" s="25" t="str">
        <f ca="1">IF(ISERROR(F272),"",_xlfn.TEXTJOIN("/",FALSE,R281,U281))</f>
        <v>85/150</v>
      </c>
      <c r="L281" s="25"/>
      <c r="M281" s="7" t="str">
        <f ca="1">IF(ISERROR(F272),"",IF(ISTEXT(P281),IF(P281="A","Ab",IF(P281="D","Dt",IF(P281="UFM","UFM",IF(P281="NA","")))),IF(AND(ISBLANK(P281),ISBLANK(R281)),"",IF(P281&lt;0.3*S281,"F",IF(ISBLANK(R281),"",IF(ISTEXT(R281),R281,IF(R281&gt;=0.95*U281,"O",IF(R281&gt;=0.9*U281,"A+",IF(R281&gt;=0.85*U281,"A",IF(R281&gt;=0.8*U281,"B+",IF(R281&gt;=0.75*U281,"B",IF(R281&gt;=0.7*U281,"C+",IF(R281&gt;=0.65*U281,"C",IF(R281&gt;=0.6*U281,"D+",IF(R281&gt;=0.55*U281,"D",IF(R281&gt;=0.5*U281,"E+",IF(R281&gt;=0.45*U281,"E",IF(R281&gt;=0.4*U281,"P",IF(R281&lt;0.4*U281,"F",R281)))))))))))))))))))</f>
        <v>D</v>
      </c>
      <c r="N281" s="8">
        <f t="shared" ca="1" si="25"/>
        <v>6</v>
      </c>
      <c r="O281" cm="1">
        <f t="array" aca="1" ref="O281" ca="1">IF(NOT(ISBLANK(INDIRECT("SEM_I!R"&amp;INT((ROW(O281)-17)/22)+6))),5,
IF(NOT(ISBLANK(INDIRECT("SEM_I!U"&amp;INT((ROW(O281)-17)/22)+6))),6))</f>
        <v>5</v>
      </c>
      <c r="P281" s="1">
        <f ca="1">IF(ISERROR(F272),"",IF(ISTEXT(VLOOKUP(B272,INDIRECT($F$8),6+(O281-1)*3)),(VLOOKUP(B272,INDIRECT($F$8),6+(O281-1)*3)),SUM(VLOOKUP(B272,INDIRECT($F$8),6+(O281-1)*3),IF(W290,W281,0))))</f>
        <v>55</v>
      </c>
      <c r="Q281" s="1">
        <f ca="1">IF(ISERROR(F272),"",VLOOKUP(B272,INDIRECT($F$8),7+(O281-1)*3))</f>
        <v>30</v>
      </c>
      <c r="R281" s="1">
        <f ca="1">IF(ISERROR(F272),"",SUM(P281:Q281))</f>
        <v>85</v>
      </c>
      <c r="S281" s="1">
        <f ca="1">IF(ISERROR(F272),"",VLOOKUP(A272,INDIRECT($F$8),6+(O281-1)*3))</f>
        <v>100</v>
      </c>
      <c r="T281" s="1">
        <f ca="1">IF(ISERROR(F272),"",VLOOKUP(A272,INDIRECT($F$8),7+(O281-1)*3))</f>
        <v>50</v>
      </c>
      <c r="U281" s="1">
        <f ca="1">IF(ISERROR(F272),"",VLOOKUP(A272,INDIRECT($F$8),8+(O281-1)*3))</f>
        <v>150</v>
      </c>
      <c r="V281" s="1" t="str">
        <f ca="1">IF(ISERROR(F272),"",IF(N281=0,A281,""))</f>
        <v/>
      </c>
      <c r="W281" s="1">
        <f ca="1">IF(ISERROR(F272),"",IF(ISTEXT(VLOOKUP(B272,INDIRECT($F$8),6+(O281-1)*3)),11,IF(VLOOKUP(B272,INDIRECT($F$8),6+(O281-1)*3)&lt;S281*0.3,IF(VLOOKUP(B272,INDIRECT($F$8),8+(O281-1)*3)&lt;U281*0.4,IF(AND(0.4*U281-VLOOKUP(B272,INDIRECT($F$8),8+(O281-1)*3)&lt;=5,0.3*S281-VLOOKUP(B272,INDIRECT($F$8),6+(O281-1)*3)&lt;=5),MAX(0.4*U281-VLOOKUP(B272,INDIRECT($F$8),8+(O281-1)*3),0.3*S281-VLOOKUP(B272,INDIRECT($F$8),6+(O281-1)*3)),11),IF(0.3*S281-VLOOKUP(B272,INDIRECT($F$8),6+(O281-1)*3)&lt;=5,0.3*S281-VLOOKUP(B272,INDIRECT($F$8),6+(O281-1)*3),11)),IF(VLOOKUP(B272,INDIRECT($F$8),8+(O281-1)*3)&lt;U281*0.4,IF(U281*0.4-VLOOKUP(B272,INDIRECT($F$8),8+(O281-1)*3)&lt;=5,U281*0.4-VLOOKUP(B272,INDIRECT($F$8),8+(O281-1)*3),11),0))))</f>
        <v>0</v>
      </c>
      <c r="X281" s="1" t="str">
        <f ca="1">IF(ISERROR(F272),"",IF(W281=0,"",_xlfn.TEXTJOIN("",FALSE," G+",W281," in ",A281)))</f>
        <v/>
      </c>
    </row>
    <row r="282" spans="1:24" ht="11.5" customHeight="1" x14ac:dyDescent="0.2">
      <c r="A282" s="7" t="str">
        <f ca="1">IF(ISERROR(F272),"",VLOOKUP(C272,INDIRECT($F$8),6+(O282-1)*3,0))</f>
        <v>AHP 002</v>
      </c>
      <c r="B282" s="24" t="str">
        <f ca="1">IF(ISERROR(F272),"",VLOOKUP(D272,INDIRECT($F$8),6+(O282-1)*3,0))</f>
        <v>Engineering Chemistry Lab</v>
      </c>
      <c r="C282" s="24"/>
      <c r="D282" s="24"/>
      <c r="E282" s="24"/>
      <c r="F282" s="7">
        <f ca="1">IF(ISERROR(F272),"",VLOOKUP(E272,INDIRECT($F$8),6+(O282-1)*3,0))</f>
        <v>1</v>
      </c>
      <c r="G282" s="25" t="str">
        <f ca="1">IF(ISERROR(F272),"",_xlfn.TEXTJOIN("/",FALSE,P282,S282))</f>
        <v>16/25</v>
      </c>
      <c r="H282" s="25"/>
      <c r="I282" s="25" t="str">
        <f ca="1">IF(ISERROR(F272),"",_xlfn.TEXTJOIN("/",FALSE,Q282,T282))</f>
        <v>16/25</v>
      </c>
      <c r="J282" s="25"/>
      <c r="K282" s="25" t="str">
        <f ca="1">IF(ISERROR(F272),"",_xlfn.TEXTJOIN("/",FALSE,R282,U282))</f>
        <v>32/50</v>
      </c>
      <c r="L282" s="25"/>
      <c r="M282" s="7" t="str">
        <f ca="1">IF(ISERROR(F272),"",IF(ISTEXT(P282),IF(P282="A","Ab",IF(P282="D","Dt",IF(P282="UFM","UFM",IF(P282="NA","")))),IF(AND(ISBLANK(P282),ISBLANK(R282)),"",IF(P282&lt;0.3*S282,"F",IF(ISBLANK(R282),"",IF(ISTEXT(R282),R282,IF(R282&gt;=0.95*U282,"O",IF(R282&gt;=0.9*U282,"A+",IF(R282&gt;=0.85*U282,"A",IF(R282&gt;=0.8*U282,"B+",IF(R282&gt;=0.75*U282,"B",IF(R282&gt;=0.7*U282,"C+",IF(R282&gt;=0.65*U282,"C",IF(R282&gt;=0.6*U282,"D+",IF(R282&gt;=0.55*U282,"D",IF(R282&gt;=0.5*U282,"E+",IF(R282&gt;=0.45*U282,"E",IF(R282&gt;=0.4*U282,"P",IF(R282&lt;0.4*U282,"F",R282)))))))))))))))))))</f>
        <v>D+</v>
      </c>
      <c r="N282" s="8">
        <f t="shared" ca="1" si="25"/>
        <v>6.5</v>
      </c>
      <c r="O282">
        <f ca="1">IF(O281&gt;0,7)</f>
        <v>7</v>
      </c>
      <c r="P282" s="1">
        <f ca="1">IF(ISERROR(F272),"",IF(ISTEXT(VLOOKUP(B272,INDIRECT($F$8),6+(O282-1)*3)),(VLOOKUP(B272,INDIRECT($F$8),6+(O282-1)*3)),SUM(VLOOKUP(B272,INDIRECT($F$8),6+(O282-1)*3),IF(W290,W282,0))))</f>
        <v>16</v>
      </c>
      <c r="Q282" s="1">
        <f ca="1">IF(ISERROR(F272),"",VLOOKUP(B272,INDIRECT($F$8),7+(O282-1)*3))</f>
        <v>16</v>
      </c>
      <c r="R282" s="1">
        <f ca="1">IF(ISERROR(F272),"",SUM(P282:Q282))</f>
        <v>32</v>
      </c>
      <c r="S282" s="1">
        <f ca="1">IF(ISERROR(F272),"",VLOOKUP(A272,INDIRECT($F$8),6+(O282-1)*3))</f>
        <v>25</v>
      </c>
      <c r="T282" s="1">
        <f ca="1">IF(ISERROR(F272),"",VLOOKUP(A272,INDIRECT($F$8),7+(O282-1)*3))</f>
        <v>25</v>
      </c>
      <c r="U282" s="1">
        <f ca="1">IF(ISERROR(F272),"",VLOOKUP(A272,INDIRECT($F$8),8+(O282-1)*3))</f>
        <v>50</v>
      </c>
      <c r="V282" s="1" t="str">
        <f ca="1">IF(ISERROR(F272),"",IF(N282=0,A282,""))</f>
        <v/>
      </c>
      <c r="W282" s="1">
        <f ca="1">IF(ISERROR(F272),"",IF(ISTEXT(VLOOKUP(B272,INDIRECT($F$8),6+(O282-1)*3)),11,IF(VLOOKUP(B272,INDIRECT($F$8),6+(O282-1)*3)&lt;S282*0.3,IF(VLOOKUP(B272,INDIRECT($F$8),8+(O282-1)*3)&lt;U282*0.4,IF(AND(0.4*U282-VLOOKUP(B272,INDIRECT($F$8),8+(O282-1)*3)&lt;=5,0.3*S282-VLOOKUP(B272,INDIRECT($F$8),6+(O282-1)*3)&lt;=5),MAX(0.4*U282-VLOOKUP(B272,INDIRECT($F$8),8+(O282-1)*3),0.3*S282-VLOOKUP(B272,INDIRECT($F$8),6+(O282-1)*3)),11),IF(0.3*S282-VLOOKUP(B272,INDIRECT($F$8),6+(O282-1)*3)&lt;=5,0.3*S282-VLOOKUP(B272,INDIRECT($F$8),6+(O282-1)*3),11)),IF(VLOOKUP(B272,INDIRECT($F$8),8+(O282-1)*3)&lt;U282*0.4,IF(U282*0.4-VLOOKUP(B272,INDIRECT($F$8),8+(O282-1)*3)&lt;=5,U282*0.4-VLOOKUP(B272,INDIRECT($F$8),8+(O282-1)*3),11),0))))</f>
        <v>0</v>
      </c>
      <c r="X282" s="1" t="str">
        <f ca="1">IF(ISERROR(F272),"",IF(W282=0,"",_xlfn.TEXTJOIN("",FALSE," G+",W282," in ",A282)))</f>
        <v/>
      </c>
    </row>
    <row r="283" spans="1:24" ht="11.5" customHeight="1" x14ac:dyDescent="0.2">
      <c r="A283" s="7" t="str">
        <f ca="1">IF(ISERROR(F272),"",VLOOKUP(C272,INDIRECT($F$8),6+(O283-1)*3,0))</f>
        <v>ECP 001</v>
      </c>
      <c r="B283" s="24" t="str">
        <f ca="1">IF(ISERROR(F272),"",VLOOKUP(D272,INDIRECT($F$8),6+(O283-1)*3,0))</f>
        <v>Basic Electronics Engineering Lab</v>
      </c>
      <c r="C283" s="24"/>
      <c r="D283" s="24"/>
      <c r="E283" s="24"/>
      <c r="F283" s="7">
        <f ca="1">IF(ISERROR(F272),"",VLOOKUP(E272,INDIRECT($F$8),6+(O283-1)*3,0))</f>
        <v>1</v>
      </c>
      <c r="G283" s="25" t="str">
        <f ca="1">IF(ISERROR(F272),"",_xlfn.TEXTJOIN("/",FALSE,P283,S283))</f>
        <v>15/25</v>
      </c>
      <c r="H283" s="25"/>
      <c r="I283" s="25" t="str">
        <f ca="1">IF(ISERROR(F272),"",_xlfn.TEXTJOIN("/",FALSE,Q283,T283))</f>
        <v>18/25</v>
      </c>
      <c r="J283" s="25"/>
      <c r="K283" s="25" t="str">
        <f ca="1">IF(ISERROR(F272),"",_xlfn.TEXTJOIN("/",FALSE,R283,U283))</f>
        <v>33/50</v>
      </c>
      <c r="L283" s="25"/>
      <c r="M283" s="7" t="str">
        <f ca="1">IF(ISERROR(F272),"",IF(ISTEXT(P283),IF(P283="A","Ab",IF(P283="D","Dt",IF(P283="UFM","UFM",IF(P283="NA","")))),IF(AND(ISBLANK(P283),ISBLANK(R283)),"",IF(P283&lt;0.3*S283,"F",IF(ISBLANK(R283),"",IF(ISTEXT(R283),R283,IF(R283&gt;=0.95*U283,"O",IF(R283&gt;=0.9*U283,"A+",IF(R283&gt;=0.85*U283,"A",IF(R283&gt;=0.8*U283,"B+",IF(R283&gt;=0.75*U283,"B",IF(R283&gt;=0.7*U283,"C+",IF(R283&gt;=0.65*U283,"C",IF(R283&gt;=0.6*U283,"D+",IF(R283&gt;=0.55*U283,"D",IF(R283&gt;=0.5*U283,"E+",IF(R283&gt;=0.45*U283,"E",IF(R283&gt;=0.4*U283,"P",IF(R283&lt;0.4*U283,"F",R283)))))))))))))))))))</f>
        <v>C</v>
      </c>
      <c r="N283" s="8">
        <f t="shared" ca="1" si="25"/>
        <v>7</v>
      </c>
      <c r="O283">
        <f t="shared" ref="O283:O289" ca="1" si="26">O282+1</f>
        <v>8</v>
      </c>
      <c r="P283" s="1">
        <f ca="1">IF(ISERROR(F272),"",IF(ISTEXT(VLOOKUP(B272,INDIRECT($F$8),6+(O283-1)*3)),(VLOOKUP(B272,INDIRECT($F$8),6+(O283-1)*3)),SUM(VLOOKUP(B272,INDIRECT($F$8),6+(O283-1)*3),IF(W290,W283,0))))</f>
        <v>15</v>
      </c>
      <c r="Q283" s="1">
        <f ca="1">IF(ISERROR(F272),"",VLOOKUP(B272,INDIRECT($F$8),7+(O283-1)*3))</f>
        <v>18</v>
      </c>
      <c r="R283" s="1">
        <f ca="1">IF(ISERROR(F272),"",SUM(P283:Q283))</f>
        <v>33</v>
      </c>
      <c r="S283" s="1">
        <f ca="1">IF(ISERROR(F272),"",VLOOKUP(A272,INDIRECT($F$8),6+(O283-1)*3))</f>
        <v>25</v>
      </c>
      <c r="T283" s="1">
        <f ca="1">IF(ISERROR(F272),"",VLOOKUP(A272,INDIRECT($F$8),7+(O283-1)*3))</f>
        <v>25</v>
      </c>
      <c r="U283" s="1">
        <f ca="1">IF(ISERROR(F272),"",VLOOKUP(A272,INDIRECT($F$8),8+(O283-1)*3))</f>
        <v>50</v>
      </c>
      <c r="V283" s="1" t="str">
        <f ca="1">IF(ISERROR(F272),"",IF(N283=0,A283,""))</f>
        <v/>
      </c>
      <c r="W283" s="1">
        <f ca="1">IF(ISERROR(F272),"",IF(ISTEXT(VLOOKUP(B272,INDIRECT($F$8),6+(O283-1)*3)),11,IF(VLOOKUP(B272,INDIRECT($F$8),6+(O283-1)*3)&lt;S283*0.3,IF(VLOOKUP(B272,INDIRECT($F$8),8+(O283-1)*3)&lt;U283*0.4,IF(AND(0.4*U283-VLOOKUP(B272,INDIRECT($F$8),8+(O283-1)*3)&lt;=5,0.3*S283-VLOOKUP(B272,INDIRECT($F$8),6+(O283-1)*3)&lt;=5),MAX(0.4*U283-VLOOKUP(B272,INDIRECT($F$8),8+(O283-1)*3),0.3*S283-VLOOKUP(B272,INDIRECT($F$8),6+(O283-1)*3)),11),IF(0.3*S283-VLOOKUP(B272,INDIRECT($F$8),6+(O283-1)*3)&lt;=5,0.3*S283-VLOOKUP(B272,INDIRECT($F$8),6+(O283-1)*3),11)),IF(VLOOKUP(B272,INDIRECT($F$8),8+(O283-1)*3)&lt;U283*0.4,IF(U283*0.4-VLOOKUP(B272,INDIRECT($F$8),8+(O283-1)*3)&lt;=5,U283*0.4-VLOOKUP(B272,INDIRECT($F$8),8+(O283-1)*3),11),0))))</f>
        <v>0</v>
      </c>
      <c r="X283" s="1" t="str">
        <f ca="1">IF(ISERROR(F272),"",IF(W283=0,"",_xlfn.TEXTJOIN("",FALSE," G+",W283," in ",A283)))</f>
        <v/>
      </c>
    </row>
    <row r="284" spans="1:24" ht="11.5" customHeight="1" x14ac:dyDescent="0.2">
      <c r="A284" s="7" t="str">
        <f ca="1">IF(ISERROR(F272),"",VLOOKUP(C272,INDIRECT($F$8),6+(O284-1)*3,0))</f>
        <v>MEP 001</v>
      </c>
      <c r="B284" s="24" t="str">
        <f ca="1">IF(ISERROR(F272),"",VLOOKUP(D272,INDIRECT($F$8),6+(O284-1)*3,0))</f>
        <v>Basic Mechanical Engineering Lab</v>
      </c>
      <c r="C284" s="24"/>
      <c r="D284" s="24"/>
      <c r="E284" s="24"/>
      <c r="F284" s="7">
        <f ca="1">IF(ISERROR(F272),"",VLOOKUP(E272,INDIRECT($F$8),6+(O284-1)*3,0))</f>
        <v>1</v>
      </c>
      <c r="G284" s="25" t="str">
        <f ca="1">IF(ISERROR(F272),"",_xlfn.TEXTJOIN("/",FALSE,P284,S284))</f>
        <v>23/25</v>
      </c>
      <c r="H284" s="25"/>
      <c r="I284" s="25" t="str">
        <f ca="1">IF(ISERROR(F272),"",_xlfn.TEXTJOIN("/",FALSE,Q284,T284))</f>
        <v>22/25</v>
      </c>
      <c r="J284" s="25"/>
      <c r="K284" s="25" t="str">
        <f ca="1">IF(ISERROR(F272),"",_xlfn.TEXTJOIN("/",FALSE,R284,U284))</f>
        <v>45/50</v>
      </c>
      <c r="L284" s="25"/>
      <c r="M284" s="7" t="str">
        <f ca="1">IF(ISERROR(F272),"",IF(ISTEXT(P284),IF(P284="A","Ab",IF(P284="D","Dt",IF(P284="UFM","UFM",IF(P284="NA","")))),IF(AND(ISBLANK(P284),ISBLANK(R284)),"",IF(P284&lt;0.3*S284,"F",IF(ISBLANK(R284),"",IF(ISTEXT(R284),R284,IF(R284&gt;=0.95*U284,"O",IF(R284&gt;=0.9*U284,"A+",IF(R284&gt;=0.85*U284,"A",IF(R284&gt;=0.8*U284,"B+",IF(R284&gt;=0.75*U284,"B",IF(R284&gt;=0.7*U284,"C+",IF(R284&gt;=0.65*U284,"C",IF(R284&gt;=0.6*U284,"D+",IF(R284&gt;=0.55*U284,"D",IF(R284&gt;=0.5*U284,"E+",IF(R284&gt;=0.45*U284,"E",IF(R284&gt;=0.4*U284,"P",IF(R284&lt;0.4*U284,"F",R284)))))))))))))))))))</f>
        <v>A+</v>
      </c>
      <c r="N284" s="8">
        <f t="shared" ca="1" si="25"/>
        <v>9.5</v>
      </c>
      <c r="O284">
        <f t="shared" ca="1" si="26"/>
        <v>9</v>
      </c>
      <c r="P284" s="1">
        <f ca="1">IF(ISERROR(F272),"",IF(ISTEXT(VLOOKUP(B272,INDIRECT($F$8),6+(O284-1)*3)),(VLOOKUP(B272,INDIRECT($F$8),6+(O284-1)*3)),SUM(VLOOKUP(B272,INDIRECT($F$8),6+(O284-1)*3),IF(W290,W284,0))))</f>
        <v>23</v>
      </c>
      <c r="Q284" s="1">
        <f ca="1">IF(ISERROR(F272),"",VLOOKUP(B272,INDIRECT($F$8),7+(O284-1)*3))</f>
        <v>22</v>
      </c>
      <c r="R284" s="1">
        <f ca="1">IF(ISERROR(F272),"",SUM(P284:Q284))</f>
        <v>45</v>
      </c>
      <c r="S284" s="1">
        <f ca="1">IF(ISERROR(F272),"",VLOOKUP(A272,INDIRECT($F$8),6+(O284-1)*3))</f>
        <v>25</v>
      </c>
      <c r="T284" s="1">
        <f ca="1">IF(ISERROR(F272),"",VLOOKUP(A272,INDIRECT($F$8),7+(O284-1)*3))</f>
        <v>25</v>
      </c>
      <c r="U284" s="1">
        <f ca="1">IF(ISERROR(F272),"",VLOOKUP(A272,INDIRECT($F$8),8+(O284-1)*3))</f>
        <v>50</v>
      </c>
      <c r="V284" s="1" t="str">
        <f ca="1">IF(ISERROR(F272),"",IF(N284=0,A284,""))</f>
        <v/>
      </c>
      <c r="W284" s="1">
        <f ca="1">IF(ISERROR(F272),"",IF(ISTEXT(VLOOKUP(B272,INDIRECT($F$8),6+(O284-1)*3)),11,IF(VLOOKUP(B272,INDIRECT($F$8),6+(O284-1)*3)&lt;S284*0.3,IF(VLOOKUP(B272,INDIRECT($F$8),8+(O284-1)*3)&lt;U284*0.4,IF(AND(0.4*U284-VLOOKUP(B272,INDIRECT($F$8),8+(O284-1)*3)&lt;=5,0.3*S284-VLOOKUP(B272,INDIRECT($F$8),6+(O284-1)*3)&lt;=5),MAX(0.4*U284-VLOOKUP(B272,INDIRECT($F$8),8+(O284-1)*3),0.3*S284-VLOOKUP(B272,INDIRECT($F$8),6+(O284-1)*3)),11),IF(0.3*S284-VLOOKUP(B272,INDIRECT($F$8),6+(O284-1)*3)&lt;=5,0.3*S284-VLOOKUP(B272,INDIRECT($F$8),6+(O284-1)*3),11)),IF(VLOOKUP(B272,INDIRECT($F$8),8+(O284-1)*3)&lt;U284*0.4,IF(U284*0.4-VLOOKUP(B272,INDIRECT($F$8),8+(O284-1)*3)&lt;=5,U284*0.4-VLOOKUP(B272,INDIRECT($F$8),8+(O284-1)*3),11),0))))</f>
        <v>0</v>
      </c>
      <c r="X284" s="1" t="str">
        <f ca="1">IF(ISERROR(F272),"",IF(W284=0,"",_xlfn.TEXTJOIN("",FALSE," G+",W284," in ",A284)))</f>
        <v/>
      </c>
    </row>
    <row r="285" spans="1:24" ht="11.5" customHeight="1" x14ac:dyDescent="0.2">
      <c r="A285" s="7" t="str">
        <f ca="1">IF(ISERROR(F272),"",VLOOKUP(C272,INDIRECT($F$8),6+(O285-1)*3,0))</f>
        <v>MEP 003</v>
      </c>
      <c r="B285" s="24" t="str">
        <f ca="1">IF(ISERROR(F272),"",VLOOKUP(D272,INDIRECT($F$8),6+(O285-1)*3-Z285,0))</f>
        <v>Workshop Practices Lab</v>
      </c>
      <c r="C285" s="24"/>
      <c r="D285" s="24"/>
      <c r="E285" s="24"/>
      <c r="F285" s="7">
        <f ca="1">IF(ISERROR(F272),"",VLOOKUP(E272,INDIRECT($F$8),6+(O285-1)*3,0))</f>
        <v>2</v>
      </c>
      <c r="G285" s="25" t="str">
        <f ca="1">IF(ISERROR(F272),"",_xlfn.TEXTJOIN("/",FALSE,P285,S285))</f>
        <v>47/50</v>
      </c>
      <c r="H285" s="25"/>
      <c r="I285" s="25" t="str">
        <f ca="1">IF(ISERROR(F272),"",_xlfn.TEXTJOIN("/",FALSE,Q285,T285))</f>
        <v>46/50</v>
      </c>
      <c r="J285" s="25"/>
      <c r="K285" s="25" t="str">
        <f ca="1">IF(ISERROR(F272),"",_xlfn.TEXTJOIN("/",FALSE,R285,U285))</f>
        <v>93/100</v>
      </c>
      <c r="L285" s="25"/>
      <c r="M285" s="7" t="str">
        <f ca="1">IF(ISERROR(F272),"",IF(ISTEXT(P285),IF(P285="A","Ab",IF(P285="D","Dt",IF(P285="UFM","UFM",IF(P285="NA","")))),IF(AND(ISBLANK(P285),ISBLANK(R285)),"",IF(P285&lt;0.3*S285,"F",IF(ISBLANK(R285),"",IF(ISTEXT(R285),R285,IF(R285&gt;=0.95*U285,"O",IF(R285&gt;=0.9*U285,"A+",IF(R285&gt;=0.85*U285,"A",IF(R285&gt;=0.8*U285,"B+",IF(R285&gt;=0.75*U285,"B",IF(R285&gt;=0.7*U285,"C+",IF(R285&gt;=0.65*U285,"C",IF(R285&gt;=0.6*U285,"D+",IF(R285&gt;=0.55*U285,"D",IF(R285&gt;=0.5*U285,"E+",IF(R285&gt;=0.45*U285,"E",IF(R285&gt;=0.4*U285,"P",IF(R285&lt;0.4*U285,"F",R285)))))))))))))))))))</f>
        <v>A+</v>
      </c>
      <c r="N285" s="8">
        <f t="shared" ca="1" si="25"/>
        <v>9.5</v>
      </c>
      <c r="O285">
        <f t="shared" ca="1" si="26"/>
        <v>10</v>
      </c>
      <c r="P285" s="1">
        <f ca="1">IF(ISERROR(F272),"",IF(ISTEXT(VLOOKUP(B272,INDIRECT($F$8),6+(O285-1)*3)),(VLOOKUP(B272,INDIRECT($F$8),6+(O285-1)*3)),SUM(VLOOKUP(B272,INDIRECT($F$8),6+(O285-1)*3),IF(W290,W285,0))))</f>
        <v>47</v>
      </c>
      <c r="Q285" s="1">
        <f ca="1">IF(ISERROR(F272),"",VLOOKUP(B272,INDIRECT($F$8),7+(O285-1)*3))</f>
        <v>46</v>
      </c>
      <c r="R285" s="1">
        <f ca="1">IF(ISERROR(F272),"",SUM(P285:Q285))</f>
        <v>93</v>
      </c>
      <c r="S285" s="1">
        <f ca="1">IF(ISERROR(F272),"",VLOOKUP(A272,INDIRECT($F$8),6+(O285-1)*3))</f>
        <v>50</v>
      </c>
      <c r="T285" s="1">
        <f ca="1">IF(ISERROR(F272),"",VLOOKUP(A272,INDIRECT($F$8),7+(O285-1)*3))</f>
        <v>50</v>
      </c>
      <c r="U285" s="1">
        <f ca="1">IF(ISERROR(F272),"",VLOOKUP(A272,INDIRECT($F$8),8+(O285-1)*3))</f>
        <v>100</v>
      </c>
      <c r="V285" s="1" t="str">
        <f ca="1">IF(ISERROR(F272),"",IF(N285=0,A285,""))</f>
        <v/>
      </c>
      <c r="W285" s="1">
        <f ca="1">IF(ISERROR(F272),"",IF(ISTEXT(VLOOKUP(B272,INDIRECT($F$8),6+(O285-1)*3)),11,IF(VLOOKUP(B272,INDIRECT($F$8),6+(O285-1)*3)&lt;S285*0.3,IF(VLOOKUP(B272,INDIRECT($F$8),8+(O285-1)*3)&lt;U285*0.4,IF(AND(0.4*U285-VLOOKUP(B272,INDIRECT($F$8),8+(O285-1)*3)&lt;=5,0.3*S285-VLOOKUP(B272,INDIRECT($F$8),6+(O285-1)*3)&lt;=5),MAX(0.4*U285-VLOOKUP(B272,INDIRECT($F$8),8+(O285-1)*3),0.3*S285-VLOOKUP(B272,INDIRECT($F$8),6+(O285-1)*3)),11),IF(0.3*S285-VLOOKUP(B272,INDIRECT($F$8),6+(O285-1)*3)&lt;=5,0.3*S285-VLOOKUP(B272,INDIRECT($F$8),6+(O285-1)*3),11)),IF(VLOOKUP(B272,INDIRECT($F$8),8+(O285-1)*3)&lt;U285*0.4,IF(U285*0.4-VLOOKUP(B272,INDIRECT($F$8),8+(O285-1)*3)&lt;=5,U285*0.4-VLOOKUP(B272,INDIRECT($F$8),8+(O285-1)*3),11),0))))</f>
        <v>0</v>
      </c>
      <c r="X285" s="1" t="str">
        <f ca="1">IF(ISERROR(F272),"",IF(W285=0,"",_xlfn.TEXTJOIN("",FALSE," G+",W285," in ",A285)))</f>
        <v/>
      </c>
    </row>
    <row r="286" spans="1:24" ht="11.5" customHeight="1" x14ac:dyDescent="0.2">
      <c r="A286" s="7" t="str">
        <f ca="1">IF(ISERROR(F272),"",VLOOKUP(C272,INDIRECT($F$8),6+(O286-1)*3,0))</f>
        <v>AHP 004</v>
      </c>
      <c r="B286" s="24" t="str">
        <f ca="1">IF(ISERROR(F272),"",VLOOKUP(D272,INDIRECT($F$8),6+(O286-1)*3-Z286,0))</f>
        <v>Emerging Technologies in Engineering Lab</v>
      </c>
      <c r="C286" s="24"/>
      <c r="D286" s="24"/>
      <c r="E286" s="24"/>
      <c r="F286" s="7">
        <f ca="1">IF(ISERROR(F272),"",VLOOKUP(E272,INDIRECT($F$8),6+(O286-1)*3,0))</f>
        <v>1</v>
      </c>
      <c r="G286" s="25" t="str">
        <f ca="1">IF(ISERROR(F272),"",_xlfn.TEXTJOIN("/",FALSE,P286,S286))</f>
        <v>21/25</v>
      </c>
      <c r="H286" s="25"/>
      <c r="I286" s="25" t="str">
        <f ca="1">IF(ISERROR(F272),"",_xlfn.TEXTJOIN("/",FALSE,Q286,T286))</f>
        <v>21/25</v>
      </c>
      <c r="J286" s="25"/>
      <c r="K286" s="25" t="str">
        <f ca="1">IF(ISERROR(F272),"",_xlfn.TEXTJOIN("/",FALSE,R286,U286))</f>
        <v>42/50</v>
      </c>
      <c r="L286" s="25"/>
      <c r="M286" s="7" t="str">
        <f ca="1">IF(ISERROR(F272)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B+</v>
      </c>
      <c r="N286" s="8">
        <f t="shared" ca="1" si="25"/>
        <v>8.5</v>
      </c>
      <c r="O286">
        <f t="shared" ca="1" si="26"/>
        <v>11</v>
      </c>
      <c r="P286" s="1">
        <f ca="1">IF(ISERROR(F272),"",IF(ISTEXT(VLOOKUP(B272,INDIRECT($F$8),6+(O286-1)*3)),(VLOOKUP(B272,INDIRECT($F$8),6+(O286-1)*3)),SUM(VLOOKUP(B272,INDIRECT($F$8),6+(O286-1)*3),IF(W290,W286,0))))</f>
        <v>21</v>
      </c>
      <c r="Q286" s="1">
        <f ca="1">IF(ISERROR(F272),"",VLOOKUP(B272,INDIRECT($F$8),7+(O286-1)*3))</f>
        <v>21</v>
      </c>
      <c r="R286" s="1">
        <f ca="1">IF(ISERROR(F272),"",SUM(P286:Q286))</f>
        <v>42</v>
      </c>
      <c r="S286" s="1">
        <f ca="1">IF(ISERROR(F272),"",VLOOKUP(A272,INDIRECT($F$8),6+(O286-1)*3))</f>
        <v>25</v>
      </c>
      <c r="T286" s="1">
        <f ca="1">IF(ISERROR(F272),"",VLOOKUP(A272,INDIRECT($F$8),7+(O286-1)*3))</f>
        <v>25</v>
      </c>
      <c r="U286" s="1">
        <f ca="1">IF(ISERROR(F272),"",VLOOKUP(A272,INDIRECT($F$8),8+(O286-1)*3))</f>
        <v>50</v>
      </c>
      <c r="V286" s="1" t="str">
        <f ca="1">IF(ISERROR(F272),"",IF(N286=0,A286,""))</f>
        <v/>
      </c>
      <c r="W286" s="1">
        <f ca="1">IF(ISERROR(F272),"",IF(ISTEXT(VLOOKUP(B272,INDIRECT($F$8),6+(O286-1)*3)),11,IF(VLOOKUP(B272,INDIRECT($F$8),6+(O286-1)*3)&lt;S286*0.3,IF(VLOOKUP(B272,INDIRECT($F$8),8+(O286-1)*3)&lt;U286*0.4,IF(AND(0.4*U286-VLOOKUP(B272,INDIRECT($F$8),8+(O286-1)*3)&lt;=5,0.3*S286-VLOOKUP(B272,INDIRECT($F$8),6+(O286-1)*3)&lt;=5),MAX(0.4*U286-VLOOKUP(B272,INDIRECT($F$8),8+(O286-1)*3),0.3*S286-VLOOKUP(B272,INDIRECT($F$8),6+(O286-1)*3)),11),IF(0.3*S286-VLOOKUP(B272,INDIRECT($F$8),6+(O286-1)*3)&lt;=5,0.3*S286-VLOOKUP(B272,INDIRECT($F$8),6+(O286-1)*3),11)),IF(VLOOKUP(B272,INDIRECT($F$8),8+(O286-1)*3)&lt;U286*0.4,IF(U286*0.4-VLOOKUP(B272,INDIRECT($F$8),8+(O286-1)*3)&lt;=5,U286*0.4-VLOOKUP(B272,INDIRECT($F$8),8+(O286-1)*3),11),0))))</f>
        <v>0</v>
      </c>
      <c r="X286" s="1" t="str">
        <f ca="1">IF(ISERROR(F272),"",IF(W286=0,"",_xlfn.TEXTJOIN("",FALSE," G+",W286," in ",A286)))</f>
        <v/>
      </c>
    </row>
    <row r="287" spans="1:24" ht="11.5" customHeight="1" x14ac:dyDescent="0.2">
      <c r="A287" s="7" t="str">
        <f ca="1">IF(ISERROR(F272),"",VLOOKUP(C272,INDIRECT($F$8),6+(O287-1)*3,0))</f>
        <v>CSP 002</v>
      </c>
      <c r="B287" s="24" t="str">
        <f ca="1">IF(ISERROR(F272),"",VLOOKUP(D272,INDIRECT($F$8),6+(O287-1)*3,0))</f>
        <v>Computer Applications and IOT</v>
      </c>
      <c r="C287" s="24"/>
      <c r="D287" s="24"/>
      <c r="E287" s="24"/>
      <c r="F287" s="7">
        <f ca="1">IF(ISERROR(F272),"",VLOOKUP(E272,INDIRECT($F$8),6+(O287-1)*3,0))</f>
        <v>1</v>
      </c>
      <c r="G287" s="25" t="str">
        <f ca="1">IF(ISERROR(F272),"",_xlfn.TEXTJOIN("/",FALSE,P287,S287))</f>
        <v>25/25</v>
      </c>
      <c r="H287" s="25"/>
      <c r="I287" s="25" t="str">
        <f ca="1">IF(ISERROR(F272),"",_xlfn.TEXTJOIN("/",FALSE,Q287,T287))</f>
        <v>25/25</v>
      </c>
      <c r="J287" s="25"/>
      <c r="K287" s="25" t="str">
        <f ca="1">IF(ISERROR(F272),"",_xlfn.TEXTJOIN("/",FALSE,R287,U287))</f>
        <v>50/50</v>
      </c>
      <c r="L287" s="25"/>
      <c r="M287" s="7" t="str">
        <f ca="1">IF(ISERROR(F272)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O</v>
      </c>
      <c r="N287" s="8">
        <f t="shared" ca="1" si="25"/>
        <v>10</v>
      </c>
      <c r="O287">
        <f t="shared" ca="1" si="26"/>
        <v>12</v>
      </c>
      <c r="P287" s="1">
        <f ca="1">IF(ISERROR(F272),"",IF(ISTEXT(VLOOKUP(B272,INDIRECT($F$8),6+(O287-1)*3)),(VLOOKUP(B272,INDIRECT($F$8),6+(O287-1)*3)),SUM(VLOOKUP(B272,INDIRECT($F$8),6+(O287-1)*3),IF(W290,W287,0))))</f>
        <v>25</v>
      </c>
      <c r="Q287" s="1">
        <f ca="1">IF(ISERROR(F272),"",VLOOKUP(B272,INDIRECT($F$8),7+(O287-1)*3))</f>
        <v>25</v>
      </c>
      <c r="R287" s="1">
        <f ca="1">IF(ISERROR(F272),"",SUM(P287:Q287))</f>
        <v>50</v>
      </c>
      <c r="S287" s="1">
        <f ca="1">IF(ISERROR(F272),"",VLOOKUP(A272,INDIRECT($F$8),6+(O287-1)*3))</f>
        <v>25</v>
      </c>
      <c r="T287" s="1">
        <f ca="1">IF(ISERROR(F272),"",VLOOKUP(A272,INDIRECT($F$8),7+(O287-1)*3))</f>
        <v>25</v>
      </c>
      <c r="U287" s="1">
        <f ca="1">IF(ISERROR(F272),"",VLOOKUP(A272,INDIRECT($F$8),8+(O287-1)*3))</f>
        <v>50</v>
      </c>
      <c r="V287" s="1" t="str">
        <f ca="1">IF(ISERROR(F272),"",IF(N287=0,A287,""))</f>
        <v/>
      </c>
      <c r="W287" s="1">
        <f ca="1">IF(ISERROR(F272),"",IF(ISTEXT(VLOOKUP(B272,INDIRECT($F$8),6+(O287-1)*3)),11,IF(VLOOKUP(B272,INDIRECT($F$8),6+(O287-1)*3)&lt;S287*0.3,IF(VLOOKUP(B272,INDIRECT($F$8),8+(O287-1)*3)&lt;U287*0.4,IF(AND(0.4*U287-VLOOKUP(B272,INDIRECT($F$8),8+(O287-1)*3)&lt;=5,0.3*S287-VLOOKUP(B272,INDIRECT($F$8),6+(O287-1)*3)&lt;=5),MAX(0.4*U287-VLOOKUP(B272,INDIRECT($F$8),8+(O287-1)*3),0.3*S287-VLOOKUP(B272,INDIRECT($F$8),6+(O287-1)*3)),11),IF(0.3*S287-VLOOKUP(B272,INDIRECT($F$8),6+(O287-1)*3)&lt;=5,0.3*S287-VLOOKUP(B272,INDIRECT($F$8),6+(O287-1)*3),11)),IF(VLOOKUP(B272,INDIRECT($F$8),8+(O287-1)*3)&lt;U287*0.4,IF(U287*0.4-VLOOKUP(B272,INDIRECT($F$8),8+(O287-1)*3)&lt;=5,U287*0.4-VLOOKUP(B272,INDIRECT($F$8),8+(O287-1)*3),11),0))))</f>
        <v>0</v>
      </c>
      <c r="X287" s="1" t="str">
        <f ca="1">IF(ISERROR(F272),"",IF(W287=0,"",_xlfn.TEXTJOIN("",FALSE," G+",W287," in ",A287)))</f>
        <v/>
      </c>
    </row>
    <row r="288" spans="1:24" ht="11.5" customHeight="1" x14ac:dyDescent="0.2">
      <c r="A288" s="7" t="str">
        <f ca="1">IF(ISERROR(F272),"",VLOOKUP(C272,INDIRECT($F$8),6+(O288-1)*3,0))</f>
        <v>AHP 006</v>
      </c>
      <c r="B288" s="24" t="str">
        <f ca="1">IF(ISERROR(F272),"",VLOOKUP(D272,INDIRECT($F$8),6+(O288-1)*3,0))</f>
        <v>English Language Lab ($)</v>
      </c>
      <c r="C288" s="24"/>
      <c r="D288" s="24"/>
      <c r="E288" s="24"/>
      <c r="F288" s="7">
        <f ca="1">IF(ISERROR(F272),"",VLOOKUP(E272,INDIRECT($F$8),6+(O288-1)*3,0))</f>
        <v>0</v>
      </c>
      <c r="G288" s="25" t="str">
        <f ca="1">IF(ISERROR(F272),"",_xlfn.TEXTJOIN("/",FALSE,P288,S288))</f>
        <v>19/25</v>
      </c>
      <c r="H288" s="25"/>
      <c r="I288" s="25" t="str">
        <f ca="1">IF(ISERROR(F272),"",_xlfn.TEXTJOIN("/",FALSE,Q288,T288))</f>
        <v>34/50</v>
      </c>
      <c r="J288" s="25"/>
      <c r="K288" s="25" t="str">
        <f ca="1">IF(ISERROR(F272),"",_xlfn.TEXTJOIN("/",FALSE,R288,U288))</f>
        <v>53/75</v>
      </c>
      <c r="L288" s="25"/>
      <c r="M288" s="7" t="str">
        <f ca="1">IF(ISERROR(F272)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C+</v>
      </c>
      <c r="N288" s="8">
        <f ca="1">INDEX($Z$2:$Z$17,MATCH(M288,$Y$2:$Y$17,0))</f>
        <v>7.5</v>
      </c>
      <c r="O288">
        <f t="shared" ca="1" si="26"/>
        <v>13</v>
      </c>
      <c r="P288" s="1">
        <f ca="1">IF(ISERROR(F272),"",IF(ISTEXT(VLOOKUP(B272,INDIRECT($F$8),6+(O288-1)*3)),(VLOOKUP(B272,INDIRECT($F$8),6+(O288-1)*3)),SUM(VLOOKUP(B272,INDIRECT($F$8),6+(O288-1)*3),IF(W290,W288,0))))</f>
        <v>19</v>
      </c>
      <c r="Q288" s="1">
        <f ca="1">IF(ISERROR(F272),"",VLOOKUP(B272,INDIRECT($F$8),7+(O288-1)*3))</f>
        <v>34</v>
      </c>
      <c r="R288" s="1">
        <f ca="1">IF(ISERROR(F272),"",SUM(P288:Q288))</f>
        <v>53</v>
      </c>
      <c r="S288" s="1">
        <f ca="1">IF(ISERROR(F272),"",VLOOKUP(A272,INDIRECT($F$8),6+(O288-1)*3))</f>
        <v>25</v>
      </c>
      <c r="T288" s="1">
        <f ca="1">IF(ISERROR(F272),"",VLOOKUP(A272,INDIRECT($F$8),7+(O288-1)*3))</f>
        <v>50</v>
      </c>
      <c r="U288" s="1">
        <f ca="1">IF(ISERROR(F272),"",VLOOKUP(A272,INDIRECT($F$8),8+(O288-1)*3))</f>
        <v>75</v>
      </c>
      <c r="V288" s="1"/>
      <c r="W288" s="1">
        <f ca="1">IF(ISERROR(F272),"",IF(ISTEXT(VLOOKUP(B272,INDIRECT($F$8),6+(O288-1)*3)),11,IF(VLOOKUP(B272,INDIRECT($F$8),6+(O288-1)*3)&lt;S288*0.3,IF(VLOOKUP(B272,INDIRECT($F$8),8+(O288-1)*3)&lt;U288*0.4,IF(AND(0.4*U288-VLOOKUP(B272,INDIRECT($F$8),8+(O288-1)*3)&lt;=5,0.3*S288-VLOOKUP(B272,INDIRECT($F$8),6+(O288-1)*3)&lt;=5),MAX(0.4*U288-VLOOKUP(B272,INDIRECT($F$8),8+(O288-1)*3),0.3*S288-VLOOKUP(B272,INDIRECT($F$8),6+(O288-1)*3)),11),IF(0.3*S288-VLOOKUP(B272,INDIRECT($F$8),6+(O288-1)*3)&lt;=5,0.3*S288-VLOOKUP(B272,INDIRECT($F$8),6+(O288-1)*3),11)),IF(VLOOKUP(B272,INDIRECT($F$8),8+(O288-1)*3)&lt;U288*0.4,IF(U288*0.4-VLOOKUP(B272,INDIRECT($F$8),8+(O288-1)*3)&lt;=5,U288*0.4-VLOOKUP(B272,INDIRECT($F$8),8+(O288-1)*3),11),0))))</f>
        <v>0</v>
      </c>
      <c r="X288" s="1" t="str">
        <f ca="1">IF(ISERROR(F272),"",IF(W288=0,"",_xlfn.TEXTJOIN("",FALSE," G+",W288," in ",A288)))</f>
        <v/>
      </c>
    </row>
    <row r="289" spans="1:24" ht="11.5" customHeight="1" x14ac:dyDescent="0.2">
      <c r="A289" s="7" t="str">
        <f ca="1">IF(ISERROR(F272),"",VLOOKUP(C272,INDIRECT($F$8),6+(O289-1)*3-Y289,0))</f>
        <v>GP 01</v>
      </c>
      <c r="B289" s="24" t="str">
        <f ca="1">IF(ISERROR(F272),"",VLOOKUP(D272,INDIRECT($F$8),6+(O289-1)*3-Z289,0))</f>
        <v>General Proficiency ($)</v>
      </c>
      <c r="C289" s="24"/>
      <c r="D289" s="24"/>
      <c r="E289" s="24"/>
      <c r="F289" s="7">
        <f ca="1">IF(ISERROR(F272),"",VLOOKUP(E272,INDIRECT($F$8),6+(O289-1)*3-AA289,0))</f>
        <v>0</v>
      </c>
      <c r="G289" s="25" t="str">
        <f ca="1">IF(ISERROR(F272),"","-")</f>
        <v>-</v>
      </c>
      <c r="H289" s="25"/>
      <c r="I289" s="25" t="str">
        <f ca="1">IF(ISERROR(F272),"",_xlfn.TEXTJOIN("/",FALSE,Q289,T289))</f>
        <v>47/50</v>
      </c>
      <c r="J289" s="25"/>
      <c r="K289" s="25" t="str">
        <f ca="1">IF(ISERROR(F272),"",_xlfn.TEXTJOIN("/",FALSE,R289,U289))</f>
        <v>47/50</v>
      </c>
      <c r="L289" s="25"/>
      <c r="M289" s="25" t="str">
        <f ca="1">IF(ISBLANK(R289),"",IF(ISTEXT(R289),R289,IF(R289&gt;=0.8*U289,"Excellent",IF(R289&gt;=0.6*U289,"Very Good",IF(R289&gt;=0.4*U289,"Good",IF(R289&gt;=0.2*U289,"Satisfactory","Average"))))))</f>
        <v>Excellent</v>
      </c>
      <c r="N289" s="25"/>
      <c r="O289">
        <f t="shared" ca="1" si="26"/>
        <v>14</v>
      </c>
      <c r="P289" s="1">
        <f ca="1">IF(ISERROR(F272),"",IF(ISTEXT(VLOOKUP(B\28,INDIRECT($F$8),6+(O289-1)*3)),(VLOOKUP(B272,INDIRECT($F$8),6+(O289-1)*3)),SUM(VLOOKUP(B272,INDIRECT($F$8),6+(O289-1)*3),IF(W290,W290,0))))</f>
        <v>0</v>
      </c>
      <c r="Q289" s="1">
        <f ca="1">IF(ISERROR(F272),"",VLOOKUP(B272,INDIRECT($F$8),7+(O289-1)*3))</f>
        <v>47</v>
      </c>
      <c r="R289" s="1">
        <f ca="1">IF(ISERROR(F272),"",SUM(P289:Q289))</f>
        <v>47</v>
      </c>
      <c r="S289" s="1">
        <f ca="1">IF(ISERROR(F272),"",VLOOKUP(A272,INDIRECT($F$8),6+(O289-1)*3))</f>
        <v>0</v>
      </c>
      <c r="T289" s="1">
        <f ca="1">IF(ISERROR(F272),"",VLOOKUP(A272,INDIRECT($F$8),7+(O289-1)*3))</f>
        <v>50</v>
      </c>
      <c r="U289" s="1">
        <f ca="1">IF(ISERROR(F272),"",VLOOKUP(A272,INDIRECT($F$8),8+(O289-1)*3))</f>
        <v>50</v>
      </c>
      <c r="V289" s="1"/>
      <c r="W289" s="1"/>
      <c r="X289" s="1" t="str">
        <f ca="1">IF(ISERROR(F272),"",IF(W289=0,"",_xlfn.TEXTJOIN("",FALSE," G+",W289," in ",A289)))</f>
        <v/>
      </c>
    </row>
    <row r="290" spans="1:24" ht="11.5" customHeight="1" x14ac:dyDescent="0.2">
      <c r="A290" s="26" t="str">
        <f ca="1">IF(ISERROR(F272),"",A268)</f>
        <v>Total Credits/ Marks/ Total Grade Points</v>
      </c>
      <c r="B290" s="26"/>
      <c r="C290" s="26"/>
      <c r="D290" s="26"/>
      <c r="E290" s="26"/>
      <c r="F290" s="10">
        <f ca="1">IF(ISERROR(F272),"",SUM(F277:F288))</f>
        <v>23</v>
      </c>
      <c r="G290" s="27" t="str">
        <f ca="1">IF(ISERROR(F272),"",_xlfn.TEXTJOIN("/",TRUE,SUMIF(F277:F289,"&gt;0",P277:P289),SUMIF(F277:F289,"&gt;0",S277:S289)))</f>
        <v>272/575</v>
      </c>
      <c r="H290" s="27"/>
      <c r="I290" s="27" t="str">
        <f ca="1">IF(ISERROR(F272),"",_xlfn.TEXTJOIN("/",TRUE,SUMIF(F277:F289,"&gt;0",Q277:Q289),SUMIF(F277:F289,"&gt;0",T277:T289)))</f>
        <v>277/375</v>
      </c>
      <c r="J290" s="27"/>
      <c r="K290" s="27" t="str">
        <f ca="1">IF(ISERROR(F272),"",_xlfn.TEXTJOIN("/",TRUE,SUMIF(F277:F289,"&gt;0",R277:R289),SUMIF(F277:F289,"&gt;0",U277:U289)))</f>
        <v>549/950</v>
      </c>
      <c r="L290" s="27"/>
      <c r="M290" s="26">
        <f ca="1">IF(ISERROR(F272),"",SUMPRODUCT(N277:N288,F277:F288))</f>
        <v>124.5</v>
      </c>
      <c r="N290" s="26"/>
      <c r="V290" s="1" t="str">
        <f ca="1">_xlfn.TEXTJOIN(", ",TRUE,V277:V289)</f>
        <v>AHT 003</v>
      </c>
      <c r="W290" t="b">
        <f ca="1">IF(SUM(W277:W289)&lt;=W276,TRUE,FALSE)</f>
        <v>0</v>
      </c>
      <c r="X290" s="1" t="str">
        <f ca="1">IF(ISERROR(F272),"",_xlfn.TEXTJOIN(",",TRUE,X277:X289))</f>
        <v xml:space="preserve"> G+11 in AHT 003</v>
      </c>
    </row>
    <row r="291" spans="1:24" ht="11.5" customHeight="1" x14ac:dyDescent="0.2">
      <c r="A291" s="26" t="str">
        <f ca="1">IF(ISERROR(F272),"",A269)</f>
        <v>Result:</v>
      </c>
      <c r="B291" s="28" t="str" cm="1">
        <f t="array" aca="1" ref="B291" ca="1">IF(SUM(COUNTIF(M277:M288,{"Ab","Dt"}))=12, "Not Promoted to IInd Semester", IF(V290="", "PASS", "CARRY OVER"))</f>
        <v>CARRY OVER</v>
      </c>
      <c r="C291" s="28"/>
      <c r="D291" s="26" t="str">
        <f ca="1">IF(ISERROR(F272),"",D269)</f>
        <v>Remark:</v>
      </c>
      <c r="E291" s="28" t="str">
        <f ca="1">IF(ISERROR(F272),"",IF(V290="",IF(X290="","",X290),_xlfn.TEXTJOIN(" ",TRUE,"BACK IN",V290)))</f>
        <v>BACK IN AHT 003</v>
      </c>
      <c r="F291" s="28"/>
      <c r="G291" s="26" t="str">
        <f ca="1">IF(ISERROR(F272),"",G269)</f>
        <v>SGPA:</v>
      </c>
      <c r="H291" s="29">
        <f ca="1">IF(ISERROR(F272),"",M290/F290)</f>
        <v>5.4130434782608692</v>
      </c>
      <c r="I291" s="26" t="str">
        <f ca="1">IF(ISERROR(F272),"",I269)</f>
        <v>CGPA:</v>
      </c>
      <c r="J291" s="29">
        <f ca="1">IF(ISERROR(F272),"",VLOOKUP(B272,INDIRECT($F$8),12+(O289-1)*3,0))</f>
        <v>5.4130434782608692</v>
      </c>
      <c r="K291" s="28" t="str">
        <f ca="1">IF(ISERROR(F272),"",K269)</f>
        <v>Earned Credits:</v>
      </c>
      <c r="L291" s="26">
        <f ca="1">IF(ISERROR(F272),"",SUMIF(N277:N288,"&gt;0",F277:F288))</f>
        <v>19</v>
      </c>
      <c r="M291" s="28" t="str">
        <f ca="1">IF(ISERROR(F272),"",M269)</f>
        <v>Cuml. Earned Credits:</v>
      </c>
      <c r="N291" s="26">
        <f ca="1">IF(ISERROR(F272),"",VLOOKUP(B272,INDIRECT($F$8),10+(O289-1)*3,0))</f>
        <v>19</v>
      </c>
    </row>
    <row r="292" spans="1:24" ht="11.5" customHeight="1" x14ac:dyDescent="0.2">
      <c r="A292" s="26"/>
      <c r="B292" s="28"/>
      <c r="C292" s="28"/>
      <c r="D292" s="26"/>
      <c r="E292" s="28"/>
      <c r="F292" s="28"/>
      <c r="G292" s="26"/>
      <c r="H292" s="29"/>
      <c r="I292" s="26"/>
      <c r="J292" s="29"/>
      <c r="K292" s="28"/>
      <c r="L292" s="26"/>
      <c r="M292" s="28"/>
      <c r="N292" s="26"/>
    </row>
    <row r="293" spans="1:24" ht="21" customHeight="1" x14ac:dyDescent="0.2">
      <c r="A293" s="26"/>
      <c r="B293" s="28"/>
      <c r="C293" s="28"/>
      <c r="D293" s="26"/>
      <c r="E293" s="28"/>
      <c r="F293" s="28"/>
      <c r="G293" s="26"/>
      <c r="H293" s="29"/>
      <c r="I293" s="26"/>
      <c r="J293" s="29"/>
      <c r="K293" s="28"/>
      <c r="L293" s="26"/>
      <c r="M293" s="28"/>
      <c r="N293" s="26"/>
    </row>
    <row r="294" spans="1:24" ht="11.5" customHeight="1" x14ac:dyDescent="0.2">
      <c r="A294" s="11" t="str">
        <f>A272</f>
        <v>MM</v>
      </c>
      <c r="B294" s="11">
        <f>B272+1</f>
        <v>14</v>
      </c>
      <c r="C294" s="11" t="str">
        <f>C272</f>
        <v>SC</v>
      </c>
      <c r="D294" s="11" t="str">
        <f>D272</f>
        <v>SN</v>
      </c>
      <c r="E294" s="11" t="str">
        <f>E272</f>
        <v>C</v>
      </c>
      <c r="F294" s="11" t="str">
        <f ca="1">VLOOKUP(B294,INDIRECT($F$8),4,0)</f>
        <v>KUSHAGRA VERMA</v>
      </c>
    </row>
    <row r="295" spans="1:24" ht="11.5" customHeight="1" x14ac:dyDescent="0.2">
      <c r="A295" s="30" t="str">
        <f ca="1">IF(ISERROR(F294),"",A273)</f>
        <v>Name:</v>
      </c>
      <c r="B295" s="30" t="str">
        <f ca="1">IFERROR(VLOOKUP(B294,INDIRECT($F$8),4,0),"")</f>
        <v>KUSHAGRA VERMA</v>
      </c>
      <c r="C295" s="30"/>
      <c r="D295" s="30" t="str">
        <f ca="1">IF(ISERROR(F294),"",D273)</f>
        <v>Father's Name:</v>
      </c>
      <c r="E295" s="30" t="str">
        <f ca="1">IFERROR(VLOOKUP(B294,INDIRECT($F$8),5,0),"")</f>
        <v>KAILASH VERMA</v>
      </c>
      <c r="F295" s="30"/>
      <c r="G295" s="30" t="str">
        <f ca="1">IF(ISERROR(F294),"",G273)</f>
        <v>University Roll No:</v>
      </c>
      <c r="H295" s="30"/>
      <c r="I295" s="31">
        <f ca="1">IFERROR(VLOOKUP(B294,INDIRECT($F$8),2,0),"")</f>
        <v>250090120015</v>
      </c>
      <c r="J295" s="31"/>
      <c r="K295" s="30" t="str">
        <f ca="1">IF(ISERROR(F294),"",K273)</f>
        <v>University Enrol. No:</v>
      </c>
      <c r="L295" s="30"/>
      <c r="M295" s="31" t="str">
        <f ca="1">IFERROR(VLOOKUP(B294,INDIRECT($F$8),3,0),"")</f>
        <v>UTU/2501103775</v>
      </c>
      <c r="N295" s="31"/>
    </row>
    <row r="296" spans="1:24" ht="15" x14ac:dyDescent="0.2">
      <c r="A296" s="30"/>
      <c r="B296" s="30"/>
      <c r="C296" s="30"/>
      <c r="D296" s="30"/>
      <c r="E296" s="30"/>
      <c r="F296" s="30"/>
      <c r="G296" s="30"/>
      <c r="H296" s="30"/>
      <c r="I296" s="31"/>
      <c r="J296" s="31"/>
      <c r="K296" s="30"/>
      <c r="L296" s="30"/>
      <c r="M296" s="31"/>
      <c r="N296" s="31"/>
    </row>
    <row r="297" spans="1:24" ht="11.5" customHeight="1" x14ac:dyDescent="0.2">
      <c r="A297" s="28" t="str">
        <f ca="1">IF(ISERROR(F294),"",A275)</f>
        <v>Subject Code</v>
      </c>
      <c r="B297" s="28" t="str">
        <f ca="1">IF(ISERROR(F294),"",B275)</f>
        <v>Subject Name</v>
      </c>
      <c r="C297" s="28"/>
      <c r="D297" s="28"/>
      <c r="E297" s="28"/>
      <c r="F297" s="28" t="str">
        <f ca="1">IF(ISERROR(F294),"",F275)</f>
        <v>Credits</v>
      </c>
      <c r="G297" s="28" t="str">
        <f ca="1">IF(ISERROR(F294),"",G275)</f>
        <v>External Marks</v>
      </c>
      <c r="H297" s="28"/>
      <c r="I297" s="28" t="str">
        <f ca="1">IF(ISERROR(F294),"",I275)</f>
        <v>Sessional Marks</v>
      </c>
      <c r="J297" s="28"/>
      <c r="K297" s="28" t="str">
        <f ca="1">IF(ISERROR(F294),"",K275)</f>
        <v>Total Marks</v>
      </c>
      <c r="L297" s="28"/>
      <c r="M297" s="28" t="str">
        <f ca="1">IF(ISERROR(F294),"",M275)</f>
        <v>Grade</v>
      </c>
      <c r="N297" s="28" t="str">
        <f ca="1">IF(ISERROR(F294),"",N275)</f>
        <v>Grade Points</v>
      </c>
    </row>
    <row r="298" spans="1:24" ht="11.5" customHeight="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W298">
        <f ca="1">IF(ISNUMBER(MATCH($F$8,{"I","III","V","VII"},0)),10,10-INDEX(INDIRECT(_xlfn.TEXTJOIN("",TRUE,"SEM_",$G$8,"!",ADDRESS(6,4+$I$8*3+4),":",ADDRESS(5+$H$8,4+$I$8*3+4))),MATCH(INDIRECT(_xlfn.TEXTJOIN("",TRUE,"TC_",$F$8,"!",ADDRESS(ROW(I295),COLUMN(I295)))),INDIRECT(_xlfn.TEXTJOIN("",TRUE,"SEM_",$G$8,"!",ADDRESS(6,2),":",ADDRESS(5+$H$8,2))))))</f>
        <v>10</v>
      </c>
    </row>
    <row r="299" spans="1:24" ht="11.5" customHeight="1" x14ac:dyDescent="0.2">
      <c r="A299" s="7" t="str">
        <f ca="1">IF(ISERROR(F294),"",VLOOKUP(C294,INDIRECT($F$8),6+(O299-1)*3,0))</f>
        <v>AHT 002</v>
      </c>
      <c r="B299" s="24" t="str">
        <f ca="1">IF(ISERROR(F294),"",VLOOKUP(D294,INDIRECT($F$8),6+(O299-1)*3,0))</f>
        <v>Engineering Chemistry</v>
      </c>
      <c r="C299" s="24"/>
      <c r="D299" s="24"/>
      <c r="E299" s="24"/>
      <c r="F299" s="7">
        <f ca="1">IF(ISERROR(F294),"",VLOOKUP(E294,INDIRECT($F$8),6+(O299-1)*3,0))</f>
        <v>4</v>
      </c>
      <c r="G299" s="25" t="str">
        <f ca="1">IF(ISERROR(F294),"",_xlfn.TEXTJOIN("/",FALSE,P299,S299))</f>
        <v>22/100</v>
      </c>
      <c r="H299" s="25"/>
      <c r="I299" s="25" t="str">
        <f ca="1">IF(ISERROR(F294),"",_xlfn.TEXTJOIN("/",FALSE,Q299,T299))</f>
        <v>25/50</v>
      </c>
      <c r="J299" s="25"/>
      <c r="K299" s="25" t="str">
        <f ca="1">IF(ISERROR(F294),"",_xlfn.TEXTJOIN("/",FALSE,R299,U299))</f>
        <v>47/150</v>
      </c>
      <c r="L299" s="25"/>
      <c r="M299" s="7" t="str">
        <f ca="1">IF(ISERROR(F294),"",IF(ISTEXT(P299),IF(P299="A","Ab",IF(P299="D","Dt",IF(P299="UFM","UFM",IF(P299="NA","")))),IF(AND(ISBLANK(P299),ISBLANK(R299)),"",IF(P299&lt;0.3*S299,"F",IF(ISBLANK(R299),"",IF(ISTEXT(R299),R299,IF(R299&gt;=0.95*U299,"O",IF(R299&gt;=0.9*U299,"A+",IF(R299&gt;=0.85*U299,"A",IF(R299&gt;=0.8*U299,"B+",IF(R299&gt;=0.75*U299,"B",IF(R299&gt;=0.7*U299,"C+",IF(R299&gt;=0.65*U299,"C",IF(R299&gt;=0.6*U299,"D+",IF(R299&gt;=0.55*U299,"D",IF(R299&gt;=0.5*U299,"E+",IF(R299&gt;=0.45*U299,"E",IF(R299&gt;=0.4*U299,"P",IF(R299&lt;0.4*U299,"F",R299)))))))))))))))))))</f>
        <v>F</v>
      </c>
      <c r="N299" s="8">
        <f ca="1">INDEX($Z$2:$Z$17,MATCH(M299,$Y$2:$Y$17,0))</f>
        <v>0</v>
      </c>
      <c r="O299">
        <v>1</v>
      </c>
      <c r="P299" s="1">
        <f ca="1">IF(ISERROR(F294),"",IF(ISTEXT(VLOOKUP(B294,INDIRECT($F$8),6+(O299-1)*3)),(VLOOKUP(B294,INDIRECT($F$8),6+(O299-1)*3)),SUM(VLOOKUP(B294,INDIRECT($F$8),6+(O299-1)*3),IF(W312,W299,0))))</f>
        <v>22</v>
      </c>
      <c r="Q299" s="1">
        <f ca="1">IF(ISERROR(F294),"",VLOOKUP(B294,INDIRECT($F$8),7+(O299-1)*3))</f>
        <v>25</v>
      </c>
      <c r="R299" s="1">
        <f ca="1">IF(ISERROR(F294),"",SUM(P299:Q299))</f>
        <v>47</v>
      </c>
      <c r="S299" s="1">
        <f ca="1">IF(ISERROR(F294),"",VLOOKUP(A294,INDIRECT($F$8),6+(O299-1)*3))</f>
        <v>100</v>
      </c>
      <c r="T299" s="1">
        <f ca="1">IF(ISERROR(F294),"",VLOOKUP(A294,INDIRECT($F$8),7+(O299-1)*3))</f>
        <v>50</v>
      </c>
      <c r="U299" s="1">
        <f ca="1">IF(ISERROR(F294),"",VLOOKUP(A294,INDIRECT($F$8),8+(O299-1)*3))</f>
        <v>150</v>
      </c>
      <c r="V299" s="1" t="str">
        <f ca="1">IF(ISERROR(F294),"",IF(N299=0,A299,""))</f>
        <v>AHT 002</v>
      </c>
      <c r="W299" s="1">
        <f ca="1">IF(ISERROR(F294),"",IF(ISTEXT(VLOOKUP(B294,INDIRECT($F$8),6+(O299-1)*3)),11,IF(VLOOKUP(B294,INDIRECT($F$8),6+(O299-1)*3)&lt;S299*0.3,IF(VLOOKUP(B294,INDIRECT($F$8),8+(O299-1)*3)&lt;U299*0.4,IF(AND(0.4*U299-VLOOKUP(B294,INDIRECT($F$8),8+(O299-1)*3)&lt;=5,0.3*S299-VLOOKUP(B294,INDIRECT($F$8),6+(O299-1)*3)&lt;=5),MAX(0.4*U299-VLOOKUP(B294,INDIRECT($F$8),8+(O299-1)*3),0.3*S299-VLOOKUP(B294,INDIRECT($F$8),6+(O299-1)*3)),11),IF(0.3*S299-VLOOKUP(B294,INDIRECT($F$8),6+(O299-1)*3)&lt;=5,0.3*S299-VLOOKUP(B294,INDIRECT($F$8),6+(O299-1)*3),11)),IF(VLOOKUP(B294,INDIRECT($F$8),8+(O299-1)*3)&lt;U299*0.4,IF(U299*0.4-VLOOKUP(B294,INDIRECT($F$8),8+(O299-1)*3)&lt;=5,U299*0.4-VLOOKUP(B294,INDIRECT($F$8),8+(O299-1)*3),11),0))))</f>
        <v>11</v>
      </c>
      <c r="X299" s="1" t="str">
        <f ca="1">IF(ISERROR(F294),"",IF(W299=0,"",_xlfn.TEXTJOIN("",FALSE," G+",W299," in ",A299)))</f>
        <v xml:space="preserve"> G+11 in AHT 002</v>
      </c>
    </row>
    <row r="300" spans="1:24" ht="11.5" customHeight="1" x14ac:dyDescent="0.2">
      <c r="A300" s="7" t="str">
        <f ca="1">IF(ISERROR(F294),"",VLOOKUP(C294,INDIRECT($F$8),6+(O300-1)*3,0))</f>
        <v>AHT 003</v>
      </c>
      <c r="B300" s="24" t="str">
        <f ca="1">IF(ISERROR(F294),"",VLOOKUP(D294,INDIRECT($F$8),6+(O300-1)*3,0))</f>
        <v>Introduction to Engineering Mathematics</v>
      </c>
      <c r="C300" s="24"/>
      <c r="D300" s="24"/>
      <c r="E300" s="24"/>
      <c r="F300" s="7">
        <f ca="1">IF(ISERROR(F294),"",VLOOKUP(E294,INDIRECT($F$8),6+(O300-1)*3,0))</f>
        <v>4</v>
      </c>
      <c r="G300" s="25" t="str">
        <f ca="1">IF(ISERROR(F294),"",_xlfn.TEXTJOIN("/",FALSE,P300,S300))</f>
        <v>4/100</v>
      </c>
      <c r="H300" s="25"/>
      <c r="I300" s="25" t="str">
        <f ca="1">IF(ISERROR(F294),"",_xlfn.TEXTJOIN("/",FALSE,Q300,T300))</f>
        <v>18/50</v>
      </c>
      <c r="J300" s="25"/>
      <c r="K300" s="25" t="str">
        <f ca="1">IF(ISERROR(F294),"",_xlfn.TEXTJOIN("/",FALSE,R300,U300))</f>
        <v>22/150</v>
      </c>
      <c r="L300" s="25"/>
      <c r="M300" s="7" t="str">
        <f ca="1">IF(ISERROR(F294),"",IF(ISTEXT(P300),IF(P300="A","Ab",IF(P300="D","Dt",IF(P300="UFM","UFM",IF(P300="NA","")))),IF(AND(ISBLANK(P300),ISBLANK(R300)),"",IF(P300&lt;0.3*S300,"F",IF(ISBLANK(R300),"",IF(ISTEXT(R300),R300,IF(R300&gt;=0.95*U300,"O",IF(R300&gt;=0.9*U300,"A+",IF(R300&gt;=0.85*U300,"A",IF(R300&gt;=0.8*U300,"B+",IF(R300&gt;=0.75*U300,"B",IF(R300&gt;=0.7*U300,"C+",IF(R300&gt;=0.65*U300,"C",IF(R300&gt;=0.6*U300,"D+",IF(R300&gt;=0.55*U300,"D",IF(R300&gt;=0.5*U300,"E+",IF(R300&gt;=0.45*U300,"E",IF(R300&gt;=0.4*U300,"P",IF(R300&lt;0.4*U300,"F",R300)))))))))))))))))))</f>
        <v>F</v>
      </c>
      <c r="N300" s="8">
        <f t="shared" ref="N300:N309" ca="1" si="27">INDEX($Z$2:$Z$17,MATCH(M300,$Y$2:$Y$17,0))</f>
        <v>0</v>
      </c>
      <c r="O300">
        <f>O299+1</f>
        <v>2</v>
      </c>
      <c r="P300" s="1">
        <f ca="1">IF(ISERROR(F294),"",IF(ISTEXT(VLOOKUP(B294,INDIRECT($F$8),6+(O300-1)*3)),(VLOOKUP(B294,INDIRECT($F$8),6+(O300-1)*3)),SUM(VLOOKUP(B294,INDIRECT($F$8),6+(O300-1)*3),IF(W312,W300,0))))</f>
        <v>4</v>
      </c>
      <c r="Q300" s="1">
        <f ca="1">IF(ISERROR(F294),"",VLOOKUP(B294,INDIRECT($F$8),7+(O300-1)*3))</f>
        <v>18</v>
      </c>
      <c r="R300" s="1">
        <f ca="1">IF(ISERROR(F294),"",SUM(P300:Q300))</f>
        <v>22</v>
      </c>
      <c r="S300" s="1">
        <f ca="1">IF(ISERROR(F294),"",VLOOKUP(A294,INDIRECT($F$8),6+(O300-1)*3))</f>
        <v>100</v>
      </c>
      <c r="T300" s="1">
        <f ca="1">IF(ISERROR(F294),"",VLOOKUP(A294,INDIRECT($F$8),7+(O300-1)*3))</f>
        <v>50</v>
      </c>
      <c r="U300" s="1">
        <f ca="1">IF(ISERROR(F294),"",VLOOKUP(A294,INDIRECT($F$8),8+(O300-1)*3))</f>
        <v>150</v>
      </c>
      <c r="V300" s="1" t="str">
        <f ca="1">IF(ISERROR(F294),"",IF(N300=0,A300,""))</f>
        <v>AHT 003</v>
      </c>
      <c r="W300" s="1">
        <f ca="1">IF(ISERROR(F294),"",IF(ISTEXT(VLOOKUP(B294,INDIRECT($F$8),6+(O300-1)*3)),11,IF(VLOOKUP(B294,INDIRECT($F$8),6+(O300-1)*3)&lt;S300*0.3,IF(VLOOKUP(B294,INDIRECT($F$8),8+(O300-1)*3)&lt;U300*0.4,IF(AND(0.4*U300-VLOOKUP(B294,INDIRECT($F$8),8+(O300-1)*3)&lt;=5,0.3*S300-VLOOKUP(B294,INDIRECT($F$8),6+(O300-1)*3)&lt;=5),MAX(0.4*U300-VLOOKUP(B294,INDIRECT($F$8),8+(O300-1)*3),0.3*S300-VLOOKUP(B294,INDIRECT($F$8),6+(O300-1)*3)),11),IF(0.3*S300-VLOOKUP(B294,INDIRECT($F$8),6+(O300-1)*3)&lt;=5,0.3*S300-VLOOKUP(B294,INDIRECT($F$8),6+(O300-1)*3),11)),IF(VLOOKUP(B294,INDIRECT($F$8),8+(O300-1)*3)&lt;U300*0.4,IF(U300*0.4-VLOOKUP(B294,INDIRECT($F$8),8+(O300-1)*3)&lt;=5,U300*0.4-VLOOKUP(B294,INDIRECT($F$8),8+(O300-1)*3),11),0))))</f>
        <v>11</v>
      </c>
      <c r="X300" s="1" t="str">
        <f ca="1">IF(ISERROR(F294),"",IF(W300=0,"",_xlfn.TEXTJOIN("",FALSE," G+",W300," in ",A300)))</f>
        <v xml:space="preserve"> G+11 in AHT 003</v>
      </c>
    </row>
    <row r="301" spans="1:24" ht="11.5" customHeight="1" x14ac:dyDescent="0.2">
      <c r="A301" s="7" t="str">
        <f ca="1">IF(ISERROR(F294),"",VLOOKUP(C294,INDIRECT($F$8),6+(O301-1)*3,0))</f>
        <v>ECT 001</v>
      </c>
      <c r="B301" s="24" t="str">
        <f ca="1">IF(ISERROR(F294),"",VLOOKUP(D294,INDIRECT($F$8),6+(O301-1)*3,0))</f>
        <v>Basic Electronics Engineering</v>
      </c>
      <c r="C301" s="24"/>
      <c r="D301" s="24"/>
      <c r="E301" s="24"/>
      <c r="F301" s="7">
        <f ca="1">IF(ISERROR(F294),"",VLOOKUP(E294,INDIRECT($F$8),6+(O301-1)*3,0))</f>
        <v>4</v>
      </c>
      <c r="G301" s="25" t="str">
        <f ca="1">IF(ISERROR(F294),"",_xlfn.TEXTJOIN("/",FALSE,P301,S301))</f>
        <v>20/100</v>
      </c>
      <c r="H301" s="25"/>
      <c r="I301" s="25" t="str">
        <f ca="1">IF(ISERROR(F294),"",_xlfn.TEXTJOIN("/",FALSE,Q301,T301))</f>
        <v>37/50</v>
      </c>
      <c r="J301" s="25"/>
      <c r="K301" s="25" t="str">
        <f ca="1">IF(ISERROR(F294),"",_xlfn.TEXTJOIN("/",FALSE,R301,U301))</f>
        <v>57/150</v>
      </c>
      <c r="L301" s="25"/>
      <c r="M301" s="7" t="str">
        <f ca="1">IF(ISERROR(F294),"",IF(ISTEXT(P301),IF(P301="A","Ab",IF(P301="D","Dt",IF(P301="UFM","UFM",IF(P301="NA","")))),IF(AND(ISBLANK(P301),ISBLANK(R301)),"",IF(P301&lt;0.3*S301,"F",IF(ISBLANK(R301),"",IF(ISTEXT(R301),R301,IF(R301&gt;=0.95*U301,"O",IF(R301&gt;=0.9*U301,"A+",IF(R301&gt;=0.85*U301,"A",IF(R301&gt;=0.8*U301,"B+",IF(R301&gt;=0.75*U301,"B",IF(R301&gt;=0.7*U301,"C+",IF(R301&gt;=0.65*U301,"C",IF(R301&gt;=0.6*U301,"D+",IF(R301&gt;=0.55*U301,"D",IF(R301&gt;=0.5*U301,"E+",IF(R301&gt;=0.45*U301,"E",IF(R301&gt;=0.4*U301,"P",IF(R301&lt;0.4*U301,"F",R301)))))))))))))))))))</f>
        <v>F</v>
      </c>
      <c r="N301" s="8">
        <f t="shared" ca="1" si="27"/>
        <v>0</v>
      </c>
      <c r="O301">
        <f>O300+1</f>
        <v>3</v>
      </c>
      <c r="P301" s="1">
        <f ca="1">IF(ISERROR(F294),"",IF(ISTEXT(VLOOKUP(B294,INDIRECT($F$8),6+(O301-1)*3)),(VLOOKUP(B294,INDIRECT($F$8),6+(O301-1)*3)),SUM(VLOOKUP(B294,INDIRECT($F$8),6+(O301-1)*3),IF(W312,W301,0))))</f>
        <v>20</v>
      </c>
      <c r="Q301" s="1">
        <f ca="1">IF(ISERROR(F294),"",VLOOKUP(B294,INDIRECT($F$8),7+(O301-1)*3))</f>
        <v>37</v>
      </c>
      <c r="R301" s="1">
        <f ca="1">IF(ISERROR(F294),"",SUM(P301:Q301))</f>
        <v>57</v>
      </c>
      <c r="S301" s="1">
        <f ca="1">IF(ISERROR(F294),"",VLOOKUP(A294,INDIRECT($F$8),6+(O301-1)*3))</f>
        <v>100</v>
      </c>
      <c r="T301" s="1">
        <f ca="1">IF(ISERROR(F294),"",VLOOKUP(A294,INDIRECT($F$8),7+(O301-1)*3))</f>
        <v>50</v>
      </c>
      <c r="U301" s="1">
        <f ca="1">IF(ISERROR(F294),"",VLOOKUP(A294,INDIRECT($F$8),8+(O301-1)*3))</f>
        <v>150</v>
      </c>
      <c r="V301" s="1" t="str">
        <f ca="1">IF(ISERROR(F294),"",IF(N301=0,A301,""))</f>
        <v>ECT 001</v>
      </c>
      <c r="W301" s="1">
        <f ca="1">IF(ISERROR(F294),"",IF(ISTEXT(VLOOKUP(B294,INDIRECT($F$8),6+(O301-1)*3)),11,IF(VLOOKUP(B294,INDIRECT($F$8),6+(O301-1)*3)&lt;S301*0.3,IF(VLOOKUP(B294,INDIRECT($F$8),8+(O301-1)*3)&lt;U301*0.4,IF(AND(0.4*U301-VLOOKUP(B294,INDIRECT($F$8),8+(O301-1)*3)&lt;=5,0.3*S301-VLOOKUP(B294,INDIRECT($F$8),6+(O301-1)*3)&lt;=5),MAX(0.4*U301-VLOOKUP(B294,INDIRECT($F$8),8+(O301-1)*3),0.3*S301-VLOOKUP(B294,INDIRECT($F$8),6+(O301-1)*3)),11),IF(0.3*S301-VLOOKUP(B294,INDIRECT($F$8),6+(O301-1)*3)&lt;=5,0.3*S301-VLOOKUP(B294,INDIRECT($F$8),6+(O301-1)*3),11)),IF(VLOOKUP(B294,INDIRECT($F$8),8+(O301-1)*3)&lt;U301*0.4,IF(U301*0.4-VLOOKUP(B294,INDIRECT($F$8),8+(O301-1)*3)&lt;=5,U301*0.4-VLOOKUP(B294,INDIRECT($F$8),8+(O301-1)*3),11),0))))</f>
        <v>11</v>
      </c>
      <c r="X301" s="1" t="str">
        <f ca="1">IF(ISERROR(F294),"",IF(W301=0,"",_xlfn.TEXTJOIN("",FALSE," G+",W301," in ",A301)))</f>
        <v xml:space="preserve"> G+11 in ECT 001</v>
      </c>
    </row>
    <row r="302" spans="1:24" ht="11.5" customHeight="1" x14ac:dyDescent="0.2">
      <c r="A302" s="7" t="str">
        <f ca="1">IF(ISERROR(F294),"",VLOOKUP(C294,INDIRECT($F$8),6+(O302-1)*3,0))</f>
        <v>MET 001</v>
      </c>
      <c r="B302" s="24" t="str">
        <f ca="1">IF(ISERROR(F294),"",VLOOKUP(D294,INDIRECT($F$8),6+(O302-1)*3,0))</f>
        <v>Basic Mechanical Engineering</v>
      </c>
      <c r="C302" s="24"/>
      <c r="D302" s="24"/>
      <c r="E302" s="24"/>
      <c r="F302" s="7">
        <f ca="1">IF(ISERROR(F294),"",VLOOKUP(E294,INDIRECT($F$8),6+(O302-1)*3,0))</f>
        <v>4</v>
      </c>
      <c r="G302" s="25" t="str">
        <f ca="1">IF(ISERROR(F294),"",_xlfn.TEXTJOIN("/",FALSE,P302,S302))</f>
        <v>33/100</v>
      </c>
      <c r="H302" s="25"/>
      <c r="I302" s="25" t="str">
        <f ca="1">IF(ISERROR(F294),"",_xlfn.TEXTJOIN("/",FALSE,Q302,T302))</f>
        <v>37/50</v>
      </c>
      <c r="J302" s="25"/>
      <c r="K302" s="25" t="str">
        <f ca="1">IF(ISERROR(F294),"",_xlfn.TEXTJOIN("/",FALSE,R302,U302))</f>
        <v>70/150</v>
      </c>
      <c r="L302" s="25"/>
      <c r="M302" s="7" t="str">
        <f ca="1">IF(ISERROR(F294),"",IF(ISTEXT(P302),IF(P302="A","Ab",IF(P302="D","Dt",IF(P302="UFM","UFM",IF(P302="NA","")))),IF(AND(ISBLANK(P302),ISBLANK(R302)),"",IF(P302&lt;0.3*S302,"F",IF(ISBLANK(R302),"",IF(ISTEXT(R302),R302,IF(R302&gt;=0.95*U302,"O",IF(R302&gt;=0.9*U302,"A+",IF(R302&gt;=0.85*U302,"A",IF(R302&gt;=0.8*U302,"B+",IF(R302&gt;=0.75*U302,"B",IF(R302&gt;=0.7*U302,"C+",IF(R302&gt;=0.65*U302,"C",IF(R302&gt;=0.6*U302,"D+",IF(R302&gt;=0.55*U302,"D",IF(R302&gt;=0.5*U302,"E+",IF(R302&gt;=0.45*U302,"E",IF(R302&gt;=0.4*U302,"P",IF(R302&lt;0.4*U302,"F",R302)))))))))))))))))))</f>
        <v>E</v>
      </c>
      <c r="N302" s="8">
        <f t="shared" ca="1" si="27"/>
        <v>5</v>
      </c>
      <c r="O302">
        <f>O301+1</f>
        <v>4</v>
      </c>
      <c r="P302" s="1">
        <f ca="1">IF(ISERROR(F294),"",IF(ISTEXT(VLOOKUP(B294,INDIRECT($F$8),6+(O302-1)*3)),(VLOOKUP(B294,INDIRECT($F$8),6+(O302-1)*3)),SUM(VLOOKUP(B294,INDIRECT($F$8),6+(O302-1)*3),IF(W312,W302,0))))</f>
        <v>33</v>
      </c>
      <c r="Q302" s="1">
        <f ca="1">IF(ISERROR(F294),"",VLOOKUP(B294,INDIRECT($F$8),7+(O302-1)*3))</f>
        <v>37</v>
      </c>
      <c r="R302" s="1">
        <f ca="1">IF(ISERROR(F294),"",SUM(P302:Q302))</f>
        <v>70</v>
      </c>
      <c r="S302" s="1">
        <f ca="1">IF(ISERROR(F294),"",VLOOKUP(A294,INDIRECT($F$8),6+(O302-1)*3))</f>
        <v>100</v>
      </c>
      <c r="T302" s="1">
        <f ca="1">IF(ISERROR(F294),"",VLOOKUP(A294,INDIRECT($F$8),7+(O302-1)*3))</f>
        <v>50</v>
      </c>
      <c r="U302" s="1">
        <f ca="1">IF(ISERROR(F294),"",VLOOKUP(A294,INDIRECT($F$8),8+(O302-1)*3))</f>
        <v>150</v>
      </c>
      <c r="V302" s="1" t="str">
        <f ca="1">IF(ISERROR(F294),"",IF(N302=0,A302,""))</f>
        <v/>
      </c>
      <c r="W302" s="1">
        <f ca="1">IF(ISERROR(F294),"",IF(ISTEXT(VLOOKUP(B294,INDIRECT($F$8),6+(O302-1)*3)),11,IF(VLOOKUP(B294,INDIRECT($F$8),6+(O302-1)*3)&lt;S302*0.3,IF(VLOOKUP(B294,INDIRECT($F$8),8+(O302-1)*3)&lt;U302*0.4,IF(AND(0.4*U302-VLOOKUP(B294,INDIRECT($F$8),8+(O302-1)*3)&lt;=5,0.3*S302-VLOOKUP(B294,INDIRECT($F$8),6+(O302-1)*3)&lt;=5),MAX(0.4*U302-VLOOKUP(B294,INDIRECT($F$8),8+(O302-1)*3),0.3*S302-VLOOKUP(B294,INDIRECT($F$8),6+(O302-1)*3)),11),IF(0.3*S302-VLOOKUP(B294,INDIRECT($F$8),6+(O302-1)*3)&lt;=5,0.3*S302-VLOOKUP(B294,INDIRECT($F$8),6+(O302-1)*3),11)),IF(VLOOKUP(B294,INDIRECT($F$8),8+(O302-1)*3)&lt;U302*0.4,IF(U302*0.4-VLOOKUP(B294,INDIRECT($F$8),8+(O302-1)*3)&lt;=5,U302*0.4-VLOOKUP(B294,INDIRECT($F$8),8+(O302-1)*3),11),0))))</f>
        <v>0</v>
      </c>
      <c r="X302" s="1" t="str">
        <f ca="1">IF(ISERROR(F294),"",IF(W302=0,"",_xlfn.TEXTJOIN("",FALSE," G+",W302," in ",A302)))</f>
        <v/>
      </c>
    </row>
    <row r="303" spans="1:24" ht="11.5" customHeight="1" x14ac:dyDescent="0.2">
      <c r="A303" s="7" t="str">
        <f ca="1">IF(ISERROR(F294),"",VLOOKUP(C294,INDIRECT($F$8),6+(O303-1)*3,0))</f>
        <v>BTT 001</v>
      </c>
      <c r="B303" s="24" t="str">
        <f ca="1">IF(ISERROR(F294),"",VLOOKUP(D294,INDIRECT($F$8),6+(O303-1)*3,0))</f>
        <v>Biology for Engineers (Bridge Course) ($)</v>
      </c>
      <c r="C303" s="24"/>
      <c r="D303" s="24"/>
      <c r="E303" s="24"/>
      <c r="F303" s="7">
        <f ca="1">IF(ISERROR(F294),"",VLOOKUP(E294,INDIRECT($F$8),6+(O303-1)*3,0))</f>
        <v>0</v>
      </c>
      <c r="G303" s="25" t="str">
        <f ca="1">IF(ISERROR(F294),"",_xlfn.TEXTJOIN("/",FALSE,P303,S303))</f>
        <v>46/100</v>
      </c>
      <c r="H303" s="25"/>
      <c r="I303" s="25" t="str">
        <f ca="1">IF(ISERROR(F294),"",_xlfn.TEXTJOIN("/",FALSE,Q303,T303))</f>
        <v>30/50</v>
      </c>
      <c r="J303" s="25"/>
      <c r="K303" s="25" t="str">
        <f ca="1">IF(ISERROR(F294),"",_xlfn.TEXTJOIN("/",FALSE,R303,U303))</f>
        <v>76/150</v>
      </c>
      <c r="L303" s="25"/>
      <c r="M303" s="7" t="str">
        <f ca="1">IF(ISERROR(F294),"",IF(ISTEXT(P303),IF(P303="A","Ab",IF(P303="D","Dt",IF(P303="UFM","UFM",IF(P303="NA","")))),IF(AND(ISBLANK(P303),ISBLANK(R303)),"",IF(P303&lt;0.3*S303,"F",IF(ISBLANK(R303),"",IF(ISTEXT(R303),R303,IF(R303&gt;=0.95*U303,"O",IF(R303&gt;=0.9*U303,"A+",IF(R303&gt;=0.85*U303,"A",IF(R303&gt;=0.8*U303,"B+",IF(R303&gt;=0.75*U303,"B",IF(R303&gt;=0.7*U303,"C+",IF(R303&gt;=0.65*U303,"C",IF(R303&gt;=0.6*U303,"D+",IF(R303&gt;=0.55*U303,"D",IF(R303&gt;=0.5*U303,"E+",IF(R303&gt;=0.45*U303,"E",IF(R303&gt;=0.4*U303,"P",IF(R303&lt;0.4*U303,"F",R303)))))))))))))))))))</f>
        <v>E+</v>
      </c>
      <c r="N303" s="8">
        <f t="shared" ca="1" si="27"/>
        <v>5.5</v>
      </c>
      <c r="O303" cm="1">
        <f t="array" aca="1" ref="O303" ca="1">IF(NOT(ISBLANK(INDIRECT("SEM_I!R"&amp;INT((ROW(O303)-17)/22)+6))),5,
IF(NOT(ISBLANK(INDIRECT("SEM_I!U"&amp;INT((ROW(O303)-17)/22)+6))),6))</f>
        <v>6</v>
      </c>
      <c r="P303" s="1">
        <f ca="1">IF(ISERROR(F294),"",IF(ISTEXT(VLOOKUP(B294,INDIRECT($F$8),6+(O303-1)*3)),(VLOOKUP(B294,INDIRECT($F$8),6+(O303-1)*3)),SUM(VLOOKUP(B294,INDIRECT($F$8),6+(O303-1)*3),IF(W312,W303,0))))</f>
        <v>46</v>
      </c>
      <c r="Q303" s="1">
        <f ca="1">IF(ISERROR(F294),"",VLOOKUP(B294,INDIRECT($F$8),7+(O303-1)*3))</f>
        <v>30</v>
      </c>
      <c r="R303" s="1">
        <f ca="1">IF(ISERROR(F294),"",SUM(P303:Q303))</f>
        <v>76</v>
      </c>
      <c r="S303" s="1">
        <f ca="1">IF(ISERROR(F294),"",VLOOKUP(A294,INDIRECT($F$8),6+(O303-1)*3))</f>
        <v>100</v>
      </c>
      <c r="T303" s="1">
        <f ca="1">IF(ISERROR(F294),"",VLOOKUP(A294,INDIRECT($F$8),7+(O303-1)*3))</f>
        <v>50</v>
      </c>
      <c r="U303" s="1">
        <f ca="1">IF(ISERROR(F294),"",VLOOKUP(A294,INDIRECT($F$8),8+(O303-1)*3))</f>
        <v>150</v>
      </c>
      <c r="V303" s="1" t="str">
        <f ca="1">IF(ISERROR(F294),"",IF(N303=0,A303,""))</f>
        <v/>
      </c>
      <c r="W303" s="1">
        <f ca="1">IF(ISERROR(F294),"",IF(ISTEXT(VLOOKUP(B294,INDIRECT($F$8),6+(O303-1)*3)),11,IF(VLOOKUP(B294,INDIRECT($F$8),6+(O303-1)*3)&lt;S303*0.3,IF(VLOOKUP(B294,INDIRECT($F$8),8+(O303-1)*3)&lt;U303*0.4,IF(AND(0.4*U303-VLOOKUP(B294,INDIRECT($F$8),8+(O303-1)*3)&lt;=5,0.3*S303-VLOOKUP(B294,INDIRECT($F$8),6+(O303-1)*3)&lt;=5),MAX(0.4*U303-VLOOKUP(B294,INDIRECT($F$8),8+(O303-1)*3),0.3*S303-VLOOKUP(B294,INDIRECT($F$8),6+(O303-1)*3)),11),IF(0.3*S303-VLOOKUP(B294,INDIRECT($F$8),6+(O303-1)*3)&lt;=5,0.3*S303-VLOOKUP(B294,INDIRECT($F$8),6+(O303-1)*3),11)),IF(VLOOKUP(B294,INDIRECT($F$8),8+(O303-1)*3)&lt;U303*0.4,IF(U303*0.4-VLOOKUP(B294,INDIRECT($F$8),8+(O303-1)*3)&lt;=5,U303*0.4-VLOOKUP(B294,INDIRECT($F$8),8+(O303-1)*3),11),0))))</f>
        <v>0</v>
      </c>
      <c r="X303" s="1" t="str">
        <f ca="1">IF(ISERROR(F294),"",IF(W303=0,"",_xlfn.TEXTJOIN("",FALSE," G+",W303," in ",A303)))</f>
        <v/>
      </c>
    </row>
    <row r="304" spans="1:24" ht="11.5" customHeight="1" x14ac:dyDescent="0.2">
      <c r="A304" s="7" t="str">
        <f ca="1">IF(ISERROR(F294),"",VLOOKUP(C294,INDIRECT($F$8),6+(O304-1)*3,0))</f>
        <v>AHP 002</v>
      </c>
      <c r="B304" s="24" t="str">
        <f ca="1">IF(ISERROR(F294),"",VLOOKUP(D294,INDIRECT($F$8),6+(O304-1)*3,0))</f>
        <v>Engineering Chemistry Lab</v>
      </c>
      <c r="C304" s="24"/>
      <c r="D304" s="24"/>
      <c r="E304" s="24"/>
      <c r="F304" s="7">
        <f ca="1">IF(ISERROR(F294),"",VLOOKUP(E294,INDIRECT($F$8),6+(O304-1)*3,0))</f>
        <v>1</v>
      </c>
      <c r="G304" s="25" t="str">
        <f ca="1">IF(ISERROR(F294),"",_xlfn.TEXTJOIN("/",FALSE,P304,S304))</f>
        <v>15/25</v>
      </c>
      <c r="H304" s="25"/>
      <c r="I304" s="25" t="str">
        <f ca="1">IF(ISERROR(F294),"",_xlfn.TEXTJOIN("/",FALSE,Q304,T304))</f>
        <v>13/25</v>
      </c>
      <c r="J304" s="25"/>
      <c r="K304" s="25" t="str">
        <f ca="1">IF(ISERROR(F294),"",_xlfn.TEXTJOIN("/",FALSE,R304,U304))</f>
        <v>28/50</v>
      </c>
      <c r="L304" s="25"/>
      <c r="M304" s="7" t="str">
        <f ca="1">IF(ISERROR(F294),"",IF(ISTEXT(P304),IF(P304="A","Ab",IF(P304="D","Dt",IF(P304="UFM","UFM",IF(P304="NA","")))),IF(AND(ISBLANK(P304),ISBLANK(R304)),"",IF(P304&lt;0.3*S304,"F",IF(ISBLANK(R304),"",IF(ISTEXT(R304),R304,IF(R304&gt;=0.95*U304,"O",IF(R304&gt;=0.9*U304,"A+",IF(R304&gt;=0.85*U304,"A",IF(R304&gt;=0.8*U304,"B+",IF(R304&gt;=0.75*U304,"B",IF(R304&gt;=0.7*U304,"C+",IF(R304&gt;=0.65*U304,"C",IF(R304&gt;=0.6*U304,"D+",IF(R304&gt;=0.55*U304,"D",IF(R304&gt;=0.5*U304,"E+",IF(R304&gt;=0.45*U304,"E",IF(R304&gt;=0.4*U304,"P",IF(R304&lt;0.4*U304,"F",R304)))))))))))))))))))</f>
        <v>D</v>
      </c>
      <c r="N304" s="8">
        <f t="shared" ca="1" si="27"/>
        <v>6</v>
      </c>
      <c r="O304">
        <f ca="1">IF(O303&gt;0,7)</f>
        <v>7</v>
      </c>
      <c r="P304" s="1">
        <f ca="1">IF(ISERROR(F294),"",IF(ISTEXT(VLOOKUP(B294,INDIRECT($F$8),6+(O304-1)*3)),(VLOOKUP(B294,INDIRECT($F$8),6+(O304-1)*3)),SUM(VLOOKUP(B294,INDIRECT($F$8),6+(O304-1)*3),IF(W312,W304,0))))</f>
        <v>15</v>
      </c>
      <c r="Q304" s="1">
        <f ca="1">IF(ISERROR(F294),"",VLOOKUP(B294,INDIRECT($F$8),7+(O304-1)*3))</f>
        <v>13</v>
      </c>
      <c r="R304" s="1">
        <f ca="1">IF(ISERROR(F294),"",SUM(P304:Q304))</f>
        <v>28</v>
      </c>
      <c r="S304" s="1">
        <f ca="1">IF(ISERROR(F294),"",VLOOKUP(A294,INDIRECT($F$8),6+(O304-1)*3))</f>
        <v>25</v>
      </c>
      <c r="T304" s="1">
        <f ca="1">IF(ISERROR(F294),"",VLOOKUP(A294,INDIRECT($F$8),7+(O304-1)*3))</f>
        <v>25</v>
      </c>
      <c r="U304" s="1">
        <f ca="1">IF(ISERROR(F294),"",VLOOKUP(A294,INDIRECT($F$8),8+(O304-1)*3))</f>
        <v>50</v>
      </c>
      <c r="V304" s="1" t="str">
        <f ca="1">IF(ISERROR(F294),"",IF(N304=0,A304,""))</f>
        <v/>
      </c>
      <c r="W304" s="1">
        <f ca="1">IF(ISERROR(F294),"",IF(ISTEXT(VLOOKUP(B294,INDIRECT($F$8),6+(O304-1)*3)),11,IF(VLOOKUP(B294,INDIRECT($F$8),6+(O304-1)*3)&lt;S304*0.3,IF(VLOOKUP(B294,INDIRECT($F$8),8+(O304-1)*3)&lt;U304*0.4,IF(AND(0.4*U304-VLOOKUP(B294,INDIRECT($F$8),8+(O304-1)*3)&lt;=5,0.3*S304-VLOOKUP(B294,INDIRECT($F$8),6+(O304-1)*3)&lt;=5),MAX(0.4*U304-VLOOKUP(B294,INDIRECT($F$8),8+(O304-1)*3),0.3*S304-VLOOKUP(B294,INDIRECT($F$8),6+(O304-1)*3)),11),IF(0.3*S304-VLOOKUP(B294,INDIRECT($F$8),6+(O304-1)*3)&lt;=5,0.3*S304-VLOOKUP(B294,INDIRECT($F$8),6+(O304-1)*3),11)),IF(VLOOKUP(B294,INDIRECT($F$8),8+(O304-1)*3)&lt;U304*0.4,IF(U304*0.4-VLOOKUP(B294,INDIRECT($F$8),8+(O304-1)*3)&lt;=5,U304*0.4-VLOOKUP(B294,INDIRECT($F$8),8+(O304-1)*3),11),0))))</f>
        <v>0</v>
      </c>
      <c r="X304" s="1" t="str">
        <f ca="1">IF(ISERROR(F294),"",IF(W304=0,"",_xlfn.TEXTJOIN("",FALSE," G+",W304," in ",A304)))</f>
        <v/>
      </c>
    </row>
    <row r="305" spans="1:24" ht="11.5" customHeight="1" x14ac:dyDescent="0.2">
      <c r="A305" s="7" t="str">
        <f ca="1">IF(ISERROR(F294),"",VLOOKUP(C294,INDIRECT($F$8),6+(O305-1)*3,0))</f>
        <v>ECP 001</v>
      </c>
      <c r="B305" s="24" t="str">
        <f ca="1">IF(ISERROR(F294),"",VLOOKUP(D294,INDIRECT($F$8),6+(O305-1)*3,0))</f>
        <v>Basic Electronics Engineering Lab</v>
      </c>
      <c r="C305" s="24"/>
      <c r="D305" s="24"/>
      <c r="E305" s="24"/>
      <c r="F305" s="7">
        <f ca="1">IF(ISERROR(F294),"",VLOOKUP(E294,INDIRECT($F$8),6+(O305-1)*3,0))</f>
        <v>1</v>
      </c>
      <c r="G305" s="25" t="str">
        <f ca="1">IF(ISERROR(F294),"",_xlfn.TEXTJOIN("/",FALSE,P305,S305))</f>
        <v>16/25</v>
      </c>
      <c r="H305" s="25"/>
      <c r="I305" s="25" t="str">
        <f ca="1">IF(ISERROR(F294),"",_xlfn.TEXTJOIN("/",FALSE,Q305,T305))</f>
        <v>18/25</v>
      </c>
      <c r="J305" s="25"/>
      <c r="K305" s="25" t="str">
        <f ca="1">IF(ISERROR(F294),"",_xlfn.TEXTJOIN("/",FALSE,R305,U305))</f>
        <v>34/50</v>
      </c>
      <c r="L305" s="25"/>
      <c r="M305" s="7" t="str">
        <f ca="1">IF(ISERROR(F294),"",IF(ISTEXT(P305),IF(P305="A","Ab",IF(P305="D","Dt",IF(P305="UFM","UFM",IF(P305="NA","")))),IF(AND(ISBLANK(P305),ISBLANK(R305)),"",IF(P305&lt;0.3*S305,"F",IF(ISBLANK(R305),"",IF(ISTEXT(R305),R305,IF(R305&gt;=0.95*U305,"O",IF(R305&gt;=0.9*U305,"A+",IF(R305&gt;=0.85*U305,"A",IF(R305&gt;=0.8*U305,"B+",IF(R305&gt;=0.75*U305,"B",IF(R305&gt;=0.7*U305,"C+",IF(R305&gt;=0.65*U305,"C",IF(R305&gt;=0.6*U305,"D+",IF(R305&gt;=0.55*U305,"D",IF(R305&gt;=0.5*U305,"E+",IF(R305&gt;=0.45*U305,"E",IF(R305&gt;=0.4*U305,"P",IF(R305&lt;0.4*U305,"F",R305)))))))))))))))))))</f>
        <v>C</v>
      </c>
      <c r="N305" s="8">
        <f t="shared" ca="1" si="27"/>
        <v>7</v>
      </c>
      <c r="O305">
        <f t="shared" ref="O305:O311" ca="1" si="28">O304+1</f>
        <v>8</v>
      </c>
      <c r="P305" s="1">
        <f ca="1">IF(ISERROR(F294),"",IF(ISTEXT(VLOOKUP(B294,INDIRECT($F$8),6+(O305-1)*3)),(VLOOKUP(B294,INDIRECT($F$8),6+(O305-1)*3)),SUM(VLOOKUP(B294,INDIRECT($F$8),6+(O305-1)*3),IF(W312,W305,0))))</f>
        <v>16</v>
      </c>
      <c r="Q305" s="1">
        <f ca="1">IF(ISERROR(F294),"",VLOOKUP(B294,INDIRECT($F$8),7+(O305-1)*3))</f>
        <v>18</v>
      </c>
      <c r="R305" s="1">
        <f ca="1">IF(ISERROR(F294),"",SUM(P305:Q305))</f>
        <v>34</v>
      </c>
      <c r="S305" s="1">
        <f ca="1">IF(ISERROR(F294),"",VLOOKUP(A294,INDIRECT($F$8),6+(O305-1)*3))</f>
        <v>25</v>
      </c>
      <c r="T305" s="1">
        <f ca="1">IF(ISERROR(F294),"",VLOOKUP(A294,INDIRECT($F$8),7+(O305-1)*3))</f>
        <v>25</v>
      </c>
      <c r="U305" s="1">
        <f ca="1">IF(ISERROR(F294),"",VLOOKUP(A294,INDIRECT($F$8),8+(O305-1)*3))</f>
        <v>50</v>
      </c>
      <c r="V305" s="1" t="str">
        <f ca="1">IF(ISERROR(F294),"",IF(N305=0,A305,""))</f>
        <v/>
      </c>
      <c r="W305" s="1">
        <f ca="1">IF(ISERROR(F294),"",IF(ISTEXT(VLOOKUP(B294,INDIRECT($F$8),6+(O305-1)*3)),11,IF(VLOOKUP(B294,INDIRECT($F$8),6+(O305-1)*3)&lt;S305*0.3,IF(VLOOKUP(B294,INDIRECT($F$8),8+(O305-1)*3)&lt;U305*0.4,IF(AND(0.4*U305-VLOOKUP(B294,INDIRECT($F$8),8+(O305-1)*3)&lt;=5,0.3*S305-VLOOKUP(B294,INDIRECT($F$8),6+(O305-1)*3)&lt;=5),MAX(0.4*U305-VLOOKUP(B294,INDIRECT($F$8),8+(O305-1)*3),0.3*S305-VLOOKUP(B294,INDIRECT($F$8),6+(O305-1)*3)),11),IF(0.3*S305-VLOOKUP(B294,INDIRECT($F$8),6+(O305-1)*3)&lt;=5,0.3*S305-VLOOKUP(B294,INDIRECT($F$8),6+(O305-1)*3),11)),IF(VLOOKUP(B294,INDIRECT($F$8),8+(O305-1)*3)&lt;U305*0.4,IF(U305*0.4-VLOOKUP(B294,INDIRECT($F$8),8+(O305-1)*3)&lt;=5,U305*0.4-VLOOKUP(B294,INDIRECT($F$8),8+(O305-1)*3),11),0))))</f>
        <v>0</v>
      </c>
      <c r="X305" s="1" t="str">
        <f ca="1">IF(ISERROR(F294),"",IF(W305=0,"",_xlfn.TEXTJOIN("",FALSE," G+",W305," in ",A305)))</f>
        <v/>
      </c>
    </row>
    <row r="306" spans="1:24" ht="11.5" customHeight="1" x14ac:dyDescent="0.2">
      <c r="A306" s="7" t="str">
        <f ca="1">IF(ISERROR(F294),"",VLOOKUP(C294,INDIRECT($F$8),6+(O306-1)*3,0))</f>
        <v>MEP 001</v>
      </c>
      <c r="B306" s="24" t="str">
        <f ca="1">IF(ISERROR(F294),"",VLOOKUP(D294,INDIRECT($F$8),6+(O306-1)*3,0))</f>
        <v>Basic Mechanical Engineering Lab</v>
      </c>
      <c r="C306" s="24"/>
      <c r="D306" s="24"/>
      <c r="E306" s="24"/>
      <c r="F306" s="7">
        <f ca="1">IF(ISERROR(F294),"",VLOOKUP(E294,INDIRECT($F$8),6+(O306-1)*3,0))</f>
        <v>1</v>
      </c>
      <c r="G306" s="25" t="str">
        <f ca="1">IF(ISERROR(F294),"",_xlfn.TEXTJOIN("/",FALSE,P306,S306))</f>
        <v>22/25</v>
      </c>
      <c r="H306" s="25"/>
      <c r="I306" s="25" t="str">
        <f ca="1">IF(ISERROR(F294),"",_xlfn.TEXTJOIN("/",FALSE,Q306,T306))</f>
        <v>21/25</v>
      </c>
      <c r="J306" s="25"/>
      <c r="K306" s="25" t="str">
        <f ca="1">IF(ISERROR(F294),"",_xlfn.TEXTJOIN("/",FALSE,R306,U306))</f>
        <v>43/50</v>
      </c>
      <c r="L306" s="25"/>
      <c r="M306" s="7" t="str">
        <f ca="1">IF(ISERROR(F294),"",IF(ISTEXT(P306),IF(P306="A","Ab",IF(P306="D","Dt",IF(P306="UFM","UFM",IF(P306="NA","")))),IF(AND(ISBLANK(P306),ISBLANK(R306)),"",IF(P306&lt;0.3*S306,"F",IF(ISBLANK(R306),"",IF(ISTEXT(R306),R306,IF(R306&gt;=0.95*U306,"O",IF(R306&gt;=0.9*U306,"A+",IF(R306&gt;=0.85*U306,"A",IF(R306&gt;=0.8*U306,"B+",IF(R306&gt;=0.75*U306,"B",IF(R306&gt;=0.7*U306,"C+",IF(R306&gt;=0.65*U306,"C",IF(R306&gt;=0.6*U306,"D+",IF(R306&gt;=0.55*U306,"D",IF(R306&gt;=0.5*U306,"E+",IF(R306&gt;=0.45*U306,"E",IF(R306&gt;=0.4*U306,"P",IF(R306&lt;0.4*U306,"F",R306)))))))))))))))))))</f>
        <v>A</v>
      </c>
      <c r="N306" s="8">
        <f t="shared" ca="1" si="27"/>
        <v>9</v>
      </c>
      <c r="O306">
        <f t="shared" ca="1" si="28"/>
        <v>9</v>
      </c>
      <c r="P306" s="1">
        <f ca="1">IF(ISERROR(F294),"",IF(ISTEXT(VLOOKUP(B294,INDIRECT($F$8),6+(O306-1)*3)),(VLOOKUP(B294,INDIRECT($F$8),6+(O306-1)*3)),SUM(VLOOKUP(B294,INDIRECT($F$8),6+(O306-1)*3),IF(W312,W306,0))))</f>
        <v>22</v>
      </c>
      <c r="Q306" s="1">
        <f ca="1">IF(ISERROR(F294),"",VLOOKUP(B294,INDIRECT($F$8),7+(O306-1)*3))</f>
        <v>21</v>
      </c>
      <c r="R306" s="1">
        <f ca="1">IF(ISERROR(F294),"",SUM(P306:Q306))</f>
        <v>43</v>
      </c>
      <c r="S306" s="1">
        <f ca="1">IF(ISERROR(F294),"",VLOOKUP(A294,INDIRECT($F$8),6+(O306-1)*3))</f>
        <v>25</v>
      </c>
      <c r="T306" s="1">
        <f ca="1">IF(ISERROR(F294),"",VLOOKUP(A294,INDIRECT($F$8),7+(O306-1)*3))</f>
        <v>25</v>
      </c>
      <c r="U306" s="1">
        <f ca="1">IF(ISERROR(F294),"",VLOOKUP(A294,INDIRECT($F$8),8+(O306-1)*3))</f>
        <v>50</v>
      </c>
      <c r="V306" s="1" t="str">
        <f ca="1">IF(ISERROR(F294),"",IF(N306=0,A306,""))</f>
        <v/>
      </c>
      <c r="W306" s="1">
        <f ca="1">IF(ISERROR(F294),"",IF(ISTEXT(VLOOKUP(B294,INDIRECT($F$8),6+(O306-1)*3)),11,IF(VLOOKUP(B294,INDIRECT($F$8),6+(O306-1)*3)&lt;S306*0.3,IF(VLOOKUP(B294,INDIRECT($F$8),8+(O306-1)*3)&lt;U306*0.4,IF(AND(0.4*U306-VLOOKUP(B294,INDIRECT($F$8),8+(O306-1)*3)&lt;=5,0.3*S306-VLOOKUP(B294,INDIRECT($F$8),6+(O306-1)*3)&lt;=5),MAX(0.4*U306-VLOOKUP(B294,INDIRECT($F$8),8+(O306-1)*3),0.3*S306-VLOOKUP(B294,INDIRECT($F$8),6+(O306-1)*3)),11),IF(0.3*S306-VLOOKUP(B294,INDIRECT($F$8),6+(O306-1)*3)&lt;=5,0.3*S306-VLOOKUP(B294,INDIRECT($F$8),6+(O306-1)*3),11)),IF(VLOOKUP(B294,INDIRECT($F$8),8+(O306-1)*3)&lt;U306*0.4,IF(U306*0.4-VLOOKUP(B294,INDIRECT($F$8),8+(O306-1)*3)&lt;=5,U306*0.4-VLOOKUP(B294,INDIRECT($F$8),8+(O306-1)*3),11),0))))</f>
        <v>0</v>
      </c>
      <c r="X306" s="1" t="str">
        <f ca="1">IF(ISERROR(F294),"",IF(W306=0,"",_xlfn.TEXTJOIN("",FALSE," G+",W306," in ",A306)))</f>
        <v/>
      </c>
    </row>
    <row r="307" spans="1:24" ht="11.5" customHeight="1" x14ac:dyDescent="0.2">
      <c r="A307" s="7" t="str">
        <f ca="1">IF(ISERROR(F294),"",VLOOKUP(C294,INDIRECT($F$8),6+(O307-1)*3,0))</f>
        <v>MEP 003</v>
      </c>
      <c r="B307" s="24" t="str">
        <f ca="1">IF(ISERROR(F294),"",VLOOKUP(D294,INDIRECT($F$8),6+(O307-1)*3-Z307,0))</f>
        <v>Workshop Practices Lab</v>
      </c>
      <c r="C307" s="24"/>
      <c r="D307" s="24"/>
      <c r="E307" s="24"/>
      <c r="F307" s="7">
        <f ca="1">IF(ISERROR(F294),"",VLOOKUP(E294,INDIRECT($F$8),6+(O307-1)*3,0))</f>
        <v>2</v>
      </c>
      <c r="G307" s="25" t="str">
        <f ca="1">IF(ISERROR(F294),"",_xlfn.TEXTJOIN("/",FALSE,P307,S307))</f>
        <v>40/50</v>
      </c>
      <c r="H307" s="25"/>
      <c r="I307" s="25" t="str">
        <f ca="1">IF(ISERROR(F294),"",_xlfn.TEXTJOIN("/",FALSE,Q307,T307))</f>
        <v>38/50</v>
      </c>
      <c r="J307" s="25"/>
      <c r="K307" s="25" t="str">
        <f ca="1">IF(ISERROR(F294),"",_xlfn.TEXTJOIN("/",FALSE,R307,U307))</f>
        <v>78/100</v>
      </c>
      <c r="L307" s="25"/>
      <c r="M307" s="7" t="str">
        <f ca="1">IF(ISERROR(F294)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B</v>
      </c>
      <c r="N307" s="8">
        <f t="shared" ca="1" si="27"/>
        <v>8</v>
      </c>
      <c r="O307">
        <f t="shared" ca="1" si="28"/>
        <v>10</v>
      </c>
      <c r="P307" s="1">
        <f ca="1">IF(ISERROR(F294),"",IF(ISTEXT(VLOOKUP(B294,INDIRECT($F$8),6+(O307-1)*3)),(VLOOKUP(B294,INDIRECT($F$8),6+(O307-1)*3)),SUM(VLOOKUP(B294,INDIRECT($F$8),6+(O307-1)*3),IF(W312,W307,0))))</f>
        <v>40</v>
      </c>
      <c r="Q307" s="1">
        <f ca="1">IF(ISERROR(F294),"",VLOOKUP(B294,INDIRECT($F$8),7+(O307-1)*3))</f>
        <v>38</v>
      </c>
      <c r="R307" s="1">
        <f ca="1">IF(ISERROR(F294),"",SUM(P307:Q307))</f>
        <v>78</v>
      </c>
      <c r="S307" s="1">
        <f ca="1">IF(ISERROR(F294),"",VLOOKUP(A294,INDIRECT($F$8),6+(O307-1)*3))</f>
        <v>50</v>
      </c>
      <c r="T307" s="1">
        <f ca="1">IF(ISERROR(F294),"",VLOOKUP(A294,INDIRECT($F$8),7+(O307-1)*3))</f>
        <v>50</v>
      </c>
      <c r="U307" s="1">
        <f ca="1">IF(ISERROR(F294),"",VLOOKUP(A294,INDIRECT($F$8),8+(O307-1)*3))</f>
        <v>100</v>
      </c>
      <c r="V307" s="1" t="str">
        <f ca="1">IF(ISERROR(F294),"",IF(N307=0,A307,""))</f>
        <v/>
      </c>
      <c r="W307" s="1">
        <f ca="1">IF(ISERROR(F294),"",IF(ISTEXT(VLOOKUP(B294,INDIRECT($F$8),6+(O307-1)*3)),11,IF(VLOOKUP(B294,INDIRECT($F$8),6+(O307-1)*3)&lt;S307*0.3,IF(VLOOKUP(B294,INDIRECT($F$8),8+(O307-1)*3)&lt;U307*0.4,IF(AND(0.4*U307-VLOOKUP(B294,INDIRECT($F$8),8+(O307-1)*3)&lt;=5,0.3*S307-VLOOKUP(B294,INDIRECT($F$8),6+(O307-1)*3)&lt;=5),MAX(0.4*U307-VLOOKUP(B294,INDIRECT($F$8),8+(O307-1)*3),0.3*S307-VLOOKUP(B294,INDIRECT($F$8),6+(O307-1)*3)),11),IF(0.3*S307-VLOOKUP(B294,INDIRECT($F$8),6+(O307-1)*3)&lt;=5,0.3*S307-VLOOKUP(B294,INDIRECT($F$8),6+(O307-1)*3),11)),IF(VLOOKUP(B294,INDIRECT($F$8),8+(O307-1)*3)&lt;U307*0.4,IF(U307*0.4-VLOOKUP(B294,INDIRECT($F$8),8+(O307-1)*3)&lt;=5,U307*0.4-VLOOKUP(B294,INDIRECT($F$8),8+(O307-1)*3),11),0))))</f>
        <v>0</v>
      </c>
      <c r="X307" s="1" t="str">
        <f ca="1">IF(ISERROR(F294),"",IF(W307=0,"",_xlfn.TEXTJOIN("",FALSE," G+",W307," in ",A307)))</f>
        <v/>
      </c>
    </row>
    <row r="308" spans="1:24" ht="11.5" customHeight="1" x14ac:dyDescent="0.2">
      <c r="A308" s="7" t="str">
        <f ca="1">IF(ISERROR(F294),"",VLOOKUP(C294,INDIRECT($F$8),6+(O308-1)*3,0))</f>
        <v>AHP 004</v>
      </c>
      <c r="B308" s="24" t="str">
        <f ca="1">IF(ISERROR(F294),"",VLOOKUP(D294,INDIRECT($F$8),6+(O308-1)*3-Z308,0))</f>
        <v>Emerging Technologies in Engineering Lab</v>
      </c>
      <c r="C308" s="24"/>
      <c r="D308" s="24"/>
      <c r="E308" s="24"/>
      <c r="F308" s="7">
        <f ca="1">IF(ISERROR(F294),"",VLOOKUP(E294,INDIRECT($F$8),6+(O308-1)*3,0))</f>
        <v>1</v>
      </c>
      <c r="G308" s="25" t="str">
        <f ca="1">IF(ISERROR(F294),"",_xlfn.TEXTJOIN("/",FALSE,P308,S308))</f>
        <v>23/25</v>
      </c>
      <c r="H308" s="25"/>
      <c r="I308" s="25" t="str">
        <f ca="1">IF(ISERROR(F294),"",_xlfn.TEXTJOIN("/",FALSE,Q308,T308))</f>
        <v>21/25</v>
      </c>
      <c r="J308" s="25"/>
      <c r="K308" s="25" t="str">
        <f ca="1">IF(ISERROR(F294),"",_xlfn.TEXTJOIN("/",FALSE,R308,U308))</f>
        <v>44/50</v>
      </c>
      <c r="L308" s="25"/>
      <c r="M308" s="7" t="str">
        <f ca="1">IF(ISERROR(F294)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A</v>
      </c>
      <c r="N308" s="8">
        <f t="shared" ca="1" si="27"/>
        <v>9</v>
      </c>
      <c r="O308">
        <f t="shared" ca="1" si="28"/>
        <v>11</v>
      </c>
      <c r="P308" s="1">
        <f ca="1">IF(ISERROR(F294),"",IF(ISTEXT(VLOOKUP(B294,INDIRECT($F$8),6+(O308-1)*3)),(VLOOKUP(B294,INDIRECT($F$8),6+(O308-1)*3)),SUM(VLOOKUP(B294,INDIRECT($F$8),6+(O308-1)*3),IF(W312,W308,0))))</f>
        <v>23</v>
      </c>
      <c r="Q308" s="1">
        <f ca="1">IF(ISERROR(F294),"",VLOOKUP(B294,INDIRECT($F$8),7+(O308-1)*3))</f>
        <v>21</v>
      </c>
      <c r="R308" s="1">
        <f ca="1">IF(ISERROR(F294),"",SUM(P308:Q308))</f>
        <v>44</v>
      </c>
      <c r="S308" s="1">
        <f ca="1">IF(ISERROR(F294),"",VLOOKUP(A294,INDIRECT($F$8),6+(O308-1)*3))</f>
        <v>25</v>
      </c>
      <c r="T308" s="1">
        <f ca="1">IF(ISERROR(F294),"",VLOOKUP(A294,INDIRECT($F$8),7+(O308-1)*3))</f>
        <v>25</v>
      </c>
      <c r="U308" s="1">
        <f ca="1">IF(ISERROR(F294),"",VLOOKUP(A294,INDIRECT($F$8),8+(O308-1)*3))</f>
        <v>50</v>
      </c>
      <c r="V308" s="1" t="str">
        <f ca="1">IF(ISERROR(F294),"",IF(N308=0,A308,""))</f>
        <v/>
      </c>
      <c r="W308" s="1">
        <f ca="1">IF(ISERROR(F294),"",IF(ISTEXT(VLOOKUP(B294,INDIRECT($F$8),6+(O308-1)*3)),11,IF(VLOOKUP(B294,INDIRECT($F$8),6+(O308-1)*3)&lt;S308*0.3,IF(VLOOKUP(B294,INDIRECT($F$8),8+(O308-1)*3)&lt;U308*0.4,IF(AND(0.4*U308-VLOOKUP(B294,INDIRECT($F$8),8+(O308-1)*3)&lt;=5,0.3*S308-VLOOKUP(B294,INDIRECT($F$8),6+(O308-1)*3)&lt;=5),MAX(0.4*U308-VLOOKUP(B294,INDIRECT($F$8),8+(O308-1)*3),0.3*S308-VLOOKUP(B294,INDIRECT($F$8),6+(O308-1)*3)),11),IF(0.3*S308-VLOOKUP(B294,INDIRECT($F$8),6+(O308-1)*3)&lt;=5,0.3*S308-VLOOKUP(B294,INDIRECT($F$8),6+(O308-1)*3),11)),IF(VLOOKUP(B294,INDIRECT($F$8),8+(O308-1)*3)&lt;U308*0.4,IF(U308*0.4-VLOOKUP(B294,INDIRECT($F$8),8+(O308-1)*3)&lt;=5,U308*0.4-VLOOKUP(B294,INDIRECT($F$8),8+(O308-1)*3),11),0))))</f>
        <v>0</v>
      </c>
      <c r="X308" s="1" t="str">
        <f ca="1">IF(ISERROR(F294),"",IF(W308=0,"",_xlfn.TEXTJOIN("",FALSE," G+",W308," in ",A308)))</f>
        <v/>
      </c>
    </row>
    <row r="309" spans="1:24" ht="11.5" customHeight="1" x14ac:dyDescent="0.2">
      <c r="A309" s="7" t="str">
        <f ca="1">IF(ISERROR(F294),"",VLOOKUP(C294,INDIRECT($F$8),6+(O309-1)*3,0))</f>
        <v>CSP 002</v>
      </c>
      <c r="B309" s="24" t="str">
        <f ca="1">IF(ISERROR(F294),"",VLOOKUP(D294,INDIRECT($F$8),6+(O309-1)*3,0))</f>
        <v>Computer Applications and IOT</v>
      </c>
      <c r="C309" s="24"/>
      <c r="D309" s="24"/>
      <c r="E309" s="24"/>
      <c r="F309" s="7">
        <f ca="1">IF(ISERROR(F294),"",VLOOKUP(E294,INDIRECT($F$8),6+(O309-1)*3,0))</f>
        <v>1</v>
      </c>
      <c r="G309" s="25" t="str">
        <f ca="1">IF(ISERROR(F294),"",_xlfn.TEXTJOIN("/",FALSE,P309,S309))</f>
        <v>24/25</v>
      </c>
      <c r="H309" s="25"/>
      <c r="I309" s="25" t="str">
        <f ca="1">IF(ISERROR(F294),"",_xlfn.TEXTJOIN("/",FALSE,Q309,T309))</f>
        <v>24/25</v>
      </c>
      <c r="J309" s="25"/>
      <c r="K309" s="25" t="str">
        <f ca="1">IF(ISERROR(F294),"",_xlfn.TEXTJOIN("/",FALSE,R309,U309))</f>
        <v>48/50</v>
      </c>
      <c r="L309" s="25"/>
      <c r="M309" s="7" t="str">
        <f ca="1">IF(ISERROR(F294)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O</v>
      </c>
      <c r="N309" s="8">
        <f t="shared" ca="1" si="27"/>
        <v>10</v>
      </c>
      <c r="O309">
        <f t="shared" ca="1" si="28"/>
        <v>12</v>
      </c>
      <c r="P309" s="1">
        <f ca="1">IF(ISERROR(F294),"",IF(ISTEXT(VLOOKUP(B294,INDIRECT($F$8),6+(O309-1)*3)),(VLOOKUP(B294,INDIRECT($F$8),6+(O309-1)*3)),SUM(VLOOKUP(B294,INDIRECT($F$8),6+(O309-1)*3),IF(W312,W309,0))))</f>
        <v>24</v>
      </c>
      <c r="Q309" s="1">
        <f ca="1">IF(ISERROR(F294),"",VLOOKUP(B294,INDIRECT($F$8),7+(O309-1)*3))</f>
        <v>24</v>
      </c>
      <c r="R309" s="1">
        <f ca="1">IF(ISERROR(F294),"",SUM(P309:Q309))</f>
        <v>48</v>
      </c>
      <c r="S309" s="1">
        <f ca="1">IF(ISERROR(F294),"",VLOOKUP(A294,INDIRECT($F$8),6+(O309-1)*3))</f>
        <v>25</v>
      </c>
      <c r="T309" s="1">
        <f ca="1">IF(ISERROR(F294),"",VLOOKUP(A294,INDIRECT($F$8),7+(O309-1)*3))</f>
        <v>25</v>
      </c>
      <c r="U309" s="1">
        <f ca="1">IF(ISERROR(F294),"",VLOOKUP(A294,INDIRECT($F$8),8+(O309-1)*3))</f>
        <v>50</v>
      </c>
      <c r="V309" s="1" t="str">
        <f ca="1">IF(ISERROR(F294),"",IF(N309=0,A309,""))</f>
        <v/>
      </c>
      <c r="W309" s="1">
        <f ca="1">IF(ISERROR(F294),"",IF(ISTEXT(VLOOKUP(B294,INDIRECT($F$8),6+(O309-1)*3)),11,IF(VLOOKUP(B294,INDIRECT($F$8),6+(O309-1)*3)&lt;S309*0.3,IF(VLOOKUP(B294,INDIRECT($F$8),8+(O309-1)*3)&lt;U309*0.4,IF(AND(0.4*U309-VLOOKUP(B294,INDIRECT($F$8),8+(O309-1)*3)&lt;=5,0.3*S309-VLOOKUP(B294,INDIRECT($F$8),6+(O309-1)*3)&lt;=5),MAX(0.4*U309-VLOOKUP(B294,INDIRECT($F$8),8+(O309-1)*3),0.3*S309-VLOOKUP(B294,INDIRECT($F$8),6+(O309-1)*3)),11),IF(0.3*S309-VLOOKUP(B294,INDIRECT($F$8),6+(O309-1)*3)&lt;=5,0.3*S309-VLOOKUP(B294,INDIRECT($F$8),6+(O309-1)*3),11)),IF(VLOOKUP(B294,INDIRECT($F$8),8+(O309-1)*3)&lt;U309*0.4,IF(U309*0.4-VLOOKUP(B294,INDIRECT($F$8),8+(O309-1)*3)&lt;=5,U309*0.4-VLOOKUP(B294,INDIRECT($F$8),8+(O309-1)*3),11),0))))</f>
        <v>0</v>
      </c>
      <c r="X309" s="1" t="str">
        <f ca="1">IF(ISERROR(F294),"",IF(W309=0,"",_xlfn.TEXTJOIN("",FALSE," G+",W309," in ",A309)))</f>
        <v/>
      </c>
    </row>
    <row r="310" spans="1:24" ht="11.5" customHeight="1" x14ac:dyDescent="0.2">
      <c r="A310" s="7" t="str">
        <f ca="1">IF(ISERROR(F294),"",VLOOKUP(C294,INDIRECT($F$8),6+(O310-1)*3,0))</f>
        <v>AHP 006</v>
      </c>
      <c r="B310" s="24" t="str">
        <f ca="1">IF(ISERROR(F294),"",VLOOKUP(D294,INDIRECT($F$8),6+(O310-1)*3,0))</f>
        <v>English Language Lab ($)</v>
      </c>
      <c r="C310" s="24"/>
      <c r="D310" s="24"/>
      <c r="E310" s="24"/>
      <c r="F310" s="7">
        <f ca="1">IF(ISERROR(F294),"",VLOOKUP(E294,INDIRECT($F$8),6+(O310-1)*3,0))</f>
        <v>0</v>
      </c>
      <c r="G310" s="25" t="str">
        <f ca="1">IF(ISERROR(F294),"",_xlfn.TEXTJOIN("/",FALSE,P310,S310))</f>
        <v>14/25</v>
      </c>
      <c r="H310" s="25"/>
      <c r="I310" s="25" t="str">
        <f ca="1">IF(ISERROR(F294),"",_xlfn.TEXTJOIN("/",FALSE,Q310,T310))</f>
        <v>26/50</v>
      </c>
      <c r="J310" s="25"/>
      <c r="K310" s="25" t="str">
        <f ca="1">IF(ISERROR(F294),"",_xlfn.TEXTJOIN("/",FALSE,R310,U310))</f>
        <v>40/75</v>
      </c>
      <c r="L310" s="25"/>
      <c r="M310" s="7" t="str">
        <f ca="1">IF(ISERROR(F294)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E+</v>
      </c>
      <c r="N310" s="8">
        <f ca="1">INDEX($Z$2:$Z$17,MATCH(M310,$Y$2:$Y$17,0))</f>
        <v>5.5</v>
      </c>
      <c r="O310">
        <f t="shared" ca="1" si="28"/>
        <v>13</v>
      </c>
      <c r="P310" s="1">
        <f ca="1">IF(ISERROR(F294),"",IF(ISTEXT(VLOOKUP(B294,INDIRECT($F$8),6+(O310-1)*3)),(VLOOKUP(B294,INDIRECT($F$8),6+(O310-1)*3)),SUM(VLOOKUP(B294,INDIRECT($F$8),6+(O310-1)*3),IF(W312,W310,0))))</f>
        <v>14</v>
      </c>
      <c r="Q310" s="1">
        <f ca="1">IF(ISERROR(F294),"",VLOOKUP(B294,INDIRECT($F$8),7+(O310-1)*3))</f>
        <v>26</v>
      </c>
      <c r="R310" s="1">
        <f ca="1">IF(ISERROR(F294),"",SUM(P310:Q310))</f>
        <v>40</v>
      </c>
      <c r="S310" s="1">
        <f ca="1">IF(ISERROR(F294),"",VLOOKUP(A294,INDIRECT($F$8),6+(O310-1)*3))</f>
        <v>25</v>
      </c>
      <c r="T310" s="1">
        <f ca="1">IF(ISERROR(F294),"",VLOOKUP(A294,INDIRECT($F$8),7+(O310-1)*3))</f>
        <v>50</v>
      </c>
      <c r="U310" s="1">
        <f ca="1">IF(ISERROR(F294),"",VLOOKUP(A294,INDIRECT($F$8),8+(O310-1)*3))</f>
        <v>75</v>
      </c>
      <c r="V310" s="1"/>
      <c r="W310" s="1">
        <f ca="1">IF(ISERROR(F294),"",IF(ISTEXT(VLOOKUP(B294,INDIRECT($F$8),6+(O310-1)*3)),11,IF(VLOOKUP(B294,INDIRECT($F$8),6+(O310-1)*3)&lt;S310*0.3,IF(VLOOKUP(B294,INDIRECT($F$8),8+(O310-1)*3)&lt;U310*0.4,IF(AND(0.4*U310-VLOOKUP(B294,INDIRECT($F$8),8+(O310-1)*3)&lt;=5,0.3*S310-VLOOKUP(B294,INDIRECT($F$8),6+(O310-1)*3)&lt;=5),MAX(0.4*U310-VLOOKUP(B294,INDIRECT($F$8),8+(O310-1)*3),0.3*S310-VLOOKUP(B294,INDIRECT($F$8),6+(O310-1)*3)),11),IF(0.3*S310-VLOOKUP(B294,INDIRECT($F$8),6+(O310-1)*3)&lt;=5,0.3*S310-VLOOKUP(B294,INDIRECT($F$8),6+(O310-1)*3),11)),IF(VLOOKUP(B294,INDIRECT($F$8),8+(O310-1)*3)&lt;U310*0.4,IF(U310*0.4-VLOOKUP(B294,INDIRECT($F$8),8+(O310-1)*3)&lt;=5,U310*0.4-VLOOKUP(B294,INDIRECT($F$8),8+(O310-1)*3),11),0))))</f>
        <v>0</v>
      </c>
      <c r="X310" s="1" t="str">
        <f ca="1">IF(ISERROR(F294),"",IF(W310=0,"",_xlfn.TEXTJOIN("",FALSE," G+",W310," in ",A310)))</f>
        <v/>
      </c>
    </row>
    <row r="311" spans="1:24" ht="11.5" customHeight="1" x14ac:dyDescent="0.2">
      <c r="A311" s="7" t="str">
        <f ca="1">IF(ISERROR(F294),"",VLOOKUP(C294,INDIRECT($F$8),6+(O311-1)*3-Y311,0))</f>
        <v>GP 01</v>
      </c>
      <c r="B311" s="24" t="str">
        <f ca="1">IF(ISERROR(F294),"",VLOOKUP(D294,INDIRECT($F$8),6+(O311-1)*3-Z311,0))</f>
        <v>General Proficiency ($)</v>
      </c>
      <c r="C311" s="24"/>
      <c r="D311" s="24"/>
      <c r="E311" s="24"/>
      <c r="F311" s="7">
        <f ca="1">IF(ISERROR(F294),"",VLOOKUP(E294,INDIRECT($F$8),6+(O311-1)*3-AA311,0))</f>
        <v>0</v>
      </c>
      <c r="G311" s="25" t="str">
        <f ca="1">IF(ISERROR(F294),"","-")</f>
        <v>-</v>
      </c>
      <c r="H311" s="25"/>
      <c r="I311" s="25" t="str">
        <f ca="1">IF(ISERROR(F294),"",_xlfn.TEXTJOIN("/",FALSE,Q311,T311))</f>
        <v>47/50</v>
      </c>
      <c r="J311" s="25"/>
      <c r="K311" s="25" t="str">
        <f ca="1">IF(ISERROR(F294),"",_xlfn.TEXTJOIN("/",FALSE,R311,U311))</f>
        <v>47/50</v>
      </c>
      <c r="L311" s="25"/>
      <c r="M311" s="25" t="str">
        <f ca="1">IF(ISBLANK(R311),"",IF(ISTEXT(R311),R311,IF(R311&gt;=0.8*U311,"Excellent",IF(R311&gt;=0.6*U311,"Very Good",IF(R311&gt;=0.4*U311,"Good",IF(R311&gt;=0.2*U311,"Satisfactory","Average"))))))</f>
        <v>Excellent</v>
      </c>
      <c r="N311" s="25"/>
      <c r="O311">
        <f t="shared" ca="1" si="28"/>
        <v>14</v>
      </c>
      <c r="P311" s="1">
        <f ca="1">IF(ISERROR(F294),"",IF(ISTEXT(VLOOKUP(B\28,INDIRECT($F$8),6+(O311-1)*3)),(VLOOKUP(B294,INDIRECT($F$8),6+(O311-1)*3)),SUM(VLOOKUP(B294,INDIRECT($F$8),6+(O311-1)*3),IF(W312,W312,0))))</f>
        <v>0</v>
      </c>
      <c r="Q311" s="1">
        <f ca="1">IF(ISERROR(F294),"",VLOOKUP(B294,INDIRECT($F$8),7+(O311-1)*3))</f>
        <v>47</v>
      </c>
      <c r="R311" s="1">
        <f ca="1">IF(ISERROR(F294),"",SUM(P311:Q311))</f>
        <v>47</v>
      </c>
      <c r="S311" s="1">
        <f ca="1">IF(ISERROR(F294),"",VLOOKUP(A294,INDIRECT($F$8),6+(O311-1)*3))</f>
        <v>0</v>
      </c>
      <c r="T311" s="1">
        <f ca="1">IF(ISERROR(F294),"",VLOOKUP(A294,INDIRECT($F$8),7+(O311-1)*3))</f>
        <v>50</v>
      </c>
      <c r="U311" s="1">
        <f ca="1">IF(ISERROR(F294),"",VLOOKUP(A294,INDIRECT($F$8),8+(O311-1)*3))</f>
        <v>50</v>
      </c>
      <c r="V311" s="1"/>
      <c r="W311" s="1"/>
      <c r="X311" s="1" t="str">
        <f ca="1">IF(ISERROR(F294),"",IF(W311=0,"",_xlfn.TEXTJOIN("",FALSE," G+",W311," in ",A311)))</f>
        <v/>
      </c>
    </row>
    <row r="312" spans="1:24" ht="11.5" customHeight="1" x14ac:dyDescent="0.2">
      <c r="A312" s="26" t="str">
        <f ca="1">IF(ISERROR(F294),"",A290)</f>
        <v>Total Credits/ Marks/ Total Grade Points</v>
      </c>
      <c r="B312" s="26"/>
      <c r="C312" s="26"/>
      <c r="D312" s="26"/>
      <c r="E312" s="26"/>
      <c r="F312" s="10">
        <f ca="1">IF(ISERROR(F294),"",SUM(F299:F310))</f>
        <v>23</v>
      </c>
      <c r="G312" s="27" t="str">
        <f ca="1">IF(ISERROR(F294),"",_xlfn.TEXTJOIN("/",TRUE,SUMIF(F299:F311,"&gt;0",P299:P311),SUMIF(F299:F311,"&gt;0",S299:S311)))</f>
        <v>219/575</v>
      </c>
      <c r="H312" s="27"/>
      <c r="I312" s="27" t="str">
        <f ca="1">IF(ISERROR(F294),"",_xlfn.TEXTJOIN("/",TRUE,SUMIF(F299:F311,"&gt;0",Q299:Q311),SUMIF(F299:F311,"&gt;0",T299:T311)))</f>
        <v>252/375</v>
      </c>
      <c r="J312" s="27"/>
      <c r="K312" s="27" t="str">
        <f ca="1">IF(ISERROR(F294),"",_xlfn.TEXTJOIN("/",TRUE,SUMIF(F299:F311,"&gt;0",R299:R311),SUMIF(F299:F311,"&gt;0",U299:U311)))</f>
        <v>471/950</v>
      </c>
      <c r="L312" s="27"/>
      <c r="M312" s="26">
        <f ca="1">IF(ISERROR(F294),"",SUMPRODUCT(N299:N310,F299:F310))</f>
        <v>77</v>
      </c>
      <c r="N312" s="26"/>
      <c r="V312" s="1" t="str">
        <f ca="1">_xlfn.TEXTJOIN(", ",TRUE,V299:V311)</f>
        <v>AHT 002, AHT 003, ECT 001</v>
      </c>
      <c r="W312" t="b">
        <f ca="1">IF(SUM(W299:W311)&lt;=W298,TRUE,FALSE)</f>
        <v>0</v>
      </c>
      <c r="X312" s="1" t="str">
        <f ca="1">IF(ISERROR(F294),"",_xlfn.TEXTJOIN(",",TRUE,X299:X311))</f>
        <v xml:space="preserve"> G+11 in AHT 002, G+11 in AHT 003, G+11 in ECT 001</v>
      </c>
    </row>
    <row r="313" spans="1:24" ht="11.5" customHeight="1" x14ac:dyDescent="0.2">
      <c r="A313" s="26" t="str">
        <f ca="1">IF(ISERROR(F294),"",A291)</f>
        <v>Result:</v>
      </c>
      <c r="B313" s="28" t="str" cm="1">
        <f t="array" aca="1" ref="B313" ca="1">IF(SUM(COUNTIF(M299:M310,{"Ab","Dt"}))=12, "Not Promoted to IInd Semester", IF(V312="", "PASS", "CARRY OVER"))</f>
        <v>CARRY OVER</v>
      </c>
      <c r="C313" s="28"/>
      <c r="D313" s="26" t="str">
        <f ca="1">IF(ISERROR(F294),"",D291)</f>
        <v>Remark:</v>
      </c>
      <c r="E313" s="28" t="str">
        <f ca="1">IF(ISERROR(F294),"",IF(V312="",IF(X312="","",X312),_xlfn.TEXTJOIN(" ",TRUE,"BACK IN",V312)))</f>
        <v>BACK IN AHT 002, AHT 003, ECT 001</v>
      </c>
      <c r="F313" s="28"/>
      <c r="G313" s="26" t="str">
        <f ca="1">IF(ISERROR(F294),"",G291)</f>
        <v>SGPA:</v>
      </c>
      <c r="H313" s="29">
        <f ca="1">IF(ISERROR(F294),"",M312/F312)</f>
        <v>3.347826086956522</v>
      </c>
      <c r="I313" s="26" t="str">
        <f ca="1">IF(ISERROR(F294),"",I291)</f>
        <v>CGPA:</v>
      </c>
      <c r="J313" s="29">
        <f ca="1">IF(ISERROR(F294),"",VLOOKUP(B294,INDIRECT($F$8),12+(O311-1)*3,0))</f>
        <v>3.347826086956522</v>
      </c>
      <c r="K313" s="28" t="str">
        <f ca="1">IF(ISERROR(F294),"",K291)</f>
        <v>Earned Credits:</v>
      </c>
      <c r="L313" s="26">
        <f ca="1">IF(ISERROR(F294),"",SUMIF(N299:N310,"&gt;0",F299:F310))</f>
        <v>11</v>
      </c>
      <c r="M313" s="28" t="str">
        <f ca="1">IF(ISERROR(F294),"",M291)</f>
        <v>Cuml. Earned Credits:</v>
      </c>
      <c r="N313" s="26">
        <f ca="1">IF(ISERROR(F294),"",VLOOKUP(B294,INDIRECT($F$8),10+(O311-1)*3,0))</f>
        <v>11</v>
      </c>
    </row>
    <row r="314" spans="1:24" ht="11.5" customHeight="1" x14ac:dyDescent="0.2">
      <c r="A314" s="26"/>
      <c r="B314" s="28"/>
      <c r="C314" s="28"/>
      <c r="D314" s="26"/>
      <c r="E314" s="28"/>
      <c r="F314" s="28"/>
      <c r="G314" s="26"/>
      <c r="H314" s="29"/>
      <c r="I314" s="26"/>
      <c r="J314" s="29"/>
      <c r="K314" s="28"/>
      <c r="L314" s="26"/>
      <c r="M314" s="28"/>
      <c r="N314" s="26"/>
    </row>
    <row r="315" spans="1:24" ht="11.5" customHeight="1" x14ac:dyDescent="0.2">
      <c r="A315" s="26"/>
      <c r="B315" s="28"/>
      <c r="C315" s="28"/>
      <c r="D315" s="26"/>
      <c r="E315" s="28"/>
      <c r="F315" s="28"/>
      <c r="G315" s="26"/>
      <c r="H315" s="29"/>
      <c r="I315" s="26"/>
      <c r="J315" s="29"/>
      <c r="K315" s="28"/>
      <c r="L315" s="26"/>
      <c r="M315" s="28"/>
      <c r="N315" s="26"/>
    </row>
    <row r="316" spans="1:24" ht="11.5" customHeight="1" x14ac:dyDescent="0.2">
      <c r="A316" s="11" t="str">
        <f>A294</f>
        <v>MM</v>
      </c>
      <c r="B316" s="11">
        <f>B294+1</f>
        <v>15</v>
      </c>
      <c r="C316" s="11" t="str">
        <f>C294</f>
        <v>SC</v>
      </c>
      <c r="D316" s="11" t="str">
        <f>D294</f>
        <v>SN</v>
      </c>
      <c r="E316" s="11" t="str">
        <f>E294</f>
        <v>C</v>
      </c>
      <c r="F316" s="11" t="str">
        <f ca="1">VLOOKUP(B316,INDIRECT($F$8),4,0)</f>
        <v>LAVANYA JOSHI</v>
      </c>
    </row>
    <row r="317" spans="1:24" ht="11.5" customHeight="1" x14ac:dyDescent="0.2">
      <c r="A317" s="30" t="str">
        <f ca="1">IF(ISERROR(F316),"",A295)</f>
        <v>Name:</v>
      </c>
      <c r="B317" s="30" t="str">
        <f ca="1">IFERROR(VLOOKUP(B316,INDIRECT($F$8),4,0),"")</f>
        <v>LAVANYA JOSHI</v>
      </c>
      <c r="C317" s="30"/>
      <c r="D317" s="30" t="str">
        <f ca="1">IF(ISERROR(F316),"",D295)</f>
        <v>Father's Name:</v>
      </c>
      <c r="E317" s="30" t="str">
        <f ca="1">IFERROR(VLOOKUP(B316,INDIRECT($F$8),5,0),"")</f>
        <v>GREESH CHANDRA JOSHI</v>
      </c>
      <c r="F317" s="30"/>
      <c r="G317" s="30" t="str">
        <f ca="1">IF(ISERROR(F316),"",G295)</f>
        <v>University Roll No:</v>
      </c>
      <c r="H317" s="30"/>
      <c r="I317" s="31">
        <f ca="1">IFERROR(VLOOKUP(B316,INDIRECT($F$8),2,0),"")</f>
        <v>250090120016</v>
      </c>
      <c r="J317" s="31"/>
      <c r="K317" s="30" t="str">
        <f ca="1">IF(ISERROR(F316),"",K295)</f>
        <v>University Enrol. No:</v>
      </c>
      <c r="L317" s="30"/>
      <c r="M317" s="31" t="str">
        <f ca="1">IFERROR(VLOOKUP(B316,INDIRECT($F$8),3,0),"")</f>
        <v>UTU/2501103673</v>
      </c>
      <c r="N317" s="31"/>
    </row>
    <row r="318" spans="1:24" ht="11.5" customHeight="1" x14ac:dyDescent="0.2">
      <c r="A318" s="30"/>
      <c r="B318" s="30"/>
      <c r="C318" s="30"/>
      <c r="D318" s="30"/>
      <c r="E318" s="30"/>
      <c r="F318" s="30"/>
      <c r="G318" s="30"/>
      <c r="H318" s="30"/>
      <c r="I318" s="31"/>
      <c r="J318" s="31"/>
      <c r="K318" s="30"/>
      <c r="L318" s="30"/>
      <c r="M318" s="31"/>
      <c r="N318" s="31"/>
    </row>
    <row r="319" spans="1:24" ht="11.5" customHeight="1" x14ac:dyDescent="0.2">
      <c r="A319" s="28" t="str">
        <f ca="1">IF(ISERROR(F316),"",A297)</f>
        <v>Subject Code</v>
      </c>
      <c r="B319" s="28" t="str">
        <f ca="1">IF(ISERROR(F316),"",B297)</f>
        <v>Subject Name</v>
      </c>
      <c r="C319" s="28"/>
      <c r="D319" s="28"/>
      <c r="E319" s="28"/>
      <c r="F319" s="28" t="str">
        <f ca="1">IF(ISERROR(F316),"",F297)</f>
        <v>Credits</v>
      </c>
      <c r="G319" s="28" t="str">
        <f ca="1">IF(ISERROR(F316),"",G297)</f>
        <v>External Marks</v>
      </c>
      <c r="H319" s="28"/>
      <c r="I319" s="28" t="str">
        <f ca="1">IF(ISERROR(F316),"",I297)</f>
        <v>Sessional Marks</v>
      </c>
      <c r="J319" s="28"/>
      <c r="K319" s="28" t="str">
        <f ca="1">IF(ISERROR(F316),"",K297)</f>
        <v>Total Marks</v>
      </c>
      <c r="L319" s="28"/>
      <c r="M319" s="28" t="str">
        <f ca="1">IF(ISERROR(F316),"",M297)</f>
        <v>Grade</v>
      </c>
      <c r="N319" s="28" t="str">
        <f ca="1">IF(ISERROR(F316),"",N297)</f>
        <v>Grade Points</v>
      </c>
    </row>
    <row r="320" spans="1:24" ht="11.5" customHeight="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W320">
        <f ca="1">IF(ISNUMBER(MATCH($F$8,{"I","III","V","VII"},0)),10,10-INDEX(INDIRECT(_xlfn.TEXTJOIN("",TRUE,"SEM_",$G$8,"!",ADDRESS(6,4+$I$8*3+4),":",ADDRESS(5+$H$8,4+$I$8*3+4))),MATCH(INDIRECT(_xlfn.TEXTJOIN("",TRUE,"TC_",$F$8,"!",ADDRESS(ROW(I317),COLUMN(I317)))),INDIRECT(_xlfn.TEXTJOIN("",TRUE,"SEM_",$G$8,"!",ADDRESS(6,2),":",ADDRESS(5+$H$8,2))))))</f>
        <v>10</v>
      </c>
    </row>
    <row r="321" spans="1:24" ht="11.5" customHeight="1" x14ac:dyDescent="0.2">
      <c r="A321" s="7" t="str">
        <f ca="1">IF(ISERROR(F316),"",VLOOKUP(C316,INDIRECT($F$8),6+(O321-1)*3,0))</f>
        <v>AHT 002</v>
      </c>
      <c r="B321" s="24" t="str">
        <f ca="1">IF(ISERROR(F316),"",VLOOKUP(D316,INDIRECT($F$8),6+(O321-1)*3,0))</f>
        <v>Engineering Chemistry</v>
      </c>
      <c r="C321" s="24"/>
      <c r="D321" s="24"/>
      <c r="E321" s="24"/>
      <c r="F321" s="7">
        <f ca="1">IF(ISERROR(F316),"",VLOOKUP(E316,INDIRECT($F$8),6+(O321-1)*3,0))</f>
        <v>4</v>
      </c>
      <c r="G321" s="25" t="str">
        <f ca="1">IF(ISERROR(F316),"",_xlfn.TEXTJOIN("/",FALSE,P321,S321))</f>
        <v>30/100</v>
      </c>
      <c r="H321" s="25"/>
      <c r="I321" s="25" t="str">
        <f ca="1">IF(ISERROR(F316),"",_xlfn.TEXTJOIN("/",FALSE,Q321,T321))</f>
        <v>32/50</v>
      </c>
      <c r="J321" s="25"/>
      <c r="K321" s="25" t="str">
        <f ca="1">IF(ISERROR(F316),"",_xlfn.TEXTJOIN("/",FALSE,R321,U321))</f>
        <v>62/150</v>
      </c>
      <c r="L321" s="25"/>
      <c r="M321" s="7" t="str">
        <f ca="1">IF(ISERROR(F316),"",IF(ISTEXT(P321),IF(P321="A","Ab",IF(P321="D","Dt",IF(P321="UFM","UFM",IF(P321="NA","")))),IF(AND(ISBLANK(P321),ISBLANK(R321)),"",IF(P321&lt;0.3*S321,"F",IF(ISBLANK(R321),"",IF(ISTEXT(R321),R321,IF(R321&gt;=0.95*U321,"O",IF(R321&gt;=0.9*U321,"A+",IF(R321&gt;=0.85*U321,"A",IF(R321&gt;=0.8*U321,"B+",IF(R321&gt;=0.75*U321,"B",IF(R321&gt;=0.7*U321,"C+",IF(R321&gt;=0.65*U321,"C",IF(R321&gt;=0.6*U321,"D+",IF(R321&gt;=0.55*U321,"D",IF(R321&gt;=0.5*U321,"E+",IF(R321&gt;=0.45*U321,"E",IF(R321&gt;=0.4*U321,"P",IF(R321&lt;0.4*U321,"F",R321)))))))))))))))))))</f>
        <v>P</v>
      </c>
      <c r="N321" s="8">
        <f ca="1">INDEX($Z$2:$Z$17,MATCH(M321,$Y$2:$Y$17,0))</f>
        <v>4.5</v>
      </c>
      <c r="O321">
        <v>1</v>
      </c>
      <c r="P321" s="1">
        <f ca="1">IF(ISERROR(F316),"",IF(ISTEXT(VLOOKUP(B316,INDIRECT($F$8),6+(O321-1)*3)),(VLOOKUP(B316,INDIRECT($F$8),6+(O321-1)*3)),SUM(VLOOKUP(B316,INDIRECT($F$8),6+(O321-1)*3),IF(W334,W321,0))))</f>
        <v>30</v>
      </c>
      <c r="Q321" s="1">
        <f ca="1">IF(ISERROR(F316),"",VLOOKUP(B316,INDIRECT($F$8),7+(O321-1)*3))</f>
        <v>32</v>
      </c>
      <c r="R321" s="1">
        <f ca="1">IF(ISERROR(F316),"",SUM(P321:Q321))</f>
        <v>62</v>
      </c>
      <c r="S321" s="1">
        <f ca="1">IF(ISERROR(F316),"",VLOOKUP(A316,INDIRECT($F$8),6+(O321-1)*3))</f>
        <v>100</v>
      </c>
      <c r="T321" s="1">
        <f ca="1">IF(ISERROR(F316),"",VLOOKUP(A316,INDIRECT($F$8),7+(O321-1)*3))</f>
        <v>50</v>
      </c>
      <c r="U321" s="1">
        <f ca="1">IF(ISERROR(F316),"",VLOOKUP(A316,INDIRECT($F$8),8+(O321-1)*3))</f>
        <v>150</v>
      </c>
      <c r="V321" s="1" t="str">
        <f ca="1">IF(ISERROR(F316),"",IF(N321=0,A321,""))</f>
        <v/>
      </c>
      <c r="W321" s="1">
        <f ca="1">IF(ISERROR(F316),"",IF(ISTEXT(VLOOKUP(B316,INDIRECT($F$8),6+(O321-1)*3)),11,IF(VLOOKUP(B316,INDIRECT($F$8),6+(O321-1)*3)&lt;S321*0.3,IF(VLOOKUP(B316,INDIRECT($F$8),8+(O321-1)*3)&lt;U321*0.4,IF(AND(0.4*U321-VLOOKUP(B316,INDIRECT($F$8),8+(O321-1)*3)&lt;=5,0.3*S321-VLOOKUP(B316,INDIRECT($F$8),6+(O321-1)*3)&lt;=5),MAX(0.4*U321-VLOOKUP(B316,INDIRECT($F$8),8+(O321-1)*3),0.3*S321-VLOOKUP(B316,INDIRECT($F$8),6+(O321-1)*3)),11),IF(0.3*S321-VLOOKUP(B316,INDIRECT($F$8),6+(O321-1)*3)&lt;=5,0.3*S321-VLOOKUP(B316,INDIRECT($F$8),6+(O321-1)*3),11)),IF(VLOOKUP(B316,INDIRECT($F$8),8+(O321-1)*3)&lt;U321*0.4,IF(U321*0.4-VLOOKUP(B316,INDIRECT($F$8),8+(O321-1)*3)&lt;=5,U321*0.4-VLOOKUP(B316,INDIRECT($F$8),8+(O321-1)*3),11),0))))</f>
        <v>0</v>
      </c>
      <c r="X321" s="1" t="str">
        <f ca="1">IF(ISERROR(F316),"",IF(W321=0,"",_xlfn.TEXTJOIN("",FALSE," G+",W321," in ",A321)))</f>
        <v/>
      </c>
    </row>
    <row r="322" spans="1:24" ht="11.5" customHeight="1" x14ac:dyDescent="0.2">
      <c r="A322" s="7" t="str">
        <f ca="1">IF(ISERROR(F316),"",VLOOKUP(C316,INDIRECT($F$8),6+(O322-1)*3,0))</f>
        <v>AHT 003</v>
      </c>
      <c r="B322" s="24" t="str">
        <f ca="1">IF(ISERROR(F316),"",VLOOKUP(D316,INDIRECT($F$8),6+(O322-1)*3,0))</f>
        <v>Introduction to Engineering Mathematics</v>
      </c>
      <c r="C322" s="24"/>
      <c r="D322" s="24"/>
      <c r="E322" s="24"/>
      <c r="F322" s="7">
        <f ca="1">IF(ISERROR(F316),"",VLOOKUP(E316,INDIRECT($F$8),6+(O322-1)*3,0))</f>
        <v>4</v>
      </c>
      <c r="G322" s="25" t="str">
        <f ca="1">IF(ISERROR(F316),"",_xlfn.TEXTJOIN("/",FALSE,P322,S322))</f>
        <v>7/100</v>
      </c>
      <c r="H322" s="25"/>
      <c r="I322" s="25" t="str">
        <f ca="1">IF(ISERROR(F316),"",_xlfn.TEXTJOIN("/",FALSE,Q322,T322))</f>
        <v>21/50</v>
      </c>
      <c r="J322" s="25"/>
      <c r="K322" s="25" t="str">
        <f ca="1">IF(ISERROR(F316),"",_xlfn.TEXTJOIN("/",FALSE,R322,U322))</f>
        <v>28/150</v>
      </c>
      <c r="L322" s="25"/>
      <c r="M322" s="7" t="str">
        <f ca="1">IF(ISERROR(F316),"",IF(ISTEXT(P322),IF(P322="A","Ab",IF(P322="D","Dt",IF(P322="UFM","UFM",IF(P322="NA","")))),IF(AND(ISBLANK(P322),ISBLANK(R322)),"",IF(P322&lt;0.3*S322,"F",IF(ISBLANK(R322),"",IF(ISTEXT(R322),R322,IF(R322&gt;=0.95*U322,"O",IF(R322&gt;=0.9*U322,"A+",IF(R322&gt;=0.85*U322,"A",IF(R322&gt;=0.8*U322,"B+",IF(R322&gt;=0.75*U322,"B",IF(R322&gt;=0.7*U322,"C+",IF(R322&gt;=0.65*U322,"C",IF(R322&gt;=0.6*U322,"D+",IF(R322&gt;=0.55*U322,"D",IF(R322&gt;=0.5*U322,"E+",IF(R322&gt;=0.45*U322,"E",IF(R322&gt;=0.4*U322,"P",IF(R322&lt;0.4*U322,"F",R322)))))))))))))))))))</f>
        <v>F</v>
      </c>
      <c r="N322" s="8">
        <f t="shared" ref="N322:N331" ca="1" si="29">INDEX($Z$2:$Z$17,MATCH(M322,$Y$2:$Y$17,0))</f>
        <v>0</v>
      </c>
      <c r="O322">
        <f>O321+1</f>
        <v>2</v>
      </c>
      <c r="P322" s="1">
        <f ca="1">IF(ISERROR(F316),"",IF(ISTEXT(VLOOKUP(B316,INDIRECT($F$8),6+(O322-1)*3)),(VLOOKUP(B316,INDIRECT($F$8),6+(O322-1)*3)),SUM(VLOOKUP(B316,INDIRECT($F$8),6+(O322-1)*3),IF(W334,W322,0))))</f>
        <v>7</v>
      </c>
      <c r="Q322" s="1">
        <f ca="1">IF(ISERROR(F316),"",VLOOKUP(B316,INDIRECT($F$8),7+(O322-1)*3))</f>
        <v>21</v>
      </c>
      <c r="R322" s="1">
        <f ca="1">IF(ISERROR(F316),"",SUM(P322:Q322))</f>
        <v>28</v>
      </c>
      <c r="S322" s="1">
        <f ca="1">IF(ISERROR(F316),"",VLOOKUP(A316,INDIRECT($F$8),6+(O322-1)*3))</f>
        <v>100</v>
      </c>
      <c r="T322" s="1">
        <f ca="1">IF(ISERROR(F316),"",VLOOKUP(A316,INDIRECT($F$8),7+(O322-1)*3))</f>
        <v>50</v>
      </c>
      <c r="U322" s="1">
        <f ca="1">IF(ISERROR(F316),"",VLOOKUP(A316,INDIRECT($F$8),8+(O322-1)*3))</f>
        <v>150</v>
      </c>
      <c r="V322" s="1" t="str">
        <f ca="1">IF(ISERROR(F316),"",IF(N322=0,A322,""))</f>
        <v>AHT 003</v>
      </c>
      <c r="W322" s="1">
        <f ca="1">IF(ISERROR(F316),"",IF(ISTEXT(VLOOKUP(B316,INDIRECT($F$8),6+(O322-1)*3)),11,IF(VLOOKUP(B316,INDIRECT($F$8),6+(O322-1)*3)&lt;S322*0.3,IF(VLOOKUP(B316,INDIRECT($F$8),8+(O322-1)*3)&lt;U322*0.4,IF(AND(0.4*U322-VLOOKUP(B316,INDIRECT($F$8),8+(O322-1)*3)&lt;=5,0.3*S322-VLOOKUP(B316,INDIRECT($F$8),6+(O322-1)*3)&lt;=5),MAX(0.4*U322-VLOOKUP(B316,INDIRECT($F$8),8+(O322-1)*3),0.3*S322-VLOOKUP(B316,INDIRECT($F$8),6+(O322-1)*3)),11),IF(0.3*S322-VLOOKUP(B316,INDIRECT($F$8),6+(O322-1)*3)&lt;=5,0.3*S322-VLOOKUP(B316,INDIRECT($F$8),6+(O322-1)*3),11)),IF(VLOOKUP(B316,INDIRECT($F$8),8+(O322-1)*3)&lt;U322*0.4,IF(U322*0.4-VLOOKUP(B316,INDIRECT($F$8),8+(O322-1)*3)&lt;=5,U322*0.4-VLOOKUP(B316,INDIRECT($F$8),8+(O322-1)*3),11),0))))</f>
        <v>11</v>
      </c>
      <c r="X322" s="1" t="str">
        <f ca="1">IF(ISERROR(F316),"",IF(W322=0,"",_xlfn.TEXTJOIN("",FALSE," G+",W322," in ",A322)))</f>
        <v xml:space="preserve"> G+11 in AHT 003</v>
      </c>
    </row>
    <row r="323" spans="1:24" ht="11.5" customHeight="1" x14ac:dyDescent="0.2">
      <c r="A323" s="7" t="str">
        <f ca="1">IF(ISERROR(F316),"",VLOOKUP(C316,INDIRECT($F$8),6+(O323-1)*3,0))</f>
        <v>ECT 001</v>
      </c>
      <c r="B323" s="24" t="str">
        <f ca="1">IF(ISERROR(F316),"",VLOOKUP(D316,INDIRECT($F$8),6+(O323-1)*3,0))</f>
        <v>Basic Electronics Engineering</v>
      </c>
      <c r="C323" s="24"/>
      <c r="D323" s="24"/>
      <c r="E323" s="24"/>
      <c r="F323" s="7">
        <f ca="1">IF(ISERROR(F316),"",VLOOKUP(E316,INDIRECT($F$8),6+(O323-1)*3,0))</f>
        <v>4</v>
      </c>
      <c r="G323" s="25" t="str">
        <f ca="1">IF(ISERROR(F316),"",_xlfn.TEXTJOIN("/",FALSE,P323,S323))</f>
        <v>33/100</v>
      </c>
      <c r="H323" s="25"/>
      <c r="I323" s="25" t="str">
        <f ca="1">IF(ISERROR(F316),"",_xlfn.TEXTJOIN("/",FALSE,Q323,T323))</f>
        <v>38/50</v>
      </c>
      <c r="J323" s="25"/>
      <c r="K323" s="25" t="str">
        <f ca="1">IF(ISERROR(F316),"",_xlfn.TEXTJOIN("/",FALSE,R323,U323))</f>
        <v>71/150</v>
      </c>
      <c r="L323" s="25"/>
      <c r="M323" s="7" t="str">
        <f ca="1">IF(ISERROR(F316),"",IF(ISTEXT(P323),IF(P323="A","Ab",IF(P323="D","Dt",IF(P323="UFM","UFM",IF(P323="NA","")))),IF(AND(ISBLANK(P323),ISBLANK(R323)),"",IF(P323&lt;0.3*S323,"F",IF(ISBLANK(R323),"",IF(ISTEXT(R323),R323,IF(R323&gt;=0.95*U323,"O",IF(R323&gt;=0.9*U323,"A+",IF(R323&gt;=0.85*U323,"A",IF(R323&gt;=0.8*U323,"B+",IF(R323&gt;=0.75*U323,"B",IF(R323&gt;=0.7*U323,"C+",IF(R323&gt;=0.65*U323,"C",IF(R323&gt;=0.6*U323,"D+",IF(R323&gt;=0.55*U323,"D",IF(R323&gt;=0.5*U323,"E+",IF(R323&gt;=0.45*U323,"E",IF(R323&gt;=0.4*U323,"P",IF(R323&lt;0.4*U323,"F",R323)))))))))))))))))))</f>
        <v>E</v>
      </c>
      <c r="N323" s="8">
        <f t="shared" ca="1" si="29"/>
        <v>5</v>
      </c>
      <c r="O323">
        <f>O322+1</f>
        <v>3</v>
      </c>
      <c r="P323" s="1">
        <f ca="1">IF(ISERROR(F316),"",IF(ISTEXT(VLOOKUP(B316,INDIRECT($F$8),6+(O323-1)*3)),(VLOOKUP(B316,INDIRECT($F$8),6+(O323-1)*3)),SUM(VLOOKUP(B316,INDIRECT($F$8),6+(O323-1)*3),IF(W334,W323,0))))</f>
        <v>33</v>
      </c>
      <c r="Q323" s="1">
        <f ca="1">IF(ISERROR(F316),"",VLOOKUP(B316,INDIRECT($F$8),7+(O323-1)*3))</f>
        <v>38</v>
      </c>
      <c r="R323" s="1">
        <f ca="1">IF(ISERROR(F316),"",SUM(P323:Q323))</f>
        <v>71</v>
      </c>
      <c r="S323" s="1">
        <f ca="1">IF(ISERROR(F316),"",VLOOKUP(A316,INDIRECT($F$8),6+(O323-1)*3))</f>
        <v>100</v>
      </c>
      <c r="T323" s="1">
        <f ca="1">IF(ISERROR(F316),"",VLOOKUP(A316,INDIRECT($F$8),7+(O323-1)*3))</f>
        <v>50</v>
      </c>
      <c r="U323" s="1">
        <f ca="1">IF(ISERROR(F316),"",VLOOKUP(A316,INDIRECT($F$8),8+(O323-1)*3))</f>
        <v>150</v>
      </c>
      <c r="V323" s="1" t="str">
        <f ca="1">IF(ISERROR(F316),"",IF(N323=0,A323,""))</f>
        <v/>
      </c>
      <c r="W323" s="1">
        <f ca="1">IF(ISERROR(F316),"",IF(ISTEXT(VLOOKUP(B316,INDIRECT($F$8),6+(O323-1)*3)),11,IF(VLOOKUP(B316,INDIRECT($F$8),6+(O323-1)*3)&lt;S323*0.3,IF(VLOOKUP(B316,INDIRECT($F$8),8+(O323-1)*3)&lt;U323*0.4,IF(AND(0.4*U323-VLOOKUP(B316,INDIRECT($F$8),8+(O323-1)*3)&lt;=5,0.3*S323-VLOOKUP(B316,INDIRECT($F$8),6+(O323-1)*3)&lt;=5),MAX(0.4*U323-VLOOKUP(B316,INDIRECT($F$8),8+(O323-1)*3),0.3*S323-VLOOKUP(B316,INDIRECT($F$8),6+(O323-1)*3)),11),IF(0.3*S323-VLOOKUP(B316,INDIRECT($F$8),6+(O323-1)*3)&lt;=5,0.3*S323-VLOOKUP(B316,INDIRECT($F$8),6+(O323-1)*3),11)),IF(VLOOKUP(B316,INDIRECT($F$8),8+(O323-1)*3)&lt;U323*0.4,IF(U323*0.4-VLOOKUP(B316,INDIRECT($F$8),8+(O323-1)*3)&lt;=5,U323*0.4-VLOOKUP(B316,INDIRECT($F$8),8+(O323-1)*3),11),0))))</f>
        <v>0</v>
      </c>
      <c r="X323" s="1" t="str">
        <f ca="1">IF(ISERROR(F316),"",IF(W323=0,"",_xlfn.TEXTJOIN("",FALSE," G+",W323," in ",A323)))</f>
        <v/>
      </c>
    </row>
    <row r="324" spans="1:24" ht="11.5" customHeight="1" x14ac:dyDescent="0.2">
      <c r="A324" s="7" t="str">
        <f ca="1">IF(ISERROR(F316),"",VLOOKUP(C316,INDIRECT($F$8),6+(O324-1)*3,0))</f>
        <v>MET 001</v>
      </c>
      <c r="B324" s="24" t="str">
        <f ca="1">IF(ISERROR(F316),"",VLOOKUP(D316,INDIRECT($F$8),6+(O324-1)*3,0))</f>
        <v>Basic Mechanical Engineering</v>
      </c>
      <c r="C324" s="24"/>
      <c r="D324" s="24"/>
      <c r="E324" s="24"/>
      <c r="F324" s="7">
        <f ca="1">IF(ISERROR(F316),"",VLOOKUP(E316,INDIRECT($F$8),6+(O324-1)*3,0))</f>
        <v>4</v>
      </c>
      <c r="G324" s="25" t="str">
        <f ca="1">IF(ISERROR(F316),"",_xlfn.TEXTJOIN("/",FALSE,P324,S324))</f>
        <v>50/100</v>
      </c>
      <c r="H324" s="25"/>
      <c r="I324" s="25" t="str">
        <f ca="1">IF(ISERROR(F316),"",_xlfn.TEXTJOIN("/",FALSE,Q324,T324))</f>
        <v>37/50</v>
      </c>
      <c r="J324" s="25"/>
      <c r="K324" s="25" t="str">
        <f ca="1">IF(ISERROR(F316),"",_xlfn.TEXTJOIN("/",FALSE,R324,U324))</f>
        <v>87/150</v>
      </c>
      <c r="L324" s="25"/>
      <c r="M324" s="7" t="str">
        <f ca="1">IF(ISERROR(F316),"",IF(ISTEXT(P324),IF(P324="A","Ab",IF(P324="D","Dt",IF(P324="UFM","UFM",IF(P324="NA","")))),IF(AND(ISBLANK(P324),ISBLANK(R324)),"",IF(P324&lt;0.3*S324,"F",IF(ISBLANK(R324),"",IF(ISTEXT(R324),R324,IF(R324&gt;=0.95*U324,"O",IF(R324&gt;=0.9*U324,"A+",IF(R324&gt;=0.85*U324,"A",IF(R324&gt;=0.8*U324,"B+",IF(R324&gt;=0.75*U324,"B",IF(R324&gt;=0.7*U324,"C+",IF(R324&gt;=0.65*U324,"C",IF(R324&gt;=0.6*U324,"D+",IF(R324&gt;=0.55*U324,"D",IF(R324&gt;=0.5*U324,"E+",IF(R324&gt;=0.45*U324,"E",IF(R324&gt;=0.4*U324,"P",IF(R324&lt;0.4*U324,"F",R324)))))))))))))))))))</f>
        <v>D</v>
      </c>
      <c r="N324" s="8">
        <f t="shared" ca="1" si="29"/>
        <v>6</v>
      </c>
      <c r="O324">
        <f>O323+1</f>
        <v>4</v>
      </c>
      <c r="P324" s="1">
        <f ca="1">IF(ISERROR(F316),"",IF(ISTEXT(VLOOKUP(B316,INDIRECT($F$8),6+(O324-1)*3)),(VLOOKUP(B316,INDIRECT($F$8),6+(O324-1)*3)),SUM(VLOOKUP(B316,INDIRECT($F$8),6+(O324-1)*3),IF(W334,W324,0))))</f>
        <v>50</v>
      </c>
      <c r="Q324" s="1">
        <f ca="1">IF(ISERROR(F316),"",VLOOKUP(B316,INDIRECT($F$8),7+(O324-1)*3))</f>
        <v>37</v>
      </c>
      <c r="R324" s="1">
        <f ca="1">IF(ISERROR(F316),"",SUM(P324:Q324))</f>
        <v>87</v>
      </c>
      <c r="S324" s="1">
        <f ca="1">IF(ISERROR(F316),"",VLOOKUP(A316,INDIRECT($F$8),6+(O324-1)*3))</f>
        <v>100</v>
      </c>
      <c r="T324" s="1">
        <f ca="1">IF(ISERROR(F316),"",VLOOKUP(A316,INDIRECT($F$8),7+(O324-1)*3))</f>
        <v>50</v>
      </c>
      <c r="U324" s="1">
        <f ca="1">IF(ISERROR(F316),"",VLOOKUP(A316,INDIRECT($F$8),8+(O324-1)*3))</f>
        <v>150</v>
      </c>
      <c r="V324" s="1" t="str">
        <f ca="1">IF(ISERROR(F316),"",IF(N324=0,A324,""))</f>
        <v/>
      </c>
      <c r="W324" s="1">
        <f ca="1">IF(ISERROR(F316),"",IF(ISTEXT(VLOOKUP(B316,INDIRECT($F$8),6+(O324-1)*3)),11,IF(VLOOKUP(B316,INDIRECT($F$8),6+(O324-1)*3)&lt;S324*0.3,IF(VLOOKUP(B316,INDIRECT($F$8),8+(O324-1)*3)&lt;U324*0.4,IF(AND(0.4*U324-VLOOKUP(B316,INDIRECT($F$8),8+(O324-1)*3)&lt;=5,0.3*S324-VLOOKUP(B316,INDIRECT($F$8),6+(O324-1)*3)&lt;=5),MAX(0.4*U324-VLOOKUP(B316,INDIRECT($F$8),8+(O324-1)*3),0.3*S324-VLOOKUP(B316,INDIRECT($F$8),6+(O324-1)*3)),11),IF(0.3*S324-VLOOKUP(B316,INDIRECT($F$8),6+(O324-1)*3)&lt;=5,0.3*S324-VLOOKUP(B316,INDIRECT($F$8),6+(O324-1)*3),11)),IF(VLOOKUP(B316,INDIRECT($F$8),8+(O324-1)*3)&lt;U324*0.4,IF(U324*0.4-VLOOKUP(B316,INDIRECT($F$8),8+(O324-1)*3)&lt;=5,U324*0.4-VLOOKUP(B316,INDIRECT($F$8),8+(O324-1)*3),11),0))))</f>
        <v>0</v>
      </c>
      <c r="X324" s="1" t="str">
        <f ca="1">IF(ISERROR(F316),"",IF(W324=0,"",_xlfn.TEXTJOIN("",FALSE," G+",W324," in ",A324)))</f>
        <v/>
      </c>
    </row>
    <row r="325" spans="1:24" ht="11.5" customHeight="1" x14ac:dyDescent="0.2">
      <c r="A325" s="7" t="str">
        <f ca="1">IF(ISERROR(F316),"",VLOOKUP(C316,INDIRECT($F$8),6+(O325-1)*3,0))</f>
        <v>AHT 000</v>
      </c>
      <c r="B325" s="24" t="str">
        <f ca="1">IF(ISERROR(F316),"",VLOOKUP(D316,INDIRECT($F$8),6+(O325-1)*3,0))</f>
        <v>Basic Mathematics (Bridge Course) ($)</v>
      </c>
      <c r="C325" s="24"/>
      <c r="D325" s="24"/>
      <c r="E325" s="24"/>
      <c r="F325" s="7">
        <f ca="1">IF(ISERROR(F316),"",VLOOKUP(E316,INDIRECT($F$8),6+(O325-1)*3,0))</f>
        <v>0</v>
      </c>
      <c r="G325" s="25" t="str">
        <f ca="1">IF(ISERROR(F316),"",_xlfn.TEXTJOIN("/",FALSE,P325,S325))</f>
        <v>46/100</v>
      </c>
      <c r="H325" s="25"/>
      <c r="I325" s="25" t="str">
        <f ca="1">IF(ISERROR(F316),"",_xlfn.TEXTJOIN("/",FALSE,Q325,T325))</f>
        <v>31/50</v>
      </c>
      <c r="J325" s="25"/>
      <c r="K325" s="25" t="str">
        <f ca="1">IF(ISERROR(F316),"",_xlfn.TEXTJOIN("/",FALSE,R325,U325))</f>
        <v>77/150</v>
      </c>
      <c r="L325" s="25"/>
      <c r="M325" s="7" t="str">
        <f ca="1">IF(ISERROR(F316),"",IF(ISTEXT(P325),IF(P325="A","Ab",IF(P325="D","Dt",IF(P325="UFM","UFM",IF(P325="NA","")))),IF(AND(ISBLANK(P325),ISBLANK(R325)),"",IF(P325&lt;0.3*S325,"F",IF(ISBLANK(R325),"",IF(ISTEXT(R325),R325,IF(R325&gt;=0.95*U325,"O",IF(R325&gt;=0.9*U325,"A+",IF(R325&gt;=0.85*U325,"A",IF(R325&gt;=0.8*U325,"B+",IF(R325&gt;=0.75*U325,"B",IF(R325&gt;=0.7*U325,"C+",IF(R325&gt;=0.65*U325,"C",IF(R325&gt;=0.6*U325,"D+",IF(R325&gt;=0.55*U325,"D",IF(R325&gt;=0.5*U325,"E+",IF(R325&gt;=0.45*U325,"E",IF(R325&gt;=0.4*U325,"P",IF(R325&lt;0.4*U325,"F",R325)))))))))))))))))))</f>
        <v>E+</v>
      </c>
      <c r="N325" s="8">
        <f t="shared" ca="1" si="29"/>
        <v>5.5</v>
      </c>
      <c r="O325" cm="1">
        <f t="array" aca="1" ref="O325" ca="1">IF(NOT(ISBLANK(INDIRECT("SEM_I!R"&amp;INT((ROW(O325)-17)/22)+6))),5,
IF(NOT(ISBLANK(INDIRECT("SEM_I!U"&amp;INT((ROW(O325)-17)/22)+6))),6))</f>
        <v>5</v>
      </c>
      <c r="P325" s="1">
        <f ca="1">IF(ISERROR(F316),"",IF(ISTEXT(VLOOKUP(B316,INDIRECT($F$8),6+(O325-1)*3)),(VLOOKUP(B316,INDIRECT($F$8),6+(O325-1)*3)),SUM(VLOOKUP(B316,INDIRECT($F$8),6+(O325-1)*3),IF(W334,W325,0))))</f>
        <v>46</v>
      </c>
      <c r="Q325" s="1">
        <f ca="1">IF(ISERROR(F316),"",VLOOKUP(B316,INDIRECT($F$8),7+(O325-1)*3))</f>
        <v>31</v>
      </c>
      <c r="R325" s="1">
        <f ca="1">IF(ISERROR(F316),"",SUM(P325:Q325))</f>
        <v>77</v>
      </c>
      <c r="S325" s="1">
        <f ca="1">IF(ISERROR(F316),"",VLOOKUP(A316,INDIRECT($F$8),6+(O325-1)*3))</f>
        <v>100</v>
      </c>
      <c r="T325" s="1">
        <f ca="1">IF(ISERROR(F316),"",VLOOKUP(A316,INDIRECT($F$8),7+(O325-1)*3))</f>
        <v>50</v>
      </c>
      <c r="U325" s="1">
        <f ca="1">IF(ISERROR(F316),"",VLOOKUP(A316,INDIRECT($F$8),8+(O325-1)*3))</f>
        <v>150</v>
      </c>
      <c r="V325" s="1" t="str">
        <f ca="1">IF(ISERROR(F316),"",IF(N325=0,A325,""))</f>
        <v/>
      </c>
      <c r="W325" s="1">
        <f ca="1">IF(ISERROR(F316),"",IF(ISTEXT(VLOOKUP(B316,INDIRECT($F$8),6+(O325-1)*3)),11,IF(VLOOKUP(B316,INDIRECT($F$8),6+(O325-1)*3)&lt;S325*0.3,IF(VLOOKUP(B316,INDIRECT($F$8),8+(O325-1)*3)&lt;U325*0.4,IF(AND(0.4*U325-VLOOKUP(B316,INDIRECT($F$8),8+(O325-1)*3)&lt;=5,0.3*S325-VLOOKUP(B316,INDIRECT($F$8),6+(O325-1)*3)&lt;=5),MAX(0.4*U325-VLOOKUP(B316,INDIRECT($F$8),8+(O325-1)*3),0.3*S325-VLOOKUP(B316,INDIRECT($F$8),6+(O325-1)*3)),11),IF(0.3*S325-VLOOKUP(B316,INDIRECT($F$8),6+(O325-1)*3)&lt;=5,0.3*S325-VLOOKUP(B316,INDIRECT($F$8),6+(O325-1)*3),11)),IF(VLOOKUP(B316,INDIRECT($F$8),8+(O325-1)*3)&lt;U325*0.4,IF(U325*0.4-VLOOKUP(B316,INDIRECT($F$8),8+(O325-1)*3)&lt;=5,U325*0.4-VLOOKUP(B316,INDIRECT($F$8),8+(O325-1)*3),11),0))))</f>
        <v>0</v>
      </c>
      <c r="X325" s="1" t="str">
        <f ca="1">IF(ISERROR(F316),"",IF(W325=0,"",_xlfn.TEXTJOIN("",FALSE," G+",W325," in ",A325)))</f>
        <v/>
      </c>
    </row>
    <row r="326" spans="1:24" ht="11.5" customHeight="1" x14ac:dyDescent="0.2">
      <c r="A326" s="7" t="str">
        <f ca="1">IF(ISERROR(F316),"",VLOOKUP(C316,INDIRECT($F$8),6+(O326-1)*3,0))</f>
        <v>AHP 002</v>
      </c>
      <c r="B326" s="24" t="str">
        <f ca="1">IF(ISERROR(F316),"",VLOOKUP(D316,INDIRECT($F$8),6+(O326-1)*3,0))</f>
        <v>Engineering Chemistry Lab</v>
      </c>
      <c r="C326" s="24"/>
      <c r="D326" s="24"/>
      <c r="E326" s="24"/>
      <c r="F326" s="7">
        <f ca="1">IF(ISERROR(F316),"",VLOOKUP(E316,INDIRECT($F$8),6+(O326-1)*3,0))</f>
        <v>1</v>
      </c>
      <c r="G326" s="25" t="str">
        <f ca="1">IF(ISERROR(F316),"",_xlfn.TEXTJOIN("/",FALSE,P326,S326))</f>
        <v>15/25</v>
      </c>
      <c r="H326" s="25"/>
      <c r="I326" s="25" t="str">
        <f ca="1">IF(ISERROR(F316),"",_xlfn.TEXTJOIN("/",FALSE,Q326,T326))</f>
        <v>15/25</v>
      </c>
      <c r="J326" s="25"/>
      <c r="K326" s="25" t="str">
        <f ca="1">IF(ISERROR(F316),"",_xlfn.TEXTJOIN("/",FALSE,R326,U326))</f>
        <v>30/50</v>
      </c>
      <c r="L326" s="25"/>
      <c r="M326" s="7" t="str">
        <f ca="1">IF(ISERROR(F316),"",IF(ISTEXT(P326),IF(P326="A","Ab",IF(P326="D","Dt",IF(P326="UFM","UFM",IF(P326="NA","")))),IF(AND(ISBLANK(P326),ISBLANK(R326)),"",IF(P326&lt;0.3*S326,"F",IF(ISBLANK(R326),"",IF(ISTEXT(R326),R326,IF(R326&gt;=0.95*U326,"O",IF(R326&gt;=0.9*U326,"A+",IF(R326&gt;=0.85*U326,"A",IF(R326&gt;=0.8*U326,"B+",IF(R326&gt;=0.75*U326,"B",IF(R326&gt;=0.7*U326,"C+",IF(R326&gt;=0.65*U326,"C",IF(R326&gt;=0.6*U326,"D+",IF(R326&gt;=0.55*U326,"D",IF(R326&gt;=0.5*U326,"E+",IF(R326&gt;=0.45*U326,"E",IF(R326&gt;=0.4*U326,"P",IF(R326&lt;0.4*U326,"F",R326)))))))))))))))))))</f>
        <v>D+</v>
      </c>
      <c r="N326" s="8">
        <f t="shared" ca="1" si="29"/>
        <v>6.5</v>
      </c>
      <c r="O326">
        <f ca="1">IF(O325&gt;0,7)</f>
        <v>7</v>
      </c>
      <c r="P326" s="1">
        <f ca="1">IF(ISERROR(F316),"",IF(ISTEXT(VLOOKUP(B316,INDIRECT($F$8),6+(O326-1)*3)),(VLOOKUP(B316,INDIRECT($F$8),6+(O326-1)*3)),SUM(VLOOKUP(B316,INDIRECT($F$8),6+(O326-1)*3),IF(W334,W326,0))))</f>
        <v>15</v>
      </c>
      <c r="Q326" s="1">
        <f ca="1">IF(ISERROR(F316),"",VLOOKUP(B316,INDIRECT($F$8),7+(O326-1)*3))</f>
        <v>15</v>
      </c>
      <c r="R326" s="1">
        <f ca="1">IF(ISERROR(F316),"",SUM(P326:Q326))</f>
        <v>30</v>
      </c>
      <c r="S326" s="1">
        <f ca="1">IF(ISERROR(F316),"",VLOOKUP(A316,INDIRECT($F$8),6+(O326-1)*3))</f>
        <v>25</v>
      </c>
      <c r="T326" s="1">
        <f ca="1">IF(ISERROR(F316),"",VLOOKUP(A316,INDIRECT($F$8),7+(O326-1)*3))</f>
        <v>25</v>
      </c>
      <c r="U326" s="1">
        <f ca="1">IF(ISERROR(F316),"",VLOOKUP(A316,INDIRECT($F$8),8+(O326-1)*3))</f>
        <v>50</v>
      </c>
      <c r="V326" s="1" t="str">
        <f ca="1">IF(ISERROR(F316),"",IF(N326=0,A326,""))</f>
        <v/>
      </c>
      <c r="W326" s="1">
        <f ca="1">IF(ISERROR(F316),"",IF(ISTEXT(VLOOKUP(B316,INDIRECT($F$8),6+(O326-1)*3)),11,IF(VLOOKUP(B316,INDIRECT($F$8),6+(O326-1)*3)&lt;S326*0.3,IF(VLOOKUP(B316,INDIRECT($F$8),8+(O326-1)*3)&lt;U326*0.4,IF(AND(0.4*U326-VLOOKUP(B316,INDIRECT($F$8),8+(O326-1)*3)&lt;=5,0.3*S326-VLOOKUP(B316,INDIRECT($F$8),6+(O326-1)*3)&lt;=5),MAX(0.4*U326-VLOOKUP(B316,INDIRECT($F$8),8+(O326-1)*3),0.3*S326-VLOOKUP(B316,INDIRECT($F$8),6+(O326-1)*3)),11),IF(0.3*S326-VLOOKUP(B316,INDIRECT($F$8),6+(O326-1)*3)&lt;=5,0.3*S326-VLOOKUP(B316,INDIRECT($F$8),6+(O326-1)*3),11)),IF(VLOOKUP(B316,INDIRECT($F$8),8+(O326-1)*3)&lt;U326*0.4,IF(U326*0.4-VLOOKUP(B316,INDIRECT($F$8),8+(O326-1)*3)&lt;=5,U326*0.4-VLOOKUP(B316,INDIRECT($F$8),8+(O326-1)*3),11),0))))</f>
        <v>0</v>
      </c>
      <c r="X326" s="1" t="str">
        <f ca="1">IF(ISERROR(F316),"",IF(W326=0,"",_xlfn.TEXTJOIN("",FALSE," G+",W326," in ",A326)))</f>
        <v/>
      </c>
    </row>
    <row r="327" spans="1:24" ht="11.5" customHeight="1" x14ac:dyDescent="0.2">
      <c r="A327" s="7" t="str">
        <f ca="1">IF(ISERROR(F316),"",VLOOKUP(C316,INDIRECT($F$8),6+(O327-1)*3,0))</f>
        <v>ECP 001</v>
      </c>
      <c r="B327" s="24" t="str">
        <f ca="1">IF(ISERROR(F316),"",VLOOKUP(D316,INDIRECT($F$8),6+(O327-1)*3,0))</f>
        <v>Basic Electronics Engineering Lab</v>
      </c>
      <c r="C327" s="24"/>
      <c r="D327" s="24"/>
      <c r="E327" s="24"/>
      <c r="F327" s="7">
        <f ca="1">IF(ISERROR(F316),"",VLOOKUP(E316,INDIRECT($F$8),6+(O327-1)*3,0))</f>
        <v>1</v>
      </c>
      <c r="G327" s="25" t="str">
        <f ca="1">IF(ISERROR(F316),"",_xlfn.TEXTJOIN("/",FALSE,P327,S327))</f>
        <v>19/25</v>
      </c>
      <c r="H327" s="25"/>
      <c r="I327" s="25" t="str">
        <f ca="1">IF(ISERROR(F316),"",_xlfn.TEXTJOIN("/",FALSE,Q327,T327))</f>
        <v>23/25</v>
      </c>
      <c r="J327" s="25"/>
      <c r="K327" s="25" t="str">
        <f ca="1">IF(ISERROR(F316),"",_xlfn.TEXTJOIN("/",FALSE,R327,U327))</f>
        <v>42/50</v>
      </c>
      <c r="L327" s="25"/>
      <c r="M327" s="7" t="str">
        <f ca="1">IF(ISERROR(F316),"",IF(ISTEXT(P327),IF(P327="A","Ab",IF(P327="D","Dt",IF(P327="UFM","UFM",IF(P327="NA","")))),IF(AND(ISBLANK(P327),ISBLANK(R327)),"",IF(P327&lt;0.3*S327,"F",IF(ISBLANK(R327),"",IF(ISTEXT(R327),R327,IF(R327&gt;=0.95*U327,"O",IF(R327&gt;=0.9*U327,"A+",IF(R327&gt;=0.85*U327,"A",IF(R327&gt;=0.8*U327,"B+",IF(R327&gt;=0.75*U327,"B",IF(R327&gt;=0.7*U327,"C+",IF(R327&gt;=0.65*U327,"C",IF(R327&gt;=0.6*U327,"D+",IF(R327&gt;=0.55*U327,"D",IF(R327&gt;=0.5*U327,"E+",IF(R327&gt;=0.45*U327,"E",IF(R327&gt;=0.4*U327,"P",IF(R327&lt;0.4*U327,"F",R327)))))))))))))))))))</f>
        <v>B+</v>
      </c>
      <c r="N327" s="8">
        <f t="shared" ca="1" si="29"/>
        <v>8.5</v>
      </c>
      <c r="O327">
        <f t="shared" ref="O327:O333" ca="1" si="30">O326+1</f>
        <v>8</v>
      </c>
      <c r="P327" s="1">
        <f ca="1">IF(ISERROR(F316),"",IF(ISTEXT(VLOOKUP(B316,INDIRECT($F$8),6+(O327-1)*3)),(VLOOKUP(B316,INDIRECT($F$8),6+(O327-1)*3)),SUM(VLOOKUP(B316,INDIRECT($F$8),6+(O327-1)*3),IF(W334,W327,0))))</f>
        <v>19</v>
      </c>
      <c r="Q327" s="1">
        <f ca="1">IF(ISERROR(F316),"",VLOOKUP(B316,INDIRECT($F$8),7+(O327-1)*3))</f>
        <v>23</v>
      </c>
      <c r="R327" s="1">
        <f ca="1">IF(ISERROR(F316),"",SUM(P327:Q327))</f>
        <v>42</v>
      </c>
      <c r="S327" s="1">
        <f ca="1">IF(ISERROR(F316),"",VLOOKUP(A316,INDIRECT($F$8),6+(O327-1)*3))</f>
        <v>25</v>
      </c>
      <c r="T327" s="1">
        <f ca="1">IF(ISERROR(F316),"",VLOOKUP(A316,INDIRECT($F$8),7+(O327-1)*3))</f>
        <v>25</v>
      </c>
      <c r="U327" s="1">
        <f ca="1">IF(ISERROR(F316),"",VLOOKUP(A316,INDIRECT($F$8),8+(O327-1)*3))</f>
        <v>50</v>
      </c>
      <c r="V327" s="1" t="str">
        <f ca="1">IF(ISERROR(F316),"",IF(N327=0,A327,""))</f>
        <v/>
      </c>
      <c r="W327" s="1">
        <f ca="1">IF(ISERROR(F316),"",IF(ISTEXT(VLOOKUP(B316,INDIRECT($F$8),6+(O327-1)*3)),11,IF(VLOOKUP(B316,INDIRECT($F$8),6+(O327-1)*3)&lt;S327*0.3,IF(VLOOKUP(B316,INDIRECT($F$8),8+(O327-1)*3)&lt;U327*0.4,IF(AND(0.4*U327-VLOOKUP(B316,INDIRECT($F$8),8+(O327-1)*3)&lt;=5,0.3*S327-VLOOKUP(B316,INDIRECT($F$8),6+(O327-1)*3)&lt;=5),MAX(0.4*U327-VLOOKUP(B316,INDIRECT($F$8),8+(O327-1)*3),0.3*S327-VLOOKUP(B316,INDIRECT($F$8),6+(O327-1)*3)),11),IF(0.3*S327-VLOOKUP(B316,INDIRECT($F$8),6+(O327-1)*3)&lt;=5,0.3*S327-VLOOKUP(B316,INDIRECT($F$8),6+(O327-1)*3),11)),IF(VLOOKUP(B316,INDIRECT($F$8),8+(O327-1)*3)&lt;U327*0.4,IF(U327*0.4-VLOOKUP(B316,INDIRECT($F$8),8+(O327-1)*3)&lt;=5,U327*0.4-VLOOKUP(B316,INDIRECT($F$8),8+(O327-1)*3),11),0))))</f>
        <v>0</v>
      </c>
      <c r="X327" s="1" t="str">
        <f ca="1">IF(ISERROR(F316),"",IF(W327=0,"",_xlfn.TEXTJOIN("",FALSE," G+",W327," in ",A327)))</f>
        <v/>
      </c>
    </row>
    <row r="328" spans="1:24" ht="11.5" customHeight="1" x14ac:dyDescent="0.2">
      <c r="A328" s="7" t="str">
        <f ca="1">IF(ISERROR(F316),"",VLOOKUP(C316,INDIRECT($F$8),6+(O328-1)*3,0))</f>
        <v>MEP 001</v>
      </c>
      <c r="B328" s="24" t="str">
        <f ca="1">IF(ISERROR(F316),"",VLOOKUP(D316,INDIRECT($F$8),6+(O328-1)*3,0))</f>
        <v>Basic Mechanical Engineering Lab</v>
      </c>
      <c r="C328" s="24"/>
      <c r="D328" s="24"/>
      <c r="E328" s="24"/>
      <c r="F328" s="7">
        <f ca="1">IF(ISERROR(F316),"",VLOOKUP(E316,INDIRECT($F$8),6+(O328-1)*3,0))</f>
        <v>1</v>
      </c>
      <c r="G328" s="25" t="str">
        <f ca="1">IF(ISERROR(F316),"",_xlfn.TEXTJOIN("/",FALSE,P328,S328))</f>
        <v>23/25</v>
      </c>
      <c r="H328" s="25"/>
      <c r="I328" s="25" t="str">
        <f ca="1">IF(ISERROR(F316),"",_xlfn.TEXTJOIN("/",FALSE,Q328,T328))</f>
        <v>21/25</v>
      </c>
      <c r="J328" s="25"/>
      <c r="K328" s="25" t="str">
        <f ca="1">IF(ISERROR(F316),"",_xlfn.TEXTJOIN("/",FALSE,R328,U328))</f>
        <v>44/50</v>
      </c>
      <c r="L328" s="25"/>
      <c r="M328" s="7" t="str">
        <f ca="1">IF(ISERROR(F316)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A</v>
      </c>
      <c r="N328" s="8">
        <f t="shared" ca="1" si="29"/>
        <v>9</v>
      </c>
      <c r="O328">
        <f t="shared" ca="1" si="30"/>
        <v>9</v>
      </c>
      <c r="P328" s="1">
        <f ca="1">IF(ISERROR(F316),"",IF(ISTEXT(VLOOKUP(B316,INDIRECT($F$8),6+(O328-1)*3)),(VLOOKUP(B316,INDIRECT($F$8),6+(O328-1)*3)),SUM(VLOOKUP(B316,INDIRECT($F$8),6+(O328-1)*3),IF(W334,W328,0))))</f>
        <v>23</v>
      </c>
      <c r="Q328" s="1">
        <f ca="1">IF(ISERROR(F316),"",VLOOKUP(B316,INDIRECT($F$8),7+(O328-1)*3))</f>
        <v>21</v>
      </c>
      <c r="R328" s="1">
        <f ca="1">IF(ISERROR(F316),"",SUM(P328:Q328))</f>
        <v>44</v>
      </c>
      <c r="S328" s="1">
        <f ca="1">IF(ISERROR(F316),"",VLOOKUP(A316,INDIRECT($F$8),6+(O328-1)*3))</f>
        <v>25</v>
      </c>
      <c r="T328" s="1">
        <f ca="1">IF(ISERROR(F316),"",VLOOKUP(A316,INDIRECT($F$8),7+(O328-1)*3))</f>
        <v>25</v>
      </c>
      <c r="U328" s="1">
        <f ca="1">IF(ISERROR(F316),"",VLOOKUP(A316,INDIRECT($F$8),8+(O328-1)*3))</f>
        <v>50</v>
      </c>
      <c r="V328" s="1" t="str">
        <f ca="1">IF(ISERROR(F316),"",IF(N328=0,A328,""))</f>
        <v/>
      </c>
      <c r="W328" s="1">
        <f ca="1">IF(ISERROR(F316),"",IF(ISTEXT(VLOOKUP(B316,INDIRECT($F$8),6+(O328-1)*3)),11,IF(VLOOKUP(B316,INDIRECT($F$8),6+(O328-1)*3)&lt;S328*0.3,IF(VLOOKUP(B316,INDIRECT($F$8),8+(O328-1)*3)&lt;U328*0.4,IF(AND(0.4*U328-VLOOKUP(B316,INDIRECT($F$8),8+(O328-1)*3)&lt;=5,0.3*S328-VLOOKUP(B316,INDIRECT($F$8),6+(O328-1)*3)&lt;=5),MAX(0.4*U328-VLOOKUP(B316,INDIRECT($F$8),8+(O328-1)*3),0.3*S328-VLOOKUP(B316,INDIRECT($F$8),6+(O328-1)*3)),11),IF(0.3*S328-VLOOKUP(B316,INDIRECT($F$8),6+(O328-1)*3)&lt;=5,0.3*S328-VLOOKUP(B316,INDIRECT($F$8),6+(O328-1)*3),11)),IF(VLOOKUP(B316,INDIRECT($F$8),8+(O328-1)*3)&lt;U328*0.4,IF(U328*0.4-VLOOKUP(B316,INDIRECT($F$8),8+(O328-1)*3)&lt;=5,U328*0.4-VLOOKUP(B316,INDIRECT($F$8),8+(O328-1)*3),11),0))))</f>
        <v>0</v>
      </c>
      <c r="X328" s="1" t="str">
        <f ca="1">IF(ISERROR(F316),"",IF(W328=0,"",_xlfn.TEXTJOIN("",FALSE," G+",W328," in ",A328)))</f>
        <v/>
      </c>
    </row>
    <row r="329" spans="1:24" ht="11.5" customHeight="1" x14ac:dyDescent="0.2">
      <c r="A329" s="7" t="str">
        <f ca="1">IF(ISERROR(F316),"",VLOOKUP(C316,INDIRECT($F$8),6+(O329-1)*3,0))</f>
        <v>MEP 003</v>
      </c>
      <c r="B329" s="24" t="str">
        <f ca="1">IF(ISERROR(F316),"",VLOOKUP(D316,INDIRECT($F$8),6+(O329-1)*3-Z329,0))</f>
        <v>Workshop Practices Lab</v>
      </c>
      <c r="C329" s="24"/>
      <c r="D329" s="24"/>
      <c r="E329" s="24"/>
      <c r="F329" s="7">
        <f ca="1">IF(ISERROR(F316),"",VLOOKUP(E316,INDIRECT($F$8),6+(O329-1)*3,0))</f>
        <v>2</v>
      </c>
      <c r="G329" s="25" t="str">
        <f ca="1">IF(ISERROR(F316),"",_xlfn.TEXTJOIN("/",FALSE,P329,S329))</f>
        <v>44/50</v>
      </c>
      <c r="H329" s="25"/>
      <c r="I329" s="25" t="str">
        <f ca="1">IF(ISERROR(F316),"",_xlfn.TEXTJOIN("/",FALSE,Q329,T329))</f>
        <v>45/50</v>
      </c>
      <c r="J329" s="25"/>
      <c r="K329" s="25" t="str">
        <f ca="1">IF(ISERROR(F316),"",_xlfn.TEXTJOIN("/",FALSE,R329,U329))</f>
        <v>89/100</v>
      </c>
      <c r="L329" s="25"/>
      <c r="M329" s="7" t="str">
        <f ca="1">IF(ISERROR(F316)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A</v>
      </c>
      <c r="N329" s="8">
        <f t="shared" ca="1" si="29"/>
        <v>9</v>
      </c>
      <c r="O329">
        <f t="shared" ca="1" si="30"/>
        <v>10</v>
      </c>
      <c r="P329" s="1">
        <f ca="1">IF(ISERROR(F316),"",IF(ISTEXT(VLOOKUP(B316,INDIRECT($F$8),6+(O329-1)*3)),(VLOOKUP(B316,INDIRECT($F$8),6+(O329-1)*3)),SUM(VLOOKUP(B316,INDIRECT($F$8),6+(O329-1)*3),IF(W334,W329,0))))</f>
        <v>44</v>
      </c>
      <c r="Q329" s="1">
        <f ca="1">IF(ISERROR(F316),"",VLOOKUP(B316,INDIRECT($F$8),7+(O329-1)*3))</f>
        <v>45</v>
      </c>
      <c r="R329" s="1">
        <f ca="1">IF(ISERROR(F316),"",SUM(P329:Q329))</f>
        <v>89</v>
      </c>
      <c r="S329" s="1">
        <f ca="1">IF(ISERROR(F316),"",VLOOKUP(A316,INDIRECT($F$8),6+(O329-1)*3))</f>
        <v>50</v>
      </c>
      <c r="T329" s="1">
        <f ca="1">IF(ISERROR(F316),"",VLOOKUP(A316,INDIRECT($F$8),7+(O329-1)*3))</f>
        <v>50</v>
      </c>
      <c r="U329" s="1">
        <f ca="1">IF(ISERROR(F316),"",VLOOKUP(A316,INDIRECT($F$8),8+(O329-1)*3))</f>
        <v>100</v>
      </c>
      <c r="V329" s="1" t="str">
        <f ca="1">IF(ISERROR(F316),"",IF(N329=0,A329,""))</f>
        <v/>
      </c>
      <c r="W329" s="1">
        <f ca="1">IF(ISERROR(F316),"",IF(ISTEXT(VLOOKUP(B316,INDIRECT($F$8),6+(O329-1)*3)),11,IF(VLOOKUP(B316,INDIRECT($F$8),6+(O329-1)*3)&lt;S329*0.3,IF(VLOOKUP(B316,INDIRECT($F$8),8+(O329-1)*3)&lt;U329*0.4,IF(AND(0.4*U329-VLOOKUP(B316,INDIRECT($F$8),8+(O329-1)*3)&lt;=5,0.3*S329-VLOOKUP(B316,INDIRECT($F$8),6+(O329-1)*3)&lt;=5),MAX(0.4*U329-VLOOKUP(B316,INDIRECT($F$8),8+(O329-1)*3),0.3*S329-VLOOKUP(B316,INDIRECT($F$8),6+(O329-1)*3)),11),IF(0.3*S329-VLOOKUP(B316,INDIRECT($F$8),6+(O329-1)*3)&lt;=5,0.3*S329-VLOOKUP(B316,INDIRECT($F$8),6+(O329-1)*3),11)),IF(VLOOKUP(B316,INDIRECT($F$8),8+(O329-1)*3)&lt;U329*0.4,IF(U329*0.4-VLOOKUP(B316,INDIRECT($F$8),8+(O329-1)*3)&lt;=5,U329*0.4-VLOOKUP(B316,INDIRECT($F$8),8+(O329-1)*3),11),0))))</f>
        <v>0</v>
      </c>
      <c r="X329" s="1" t="str">
        <f ca="1">IF(ISERROR(F316),"",IF(W329=0,"",_xlfn.TEXTJOIN("",FALSE," G+",W329," in ",A329)))</f>
        <v/>
      </c>
    </row>
    <row r="330" spans="1:24" ht="11.5" customHeight="1" x14ac:dyDescent="0.2">
      <c r="A330" s="7" t="str">
        <f ca="1">IF(ISERROR(F316),"",VLOOKUP(C316,INDIRECT($F$8),6+(O330-1)*3,0))</f>
        <v>AHP 004</v>
      </c>
      <c r="B330" s="24" t="str">
        <f ca="1">IF(ISERROR(F316),"",VLOOKUP(D316,INDIRECT($F$8),6+(O330-1)*3-Z330,0))</f>
        <v>Emerging Technologies in Engineering Lab</v>
      </c>
      <c r="C330" s="24"/>
      <c r="D330" s="24"/>
      <c r="E330" s="24"/>
      <c r="F330" s="7">
        <f ca="1">IF(ISERROR(F316),"",VLOOKUP(E316,INDIRECT($F$8),6+(O330-1)*3,0))</f>
        <v>1</v>
      </c>
      <c r="G330" s="25" t="str">
        <f ca="1">IF(ISERROR(F316),"",_xlfn.TEXTJOIN("/",FALSE,P330,S330))</f>
        <v>23/25</v>
      </c>
      <c r="H330" s="25"/>
      <c r="I330" s="25" t="str">
        <f ca="1">IF(ISERROR(F316),"",_xlfn.TEXTJOIN("/",FALSE,Q330,T330))</f>
        <v>23/25</v>
      </c>
      <c r="J330" s="25"/>
      <c r="K330" s="25" t="str">
        <f ca="1">IF(ISERROR(F316),"",_xlfn.TEXTJOIN("/",FALSE,R330,U330))</f>
        <v>46/50</v>
      </c>
      <c r="L330" s="25"/>
      <c r="M330" s="7" t="str">
        <f ca="1">IF(ISERROR(F316)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A+</v>
      </c>
      <c r="N330" s="8">
        <f t="shared" ca="1" si="29"/>
        <v>9.5</v>
      </c>
      <c r="O330">
        <f t="shared" ca="1" si="30"/>
        <v>11</v>
      </c>
      <c r="P330" s="1">
        <f ca="1">IF(ISERROR(F316),"",IF(ISTEXT(VLOOKUP(B316,INDIRECT($F$8),6+(O330-1)*3)),(VLOOKUP(B316,INDIRECT($F$8),6+(O330-1)*3)),SUM(VLOOKUP(B316,INDIRECT($F$8),6+(O330-1)*3),IF(W334,W330,0))))</f>
        <v>23</v>
      </c>
      <c r="Q330" s="1">
        <f ca="1">IF(ISERROR(F316),"",VLOOKUP(B316,INDIRECT($F$8),7+(O330-1)*3))</f>
        <v>23</v>
      </c>
      <c r="R330" s="1">
        <f ca="1">IF(ISERROR(F316),"",SUM(P330:Q330))</f>
        <v>46</v>
      </c>
      <c r="S330" s="1">
        <f ca="1">IF(ISERROR(F316),"",VLOOKUP(A316,INDIRECT($F$8),6+(O330-1)*3))</f>
        <v>25</v>
      </c>
      <c r="T330" s="1">
        <f ca="1">IF(ISERROR(F316),"",VLOOKUP(A316,INDIRECT($F$8),7+(O330-1)*3))</f>
        <v>25</v>
      </c>
      <c r="U330" s="1">
        <f ca="1">IF(ISERROR(F316),"",VLOOKUP(A316,INDIRECT($F$8),8+(O330-1)*3))</f>
        <v>50</v>
      </c>
      <c r="V330" s="1" t="str">
        <f ca="1">IF(ISERROR(F316),"",IF(N330=0,A330,""))</f>
        <v/>
      </c>
      <c r="W330" s="1">
        <f ca="1">IF(ISERROR(F316),"",IF(ISTEXT(VLOOKUP(B316,INDIRECT($F$8),6+(O330-1)*3)),11,IF(VLOOKUP(B316,INDIRECT($F$8),6+(O330-1)*3)&lt;S330*0.3,IF(VLOOKUP(B316,INDIRECT($F$8),8+(O330-1)*3)&lt;U330*0.4,IF(AND(0.4*U330-VLOOKUP(B316,INDIRECT($F$8),8+(O330-1)*3)&lt;=5,0.3*S330-VLOOKUP(B316,INDIRECT($F$8),6+(O330-1)*3)&lt;=5),MAX(0.4*U330-VLOOKUP(B316,INDIRECT($F$8),8+(O330-1)*3),0.3*S330-VLOOKUP(B316,INDIRECT($F$8),6+(O330-1)*3)),11),IF(0.3*S330-VLOOKUP(B316,INDIRECT($F$8),6+(O330-1)*3)&lt;=5,0.3*S330-VLOOKUP(B316,INDIRECT($F$8),6+(O330-1)*3),11)),IF(VLOOKUP(B316,INDIRECT($F$8),8+(O330-1)*3)&lt;U330*0.4,IF(U330*0.4-VLOOKUP(B316,INDIRECT($F$8),8+(O330-1)*3)&lt;=5,U330*0.4-VLOOKUP(B316,INDIRECT($F$8),8+(O330-1)*3),11),0))))</f>
        <v>0</v>
      </c>
      <c r="X330" s="1" t="str">
        <f ca="1">IF(ISERROR(F316),"",IF(W330=0,"",_xlfn.TEXTJOIN("",FALSE," G+",W330," in ",A330)))</f>
        <v/>
      </c>
    </row>
    <row r="331" spans="1:24" ht="11.5" customHeight="1" x14ac:dyDescent="0.2">
      <c r="A331" s="7" t="str">
        <f ca="1">IF(ISERROR(F316),"",VLOOKUP(C316,INDIRECT($F$8),6+(O331-1)*3,0))</f>
        <v>CSP 002</v>
      </c>
      <c r="B331" s="24" t="str">
        <f ca="1">IF(ISERROR(F316),"",VLOOKUP(D316,INDIRECT($F$8),6+(O331-1)*3,0))</f>
        <v>Computer Applications and IOT</v>
      </c>
      <c r="C331" s="24"/>
      <c r="D331" s="24"/>
      <c r="E331" s="24"/>
      <c r="F331" s="7">
        <f ca="1">IF(ISERROR(F316),"",VLOOKUP(E316,INDIRECT($F$8),6+(O331-1)*3,0))</f>
        <v>1</v>
      </c>
      <c r="G331" s="25" t="str">
        <f ca="1">IF(ISERROR(F316),"",_xlfn.TEXTJOIN("/",FALSE,P331,S331))</f>
        <v>24/25</v>
      </c>
      <c r="H331" s="25"/>
      <c r="I331" s="25" t="str">
        <f ca="1">IF(ISERROR(F316),"",_xlfn.TEXTJOIN("/",FALSE,Q331,T331))</f>
        <v>24/25</v>
      </c>
      <c r="J331" s="25"/>
      <c r="K331" s="25" t="str">
        <f ca="1">IF(ISERROR(F316),"",_xlfn.TEXTJOIN("/",FALSE,R331,U331))</f>
        <v>48/50</v>
      </c>
      <c r="L331" s="25"/>
      <c r="M331" s="7" t="str">
        <f ca="1">IF(ISERROR(F316)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O</v>
      </c>
      <c r="N331" s="8">
        <f t="shared" ca="1" si="29"/>
        <v>10</v>
      </c>
      <c r="O331">
        <f t="shared" ca="1" si="30"/>
        <v>12</v>
      </c>
      <c r="P331" s="1">
        <f ca="1">IF(ISERROR(F316),"",IF(ISTEXT(VLOOKUP(B316,INDIRECT($F$8),6+(O331-1)*3)),(VLOOKUP(B316,INDIRECT($F$8),6+(O331-1)*3)),SUM(VLOOKUP(B316,INDIRECT($F$8),6+(O331-1)*3),IF(W334,W331,0))))</f>
        <v>24</v>
      </c>
      <c r="Q331" s="1">
        <f ca="1">IF(ISERROR(F316),"",VLOOKUP(B316,INDIRECT($F$8),7+(O331-1)*3))</f>
        <v>24</v>
      </c>
      <c r="R331" s="1">
        <f ca="1">IF(ISERROR(F316),"",SUM(P331:Q331))</f>
        <v>48</v>
      </c>
      <c r="S331" s="1">
        <f ca="1">IF(ISERROR(F316),"",VLOOKUP(A316,INDIRECT($F$8),6+(O331-1)*3))</f>
        <v>25</v>
      </c>
      <c r="T331" s="1">
        <f ca="1">IF(ISERROR(F316),"",VLOOKUP(A316,INDIRECT($F$8),7+(O331-1)*3))</f>
        <v>25</v>
      </c>
      <c r="U331" s="1">
        <f ca="1">IF(ISERROR(F316),"",VLOOKUP(A316,INDIRECT($F$8),8+(O331-1)*3))</f>
        <v>50</v>
      </c>
      <c r="V331" s="1" t="str">
        <f ca="1">IF(ISERROR(F316),"",IF(N331=0,A331,""))</f>
        <v/>
      </c>
      <c r="W331" s="1">
        <f ca="1">IF(ISERROR(F316),"",IF(ISTEXT(VLOOKUP(B316,INDIRECT($F$8),6+(O331-1)*3)),11,IF(VLOOKUP(B316,INDIRECT($F$8),6+(O331-1)*3)&lt;S331*0.3,IF(VLOOKUP(B316,INDIRECT($F$8),8+(O331-1)*3)&lt;U331*0.4,IF(AND(0.4*U331-VLOOKUP(B316,INDIRECT($F$8),8+(O331-1)*3)&lt;=5,0.3*S331-VLOOKUP(B316,INDIRECT($F$8),6+(O331-1)*3)&lt;=5),MAX(0.4*U331-VLOOKUP(B316,INDIRECT($F$8),8+(O331-1)*3),0.3*S331-VLOOKUP(B316,INDIRECT($F$8),6+(O331-1)*3)),11),IF(0.3*S331-VLOOKUP(B316,INDIRECT($F$8),6+(O331-1)*3)&lt;=5,0.3*S331-VLOOKUP(B316,INDIRECT($F$8),6+(O331-1)*3),11)),IF(VLOOKUP(B316,INDIRECT($F$8),8+(O331-1)*3)&lt;U331*0.4,IF(U331*0.4-VLOOKUP(B316,INDIRECT($F$8),8+(O331-1)*3)&lt;=5,U331*0.4-VLOOKUP(B316,INDIRECT($F$8),8+(O331-1)*3),11),0))))</f>
        <v>0</v>
      </c>
      <c r="X331" s="1" t="str">
        <f ca="1">IF(ISERROR(F316),"",IF(W331=0,"",_xlfn.TEXTJOIN("",FALSE," G+",W331," in ",A331)))</f>
        <v/>
      </c>
    </row>
    <row r="332" spans="1:24" ht="11.5" customHeight="1" x14ac:dyDescent="0.2">
      <c r="A332" s="7" t="str">
        <f ca="1">IF(ISERROR(F316),"",VLOOKUP(C316,INDIRECT($F$8),6+(O332-1)*3,0))</f>
        <v>AHP 006</v>
      </c>
      <c r="B332" s="24" t="str">
        <f ca="1">IF(ISERROR(F316),"",VLOOKUP(D316,INDIRECT($F$8),6+(O332-1)*3,0))</f>
        <v>English Language Lab ($)</v>
      </c>
      <c r="C332" s="24"/>
      <c r="D332" s="24"/>
      <c r="E332" s="24"/>
      <c r="F332" s="7">
        <f ca="1">IF(ISERROR(F316),"",VLOOKUP(E316,INDIRECT($F$8),6+(O332-1)*3,0))</f>
        <v>0</v>
      </c>
      <c r="G332" s="25" t="str">
        <f ca="1">IF(ISERROR(F316),"",_xlfn.TEXTJOIN("/",FALSE,P332,S332))</f>
        <v>14/25</v>
      </c>
      <c r="H332" s="25"/>
      <c r="I332" s="25" t="str">
        <f ca="1">IF(ISERROR(F316),"",_xlfn.TEXTJOIN("/",FALSE,Q332,T332))</f>
        <v>36/50</v>
      </c>
      <c r="J332" s="25"/>
      <c r="K332" s="25" t="str">
        <f ca="1">IF(ISERROR(F316),"",_xlfn.TEXTJOIN("/",FALSE,R332,U332))</f>
        <v>50/75</v>
      </c>
      <c r="L332" s="25"/>
      <c r="M332" s="7" t="str">
        <f ca="1">IF(ISERROR(F316)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C</v>
      </c>
      <c r="N332" s="8">
        <f ca="1">INDEX($Z$2:$Z$17,MATCH(M332,$Y$2:$Y$17,0))</f>
        <v>7</v>
      </c>
      <c r="O332">
        <f t="shared" ca="1" si="30"/>
        <v>13</v>
      </c>
      <c r="P332" s="1">
        <f ca="1">IF(ISERROR(F316),"",IF(ISTEXT(VLOOKUP(B316,INDIRECT($F$8),6+(O332-1)*3)),(VLOOKUP(B316,INDIRECT($F$8),6+(O332-1)*3)),SUM(VLOOKUP(B316,INDIRECT($F$8),6+(O332-1)*3),IF(W334,W332,0))))</f>
        <v>14</v>
      </c>
      <c r="Q332" s="1">
        <f ca="1">IF(ISERROR(F316),"",VLOOKUP(B316,INDIRECT($F$8),7+(O332-1)*3))</f>
        <v>36</v>
      </c>
      <c r="R332" s="1">
        <f ca="1">IF(ISERROR(F316),"",SUM(P332:Q332))</f>
        <v>50</v>
      </c>
      <c r="S332" s="1">
        <f ca="1">IF(ISERROR(F316),"",VLOOKUP(A316,INDIRECT($F$8),6+(O332-1)*3))</f>
        <v>25</v>
      </c>
      <c r="T332" s="1">
        <f ca="1">IF(ISERROR(F316),"",VLOOKUP(A316,INDIRECT($F$8),7+(O332-1)*3))</f>
        <v>50</v>
      </c>
      <c r="U332" s="1">
        <f ca="1">IF(ISERROR(F316),"",VLOOKUP(A316,INDIRECT($F$8),8+(O332-1)*3))</f>
        <v>75</v>
      </c>
      <c r="V332" s="1"/>
      <c r="W332" s="1">
        <f ca="1">IF(ISERROR(F316),"",IF(ISTEXT(VLOOKUP(B316,INDIRECT($F$8),6+(O332-1)*3)),11,IF(VLOOKUP(B316,INDIRECT($F$8),6+(O332-1)*3)&lt;S332*0.3,IF(VLOOKUP(B316,INDIRECT($F$8),8+(O332-1)*3)&lt;U332*0.4,IF(AND(0.4*U332-VLOOKUP(B316,INDIRECT($F$8),8+(O332-1)*3)&lt;=5,0.3*S332-VLOOKUP(B316,INDIRECT($F$8),6+(O332-1)*3)&lt;=5),MAX(0.4*U332-VLOOKUP(B316,INDIRECT($F$8),8+(O332-1)*3),0.3*S332-VLOOKUP(B316,INDIRECT($F$8),6+(O332-1)*3)),11),IF(0.3*S332-VLOOKUP(B316,INDIRECT($F$8),6+(O332-1)*3)&lt;=5,0.3*S332-VLOOKUP(B316,INDIRECT($F$8),6+(O332-1)*3),11)),IF(VLOOKUP(B316,INDIRECT($F$8),8+(O332-1)*3)&lt;U332*0.4,IF(U332*0.4-VLOOKUP(B316,INDIRECT($F$8),8+(O332-1)*3)&lt;=5,U332*0.4-VLOOKUP(B316,INDIRECT($F$8),8+(O332-1)*3),11),0))))</f>
        <v>0</v>
      </c>
      <c r="X332" s="1" t="str">
        <f ca="1">IF(ISERROR(F316),"",IF(W332=0,"",_xlfn.TEXTJOIN("",FALSE," G+",W332," in ",A332)))</f>
        <v/>
      </c>
    </row>
    <row r="333" spans="1:24" ht="11.5" customHeight="1" x14ac:dyDescent="0.2">
      <c r="A333" s="7" t="str">
        <f ca="1">IF(ISERROR(F316),"",VLOOKUP(C316,INDIRECT($F$8),6+(O333-1)*3-Y333,0))</f>
        <v>GP 01</v>
      </c>
      <c r="B333" s="24" t="str">
        <f ca="1">IF(ISERROR(F316),"",VLOOKUP(D316,INDIRECT($F$8),6+(O333-1)*3-Z333,0))</f>
        <v>General Proficiency ($)</v>
      </c>
      <c r="C333" s="24"/>
      <c r="D333" s="24"/>
      <c r="E333" s="24"/>
      <c r="F333" s="7">
        <f ca="1">IF(ISERROR(F316),"",VLOOKUP(E316,INDIRECT($F$8),6+(O333-1)*3-AA333,0))</f>
        <v>0</v>
      </c>
      <c r="G333" s="25" t="str">
        <f ca="1">IF(ISERROR(F316),"","-")</f>
        <v>-</v>
      </c>
      <c r="H333" s="25"/>
      <c r="I333" s="25" t="str">
        <f ca="1">IF(ISERROR(F316),"",_xlfn.TEXTJOIN("/",FALSE,Q333,T333))</f>
        <v>47/50</v>
      </c>
      <c r="J333" s="25"/>
      <c r="K333" s="25" t="str">
        <f ca="1">IF(ISERROR(F316),"",_xlfn.TEXTJOIN("/",FALSE,R333,U333))</f>
        <v>47/50</v>
      </c>
      <c r="L333" s="25"/>
      <c r="M333" s="25" t="str">
        <f ca="1">IF(ISBLANK(R333),"",IF(ISTEXT(R333),R333,IF(R333&gt;=0.8*U333,"Excellent",IF(R333&gt;=0.6*U333,"Very Good",IF(R333&gt;=0.4*U333,"Good",IF(R333&gt;=0.2*U333,"Satisfactory","Average"))))))</f>
        <v>Excellent</v>
      </c>
      <c r="N333" s="25"/>
      <c r="O333">
        <f t="shared" ca="1" si="30"/>
        <v>14</v>
      </c>
      <c r="P333" s="1">
        <f ca="1">IF(ISERROR(F316),"",IF(ISTEXT(VLOOKUP(B\28,INDIRECT($F$8),6+(O333-1)*3)),(VLOOKUP(B316,INDIRECT($F$8),6+(O333-1)*3)),SUM(VLOOKUP(B316,INDIRECT($F$8),6+(O333-1)*3),IF(W334,W334,0))))</f>
        <v>0</v>
      </c>
      <c r="Q333" s="1">
        <f ca="1">IF(ISERROR(F316),"",VLOOKUP(B316,INDIRECT($F$8),7+(O333-1)*3))</f>
        <v>47</v>
      </c>
      <c r="R333" s="1">
        <f ca="1">IF(ISERROR(F316),"",SUM(P333:Q333))</f>
        <v>47</v>
      </c>
      <c r="S333" s="1">
        <f ca="1">IF(ISERROR(F316),"",VLOOKUP(A316,INDIRECT($F$8),6+(O333-1)*3))</f>
        <v>0</v>
      </c>
      <c r="T333" s="1">
        <f ca="1">IF(ISERROR(F316),"",VLOOKUP(A316,INDIRECT($F$8),7+(O333-1)*3))</f>
        <v>50</v>
      </c>
      <c r="U333" s="1">
        <f ca="1">IF(ISERROR(F316),"",VLOOKUP(A316,INDIRECT($F$8),8+(O333-1)*3))</f>
        <v>50</v>
      </c>
      <c r="V333" s="1"/>
      <c r="W333" s="1"/>
      <c r="X333" s="1" t="str">
        <f ca="1">IF(ISERROR(F316),"",IF(W333=0,"",_xlfn.TEXTJOIN("",FALSE," G+",W333," in ",A333)))</f>
        <v/>
      </c>
    </row>
    <row r="334" spans="1:24" ht="11.5" customHeight="1" x14ac:dyDescent="0.2">
      <c r="A334" s="26" t="str">
        <f ca="1">IF(ISERROR(F316),"",A312)</f>
        <v>Total Credits/ Marks/ Total Grade Points</v>
      </c>
      <c r="B334" s="26"/>
      <c r="C334" s="26"/>
      <c r="D334" s="26"/>
      <c r="E334" s="26"/>
      <c r="F334" s="10">
        <f ca="1">IF(ISERROR(F316),"",SUM(F321:F332))</f>
        <v>23</v>
      </c>
      <c r="G334" s="27" t="str">
        <f ca="1">IF(ISERROR(F316),"",_xlfn.TEXTJOIN("/",TRUE,SUMIF(F321:F333,"&gt;0",P321:P333),SUMIF(F321:F333,"&gt;0",S321:S333)))</f>
        <v>268/575</v>
      </c>
      <c r="H334" s="27"/>
      <c r="I334" s="27" t="str">
        <f ca="1">IF(ISERROR(F316),"",_xlfn.TEXTJOIN("/",TRUE,SUMIF(F321:F333,"&gt;0",Q321:Q333),SUMIF(F321:F333,"&gt;0",T321:T333)))</f>
        <v>279/375</v>
      </c>
      <c r="J334" s="27"/>
      <c r="K334" s="27" t="str">
        <f ca="1">IF(ISERROR(F316),"",_xlfn.TEXTJOIN("/",TRUE,SUMIF(F321:F333,"&gt;0",R321:R333),SUMIF(F321:F333,"&gt;0",U321:U333)))</f>
        <v>547/950</v>
      </c>
      <c r="L334" s="27"/>
      <c r="M334" s="26">
        <f ca="1">IF(ISERROR(F316),"",SUMPRODUCT(N321:N332,F321:F332))</f>
        <v>123.5</v>
      </c>
      <c r="N334" s="26"/>
      <c r="V334" s="1" t="str">
        <f ca="1">_xlfn.TEXTJOIN(", ",TRUE,V321:V333)</f>
        <v>AHT 003</v>
      </c>
      <c r="W334" t="b">
        <f ca="1">IF(SUM(W321:W333)&lt;=W320,TRUE,FALSE)</f>
        <v>0</v>
      </c>
      <c r="X334" s="1" t="str">
        <f ca="1">IF(ISERROR(F316),"",_xlfn.TEXTJOIN(",",TRUE,X321:X333))</f>
        <v xml:space="preserve"> G+11 in AHT 003</v>
      </c>
    </row>
    <row r="335" spans="1:24" ht="11.5" customHeight="1" x14ac:dyDescent="0.2">
      <c r="A335" s="26" t="str">
        <f ca="1">IF(ISERROR(F316),"",A313)</f>
        <v>Result:</v>
      </c>
      <c r="B335" s="28" t="str" cm="1">
        <f t="array" aca="1" ref="B335" ca="1">IF(SUM(COUNTIF(M321:M332,{"Ab","Dt"}))=12, "Not Promoted to IInd Semester", IF(V334="", "PASS", "CARRY OVER"))</f>
        <v>CARRY OVER</v>
      </c>
      <c r="C335" s="28"/>
      <c r="D335" s="26" t="str">
        <f ca="1">IF(ISERROR(F316),"",D313)</f>
        <v>Remark:</v>
      </c>
      <c r="E335" s="28" t="str">
        <f ca="1">IF(ISERROR(F316),"",IF(V334="",IF(X334="","",X334),_xlfn.TEXTJOIN(" ",TRUE,"BACK IN",V334)))</f>
        <v>BACK IN AHT 003</v>
      </c>
      <c r="F335" s="28"/>
      <c r="G335" s="26" t="str">
        <f ca="1">IF(ISERROR(F316),"",G313)</f>
        <v>SGPA:</v>
      </c>
      <c r="H335" s="29">
        <f ca="1">IF(ISERROR(F316),"",M334/F334)</f>
        <v>5.3695652173913047</v>
      </c>
      <c r="I335" s="26" t="str">
        <f ca="1">IF(ISERROR(F316),"",I313)</f>
        <v>CGPA:</v>
      </c>
      <c r="J335" s="29">
        <f ca="1">IF(ISERROR(F316),"",VLOOKUP(B316,INDIRECT($F$8),12+(O333-1)*3,0))</f>
        <v>5.3695652173913047</v>
      </c>
      <c r="K335" s="28" t="str">
        <f ca="1">IF(ISERROR(F316),"",K313)</f>
        <v>Earned Credits:</v>
      </c>
      <c r="L335" s="26">
        <f ca="1">IF(ISERROR(F316),"",SUMIF(N321:N332,"&gt;0",F321:F332))</f>
        <v>19</v>
      </c>
      <c r="M335" s="28" t="str">
        <f ca="1">IF(ISERROR(F316),"",M313)</f>
        <v>Cuml. Earned Credits:</v>
      </c>
      <c r="N335" s="26">
        <f ca="1">IF(ISERROR(F316),"",VLOOKUP(B316,INDIRECT($F$8),10+(O333-1)*3,0))</f>
        <v>19</v>
      </c>
    </row>
    <row r="336" spans="1:24" ht="11.5" customHeight="1" x14ac:dyDescent="0.2">
      <c r="A336" s="26"/>
      <c r="B336" s="28"/>
      <c r="C336" s="28"/>
      <c r="D336" s="26"/>
      <c r="E336" s="28"/>
      <c r="F336" s="28"/>
      <c r="G336" s="26"/>
      <c r="H336" s="29"/>
      <c r="I336" s="26"/>
      <c r="J336" s="29"/>
      <c r="K336" s="28"/>
      <c r="L336" s="26"/>
      <c r="M336" s="28"/>
      <c r="N336" s="26"/>
    </row>
    <row r="337" spans="1:24" ht="17" customHeight="1" x14ac:dyDescent="0.2">
      <c r="A337" s="26"/>
      <c r="B337" s="28"/>
      <c r="C337" s="28"/>
      <c r="D337" s="26"/>
      <c r="E337" s="28"/>
      <c r="F337" s="28"/>
      <c r="G337" s="26"/>
      <c r="H337" s="29"/>
      <c r="I337" s="26"/>
      <c r="J337" s="29"/>
      <c r="K337" s="28"/>
      <c r="L337" s="26"/>
      <c r="M337" s="28"/>
      <c r="N337" s="26"/>
    </row>
    <row r="338" spans="1:24" ht="11.5" customHeight="1" x14ac:dyDescent="0.2">
      <c r="A338" s="11" t="str">
        <f>A316</f>
        <v>MM</v>
      </c>
      <c r="B338" s="11">
        <f>B316+1</f>
        <v>16</v>
      </c>
      <c r="C338" s="11" t="str">
        <f>C316</f>
        <v>SC</v>
      </c>
      <c r="D338" s="11" t="str">
        <f>D316</f>
        <v>SN</v>
      </c>
      <c r="E338" s="11" t="str">
        <f>E316</f>
        <v>C</v>
      </c>
      <c r="F338" s="11" t="str">
        <f ca="1">VLOOKUP(B338,INDIRECT($F$8),4,0)</f>
        <v>MANANSH BISHT</v>
      </c>
    </row>
    <row r="339" spans="1:24" ht="11.5" customHeight="1" x14ac:dyDescent="0.2">
      <c r="A339" s="30" t="str">
        <f ca="1">IF(ISERROR(F338),"",A317)</f>
        <v>Name:</v>
      </c>
      <c r="B339" s="30" t="str">
        <f ca="1">IFERROR(VLOOKUP(B338,INDIRECT($F$8),4,0),"")</f>
        <v>MANANSH BISHT</v>
      </c>
      <c r="C339" s="30"/>
      <c r="D339" s="30" t="str">
        <f ca="1">IF(ISERROR(F338),"",D317)</f>
        <v>Father's Name:</v>
      </c>
      <c r="E339" s="30" t="str">
        <f ca="1">IFERROR(VLOOKUP(B338,INDIRECT($F$8),5,0),"")</f>
        <v>POORAN SINGH BISHT</v>
      </c>
      <c r="F339" s="30"/>
      <c r="G339" s="30" t="str">
        <f ca="1">IF(ISERROR(F338),"",G317)</f>
        <v>University Roll No:</v>
      </c>
      <c r="H339" s="30"/>
      <c r="I339" s="31">
        <f ca="1">IFERROR(VLOOKUP(B338,INDIRECT($F$8),2,0),"")</f>
        <v>250090120017</v>
      </c>
      <c r="J339" s="31"/>
      <c r="K339" s="30" t="str">
        <f ca="1">IF(ISERROR(F338),"",K317)</f>
        <v>University Enrol. No:</v>
      </c>
      <c r="L339" s="30"/>
      <c r="M339" s="31" t="str">
        <f ca="1">IFERROR(VLOOKUP(B338,INDIRECT($F$8),3,0),"")</f>
        <v>UTU/2501104022</v>
      </c>
      <c r="N339" s="31"/>
    </row>
    <row r="340" spans="1:24" ht="11.5" customHeight="1" x14ac:dyDescent="0.2">
      <c r="A340" s="30"/>
      <c r="B340" s="30"/>
      <c r="C340" s="30"/>
      <c r="D340" s="30"/>
      <c r="E340" s="30"/>
      <c r="F340" s="30"/>
      <c r="G340" s="30"/>
      <c r="H340" s="30"/>
      <c r="I340" s="31"/>
      <c r="J340" s="31"/>
      <c r="K340" s="30"/>
      <c r="L340" s="30"/>
      <c r="M340" s="31"/>
      <c r="N340" s="31"/>
    </row>
    <row r="341" spans="1:24" ht="11.5" customHeight="1" x14ac:dyDescent="0.2">
      <c r="A341" s="28" t="str">
        <f ca="1">IF(ISERROR(F338),"",A319)</f>
        <v>Subject Code</v>
      </c>
      <c r="B341" s="28" t="str">
        <f ca="1">IF(ISERROR(F338),"",B319)</f>
        <v>Subject Name</v>
      </c>
      <c r="C341" s="28"/>
      <c r="D341" s="28"/>
      <c r="E341" s="28"/>
      <c r="F341" s="28" t="str">
        <f ca="1">IF(ISERROR(F338),"",F319)</f>
        <v>Credits</v>
      </c>
      <c r="G341" s="28" t="str">
        <f ca="1">IF(ISERROR(F338),"",G319)</f>
        <v>External Marks</v>
      </c>
      <c r="H341" s="28"/>
      <c r="I341" s="28" t="str">
        <f ca="1">IF(ISERROR(F338),"",I319)</f>
        <v>Sessional Marks</v>
      </c>
      <c r="J341" s="28"/>
      <c r="K341" s="28" t="str">
        <f ca="1">IF(ISERROR(F338),"",K319)</f>
        <v>Total Marks</v>
      </c>
      <c r="L341" s="28"/>
      <c r="M341" s="28" t="str">
        <f ca="1">IF(ISERROR(F338),"",M319)</f>
        <v>Grade</v>
      </c>
      <c r="N341" s="28" t="str">
        <f ca="1">IF(ISERROR(F338),"",N319)</f>
        <v>Grade Points</v>
      </c>
    </row>
    <row r="342" spans="1:24" ht="11.5" customHeight="1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W342">
        <f ca="1">IF(ISNUMBER(MATCH($F$8,{"I","III","V","VII"},0)),10,10-INDEX(INDIRECT(_xlfn.TEXTJOIN("",TRUE,"SEM_",$G$8,"!",ADDRESS(6,4+$I$8*3+4),":",ADDRESS(5+$H$8,4+$I$8*3+4))),MATCH(INDIRECT(_xlfn.TEXTJOIN("",TRUE,"TC_",$F$8,"!",ADDRESS(ROW(I339),COLUMN(I339)))),INDIRECT(_xlfn.TEXTJOIN("",TRUE,"SEM_",$G$8,"!",ADDRESS(6,2),":",ADDRESS(5+$H$8,2))))))</f>
        <v>10</v>
      </c>
    </row>
    <row r="343" spans="1:24" ht="11.5" customHeight="1" x14ac:dyDescent="0.2">
      <c r="A343" s="7" t="str">
        <f ca="1">IF(ISERROR(F338),"",VLOOKUP(C338,INDIRECT($F$8),6+(O343-1)*3,0))</f>
        <v>AHT 002</v>
      </c>
      <c r="B343" s="24" t="str">
        <f ca="1">IF(ISERROR(F338),"",VLOOKUP(D338,INDIRECT($F$8),6+(O343-1)*3,0))</f>
        <v>Engineering Chemistry</v>
      </c>
      <c r="C343" s="24"/>
      <c r="D343" s="24"/>
      <c r="E343" s="24"/>
      <c r="F343" s="7">
        <f ca="1">IF(ISERROR(F338),"",VLOOKUP(E338,INDIRECT($F$8),6+(O343-1)*3,0))</f>
        <v>4</v>
      </c>
      <c r="G343" s="25" t="str">
        <f ca="1">IF(ISERROR(F338),"",_xlfn.TEXTJOIN("/",FALSE,P343,S343))</f>
        <v>23/100</v>
      </c>
      <c r="H343" s="25"/>
      <c r="I343" s="25" t="str">
        <f ca="1">IF(ISERROR(F338),"",_xlfn.TEXTJOIN("/",FALSE,Q343,T343))</f>
        <v>27/50</v>
      </c>
      <c r="J343" s="25"/>
      <c r="K343" s="25" t="str">
        <f ca="1">IF(ISERROR(F338),"",_xlfn.TEXTJOIN("/",FALSE,R343,U343))</f>
        <v>50/150</v>
      </c>
      <c r="L343" s="25"/>
      <c r="M343" s="7" t="str">
        <f ca="1">IF(ISERROR(F338),"",IF(ISTEXT(P343),IF(P343="A","Ab",IF(P343="D","Dt",IF(P343="UFM","UFM",IF(P343="NA","")))),IF(AND(ISBLANK(P343),ISBLANK(R343)),"",IF(P343&lt;0.3*S343,"F",IF(ISBLANK(R343),"",IF(ISTEXT(R343),R343,IF(R343&gt;=0.95*U343,"O",IF(R343&gt;=0.9*U343,"A+",IF(R343&gt;=0.85*U343,"A",IF(R343&gt;=0.8*U343,"B+",IF(R343&gt;=0.75*U343,"B",IF(R343&gt;=0.7*U343,"C+",IF(R343&gt;=0.65*U343,"C",IF(R343&gt;=0.6*U343,"D+",IF(R343&gt;=0.55*U343,"D",IF(R343&gt;=0.5*U343,"E+",IF(R343&gt;=0.45*U343,"E",IF(R343&gt;=0.4*U343,"P",IF(R343&lt;0.4*U343,"F",R343)))))))))))))))))))</f>
        <v>F</v>
      </c>
      <c r="N343" s="8">
        <f ca="1">INDEX($Z$2:$Z$17,MATCH(M343,$Y$2:$Y$17,0))</f>
        <v>0</v>
      </c>
      <c r="O343">
        <v>1</v>
      </c>
      <c r="P343" s="1">
        <f ca="1">IF(ISERROR(F338),"",IF(ISTEXT(VLOOKUP(B338,INDIRECT($F$8),6+(O343-1)*3)),(VLOOKUP(B338,INDIRECT($F$8),6+(O343-1)*3)),SUM(VLOOKUP(B338,INDIRECT($F$8),6+(O343-1)*3),IF(W356,W343,0))))</f>
        <v>23</v>
      </c>
      <c r="Q343" s="1">
        <f ca="1">IF(ISERROR(F338),"",VLOOKUP(B338,INDIRECT($F$8),7+(O343-1)*3))</f>
        <v>27</v>
      </c>
      <c r="R343" s="1">
        <f ca="1">IF(ISERROR(F338),"",SUM(P343:Q343))</f>
        <v>50</v>
      </c>
      <c r="S343" s="1">
        <f ca="1">IF(ISERROR(F338),"",VLOOKUP(A338,INDIRECT($F$8),6+(O343-1)*3))</f>
        <v>100</v>
      </c>
      <c r="T343" s="1">
        <f ca="1">IF(ISERROR(F338),"",VLOOKUP(A338,INDIRECT($F$8),7+(O343-1)*3))</f>
        <v>50</v>
      </c>
      <c r="U343" s="1">
        <f ca="1">IF(ISERROR(F338),"",VLOOKUP(A338,INDIRECT($F$8),8+(O343-1)*3))</f>
        <v>150</v>
      </c>
      <c r="V343" s="1" t="str">
        <f ca="1">IF(ISERROR(F338),"",IF(N343=0,A343,""))</f>
        <v>AHT 002</v>
      </c>
      <c r="W343" s="1">
        <f ca="1">IF(ISERROR(F338),"",IF(ISTEXT(VLOOKUP(B338,INDIRECT($F$8),6+(O343-1)*3)),11,IF(VLOOKUP(B338,INDIRECT($F$8),6+(O343-1)*3)&lt;S343*0.3,IF(VLOOKUP(B338,INDIRECT($F$8),8+(O343-1)*3)&lt;U343*0.4,IF(AND(0.4*U343-VLOOKUP(B338,INDIRECT($F$8),8+(O343-1)*3)&lt;=5,0.3*S343-VLOOKUP(B338,INDIRECT($F$8),6+(O343-1)*3)&lt;=5),MAX(0.4*U343-VLOOKUP(B338,INDIRECT($F$8),8+(O343-1)*3),0.3*S343-VLOOKUP(B338,INDIRECT($F$8),6+(O343-1)*3)),11),IF(0.3*S343-VLOOKUP(B338,INDIRECT($F$8),6+(O343-1)*3)&lt;=5,0.3*S343-VLOOKUP(B338,INDIRECT($F$8),6+(O343-1)*3),11)),IF(VLOOKUP(B338,INDIRECT($F$8),8+(O343-1)*3)&lt;U343*0.4,IF(U343*0.4-VLOOKUP(B338,INDIRECT($F$8),8+(O343-1)*3)&lt;=5,U343*0.4-VLOOKUP(B338,INDIRECT($F$8),8+(O343-1)*3),11),0))))</f>
        <v>11</v>
      </c>
      <c r="X343" s="1" t="str">
        <f ca="1">IF(ISERROR(F338),"",IF(W343=0,"",_xlfn.TEXTJOIN("",FALSE," G+",W343," in ",A343)))</f>
        <v xml:space="preserve"> G+11 in AHT 002</v>
      </c>
    </row>
    <row r="344" spans="1:24" ht="11.5" customHeight="1" x14ac:dyDescent="0.2">
      <c r="A344" s="7" t="str">
        <f ca="1">IF(ISERROR(F338),"",VLOOKUP(C338,INDIRECT($F$8),6+(O344-1)*3,0))</f>
        <v>AHT 003</v>
      </c>
      <c r="B344" s="24" t="str">
        <f ca="1">IF(ISERROR(F338),"",VLOOKUP(D338,INDIRECT($F$8),6+(O344-1)*3,0))</f>
        <v>Introduction to Engineering Mathematics</v>
      </c>
      <c r="C344" s="24"/>
      <c r="D344" s="24"/>
      <c r="E344" s="24"/>
      <c r="F344" s="7">
        <f ca="1">IF(ISERROR(F338),"",VLOOKUP(E338,INDIRECT($F$8),6+(O344-1)*3,0))</f>
        <v>4</v>
      </c>
      <c r="G344" s="25" t="str">
        <f ca="1">IF(ISERROR(F338),"",_xlfn.TEXTJOIN("/",FALSE,P344,S344))</f>
        <v>13/100</v>
      </c>
      <c r="H344" s="25"/>
      <c r="I344" s="25" t="str">
        <f ca="1">IF(ISERROR(F338),"",_xlfn.TEXTJOIN("/",FALSE,Q344,T344))</f>
        <v>20/50</v>
      </c>
      <c r="J344" s="25"/>
      <c r="K344" s="25" t="str">
        <f ca="1">IF(ISERROR(F338),"",_xlfn.TEXTJOIN("/",FALSE,R344,U344))</f>
        <v>33/150</v>
      </c>
      <c r="L344" s="25"/>
      <c r="M344" s="7" t="str">
        <f ca="1">IF(ISERROR(F338),"",IF(ISTEXT(P344),IF(P344="A","Ab",IF(P344="D","Dt",IF(P344="UFM","UFM",IF(P344="NA","")))),IF(AND(ISBLANK(P344),ISBLANK(R344)),"",IF(P344&lt;0.3*S344,"F",IF(ISBLANK(R344),"",IF(ISTEXT(R344),R344,IF(R344&gt;=0.95*U344,"O",IF(R344&gt;=0.9*U344,"A+",IF(R344&gt;=0.85*U344,"A",IF(R344&gt;=0.8*U344,"B+",IF(R344&gt;=0.75*U344,"B",IF(R344&gt;=0.7*U344,"C+",IF(R344&gt;=0.65*U344,"C",IF(R344&gt;=0.6*U344,"D+",IF(R344&gt;=0.55*U344,"D",IF(R344&gt;=0.5*U344,"E+",IF(R344&gt;=0.45*U344,"E",IF(R344&gt;=0.4*U344,"P",IF(R344&lt;0.4*U344,"F",R344)))))))))))))))))))</f>
        <v>F</v>
      </c>
      <c r="N344" s="8">
        <f t="shared" ref="N344:N353" ca="1" si="31">INDEX($Z$2:$Z$17,MATCH(M344,$Y$2:$Y$17,0))</f>
        <v>0</v>
      </c>
      <c r="O344">
        <f>O343+1</f>
        <v>2</v>
      </c>
      <c r="P344" s="1">
        <f ca="1">IF(ISERROR(F338),"",IF(ISTEXT(VLOOKUP(B338,INDIRECT($F$8),6+(O344-1)*3)),(VLOOKUP(B338,INDIRECT($F$8),6+(O344-1)*3)),SUM(VLOOKUP(B338,INDIRECT($F$8),6+(O344-1)*3),IF(W356,W344,0))))</f>
        <v>13</v>
      </c>
      <c r="Q344" s="1">
        <f ca="1">IF(ISERROR(F338),"",VLOOKUP(B338,INDIRECT($F$8),7+(O344-1)*3))</f>
        <v>20</v>
      </c>
      <c r="R344" s="1">
        <f ca="1">IF(ISERROR(F338),"",SUM(P344:Q344))</f>
        <v>33</v>
      </c>
      <c r="S344" s="1">
        <f ca="1">IF(ISERROR(F338),"",VLOOKUP(A338,INDIRECT($F$8),6+(O344-1)*3))</f>
        <v>100</v>
      </c>
      <c r="T344" s="1">
        <f ca="1">IF(ISERROR(F338),"",VLOOKUP(A338,INDIRECT($F$8),7+(O344-1)*3))</f>
        <v>50</v>
      </c>
      <c r="U344" s="1">
        <f ca="1">IF(ISERROR(F338),"",VLOOKUP(A338,INDIRECT($F$8),8+(O344-1)*3))</f>
        <v>150</v>
      </c>
      <c r="V344" s="1" t="str">
        <f ca="1">IF(ISERROR(F338),"",IF(N344=0,A344,""))</f>
        <v>AHT 003</v>
      </c>
      <c r="W344" s="1">
        <f ca="1">IF(ISERROR(F338),"",IF(ISTEXT(VLOOKUP(B338,INDIRECT($F$8),6+(O344-1)*3)),11,IF(VLOOKUP(B338,INDIRECT($F$8),6+(O344-1)*3)&lt;S344*0.3,IF(VLOOKUP(B338,INDIRECT($F$8),8+(O344-1)*3)&lt;U344*0.4,IF(AND(0.4*U344-VLOOKUP(B338,INDIRECT($F$8),8+(O344-1)*3)&lt;=5,0.3*S344-VLOOKUP(B338,INDIRECT($F$8),6+(O344-1)*3)&lt;=5),MAX(0.4*U344-VLOOKUP(B338,INDIRECT($F$8),8+(O344-1)*3),0.3*S344-VLOOKUP(B338,INDIRECT($F$8),6+(O344-1)*3)),11),IF(0.3*S344-VLOOKUP(B338,INDIRECT($F$8),6+(O344-1)*3)&lt;=5,0.3*S344-VLOOKUP(B338,INDIRECT($F$8),6+(O344-1)*3),11)),IF(VLOOKUP(B338,INDIRECT($F$8),8+(O344-1)*3)&lt;U344*0.4,IF(U344*0.4-VLOOKUP(B338,INDIRECT($F$8),8+(O344-1)*3)&lt;=5,U344*0.4-VLOOKUP(B338,INDIRECT($F$8),8+(O344-1)*3),11),0))))</f>
        <v>11</v>
      </c>
      <c r="X344" s="1" t="str">
        <f ca="1">IF(ISERROR(F338),"",IF(W344=0,"",_xlfn.TEXTJOIN("",FALSE," G+",W344," in ",A344)))</f>
        <v xml:space="preserve"> G+11 in AHT 003</v>
      </c>
    </row>
    <row r="345" spans="1:24" ht="11.5" customHeight="1" x14ac:dyDescent="0.2">
      <c r="A345" s="7" t="str">
        <f ca="1">IF(ISERROR(F338),"",VLOOKUP(C338,INDIRECT($F$8),6+(O345-1)*3,0))</f>
        <v>ECT 001</v>
      </c>
      <c r="B345" s="24" t="str">
        <f ca="1">IF(ISERROR(F338),"",VLOOKUP(D338,INDIRECT($F$8),6+(O345-1)*3,0))</f>
        <v>Basic Electronics Engineering</v>
      </c>
      <c r="C345" s="24"/>
      <c r="D345" s="24"/>
      <c r="E345" s="24"/>
      <c r="F345" s="7">
        <f ca="1">IF(ISERROR(F338),"",VLOOKUP(E338,INDIRECT($F$8),6+(O345-1)*3,0))</f>
        <v>4</v>
      </c>
      <c r="G345" s="25" t="str">
        <f ca="1">IF(ISERROR(F338),"",_xlfn.TEXTJOIN("/",FALSE,P345,S345))</f>
        <v>34/100</v>
      </c>
      <c r="H345" s="25"/>
      <c r="I345" s="25" t="str">
        <f ca="1">IF(ISERROR(F338),"",_xlfn.TEXTJOIN("/",FALSE,Q345,T345))</f>
        <v>40/50</v>
      </c>
      <c r="J345" s="25"/>
      <c r="K345" s="25" t="str">
        <f ca="1">IF(ISERROR(F338),"",_xlfn.TEXTJOIN("/",FALSE,R345,U345))</f>
        <v>74/150</v>
      </c>
      <c r="L345" s="25"/>
      <c r="M345" s="7" t="str">
        <f ca="1">IF(ISERROR(F338),"",IF(ISTEXT(P345),IF(P345="A","Ab",IF(P345="D","Dt",IF(P345="UFM","UFM",IF(P345="NA","")))),IF(AND(ISBLANK(P345),ISBLANK(R345)),"",IF(P345&lt;0.3*S345,"F",IF(ISBLANK(R345),"",IF(ISTEXT(R345),R345,IF(R345&gt;=0.95*U345,"O",IF(R345&gt;=0.9*U345,"A+",IF(R345&gt;=0.85*U345,"A",IF(R345&gt;=0.8*U345,"B+",IF(R345&gt;=0.75*U345,"B",IF(R345&gt;=0.7*U345,"C+",IF(R345&gt;=0.65*U345,"C",IF(R345&gt;=0.6*U345,"D+",IF(R345&gt;=0.55*U345,"D",IF(R345&gt;=0.5*U345,"E+",IF(R345&gt;=0.45*U345,"E",IF(R345&gt;=0.4*U345,"P",IF(R345&lt;0.4*U345,"F",R345)))))))))))))))))))</f>
        <v>E</v>
      </c>
      <c r="N345" s="8">
        <f t="shared" ca="1" si="31"/>
        <v>5</v>
      </c>
      <c r="O345">
        <f>O344+1</f>
        <v>3</v>
      </c>
      <c r="P345" s="1">
        <f ca="1">IF(ISERROR(F338),"",IF(ISTEXT(VLOOKUP(B338,INDIRECT($F$8),6+(O345-1)*3)),(VLOOKUP(B338,INDIRECT($F$8),6+(O345-1)*3)),SUM(VLOOKUP(B338,INDIRECT($F$8),6+(O345-1)*3),IF(W356,W345,0))))</f>
        <v>34</v>
      </c>
      <c r="Q345" s="1">
        <f ca="1">IF(ISERROR(F338),"",VLOOKUP(B338,INDIRECT($F$8),7+(O345-1)*3))</f>
        <v>40</v>
      </c>
      <c r="R345" s="1">
        <f ca="1">IF(ISERROR(F338),"",SUM(P345:Q345))</f>
        <v>74</v>
      </c>
      <c r="S345" s="1">
        <f ca="1">IF(ISERROR(F338),"",VLOOKUP(A338,INDIRECT($F$8),6+(O345-1)*3))</f>
        <v>100</v>
      </c>
      <c r="T345" s="1">
        <f ca="1">IF(ISERROR(F338),"",VLOOKUP(A338,INDIRECT($F$8),7+(O345-1)*3))</f>
        <v>50</v>
      </c>
      <c r="U345" s="1">
        <f ca="1">IF(ISERROR(F338),"",VLOOKUP(A338,INDIRECT($F$8),8+(O345-1)*3))</f>
        <v>150</v>
      </c>
      <c r="V345" s="1" t="str">
        <f ca="1">IF(ISERROR(F338),"",IF(N345=0,A345,""))</f>
        <v/>
      </c>
      <c r="W345" s="1">
        <f ca="1">IF(ISERROR(F338),"",IF(ISTEXT(VLOOKUP(B338,INDIRECT($F$8),6+(O345-1)*3)),11,IF(VLOOKUP(B338,INDIRECT($F$8),6+(O345-1)*3)&lt;S345*0.3,IF(VLOOKUP(B338,INDIRECT($F$8),8+(O345-1)*3)&lt;U345*0.4,IF(AND(0.4*U345-VLOOKUP(B338,INDIRECT($F$8),8+(O345-1)*3)&lt;=5,0.3*S345-VLOOKUP(B338,INDIRECT($F$8),6+(O345-1)*3)&lt;=5),MAX(0.4*U345-VLOOKUP(B338,INDIRECT($F$8),8+(O345-1)*3),0.3*S345-VLOOKUP(B338,INDIRECT($F$8),6+(O345-1)*3)),11),IF(0.3*S345-VLOOKUP(B338,INDIRECT($F$8),6+(O345-1)*3)&lt;=5,0.3*S345-VLOOKUP(B338,INDIRECT($F$8),6+(O345-1)*3),11)),IF(VLOOKUP(B338,INDIRECT($F$8),8+(O345-1)*3)&lt;U345*0.4,IF(U345*0.4-VLOOKUP(B338,INDIRECT($F$8),8+(O345-1)*3)&lt;=5,U345*0.4-VLOOKUP(B338,INDIRECT($F$8),8+(O345-1)*3),11),0))))</f>
        <v>0</v>
      </c>
      <c r="X345" s="1" t="str">
        <f ca="1">IF(ISERROR(F338),"",IF(W345=0,"",_xlfn.TEXTJOIN("",FALSE," G+",W345," in ",A345)))</f>
        <v/>
      </c>
    </row>
    <row r="346" spans="1:24" ht="11.5" customHeight="1" x14ac:dyDescent="0.2">
      <c r="A346" s="7" t="str">
        <f ca="1">IF(ISERROR(F338),"",VLOOKUP(C338,INDIRECT($F$8),6+(O346-1)*3,0))</f>
        <v>MET 001</v>
      </c>
      <c r="B346" s="24" t="str">
        <f ca="1">IF(ISERROR(F338),"",VLOOKUP(D338,INDIRECT($F$8),6+(O346-1)*3,0))</f>
        <v>Basic Mechanical Engineering</v>
      </c>
      <c r="C346" s="24"/>
      <c r="D346" s="24"/>
      <c r="E346" s="24"/>
      <c r="F346" s="7">
        <f ca="1">IF(ISERROR(F338),"",VLOOKUP(E338,INDIRECT($F$8),6+(O346-1)*3,0))</f>
        <v>4</v>
      </c>
      <c r="G346" s="25" t="str">
        <f ca="1">IF(ISERROR(F338),"",_xlfn.TEXTJOIN("/",FALSE,P346,S346))</f>
        <v>44/100</v>
      </c>
      <c r="H346" s="25"/>
      <c r="I346" s="25" t="str">
        <f ca="1">IF(ISERROR(F338),"",_xlfn.TEXTJOIN("/",FALSE,Q346,T346))</f>
        <v>40/50</v>
      </c>
      <c r="J346" s="25"/>
      <c r="K346" s="25" t="str">
        <f ca="1">IF(ISERROR(F338),"",_xlfn.TEXTJOIN("/",FALSE,R346,U346))</f>
        <v>84/150</v>
      </c>
      <c r="L346" s="25"/>
      <c r="M346" s="7" t="str">
        <f ca="1">IF(ISERROR(F338),"",IF(ISTEXT(P346),IF(P346="A","Ab",IF(P346="D","Dt",IF(P346="UFM","UFM",IF(P346="NA","")))),IF(AND(ISBLANK(P346),ISBLANK(R346)),"",IF(P346&lt;0.3*S346,"F",IF(ISBLANK(R346),"",IF(ISTEXT(R346),R346,IF(R346&gt;=0.95*U346,"O",IF(R346&gt;=0.9*U346,"A+",IF(R346&gt;=0.85*U346,"A",IF(R346&gt;=0.8*U346,"B+",IF(R346&gt;=0.75*U346,"B",IF(R346&gt;=0.7*U346,"C+",IF(R346&gt;=0.65*U346,"C",IF(R346&gt;=0.6*U346,"D+",IF(R346&gt;=0.55*U346,"D",IF(R346&gt;=0.5*U346,"E+",IF(R346&gt;=0.45*U346,"E",IF(R346&gt;=0.4*U346,"P",IF(R346&lt;0.4*U346,"F",R346)))))))))))))))))))</f>
        <v>D</v>
      </c>
      <c r="N346" s="8">
        <f t="shared" ca="1" si="31"/>
        <v>6</v>
      </c>
      <c r="O346">
        <f>O345+1</f>
        <v>4</v>
      </c>
      <c r="P346" s="1">
        <f ca="1">IF(ISERROR(F338),"",IF(ISTEXT(VLOOKUP(B338,INDIRECT($F$8),6+(O346-1)*3)),(VLOOKUP(B338,INDIRECT($F$8),6+(O346-1)*3)),SUM(VLOOKUP(B338,INDIRECT($F$8),6+(O346-1)*3),IF(W356,W346,0))))</f>
        <v>44</v>
      </c>
      <c r="Q346" s="1">
        <f ca="1">IF(ISERROR(F338),"",VLOOKUP(B338,INDIRECT($F$8),7+(O346-1)*3))</f>
        <v>40</v>
      </c>
      <c r="R346" s="1">
        <f ca="1">IF(ISERROR(F338),"",SUM(P346:Q346))</f>
        <v>84</v>
      </c>
      <c r="S346" s="1">
        <f ca="1">IF(ISERROR(F338),"",VLOOKUP(A338,INDIRECT($F$8),6+(O346-1)*3))</f>
        <v>100</v>
      </c>
      <c r="T346" s="1">
        <f ca="1">IF(ISERROR(F338),"",VLOOKUP(A338,INDIRECT($F$8),7+(O346-1)*3))</f>
        <v>50</v>
      </c>
      <c r="U346" s="1">
        <f ca="1">IF(ISERROR(F338),"",VLOOKUP(A338,INDIRECT($F$8),8+(O346-1)*3))</f>
        <v>150</v>
      </c>
      <c r="V346" s="1" t="str">
        <f ca="1">IF(ISERROR(F338),"",IF(N346=0,A346,""))</f>
        <v/>
      </c>
      <c r="W346" s="1">
        <f ca="1">IF(ISERROR(F338),"",IF(ISTEXT(VLOOKUP(B338,INDIRECT($F$8),6+(O346-1)*3)),11,IF(VLOOKUP(B338,INDIRECT($F$8),6+(O346-1)*3)&lt;S346*0.3,IF(VLOOKUP(B338,INDIRECT($F$8),8+(O346-1)*3)&lt;U346*0.4,IF(AND(0.4*U346-VLOOKUP(B338,INDIRECT($F$8),8+(O346-1)*3)&lt;=5,0.3*S346-VLOOKUP(B338,INDIRECT($F$8),6+(O346-1)*3)&lt;=5),MAX(0.4*U346-VLOOKUP(B338,INDIRECT($F$8),8+(O346-1)*3),0.3*S346-VLOOKUP(B338,INDIRECT($F$8),6+(O346-1)*3)),11),IF(0.3*S346-VLOOKUP(B338,INDIRECT($F$8),6+(O346-1)*3)&lt;=5,0.3*S346-VLOOKUP(B338,INDIRECT($F$8),6+(O346-1)*3),11)),IF(VLOOKUP(B338,INDIRECT($F$8),8+(O346-1)*3)&lt;U346*0.4,IF(U346*0.4-VLOOKUP(B338,INDIRECT($F$8),8+(O346-1)*3)&lt;=5,U346*0.4-VLOOKUP(B338,INDIRECT($F$8),8+(O346-1)*3),11),0))))</f>
        <v>0</v>
      </c>
      <c r="X346" s="1" t="str">
        <f ca="1">IF(ISERROR(F338),"",IF(W346=0,"",_xlfn.TEXTJOIN("",FALSE," G+",W346," in ",A346)))</f>
        <v/>
      </c>
    </row>
    <row r="347" spans="1:24" ht="11.5" customHeight="1" x14ac:dyDescent="0.2">
      <c r="A347" s="7" t="str">
        <f ca="1">IF(ISERROR(F338),"",VLOOKUP(C338,INDIRECT($F$8),6+(O347-1)*3,0))</f>
        <v>AHT 000</v>
      </c>
      <c r="B347" s="24" t="str">
        <f ca="1">IF(ISERROR(F338),"",VLOOKUP(D338,INDIRECT($F$8),6+(O347-1)*3,0))</f>
        <v>Basic Mathematics (Bridge Course) ($)</v>
      </c>
      <c r="C347" s="24"/>
      <c r="D347" s="24"/>
      <c r="E347" s="24"/>
      <c r="F347" s="7">
        <f ca="1">IF(ISERROR(F338),"",VLOOKUP(E338,INDIRECT($F$8),6+(O347-1)*3,0))</f>
        <v>0</v>
      </c>
      <c r="G347" s="25" t="str">
        <f ca="1">IF(ISERROR(F338),"",_xlfn.TEXTJOIN("/",FALSE,P347,S347))</f>
        <v>22/100</v>
      </c>
      <c r="H347" s="25"/>
      <c r="I347" s="25" t="str">
        <f ca="1">IF(ISERROR(F338),"",_xlfn.TEXTJOIN("/",FALSE,Q347,T347))</f>
        <v>24/50</v>
      </c>
      <c r="J347" s="25"/>
      <c r="K347" s="25" t="str">
        <f ca="1">IF(ISERROR(F338),"",_xlfn.TEXTJOIN("/",FALSE,R347,U347))</f>
        <v>46/150</v>
      </c>
      <c r="L347" s="25"/>
      <c r="M347" s="7" t="str">
        <f ca="1">IF(ISERROR(F338),"",IF(ISTEXT(P347),IF(P347="A","Ab",IF(P347="D","Dt",IF(P347="UFM","UFM",IF(P347="NA","")))),IF(AND(ISBLANK(P347),ISBLANK(R347)),"",IF(P347&lt;0.3*S347,"F",IF(ISBLANK(R347),"",IF(ISTEXT(R347),R347,IF(R347&gt;=0.95*U347,"O",IF(R347&gt;=0.9*U347,"A+",IF(R347&gt;=0.85*U347,"A",IF(R347&gt;=0.8*U347,"B+",IF(R347&gt;=0.75*U347,"B",IF(R347&gt;=0.7*U347,"C+",IF(R347&gt;=0.65*U347,"C",IF(R347&gt;=0.6*U347,"D+",IF(R347&gt;=0.55*U347,"D",IF(R347&gt;=0.5*U347,"E+",IF(R347&gt;=0.45*U347,"E",IF(R347&gt;=0.4*U347,"P",IF(R347&lt;0.4*U347,"F",R347)))))))))))))))))))</f>
        <v>F</v>
      </c>
      <c r="N347" s="8">
        <f t="shared" ca="1" si="31"/>
        <v>0</v>
      </c>
      <c r="O347" cm="1">
        <f t="array" aca="1" ref="O347" ca="1">IF(NOT(ISBLANK(INDIRECT("SEM_I!R"&amp;INT((ROW(O347)-17)/22)+6))),5,
IF(NOT(ISBLANK(INDIRECT("SEM_I!U"&amp;INT((ROW(O347)-17)/22)+6))),6))</f>
        <v>5</v>
      </c>
      <c r="P347" s="1">
        <f ca="1">IF(ISERROR(F338),"",IF(ISTEXT(VLOOKUP(B338,INDIRECT($F$8),6+(O347-1)*3)),(VLOOKUP(B338,INDIRECT($F$8),6+(O347-1)*3)),SUM(VLOOKUP(B338,INDIRECT($F$8),6+(O347-1)*3),IF(W356,W347,0))))</f>
        <v>22</v>
      </c>
      <c r="Q347" s="1">
        <f ca="1">IF(ISERROR(F338),"",VLOOKUP(B338,INDIRECT($F$8),7+(O347-1)*3))</f>
        <v>24</v>
      </c>
      <c r="R347" s="1">
        <f ca="1">IF(ISERROR(F338),"",SUM(P347:Q347))</f>
        <v>46</v>
      </c>
      <c r="S347" s="1">
        <f ca="1">IF(ISERROR(F338),"",VLOOKUP(A338,INDIRECT($F$8),6+(O347-1)*3))</f>
        <v>100</v>
      </c>
      <c r="T347" s="1">
        <f ca="1">IF(ISERROR(F338),"",VLOOKUP(A338,INDIRECT($F$8),7+(O347-1)*3))</f>
        <v>50</v>
      </c>
      <c r="U347" s="1">
        <f ca="1">IF(ISERROR(F338),"",VLOOKUP(A338,INDIRECT($F$8),8+(O347-1)*3))</f>
        <v>150</v>
      </c>
      <c r="V347" s="1" t="str">
        <f ca="1">IF(ISERROR(F338),"",IF(N347=0,A347,""))</f>
        <v>AHT 000</v>
      </c>
      <c r="W347" s="1">
        <f ca="1">IF(ISERROR(F338),"",IF(ISTEXT(VLOOKUP(B338,INDIRECT($F$8),6+(O347-1)*3)),11,IF(VLOOKUP(B338,INDIRECT($F$8),6+(O347-1)*3)&lt;S347*0.3,IF(VLOOKUP(B338,INDIRECT($F$8),8+(O347-1)*3)&lt;U347*0.4,IF(AND(0.4*U347-VLOOKUP(B338,INDIRECT($F$8),8+(O347-1)*3)&lt;=5,0.3*S347-VLOOKUP(B338,INDIRECT($F$8),6+(O347-1)*3)&lt;=5),MAX(0.4*U347-VLOOKUP(B338,INDIRECT($F$8),8+(O347-1)*3),0.3*S347-VLOOKUP(B338,INDIRECT($F$8),6+(O347-1)*3)),11),IF(0.3*S347-VLOOKUP(B338,INDIRECT($F$8),6+(O347-1)*3)&lt;=5,0.3*S347-VLOOKUP(B338,INDIRECT($F$8),6+(O347-1)*3),11)),IF(VLOOKUP(B338,INDIRECT($F$8),8+(O347-1)*3)&lt;U347*0.4,IF(U347*0.4-VLOOKUP(B338,INDIRECT($F$8),8+(O347-1)*3)&lt;=5,U347*0.4-VLOOKUP(B338,INDIRECT($F$8),8+(O347-1)*3),11),0))))</f>
        <v>11</v>
      </c>
      <c r="X347" s="1" t="str">
        <f ca="1">IF(ISERROR(F338),"",IF(W347=0,"",_xlfn.TEXTJOIN("",FALSE," G+",W347," in ",A347)))</f>
        <v xml:space="preserve"> G+11 in AHT 000</v>
      </c>
    </row>
    <row r="348" spans="1:24" ht="11.5" customHeight="1" x14ac:dyDescent="0.2">
      <c r="A348" s="7" t="str">
        <f ca="1">IF(ISERROR(F338),"",VLOOKUP(C338,INDIRECT($F$8),6+(O348-1)*3,0))</f>
        <v>AHP 002</v>
      </c>
      <c r="B348" s="24" t="str">
        <f ca="1">IF(ISERROR(F338),"",VLOOKUP(D338,INDIRECT($F$8),6+(O348-1)*3,0))</f>
        <v>Engineering Chemistry Lab</v>
      </c>
      <c r="C348" s="24"/>
      <c r="D348" s="24"/>
      <c r="E348" s="24"/>
      <c r="F348" s="7">
        <f ca="1">IF(ISERROR(F338),"",VLOOKUP(E338,INDIRECT($F$8),6+(O348-1)*3,0))</f>
        <v>1</v>
      </c>
      <c r="G348" s="25" t="str">
        <f ca="1">IF(ISERROR(F338),"",_xlfn.TEXTJOIN("/",FALSE,P348,S348))</f>
        <v>18/25</v>
      </c>
      <c r="H348" s="25"/>
      <c r="I348" s="25" t="str">
        <f ca="1">IF(ISERROR(F338),"",_xlfn.TEXTJOIN("/",FALSE,Q348,T348))</f>
        <v>17/25</v>
      </c>
      <c r="J348" s="25"/>
      <c r="K348" s="25" t="str">
        <f ca="1">IF(ISERROR(F338),"",_xlfn.TEXTJOIN("/",FALSE,R348,U348))</f>
        <v>35/50</v>
      </c>
      <c r="L348" s="25"/>
      <c r="M348" s="7" t="str">
        <f ca="1">IF(ISERROR(F338),"",IF(ISTEXT(P348),IF(P348="A","Ab",IF(P348="D","Dt",IF(P348="UFM","UFM",IF(P348="NA","")))),IF(AND(ISBLANK(P348),ISBLANK(R348)),"",IF(P348&lt;0.3*S348,"F",IF(ISBLANK(R348),"",IF(ISTEXT(R348),R348,IF(R348&gt;=0.95*U348,"O",IF(R348&gt;=0.9*U348,"A+",IF(R348&gt;=0.85*U348,"A",IF(R348&gt;=0.8*U348,"B+",IF(R348&gt;=0.75*U348,"B",IF(R348&gt;=0.7*U348,"C+",IF(R348&gt;=0.65*U348,"C",IF(R348&gt;=0.6*U348,"D+",IF(R348&gt;=0.55*U348,"D",IF(R348&gt;=0.5*U348,"E+",IF(R348&gt;=0.45*U348,"E",IF(R348&gt;=0.4*U348,"P",IF(R348&lt;0.4*U348,"F",R348)))))))))))))))))))</f>
        <v>C+</v>
      </c>
      <c r="N348" s="8">
        <f t="shared" ca="1" si="31"/>
        <v>7.5</v>
      </c>
      <c r="O348">
        <f ca="1">IF(O347&gt;0,7)</f>
        <v>7</v>
      </c>
      <c r="P348" s="1">
        <f ca="1">IF(ISERROR(F338),"",IF(ISTEXT(VLOOKUP(B338,INDIRECT($F$8),6+(O348-1)*3)),(VLOOKUP(B338,INDIRECT($F$8),6+(O348-1)*3)),SUM(VLOOKUP(B338,INDIRECT($F$8),6+(O348-1)*3),IF(W356,W348,0))))</f>
        <v>18</v>
      </c>
      <c r="Q348" s="1">
        <f ca="1">IF(ISERROR(F338),"",VLOOKUP(B338,INDIRECT($F$8),7+(O348-1)*3))</f>
        <v>17</v>
      </c>
      <c r="R348" s="1">
        <f ca="1">IF(ISERROR(F338),"",SUM(P348:Q348))</f>
        <v>35</v>
      </c>
      <c r="S348" s="1">
        <f ca="1">IF(ISERROR(F338),"",VLOOKUP(A338,INDIRECT($F$8),6+(O348-1)*3))</f>
        <v>25</v>
      </c>
      <c r="T348" s="1">
        <f ca="1">IF(ISERROR(F338),"",VLOOKUP(A338,INDIRECT($F$8),7+(O348-1)*3))</f>
        <v>25</v>
      </c>
      <c r="U348" s="1">
        <f ca="1">IF(ISERROR(F338),"",VLOOKUP(A338,INDIRECT($F$8),8+(O348-1)*3))</f>
        <v>50</v>
      </c>
      <c r="V348" s="1" t="str">
        <f ca="1">IF(ISERROR(F338),"",IF(N348=0,A348,""))</f>
        <v/>
      </c>
      <c r="W348" s="1">
        <f ca="1">IF(ISERROR(F338),"",IF(ISTEXT(VLOOKUP(B338,INDIRECT($F$8),6+(O348-1)*3)),11,IF(VLOOKUP(B338,INDIRECT($F$8),6+(O348-1)*3)&lt;S348*0.3,IF(VLOOKUP(B338,INDIRECT($F$8),8+(O348-1)*3)&lt;U348*0.4,IF(AND(0.4*U348-VLOOKUP(B338,INDIRECT($F$8),8+(O348-1)*3)&lt;=5,0.3*S348-VLOOKUP(B338,INDIRECT($F$8),6+(O348-1)*3)&lt;=5),MAX(0.4*U348-VLOOKUP(B338,INDIRECT($F$8),8+(O348-1)*3),0.3*S348-VLOOKUP(B338,INDIRECT($F$8),6+(O348-1)*3)),11),IF(0.3*S348-VLOOKUP(B338,INDIRECT($F$8),6+(O348-1)*3)&lt;=5,0.3*S348-VLOOKUP(B338,INDIRECT($F$8),6+(O348-1)*3),11)),IF(VLOOKUP(B338,INDIRECT($F$8),8+(O348-1)*3)&lt;U348*0.4,IF(U348*0.4-VLOOKUP(B338,INDIRECT($F$8),8+(O348-1)*3)&lt;=5,U348*0.4-VLOOKUP(B338,INDIRECT($F$8),8+(O348-1)*3),11),0))))</f>
        <v>0</v>
      </c>
      <c r="X348" s="1" t="str">
        <f ca="1">IF(ISERROR(F338),"",IF(W348=0,"",_xlfn.TEXTJOIN("",FALSE," G+",W348," in ",A348)))</f>
        <v/>
      </c>
    </row>
    <row r="349" spans="1:24" ht="11.5" customHeight="1" x14ac:dyDescent="0.2">
      <c r="A349" s="7" t="str">
        <f ca="1">IF(ISERROR(F338),"",VLOOKUP(C338,INDIRECT($F$8),6+(O349-1)*3,0))</f>
        <v>ECP 001</v>
      </c>
      <c r="B349" s="24" t="str">
        <f ca="1">IF(ISERROR(F338),"",VLOOKUP(D338,INDIRECT($F$8),6+(O349-1)*3,0))</f>
        <v>Basic Electronics Engineering Lab</v>
      </c>
      <c r="C349" s="24"/>
      <c r="D349" s="24"/>
      <c r="E349" s="24"/>
      <c r="F349" s="7">
        <f ca="1">IF(ISERROR(F338),"",VLOOKUP(E338,INDIRECT($F$8),6+(O349-1)*3,0))</f>
        <v>1</v>
      </c>
      <c r="G349" s="25" t="str">
        <f ca="1">IF(ISERROR(F338),"",_xlfn.TEXTJOIN("/",FALSE,P349,S349))</f>
        <v>18/25</v>
      </c>
      <c r="H349" s="25"/>
      <c r="I349" s="25" t="str">
        <f ca="1">IF(ISERROR(F338),"",_xlfn.TEXTJOIN("/",FALSE,Q349,T349))</f>
        <v>21/25</v>
      </c>
      <c r="J349" s="25"/>
      <c r="K349" s="25" t="str">
        <f ca="1">IF(ISERROR(F338),"",_xlfn.TEXTJOIN("/",FALSE,R349,U349))</f>
        <v>39/50</v>
      </c>
      <c r="L349" s="25"/>
      <c r="M349" s="7" t="str">
        <f ca="1">IF(ISERROR(F338)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B</v>
      </c>
      <c r="N349" s="8">
        <f t="shared" ca="1" si="31"/>
        <v>8</v>
      </c>
      <c r="O349">
        <f t="shared" ref="O349:O355" ca="1" si="32">O348+1</f>
        <v>8</v>
      </c>
      <c r="P349" s="1">
        <f ca="1">IF(ISERROR(F338),"",IF(ISTEXT(VLOOKUP(B338,INDIRECT($F$8),6+(O349-1)*3)),(VLOOKUP(B338,INDIRECT($F$8),6+(O349-1)*3)),SUM(VLOOKUP(B338,INDIRECT($F$8),6+(O349-1)*3),IF(W356,W349,0))))</f>
        <v>18</v>
      </c>
      <c r="Q349" s="1">
        <f ca="1">IF(ISERROR(F338),"",VLOOKUP(B338,INDIRECT($F$8),7+(O349-1)*3))</f>
        <v>21</v>
      </c>
      <c r="R349" s="1">
        <f ca="1">IF(ISERROR(F338),"",SUM(P349:Q349))</f>
        <v>39</v>
      </c>
      <c r="S349" s="1">
        <f ca="1">IF(ISERROR(F338),"",VLOOKUP(A338,INDIRECT($F$8),6+(O349-1)*3))</f>
        <v>25</v>
      </c>
      <c r="T349" s="1">
        <f ca="1">IF(ISERROR(F338),"",VLOOKUP(A338,INDIRECT($F$8),7+(O349-1)*3))</f>
        <v>25</v>
      </c>
      <c r="U349" s="1">
        <f ca="1">IF(ISERROR(F338),"",VLOOKUP(A338,INDIRECT($F$8),8+(O349-1)*3))</f>
        <v>50</v>
      </c>
      <c r="V349" s="1" t="str">
        <f ca="1">IF(ISERROR(F338),"",IF(N349=0,A349,""))</f>
        <v/>
      </c>
      <c r="W349" s="1">
        <f ca="1">IF(ISERROR(F338),"",IF(ISTEXT(VLOOKUP(B338,INDIRECT($F$8),6+(O349-1)*3)),11,IF(VLOOKUP(B338,INDIRECT($F$8),6+(O349-1)*3)&lt;S349*0.3,IF(VLOOKUP(B338,INDIRECT($F$8),8+(O349-1)*3)&lt;U349*0.4,IF(AND(0.4*U349-VLOOKUP(B338,INDIRECT($F$8),8+(O349-1)*3)&lt;=5,0.3*S349-VLOOKUP(B338,INDIRECT($F$8),6+(O349-1)*3)&lt;=5),MAX(0.4*U349-VLOOKUP(B338,INDIRECT($F$8),8+(O349-1)*3),0.3*S349-VLOOKUP(B338,INDIRECT($F$8),6+(O349-1)*3)),11),IF(0.3*S349-VLOOKUP(B338,INDIRECT($F$8),6+(O349-1)*3)&lt;=5,0.3*S349-VLOOKUP(B338,INDIRECT($F$8),6+(O349-1)*3),11)),IF(VLOOKUP(B338,INDIRECT($F$8),8+(O349-1)*3)&lt;U349*0.4,IF(U349*0.4-VLOOKUP(B338,INDIRECT($F$8),8+(O349-1)*3)&lt;=5,U349*0.4-VLOOKUP(B338,INDIRECT($F$8),8+(O349-1)*3),11),0))))</f>
        <v>0</v>
      </c>
      <c r="X349" s="1" t="str">
        <f ca="1">IF(ISERROR(F338),"",IF(W349=0,"",_xlfn.TEXTJOIN("",FALSE," G+",W349," in ",A349)))</f>
        <v/>
      </c>
    </row>
    <row r="350" spans="1:24" ht="11.5" customHeight="1" x14ac:dyDescent="0.2">
      <c r="A350" s="7" t="str">
        <f ca="1">IF(ISERROR(F338),"",VLOOKUP(C338,INDIRECT($F$8),6+(O350-1)*3,0))</f>
        <v>MEP 001</v>
      </c>
      <c r="B350" s="24" t="str">
        <f ca="1">IF(ISERROR(F338),"",VLOOKUP(D338,INDIRECT($F$8),6+(O350-1)*3,0))</f>
        <v>Basic Mechanical Engineering Lab</v>
      </c>
      <c r="C350" s="24"/>
      <c r="D350" s="24"/>
      <c r="E350" s="24"/>
      <c r="F350" s="7">
        <f ca="1">IF(ISERROR(F338),"",VLOOKUP(E338,INDIRECT($F$8),6+(O350-1)*3,0))</f>
        <v>1</v>
      </c>
      <c r="G350" s="25" t="str">
        <f ca="1">IF(ISERROR(F338),"",_xlfn.TEXTJOIN("/",FALSE,P350,S350))</f>
        <v>22/25</v>
      </c>
      <c r="H350" s="25"/>
      <c r="I350" s="25" t="str">
        <f ca="1">IF(ISERROR(F338),"",_xlfn.TEXTJOIN("/",FALSE,Q350,T350))</f>
        <v>22/25</v>
      </c>
      <c r="J350" s="25"/>
      <c r="K350" s="25" t="str">
        <f ca="1">IF(ISERROR(F338),"",_xlfn.TEXTJOIN("/",FALSE,R350,U350))</f>
        <v>44/50</v>
      </c>
      <c r="L350" s="25"/>
      <c r="M350" s="7" t="str">
        <f ca="1">IF(ISERROR(F338)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A</v>
      </c>
      <c r="N350" s="8">
        <f t="shared" ca="1" si="31"/>
        <v>9</v>
      </c>
      <c r="O350">
        <f t="shared" ca="1" si="32"/>
        <v>9</v>
      </c>
      <c r="P350" s="1">
        <f ca="1">IF(ISERROR(F338),"",IF(ISTEXT(VLOOKUP(B338,INDIRECT($F$8),6+(O350-1)*3)),(VLOOKUP(B338,INDIRECT($F$8),6+(O350-1)*3)),SUM(VLOOKUP(B338,INDIRECT($F$8),6+(O350-1)*3),IF(W356,W350,0))))</f>
        <v>22</v>
      </c>
      <c r="Q350" s="1">
        <f ca="1">IF(ISERROR(F338),"",VLOOKUP(B338,INDIRECT($F$8),7+(O350-1)*3))</f>
        <v>22</v>
      </c>
      <c r="R350" s="1">
        <f ca="1">IF(ISERROR(F338),"",SUM(P350:Q350))</f>
        <v>44</v>
      </c>
      <c r="S350" s="1">
        <f ca="1">IF(ISERROR(F338),"",VLOOKUP(A338,INDIRECT($F$8),6+(O350-1)*3))</f>
        <v>25</v>
      </c>
      <c r="T350" s="1">
        <f ca="1">IF(ISERROR(F338),"",VLOOKUP(A338,INDIRECT($F$8),7+(O350-1)*3))</f>
        <v>25</v>
      </c>
      <c r="U350" s="1">
        <f ca="1">IF(ISERROR(F338),"",VLOOKUP(A338,INDIRECT($F$8),8+(O350-1)*3))</f>
        <v>50</v>
      </c>
      <c r="V350" s="1" t="str">
        <f ca="1">IF(ISERROR(F338),"",IF(N350=0,A350,""))</f>
        <v/>
      </c>
      <c r="W350" s="1">
        <f ca="1">IF(ISERROR(F338),"",IF(ISTEXT(VLOOKUP(B338,INDIRECT($F$8),6+(O350-1)*3)),11,IF(VLOOKUP(B338,INDIRECT($F$8),6+(O350-1)*3)&lt;S350*0.3,IF(VLOOKUP(B338,INDIRECT($F$8),8+(O350-1)*3)&lt;U350*0.4,IF(AND(0.4*U350-VLOOKUP(B338,INDIRECT($F$8),8+(O350-1)*3)&lt;=5,0.3*S350-VLOOKUP(B338,INDIRECT($F$8),6+(O350-1)*3)&lt;=5),MAX(0.4*U350-VLOOKUP(B338,INDIRECT($F$8),8+(O350-1)*3),0.3*S350-VLOOKUP(B338,INDIRECT($F$8),6+(O350-1)*3)),11),IF(0.3*S350-VLOOKUP(B338,INDIRECT($F$8),6+(O350-1)*3)&lt;=5,0.3*S350-VLOOKUP(B338,INDIRECT($F$8),6+(O350-1)*3),11)),IF(VLOOKUP(B338,INDIRECT($F$8),8+(O350-1)*3)&lt;U350*0.4,IF(U350*0.4-VLOOKUP(B338,INDIRECT($F$8),8+(O350-1)*3)&lt;=5,U350*0.4-VLOOKUP(B338,INDIRECT($F$8),8+(O350-1)*3),11),0))))</f>
        <v>0</v>
      </c>
      <c r="X350" s="1" t="str">
        <f ca="1">IF(ISERROR(F338),"",IF(W350=0,"",_xlfn.TEXTJOIN("",FALSE," G+",W350," in ",A350)))</f>
        <v/>
      </c>
    </row>
    <row r="351" spans="1:24" ht="11.5" customHeight="1" x14ac:dyDescent="0.2">
      <c r="A351" s="7" t="str">
        <f ca="1">IF(ISERROR(F338),"",VLOOKUP(C338,INDIRECT($F$8),6+(O351-1)*3,0))</f>
        <v>MEP 003</v>
      </c>
      <c r="B351" s="24" t="str">
        <f ca="1">IF(ISERROR(F338),"",VLOOKUP(D338,INDIRECT($F$8),6+(O351-1)*3-Z351,0))</f>
        <v>Workshop Practices Lab</v>
      </c>
      <c r="C351" s="24"/>
      <c r="D351" s="24"/>
      <c r="E351" s="24"/>
      <c r="F351" s="7">
        <f ca="1">IF(ISERROR(F338),"",VLOOKUP(E338,INDIRECT($F$8),6+(O351-1)*3,0))</f>
        <v>2</v>
      </c>
      <c r="G351" s="25" t="str">
        <f ca="1">IF(ISERROR(F338),"",_xlfn.TEXTJOIN("/",FALSE,P351,S351))</f>
        <v>47/50</v>
      </c>
      <c r="H351" s="25"/>
      <c r="I351" s="25" t="str">
        <f ca="1">IF(ISERROR(F338),"",_xlfn.TEXTJOIN("/",FALSE,Q351,T351))</f>
        <v>46/50</v>
      </c>
      <c r="J351" s="25"/>
      <c r="K351" s="25" t="str">
        <f ca="1">IF(ISERROR(F338),"",_xlfn.TEXTJOIN("/",FALSE,R351,U351))</f>
        <v>93/100</v>
      </c>
      <c r="L351" s="25"/>
      <c r="M351" s="7" t="str">
        <f ca="1">IF(ISERROR(F338)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A+</v>
      </c>
      <c r="N351" s="8">
        <f t="shared" ca="1" si="31"/>
        <v>9.5</v>
      </c>
      <c r="O351">
        <f t="shared" ca="1" si="32"/>
        <v>10</v>
      </c>
      <c r="P351" s="1">
        <f ca="1">IF(ISERROR(F338),"",IF(ISTEXT(VLOOKUP(B338,INDIRECT($F$8),6+(O351-1)*3)),(VLOOKUP(B338,INDIRECT($F$8),6+(O351-1)*3)),SUM(VLOOKUP(B338,INDIRECT($F$8),6+(O351-1)*3),IF(W356,W351,0))))</f>
        <v>47</v>
      </c>
      <c r="Q351" s="1">
        <f ca="1">IF(ISERROR(F338),"",VLOOKUP(B338,INDIRECT($F$8),7+(O351-1)*3))</f>
        <v>46</v>
      </c>
      <c r="R351" s="1">
        <f ca="1">IF(ISERROR(F338),"",SUM(P351:Q351))</f>
        <v>93</v>
      </c>
      <c r="S351" s="1">
        <f ca="1">IF(ISERROR(F338),"",VLOOKUP(A338,INDIRECT($F$8),6+(O351-1)*3))</f>
        <v>50</v>
      </c>
      <c r="T351" s="1">
        <f ca="1">IF(ISERROR(F338),"",VLOOKUP(A338,INDIRECT($F$8),7+(O351-1)*3))</f>
        <v>50</v>
      </c>
      <c r="U351" s="1">
        <f ca="1">IF(ISERROR(F338),"",VLOOKUP(A338,INDIRECT($F$8),8+(O351-1)*3))</f>
        <v>100</v>
      </c>
      <c r="V351" s="1" t="str">
        <f ca="1">IF(ISERROR(F338),"",IF(N351=0,A351,""))</f>
        <v/>
      </c>
      <c r="W351" s="1">
        <f ca="1">IF(ISERROR(F338),"",IF(ISTEXT(VLOOKUP(B338,INDIRECT($F$8),6+(O351-1)*3)),11,IF(VLOOKUP(B338,INDIRECT($F$8),6+(O351-1)*3)&lt;S351*0.3,IF(VLOOKUP(B338,INDIRECT($F$8),8+(O351-1)*3)&lt;U351*0.4,IF(AND(0.4*U351-VLOOKUP(B338,INDIRECT($F$8),8+(O351-1)*3)&lt;=5,0.3*S351-VLOOKUP(B338,INDIRECT($F$8),6+(O351-1)*3)&lt;=5),MAX(0.4*U351-VLOOKUP(B338,INDIRECT($F$8),8+(O351-1)*3),0.3*S351-VLOOKUP(B338,INDIRECT($F$8),6+(O351-1)*3)),11),IF(0.3*S351-VLOOKUP(B338,INDIRECT($F$8),6+(O351-1)*3)&lt;=5,0.3*S351-VLOOKUP(B338,INDIRECT($F$8),6+(O351-1)*3),11)),IF(VLOOKUP(B338,INDIRECT($F$8),8+(O351-1)*3)&lt;U351*0.4,IF(U351*0.4-VLOOKUP(B338,INDIRECT($F$8),8+(O351-1)*3)&lt;=5,U351*0.4-VLOOKUP(B338,INDIRECT($F$8),8+(O351-1)*3),11),0))))</f>
        <v>0</v>
      </c>
      <c r="X351" s="1" t="str">
        <f ca="1">IF(ISERROR(F338),"",IF(W351=0,"",_xlfn.TEXTJOIN("",FALSE," G+",W351," in ",A351)))</f>
        <v/>
      </c>
    </row>
    <row r="352" spans="1:24" ht="11.5" customHeight="1" x14ac:dyDescent="0.2">
      <c r="A352" s="7" t="str">
        <f ca="1">IF(ISERROR(F338),"",VLOOKUP(C338,INDIRECT($F$8),6+(O352-1)*3,0))</f>
        <v>AHP 004</v>
      </c>
      <c r="B352" s="24" t="str">
        <f ca="1">IF(ISERROR(F338),"",VLOOKUP(D338,INDIRECT($F$8),6+(O352-1)*3-Z352,0))</f>
        <v>Emerging Technologies in Engineering Lab</v>
      </c>
      <c r="C352" s="24"/>
      <c r="D352" s="24"/>
      <c r="E352" s="24"/>
      <c r="F352" s="7">
        <f ca="1">IF(ISERROR(F338),"",VLOOKUP(E338,INDIRECT($F$8),6+(O352-1)*3,0))</f>
        <v>1</v>
      </c>
      <c r="G352" s="25" t="str">
        <f ca="1">IF(ISERROR(F338),"",_xlfn.TEXTJOIN("/",FALSE,P352,S352))</f>
        <v>23/25</v>
      </c>
      <c r="H352" s="25"/>
      <c r="I352" s="25" t="str">
        <f ca="1">IF(ISERROR(F338),"",_xlfn.TEXTJOIN("/",FALSE,Q352,T352))</f>
        <v>23/25</v>
      </c>
      <c r="J352" s="25"/>
      <c r="K352" s="25" t="str">
        <f ca="1">IF(ISERROR(F338),"",_xlfn.TEXTJOIN("/",FALSE,R352,U352))</f>
        <v>46/50</v>
      </c>
      <c r="L352" s="25"/>
      <c r="M352" s="7" t="str">
        <f ca="1">IF(ISERROR(F338)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A+</v>
      </c>
      <c r="N352" s="8">
        <f t="shared" ca="1" si="31"/>
        <v>9.5</v>
      </c>
      <c r="O352">
        <f t="shared" ca="1" si="32"/>
        <v>11</v>
      </c>
      <c r="P352" s="1">
        <f ca="1">IF(ISERROR(F338),"",IF(ISTEXT(VLOOKUP(B338,INDIRECT($F$8),6+(O352-1)*3)),(VLOOKUP(B338,INDIRECT($F$8),6+(O352-1)*3)),SUM(VLOOKUP(B338,INDIRECT($F$8),6+(O352-1)*3),IF(W356,W352,0))))</f>
        <v>23</v>
      </c>
      <c r="Q352" s="1">
        <f ca="1">IF(ISERROR(F338),"",VLOOKUP(B338,INDIRECT($F$8),7+(O352-1)*3))</f>
        <v>23</v>
      </c>
      <c r="R352" s="1">
        <f ca="1">IF(ISERROR(F338),"",SUM(P352:Q352))</f>
        <v>46</v>
      </c>
      <c r="S352" s="1">
        <f ca="1">IF(ISERROR(F338),"",VLOOKUP(A338,INDIRECT($F$8),6+(O352-1)*3))</f>
        <v>25</v>
      </c>
      <c r="T352" s="1">
        <f ca="1">IF(ISERROR(F338),"",VLOOKUP(A338,INDIRECT($F$8),7+(O352-1)*3))</f>
        <v>25</v>
      </c>
      <c r="U352" s="1">
        <f ca="1">IF(ISERROR(F338),"",VLOOKUP(A338,INDIRECT($F$8),8+(O352-1)*3))</f>
        <v>50</v>
      </c>
      <c r="V352" s="1" t="str">
        <f ca="1">IF(ISERROR(F338),"",IF(N352=0,A352,""))</f>
        <v/>
      </c>
      <c r="W352" s="1">
        <f ca="1">IF(ISERROR(F338),"",IF(ISTEXT(VLOOKUP(B338,INDIRECT($F$8),6+(O352-1)*3)),11,IF(VLOOKUP(B338,INDIRECT($F$8),6+(O352-1)*3)&lt;S352*0.3,IF(VLOOKUP(B338,INDIRECT($F$8),8+(O352-1)*3)&lt;U352*0.4,IF(AND(0.4*U352-VLOOKUP(B338,INDIRECT($F$8),8+(O352-1)*3)&lt;=5,0.3*S352-VLOOKUP(B338,INDIRECT($F$8),6+(O352-1)*3)&lt;=5),MAX(0.4*U352-VLOOKUP(B338,INDIRECT($F$8),8+(O352-1)*3),0.3*S352-VLOOKUP(B338,INDIRECT($F$8),6+(O352-1)*3)),11),IF(0.3*S352-VLOOKUP(B338,INDIRECT($F$8),6+(O352-1)*3)&lt;=5,0.3*S352-VLOOKUP(B338,INDIRECT($F$8),6+(O352-1)*3),11)),IF(VLOOKUP(B338,INDIRECT($F$8),8+(O352-1)*3)&lt;U352*0.4,IF(U352*0.4-VLOOKUP(B338,INDIRECT($F$8),8+(O352-1)*3)&lt;=5,U352*0.4-VLOOKUP(B338,INDIRECT($F$8),8+(O352-1)*3),11),0))))</f>
        <v>0</v>
      </c>
      <c r="X352" s="1" t="str">
        <f ca="1">IF(ISERROR(F338),"",IF(W352=0,"",_xlfn.TEXTJOIN("",FALSE," G+",W352," in ",A352)))</f>
        <v/>
      </c>
    </row>
    <row r="353" spans="1:24" ht="11.5" customHeight="1" x14ac:dyDescent="0.2">
      <c r="A353" s="7" t="str">
        <f ca="1">IF(ISERROR(F338),"",VLOOKUP(C338,INDIRECT($F$8),6+(O353-1)*3,0))</f>
        <v>CSP 002</v>
      </c>
      <c r="B353" s="24" t="str">
        <f ca="1">IF(ISERROR(F338),"",VLOOKUP(D338,INDIRECT($F$8),6+(O353-1)*3,0))</f>
        <v>Computer Applications and IOT</v>
      </c>
      <c r="C353" s="24"/>
      <c r="D353" s="24"/>
      <c r="E353" s="24"/>
      <c r="F353" s="7">
        <f ca="1">IF(ISERROR(F338),"",VLOOKUP(E338,INDIRECT($F$8),6+(O353-1)*3,0))</f>
        <v>1</v>
      </c>
      <c r="G353" s="25" t="str">
        <f ca="1">IF(ISERROR(F338),"",_xlfn.TEXTJOIN("/",FALSE,P353,S353))</f>
        <v>23/25</v>
      </c>
      <c r="H353" s="25"/>
      <c r="I353" s="25" t="str">
        <f ca="1">IF(ISERROR(F338),"",_xlfn.TEXTJOIN("/",FALSE,Q353,T353))</f>
        <v>23/25</v>
      </c>
      <c r="J353" s="25"/>
      <c r="K353" s="25" t="str">
        <f ca="1">IF(ISERROR(F338),"",_xlfn.TEXTJOIN("/",FALSE,R353,U353))</f>
        <v>46/50</v>
      </c>
      <c r="L353" s="25"/>
      <c r="M353" s="7" t="str">
        <f ca="1">IF(ISERROR(F338)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A+</v>
      </c>
      <c r="N353" s="8">
        <f t="shared" ca="1" si="31"/>
        <v>9.5</v>
      </c>
      <c r="O353">
        <f t="shared" ca="1" si="32"/>
        <v>12</v>
      </c>
      <c r="P353" s="1">
        <f ca="1">IF(ISERROR(F338),"",IF(ISTEXT(VLOOKUP(B338,INDIRECT($F$8),6+(O353-1)*3)),(VLOOKUP(B338,INDIRECT($F$8),6+(O353-1)*3)),SUM(VLOOKUP(B338,INDIRECT($F$8),6+(O353-1)*3),IF(W356,W353,0))))</f>
        <v>23</v>
      </c>
      <c r="Q353" s="1">
        <f ca="1">IF(ISERROR(F338),"",VLOOKUP(B338,INDIRECT($F$8),7+(O353-1)*3))</f>
        <v>23</v>
      </c>
      <c r="R353" s="1">
        <f ca="1">IF(ISERROR(F338),"",SUM(P353:Q353))</f>
        <v>46</v>
      </c>
      <c r="S353" s="1">
        <f ca="1">IF(ISERROR(F338),"",VLOOKUP(A338,INDIRECT($F$8),6+(O353-1)*3))</f>
        <v>25</v>
      </c>
      <c r="T353" s="1">
        <f ca="1">IF(ISERROR(F338),"",VLOOKUP(A338,INDIRECT($F$8),7+(O353-1)*3))</f>
        <v>25</v>
      </c>
      <c r="U353" s="1">
        <f ca="1">IF(ISERROR(F338),"",VLOOKUP(A338,INDIRECT($F$8),8+(O353-1)*3))</f>
        <v>50</v>
      </c>
      <c r="V353" s="1" t="str">
        <f ca="1">IF(ISERROR(F338),"",IF(N353=0,A353,""))</f>
        <v/>
      </c>
      <c r="W353" s="1">
        <f ca="1">IF(ISERROR(F338),"",IF(ISTEXT(VLOOKUP(B338,INDIRECT($F$8),6+(O353-1)*3)),11,IF(VLOOKUP(B338,INDIRECT($F$8),6+(O353-1)*3)&lt;S353*0.3,IF(VLOOKUP(B338,INDIRECT($F$8),8+(O353-1)*3)&lt;U353*0.4,IF(AND(0.4*U353-VLOOKUP(B338,INDIRECT($F$8),8+(O353-1)*3)&lt;=5,0.3*S353-VLOOKUP(B338,INDIRECT($F$8),6+(O353-1)*3)&lt;=5),MAX(0.4*U353-VLOOKUP(B338,INDIRECT($F$8),8+(O353-1)*3),0.3*S353-VLOOKUP(B338,INDIRECT($F$8),6+(O353-1)*3)),11),IF(0.3*S353-VLOOKUP(B338,INDIRECT($F$8),6+(O353-1)*3)&lt;=5,0.3*S353-VLOOKUP(B338,INDIRECT($F$8),6+(O353-1)*3),11)),IF(VLOOKUP(B338,INDIRECT($F$8),8+(O353-1)*3)&lt;U353*0.4,IF(U353*0.4-VLOOKUP(B338,INDIRECT($F$8),8+(O353-1)*3)&lt;=5,U353*0.4-VLOOKUP(B338,INDIRECT($F$8),8+(O353-1)*3),11),0))))</f>
        <v>0</v>
      </c>
      <c r="X353" s="1" t="str">
        <f ca="1">IF(ISERROR(F338),"",IF(W353=0,"",_xlfn.TEXTJOIN("",FALSE," G+",W353," in ",A353)))</f>
        <v/>
      </c>
    </row>
    <row r="354" spans="1:24" ht="11.5" customHeight="1" x14ac:dyDescent="0.2">
      <c r="A354" s="7" t="str">
        <f ca="1">IF(ISERROR(F338),"",VLOOKUP(C338,INDIRECT($F$8),6+(O354-1)*3,0))</f>
        <v>AHP 006</v>
      </c>
      <c r="B354" s="24" t="str">
        <f ca="1">IF(ISERROR(F338),"",VLOOKUP(D338,INDIRECT($F$8),6+(O354-1)*3,0))</f>
        <v>English Language Lab ($)</v>
      </c>
      <c r="C354" s="24"/>
      <c r="D354" s="24"/>
      <c r="E354" s="24"/>
      <c r="F354" s="7">
        <f ca="1">IF(ISERROR(F338),"",VLOOKUP(E338,INDIRECT($F$8),6+(O354-1)*3,0))</f>
        <v>0</v>
      </c>
      <c r="G354" s="25" t="str">
        <f ca="1">IF(ISERROR(F338),"",_xlfn.TEXTJOIN("/",FALSE,P354,S354))</f>
        <v>17/25</v>
      </c>
      <c r="H354" s="25"/>
      <c r="I354" s="25" t="str">
        <f ca="1">IF(ISERROR(F338),"",_xlfn.TEXTJOIN("/",FALSE,Q354,T354))</f>
        <v>16/50</v>
      </c>
      <c r="J354" s="25"/>
      <c r="K354" s="25" t="str">
        <f ca="1">IF(ISERROR(F338),"",_xlfn.TEXTJOIN("/",FALSE,R354,U354))</f>
        <v>33/75</v>
      </c>
      <c r="L354" s="25"/>
      <c r="M354" s="7" t="str">
        <f ca="1">IF(ISERROR(F338)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P</v>
      </c>
      <c r="N354" s="8">
        <f ca="1">INDEX($Z$2:$Z$17,MATCH(M354,$Y$2:$Y$17,0))</f>
        <v>4.5</v>
      </c>
      <c r="O354">
        <f t="shared" ca="1" si="32"/>
        <v>13</v>
      </c>
      <c r="P354" s="1">
        <f ca="1">IF(ISERROR(F338),"",IF(ISTEXT(VLOOKUP(B338,INDIRECT($F$8),6+(O354-1)*3)),(VLOOKUP(B338,INDIRECT($F$8),6+(O354-1)*3)),SUM(VLOOKUP(B338,INDIRECT($F$8),6+(O354-1)*3),IF(W356,W354,0))))</f>
        <v>17</v>
      </c>
      <c r="Q354" s="1">
        <f ca="1">IF(ISERROR(F338),"",VLOOKUP(B338,INDIRECT($F$8),7+(O354-1)*3))</f>
        <v>16</v>
      </c>
      <c r="R354" s="1">
        <f ca="1">IF(ISERROR(F338),"",SUM(P354:Q354))</f>
        <v>33</v>
      </c>
      <c r="S354" s="1">
        <f ca="1">IF(ISERROR(F338),"",VLOOKUP(A338,INDIRECT($F$8),6+(O354-1)*3))</f>
        <v>25</v>
      </c>
      <c r="T354" s="1">
        <f ca="1">IF(ISERROR(F338),"",VLOOKUP(A338,INDIRECT($F$8),7+(O354-1)*3))</f>
        <v>50</v>
      </c>
      <c r="U354" s="1">
        <f ca="1">IF(ISERROR(F338),"",VLOOKUP(A338,INDIRECT($F$8),8+(O354-1)*3))</f>
        <v>75</v>
      </c>
      <c r="V354" s="1"/>
      <c r="W354" s="1">
        <f ca="1">IF(ISERROR(F338),"",IF(ISTEXT(VLOOKUP(B338,INDIRECT($F$8),6+(O354-1)*3)),11,IF(VLOOKUP(B338,INDIRECT($F$8),6+(O354-1)*3)&lt;S354*0.3,IF(VLOOKUP(B338,INDIRECT($F$8),8+(O354-1)*3)&lt;U354*0.4,IF(AND(0.4*U354-VLOOKUP(B338,INDIRECT($F$8),8+(O354-1)*3)&lt;=5,0.3*S354-VLOOKUP(B338,INDIRECT($F$8),6+(O354-1)*3)&lt;=5),MAX(0.4*U354-VLOOKUP(B338,INDIRECT($F$8),8+(O354-1)*3),0.3*S354-VLOOKUP(B338,INDIRECT($F$8),6+(O354-1)*3)),11),IF(0.3*S354-VLOOKUP(B338,INDIRECT($F$8),6+(O354-1)*3)&lt;=5,0.3*S354-VLOOKUP(B338,INDIRECT($F$8),6+(O354-1)*3),11)),IF(VLOOKUP(B338,INDIRECT($F$8),8+(O354-1)*3)&lt;U354*0.4,IF(U354*0.4-VLOOKUP(B338,INDIRECT($F$8),8+(O354-1)*3)&lt;=5,U354*0.4-VLOOKUP(B338,INDIRECT($F$8),8+(O354-1)*3),11),0))))</f>
        <v>0</v>
      </c>
      <c r="X354" s="1" t="str">
        <f ca="1">IF(ISERROR(F338),"",IF(W354=0,"",_xlfn.TEXTJOIN("",FALSE," G+",W354," in ",A354)))</f>
        <v/>
      </c>
    </row>
    <row r="355" spans="1:24" ht="11.5" customHeight="1" x14ac:dyDescent="0.2">
      <c r="A355" s="7" t="str">
        <f ca="1">IF(ISERROR(F338),"",VLOOKUP(C338,INDIRECT($F$8),6+(O355-1)*3-Y355,0))</f>
        <v>GP 01</v>
      </c>
      <c r="B355" s="24" t="str">
        <f ca="1">IF(ISERROR(F338),"",VLOOKUP(D338,INDIRECT($F$8),6+(O355-1)*3-Z355,0))</f>
        <v>General Proficiency ($)</v>
      </c>
      <c r="C355" s="24"/>
      <c r="D355" s="24"/>
      <c r="E355" s="24"/>
      <c r="F355" s="7">
        <f ca="1">IF(ISERROR(F338),"",VLOOKUP(E338,INDIRECT($F$8),6+(O355-1)*3-AA355,0))</f>
        <v>0</v>
      </c>
      <c r="G355" s="25" t="str">
        <f ca="1">IF(ISERROR(F338),"","-")</f>
        <v>-</v>
      </c>
      <c r="H355" s="25"/>
      <c r="I355" s="25" t="str">
        <f ca="1">IF(ISERROR(F338),"",_xlfn.TEXTJOIN("/",FALSE,Q355,T355))</f>
        <v>47/50</v>
      </c>
      <c r="J355" s="25"/>
      <c r="K355" s="25" t="str">
        <f ca="1">IF(ISERROR(F338),"",_xlfn.TEXTJOIN("/",FALSE,R355,U355))</f>
        <v>47/50</v>
      </c>
      <c r="L355" s="25"/>
      <c r="M355" s="25" t="str">
        <f ca="1">IF(ISBLANK(R355),"",IF(ISTEXT(R355),R355,IF(R355&gt;=0.8*U355,"Excellent",IF(R355&gt;=0.6*U355,"Very Good",IF(R355&gt;=0.4*U355,"Good",IF(R355&gt;=0.2*U355,"Satisfactory","Average"))))))</f>
        <v>Excellent</v>
      </c>
      <c r="N355" s="25"/>
      <c r="O355">
        <f t="shared" ca="1" si="32"/>
        <v>14</v>
      </c>
      <c r="P355" s="1">
        <f ca="1">IF(ISERROR(F338),"",IF(ISTEXT(VLOOKUP(B\28,INDIRECT($F$8),6+(O355-1)*3)),(VLOOKUP(B338,INDIRECT($F$8),6+(O355-1)*3)),SUM(VLOOKUP(B338,INDIRECT($F$8),6+(O355-1)*3),IF(W356,W356,0))))</f>
        <v>0</v>
      </c>
      <c r="Q355" s="1">
        <f ca="1">IF(ISERROR(F338),"",VLOOKUP(B338,INDIRECT($F$8),7+(O355-1)*3))</f>
        <v>47</v>
      </c>
      <c r="R355" s="1">
        <f ca="1">IF(ISERROR(F338),"",SUM(P355:Q355))</f>
        <v>47</v>
      </c>
      <c r="S355" s="1">
        <f ca="1">IF(ISERROR(F338),"",VLOOKUP(A338,INDIRECT($F$8),6+(O355-1)*3))</f>
        <v>0</v>
      </c>
      <c r="T355" s="1">
        <f ca="1">IF(ISERROR(F338),"",VLOOKUP(A338,INDIRECT($F$8),7+(O355-1)*3))</f>
        <v>50</v>
      </c>
      <c r="U355" s="1">
        <f ca="1">IF(ISERROR(F338),"",VLOOKUP(A338,INDIRECT($F$8),8+(O355-1)*3))</f>
        <v>50</v>
      </c>
      <c r="V355" s="1"/>
      <c r="W355" s="1"/>
      <c r="X355" s="1" t="str">
        <f ca="1">IF(ISERROR(F338),"",IF(W355=0,"",_xlfn.TEXTJOIN("",FALSE," G+",W355," in ",A355)))</f>
        <v/>
      </c>
    </row>
    <row r="356" spans="1:24" ht="11.5" customHeight="1" x14ac:dyDescent="0.2">
      <c r="A356" s="26" t="str">
        <f ca="1">IF(ISERROR(F338),"",A334)</f>
        <v>Total Credits/ Marks/ Total Grade Points</v>
      </c>
      <c r="B356" s="26"/>
      <c r="C356" s="26"/>
      <c r="D356" s="26"/>
      <c r="E356" s="26"/>
      <c r="F356" s="10">
        <f ca="1">IF(ISERROR(F338),"",SUM(F343:F354))</f>
        <v>23</v>
      </c>
      <c r="G356" s="27" t="str">
        <f ca="1">IF(ISERROR(F338),"",_xlfn.TEXTJOIN("/",TRUE,SUMIF(F343:F355,"&gt;0",P343:P355),SUMIF(F343:F355,"&gt;0",S343:S355)))</f>
        <v>265/575</v>
      </c>
      <c r="H356" s="27"/>
      <c r="I356" s="27" t="str">
        <f ca="1">IF(ISERROR(F338),"",_xlfn.TEXTJOIN("/",TRUE,SUMIF(F343:F355,"&gt;0",Q343:Q355),SUMIF(F343:F355,"&gt;0",T343:T355)))</f>
        <v>279/375</v>
      </c>
      <c r="J356" s="27"/>
      <c r="K356" s="27" t="str">
        <f ca="1">IF(ISERROR(F338),"",_xlfn.TEXTJOIN("/",TRUE,SUMIF(F343:F355,"&gt;0",R343:R355),SUMIF(F343:F355,"&gt;0",U343:U355)))</f>
        <v>544/950</v>
      </c>
      <c r="L356" s="27"/>
      <c r="M356" s="26">
        <f ca="1">IF(ISERROR(F338),"",SUMPRODUCT(N343:N354,F343:F354))</f>
        <v>106.5</v>
      </c>
      <c r="N356" s="26"/>
      <c r="V356" s="1" t="str">
        <f ca="1">_xlfn.TEXTJOIN(", ",TRUE,V343:V355)</f>
        <v>AHT 002, AHT 003, AHT 000</v>
      </c>
      <c r="W356" t="b">
        <f ca="1">IF(SUM(W343:W355)&lt;=W342,TRUE,FALSE)</f>
        <v>0</v>
      </c>
      <c r="X356" s="1" t="str">
        <f ca="1">IF(ISERROR(F338),"",_xlfn.TEXTJOIN(",",TRUE,X343:X355))</f>
        <v xml:space="preserve"> G+11 in AHT 002, G+11 in AHT 003, G+11 in AHT 000</v>
      </c>
    </row>
    <row r="357" spans="1:24" ht="11.5" customHeight="1" x14ac:dyDescent="0.2">
      <c r="A357" s="26" t="str">
        <f ca="1">IF(ISERROR(F338),"",A335)</f>
        <v>Result:</v>
      </c>
      <c r="B357" s="28" t="str" cm="1">
        <f t="array" aca="1" ref="B357" ca="1">IF(SUM(COUNTIF(M343:M354,{"Ab","Dt"}))=12, "Not Promoted to IInd Semester", IF(V356="", "PASS", "CARRY OVER"))</f>
        <v>CARRY OVER</v>
      </c>
      <c r="C357" s="28"/>
      <c r="D357" s="26" t="str">
        <f ca="1">IF(ISERROR(F338),"",D335)</f>
        <v>Remark:</v>
      </c>
      <c r="E357" s="28" t="str">
        <f ca="1">IF(ISERROR(F338),"",IF(V356="",IF(X356="","",X356),_xlfn.TEXTJOIN(" ",TRUE,"BACK IN",V356)))</f>
        <v>BACK IN AHT 002, AHT 003, AHT 000</v>
      </c>
      <c r="F357" s="28"/>
      <c r="G357" s="26" t="str">
        <f ca="1">IF(ISERROR(F338),"",G335)</f>
        <v>SGPA:</v>
      </c>
      <c r="H357" s="29">
        <f ca="1">IF(ISERROR(F338),"",M356/F356)</f>
        <v>4.6304347826086953</v>
      </c>
      <c r="I357" s="26" t="str">
        <f ca="1">IF(ISERROR(F338),"",I335)</f>
        <v>CGPA:</v>
      </c>
      <c r="J357" s="29">
        <f ca="1">IF(ISERROR(F338),"",VLOOKUP(B338,INDIRECT($F$8),12+(O355-1)*3,0))</f>
        <v>4.6304347826086953</v>
      </c>
      <c r="K357" s="28" t="str">
        <f ca="1">IF(ISERROR(F338),"",K335)</f>
        <v>Earned Credits:</v>
      </c>
      <c r="L357" s="26">
        <f ca="1">IF(ISERROR(F338),"",SUMIF(N343:N354,"&gt;0",F343:F354))</f>
        <v>15</v>
      </c>
      <c r="M357" s="28" t="str">
        <f ca="1">IF(ISERROR(F338),"",M335)</f>
        <v>Cuml. Earned Credits:</v>
      </c>
      <c r="N357" s="26">
        <f ca="1">IF(ISERROR(F338),"",VLOOKUP(B338,INDIRECT($F$8),10+(O355-1)*3,0))</f>
        <v>15</v>
      </c>
    </row>
    <row r="358" spans="1:24" ht="11.5" customHeight="1" x14ac:dyDescent="0.2">
      <c r="A358" s="26"/>
      <c r="B358" s="28"/>
      <c r="C358" s="28"/>
      <c r="D358" s="26"/>
      <c r="E358" s="28"/>
      <c r="F358" s="28"/>
      <c r="G358" s="26"/>
      <c r="H358" s="29"/>
      <c r="I358" s="26"/>
      <c r="J358" s="29"/>
      <c r="K358" s="28"/>
      <c r="L358" s="26"/>
      <c r="M358" s="28"/>
      <c r="N358" s="26"/>
    </row>
    <row r="359" spans="1:24" ht="11.5" customHeight="1" x14ac:dyDescent="0.2">
      <c r="A359" s="26"/>
      <c r="B359" s="28"/>
      <c r="C359" s="28"/>
      <c r="D359" s="26"/>
      <c r="E359" s="28"/>
      <c r="F359" s="28"/>
      <c r="G359" s="26"/>
      <c r="H359" s="29"/>
      <c r="I359" s="26"/>
      <c r="J359" s="29"/>
      <c r="K359" s="28"/>
      <c r="L359" s="26"/>
      <c r="M359" s="28"/>
      <c r="N359" s="26"/>
    </row>
    <row r="360" spans="1:24" ht="11.5" customHeight="1" x14ac:dyDescent="0.2">
      <c r="A360" s="11" t="str">
        <f>A338</f>
        <v>MM</v>
      </c>
      <c r="B360" s="11">
        <f>B338+1</f>
        <v>17</v>
      </c>
      <c r="C360" s="11" t="str">
        <f>C338</f>
        <v>SC</v>
      </c>
      <c r="D360" s="11" t="str">
        <f>D338</f>
        <v>SN</v>
      </c>
      <c r="E360" s="11" t="str">
        <f>E338</f>
        <v>C</v>
      </c>
      <c r="F360" s="11" t="str">
        <f ca="1">VLOOKUP(B360,INDIRECT($F$8),4,0)</f>
        <v>MANAV MISHRA</v>
      </c>
    </row>
    <row r="361" spans="1:24" ht="11.5" customHeight="1" x14ac:dyDescent="0.2">
      <c r="A361" s="30" t="str">
        <f ca="1">IF(ISERROR(F360),"",A339)</f>
        <v>Name:</v>
      </c>
      <c r="B361" s="30" t="str">
        <f ca="1">IFERROR(VLOOKUP(B360,INDIRECT($F$8),4,0),"")</f>
        <v>MANAV MISHRA</v>
      </c>
      <c r="C361" s="30"/>
      <c r="D361" s="30" t="str">
        <f ca="1">IF(ISERROR(F360),"",D339)</f>
        <v>Father's Name:</v>
      </c>
      <c r="E361" s="30" t="str">
        <f ca="1">IFERROR(VLOOKUP(B360,INDIRECT($F$8),5,0),"")</f>
        <v>KK MISHRA</v>
      </c>
      <c r="F361" s="30"/>
      <c r="G361" s="30" t="str">
        <f ca="1">IF(ISERROR(F360),"",G339)</f>
        <v>University Roll No:</v>
      </c>
      <c r="H361" s="30"/>
      <c r="I361" s="31">
        <f ca="1">IFERROR(VLOOKUP(B360,INDIRECT($F$8),2,0),"")</f>
        <v>250090120018</v>
      </c>
      <c r="J361" s="31"/>
      <c r="K361" s="30" t="str">
        <f ca="1">IF(ISERROR(F360),"",K339)</f>
        <v>University Enrol. No:</v>
      </c>
      <c r="L361" s="30"/>
      <c r="M361" s="31" t="str">
        <f ca="1">IFERROR(VLOOKUP(B360,INDIRECT($F$8),3,0),"")</f>
        <v>UTU/2501100833</v>
      </c>
      <c r="N361" s="31"/>
    </row>
    <row r="362" spans="1:24" ht="15" x14ac:dyDescent="0.2">
      <c r="A362" s="30"/>
      <c r="B362" s="30"/>
      <c r="C362" s="30"/>
      <c r="D362" s="30"/>
      <c r="E362" s="30"/>
      <c r="F362" s="30"/>
      <c r="G362" s="30"/>
      <c r="H362" s="30"/>
      <c r="I362" s="31"/>
      <c r="J362" s="31"/>
      <c r="K362" s="30"/>
      <c r="L362" s="30"/>
      <c r="M362" s="31"/>
      <c r="N362" s="31"/>
    </row>
    <row r="363" spans="1:24" ht="11.5" customHeight="1" x14ac:dyDescent="0.2">
      <c r="A363" s="28" t="str">
        <f ca="1">IF(ISERROR(F360),"",A341)</f>
        <v>Subject Code</v>
      </c>
      <c r="B363" s="28" t="str">
        <f ca="1">IF(ISERROR(F360),"",B341)</f>
        <v>Subject Name</v>
      </c>
      <c r="C363" s="28"/>
      <c r="D363" s="28"/>
      <c r="E363" s="28"/>
      <c r="F363" s="28" t="str">
        <f ca="1">IF(ISERROR(F360),"",F341)</f>
        <v>Credits</v>
      </c>
      <c r="G363" s="28" t="str">
        <f ca="1">IF(ISERROR(F360),"",G341)</f>
        <v>External Marks</v>
      </c>
      <c r="H363" s="28"/>
      <c r="I363" s="28" t="str">
        <f ca="1">IF(ISERROR(F360),"",I341)</f>
        <v>Sessional Marks</v>
      </c>
      <c r="J363" s="28"/>
      <c r="K363" s="28" t="str">
        <f ca="1">IF(ISERROR(F360),"",K341)</f>
        <v>Total Marks</v>
      </c>
      <c r="L363" s="28"/>
      <c r="M363" s="28" t="str">
        <f ca="1">IF(ISERROR(F360),"",M341)</f>
        <v>Grade</v>
      </c>
      <c r="N363" s="28" t="str">
        <f ca="1">IF(ISERROR(F360),"",N341)</f>
        <v>Grade Points</v>
      </c>
    </row>
    <row r="364" spans="1:24" ht="11.5" customHeight="1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W364">
        <f ca="1">IF(ISNUMBER(MATCH($F$8,{"I","III","V","VII"},0)),10,10-INDEX(INDIRECT(_xlfn.TEXTJOIN("",TRUE,"SEM_",$G$8,"!",ADDRESS(6,4+$I$8*3+4),":",ADDRESS(5+$H$8,4+$I$8*3+4))),MATCH(INDIRECT(_xlfn.TEXTJOIN("",TRUE,"TC_",$F$8,"!",ADDRESS(ROW(I361),COLUMN(I361)))),INDIRECT(_xlfn.TEXTJOIN("",TRUE,"SEM_",$G$8,"!",ADDRESS(6,2),":",ADDRESS(5+$H$8,2))))))</f>
        <v>10</v>
      </c>
    </row>
    <row r="365" spans="1:24" ht="11.5" customHeight="1" x14ac:dyDescent="0.2">
      <c r="A365" s="7" t="str">
        <f ca="1">IF(ISERROR(F360),"",VLOOKUP(C360,INDIRECT($F$8),6+(O365-1)*3,0))</f>
        <v>AHT 002</v>
      </c>
      <c r="B365" s="24" t="str">
        <f ca="1">IF(ISERROR(F360),"",VLOOKUP(D360,INDIRECT($F$8),6+(O365-1)*3,0))</f>
        <v>Engineering Chemistry</v>
      </c>
      <c r="C365" s="24"/>
      <c r="D365" s="24"/>
      <c r="E365" s="24"/>
      <c r="F365" s="7">
        <f ca="1">IF(ISERROR(F360),"",VLOOKUP(E360,INDIRECT($F$8),6+(O365-1)*3,0))</f>
        <v>4</v>
      </c>
      <c r="G365" s="25" t="str">
        <f ca="1">IF(ISERROR(F360),"",_xlfn.TEXTJOIN("/",FALSE,P365,S365))</f>
        <v>D/100</v>
      </c>
      <c r="H365" s="25"/>
      <c r="I365" s="25" t="str">
        <f ca="1">IF(ISERROR(F360),"",_xlfn.TEXTJOIN("/",FALSE,Q365,T365))</f>
        <v>D/50</v>
      </c>
      <c r="J365" s="25"/>
      <c r="K365" s="25" t="str">
        <f ca="1">IF(ISERROR(F360),"",_xlfn.TEXTJOIN("/",FALSE,R365,U365))</f>
        <v>0/150</v>
      </c>
      <c r="L365" s="25"/>
      <c r="M365" s="7" t="str">
        <f ca="1">IF(ISERROR(F360),"",IF(ISTEXT(P365),IF(P365="A","Ab",IF(P365="D","Dt",IF(P365="UFM","UFM",IF(P365="NA","")))),IF(AND(ISBLANK(P365),ISBLANK(R365)),"",IF(P365&lt;0.3*S365,"F",IF(ISBLANK(R365),"",IF(ISTEXT(R365),R365,IF(R365&gt;=0.95*U365,"O",IF(R365&gt;=0.9*U365,"A+",IF(R365&gt;=0.85*U365,"A",IF(R365&gt;=0.8*U365,"B+",IF(R365&gt;=0.75*U365,"B",IF(R365&gt;=0.7*U365,"C+",IF(R365&gt;=0.65*U365,"C",IF(R365&gt;=0.6*U365,"D+",IF(R365&gt;=0.55*U365,"D",IF(R365&gt;=0.5*U365,"E+",IF(R365&gt;=0.45*U365,"E",IF(R365&gt;=0.4*U365,"P",IF(R365&lt;0.4*U365,"F",R365)))))))))))))))))))</f>
        <v>Dt</v>
      </c>
      <c r="N365" s="8">
        <f ca="1">INDEX($Z$2:$Z$17,MATCH(M365,$Y$2:$Y$17,0))</f>
        <v>0</v>
      </c>
      <c r="O365">
        <v>1</v>
      </c>
      <c r="P365" s="1" t="str">
        <f ca="1">IF(ISERROR(F360),"",IF(ISTEXT(VLOOKUP(B360,INDIRECT($F$8),6+(O365-1)*3)),(VLOOKUP(B360,INDIRECT($F$8),6+(O365-1)*3)),SUM(VLOOKUP(B360,INDIRECT($F$8),6+(O365-1)*3),IF(W378,W365,0))))</f>
        <v>D</v>
      </c>
      <c r="Q365" s="1" t="str">
        <f ca="1">IF(ISERROR(F360),"",VLOOKUP(B360,INDIRECT($F$8),7+(O365-1)*3))</f>
        <v>D</v>
      </c>
      <c r="R365" s="1">
        <f ca="1">IF(ISERROR(F360),"",SUM(P365:Q365))</f>
        <v>0</v>
      </c>
      <c r="S365" s="1">
        <f ca="1">IF(ISERROR(F360),"",VLOOKUP(A360,INDIRECT($F$8),6+(O365-1)*3))</f>
        <v>100</v>
      </c>
      <c r="T365" s="1">
        <f ca="1">IF(ISERROR(F360),"",VLOOKUP(A360,INDIRECT($F$8),7+(O365-1)*3))</f>
        <v>50</v>
      </c>
      <c r="U365" s="1">
        <f ca="1">IF(ISERROR(F360),"",VLOOKUP(A360,INDIRECT($F$8),8+(O365-1)*3))</f>
        <v>150</v>
      </c>
      <c r="V365" s="1" t="str">
        <f ca="1">IF(ISERROR(F360),"",IF(N365=0,A365,""))</f>
        <v>AHT 002</v>
      </c>
      <c r="W365" s="1">
        <f ca="1">IF(ISERROR(F360),"",IF(ISTEXT(VLOOKUP(B360,INDIRECT($F$8),6+(O365-1)*3)),11,IF(VLOOKUP(B360,INDIRECT($F$8),6+(O365-1)*3)&lt;S365*0.3,IF(VLOOKUP(B360,INDIRECT($F$8),8+(O365-1)*3)&lt;U365*0.4,IF(AND(0.4*U365-VLOOKUP(B360,INDIRECT($F$8),8+(O365-1)*3)&lt;=5,0.3*S365-VLOOKUP(B360,INDIRECT($F$8),6+(O365-1)*3)&lt;=5),MAX(0.4*U365-VLOOKUP(B360,INDIRECT($F$8),8+(O365-1)*3),0.3*S365-VLOOKUP(B360,INDIRECT($F$8),6+(O365-1)*3)),11),IF(0.3*S365-VLOOKUP(B360,INDIRECT($F$8),6+(O365-1)*3)&lt;=5,0.3*S365-VLOOKUP(B360,INDIRECT($F$8),6+(O365-1)*3),11)),IF(VLOOKUP(B360,INDIRECT($F$8),8+(O365-1)*3)&lt;U365*0.4,IF(U365*0.4-VLOOKUP(B360,INDIRECT($F$8),8+(O365-1)*3)&lt;=5,U365*0.4-VLOOKUP(B360,INDIRECT($F$8),8+(O365-1)*3),11),0))))</f>
        <v>11</v>
      </c>
      <c r="X365" s="1" t="str">
        <f ca="1">IF(ISERROR(F360),"",IF(W365=0,"",_xlfn.TEXTJOIN("",FALSE," G+",W365," in ",A365)))</f>
        <v xml:space="preserve"> G+11 in AHT 002</v>
      </c>
    </row>
    <row r="366" spans="1:24" ht="11.5" customHeight="1" x14ac:dyDescent="0.2">
      <c r="A366" s="7" t="str">
        <f ca="1">IF(ISERROR(F360),"",VLOOKUP(C360,INDIRECT($F$8),6+(O366-1)*3,0))</f>
        <v>AHT 003</v>
      </c>
      <c r="B366" s="24" t="str">
        <f ca="1">IF(ISERROR(F360),"",VLOOKUP(D360,INDIRECT($F$8),6+(O366-1)*3,0))</f>
        <v>Introduction to Engineering Mathematics</v>
      </c>
      <c r="C366" s="24"/>
      <c r="D366" s="24"/>
      <c r="E366" s="24"/>
      <c r="F366" s="7">
        <f ca="1">IF(ISERROR(F360),"",VLOOKUP(E360,INDIRECT($F$8),6+(O366-1)*3,0))</f>
        <v>4</v>
      </c>
      <c r="G366" s="25" t="str">
        <f ca="1">IF(ISERROR(F360),"",_xlfn.TEXTJOIN("/",FALSE,P366,S366))</f>
        <v>D/100</v>
      </c>
      <c r="H366" s="25"/>
      <c r="I366" s="25" t="str">
        <f ca="1">IF(ISERROR(F360),"",_xlfn.TEXTJOIN("/",FALSE,Q366,T366))</f>
        <v>D/50</v>
      </c>
      <c r="J366" s="25"/>
      <c r="K366" s="25" t="str">
        <f ca="1">IF(ISERROR(F360),"",_xlfn.TEXTJOIN("/",FALSE,R366,U366))</f>
        <v>0/150</v>
      </c>
      <c r="L366" s="25"/>
      <c r="M366" s="7" t="str">
        <f ca="1">IF(ISERROR(F360),"",IF(ISTEXT(P366),IF(P366="A","Ab",IF(P366="D","Dt",IF(P366="UFM","UFM",IF(P366="NA","")))),IF(AND(ISBLANK(P366),ISBLANK(R366)),"",IF(P366&lt;0.3*S366,"F",IF(ISBLANK(R366),"",IF(ISTEXT(R366),R366,IF(R366&gt;=0.95*U366,"O",IF(R366&gt;=0.9*U366,"A+",IF(R366&gt;=0.85*U366,"A",IF(R366&gt;=0.8*U366,"B+",IF(R366&gt;=0.75*U366,"B",IF(R366&gt;=0.7*U366,"C+",IF(R366&gt;=0.65*U366,"C",IF(R366&gt;=0.6*U366,"D+",IF(R366&gt;=0.55*U366,"D",IF(R366&gt;=0.5*U366,"E+",IF(R366&gt;=0.45*U366,"E",IF(R366&gt;=0.4*U366,"P",IF(R366&lt;0.4*U366,"F",R366)))))))))))))))))))</f>
        <v>Dt</v>
      </c>
      <c r="N366" s="8">
        <f t="shared" ref="N366:N375" ca="1" si="33">INDEX($Z$2:$Z$17,MATCH(M366,$Y$2:$Y$17,0))</f>
        <v>0</v>
      </c>
      <c r="O366">
        <f>O365+1</f>
        <v>2</v>
      </c>
      <c r="P366" s="1" t="str">
        <f ca="1">IF(ISERROR(F360),"",IF(ISTEXT(VLOOKUP(B360,INDIRECT($F$8),6+(O366-1)*3)),(VLOOKUP(B360,INDIRECT($F$8),6+(O366-1)*3)),SUM(VLOOKUP(B360,INDIRECT($F$8),6+(O366-1)*3),IF(W378,W366,0))))</f>
        <v>D</v>
      </c>
      <c r="Q366" s="1" t="str">
        <f ca="1">IF(ISERROR(F360),"",VLOOKUP(B360,INDIRECT($F$8),7+(O366-1)*3))</f>
        <v>D</v>
      </c>
      <c r="R366" s="1">
        <f ca="1">IF(ISERROR(F360),"",SUM(P366:Q366))</f>
        <v>0</v>
      </c>
      <c r="S366" s="1">
        <f ca="1">IF(ISERROR(F360),"",VLOOKUP(A360,INDIRECT($F$8),6+(O366-1)*3))</f>
        <v>100</v>
      </c>
      <c r="T366" s="1">
        <f ca="1">IF(ISERROR(F360),"",VLOOKUP(A360,INDIRECT($F$8),7+(O366-1)*3))</f>
        <v>50</v>
      </c>
      <c r="U366" s="1">
        <f ca="1">IF(ISERROR(F360),"",VLOOKUP(A360,INDIRECT($F$8),8+(O366-1)*3))</f>
        <v>150</v>
      </c>
      <c r="V366" s="1" t="str">
        <f ca="1">IF(ISERROR(F360),"",IF(N366=0,A366,""))</f>
        <v>AHT 003</v>
      </c>
      <c r="W366" s="1">
        <f ca="1">IF(ISERROR(F360),"",IF(ISTEXT(VLOOKUP(B360,INDIRECT($F$8),6+(O366-1)*3)),11,IF(VLOOKUP(B360,INDIRECT($F$8),6+(O366-1)*3)&lt;S366*0.3,IF(VLOOKUP(B360,INDIRECT($F$8),8+(O366-1)*3)&lt;U366*0.4,IF(AND(0.4*U366-VLOOKUP(B360,INDIRECT($F$8),8+(O366-1)*3)&lt;=5,0.3*S366-VLOOKUP(B360,INDIRECT($F$8),6+(O366-1)*3)&lt;=5),MAX(0.4*U366-VLOOKUP(B360,INDIRECT($F$8),8+(O366-1)*3),0.3*S366-VLOOKUP(B360,INDIRECT($F$8),6+(O366-1)*3)),11),IF(0.3*S366-VLOOKUP(B360,INDIRECT($F$8),6+(O366-1)*3)&lt;=5,0.3*S366-VLOOKUP(B360,INDIRECT($F$8),6+(O366-1)*3),11)),IF(VLOOKUP(B360,INDIRECT($F$8),8+(O366-1)*3)&lt;U366*0.4,IF(U366*0.4-VLOOKUP(B360,INDIRECT($F$8),8+(O366-1)*3)&lt;=5,U366*0.4-VLOOKUP(B360,INDIRECT($F$8),8+(O366-1)*3),11),0))))</f>
        <v>11</v>
      </c>
      <c r="X366" s="1" t="str">
        <f ca="1">IF(ISERROR(F360),"",IF(W366=0,"",_xlfn.TEXTJOIN("",FALSE," G+",W366," in ",A366)))</f>
        <v xml:space="preserve"> G+11 in AHT 003</v>
      </c>
    </row>
    <row r="367" spans="1:24" ht="11.5" customHeight="1" x14ac:dyDescent="0.2">
      <c r="A367" s="7" t="str">
        <f ca="1">IF(ISERROR(F360),"",VLOOKUP(C360,INDIRECT($F$8),6+(O367-1)*3,0))</f>
        <v>ECT 001</v>
      </c>
      <c r="B367" s="24" t="str">
        <f ca="1">IF(ISERROR(F360),"",VLOOKUP(D360,INDIRECT($F$8),6+(O367-1)*3,0))</f>
        <v>Basic Electronics Engineering</v>
      </c>
      <c r="C367" s="24"/>
      <c r="D367" s="24"/>
      <c r="E367" s="24"/>
      <c r="F367" s="7">
        <f ca="1">IF(ISERROR(F360),"",VLOOKUP(E360,INDIRECT($F$8),6+(O367-1)*3,0))</f>
        <v>4</v>
      </c>
      <c r="G367" s="25" t="str">
        <f ca="1">IF(ISERROR(F360),"",_xlfn.TEXTJOIN("/",FALSE,P367,S367))</f>
        <v>A/100</v>
      </c>
      <c r="H367" s="25"/>
      <c r="I367" s="25" t="str">
        <f ca="1">IF(ISERROR(F360),"",_xlfn.TEXTJOIN("/",FALSE,Q367,T367))</f>
        <v>D/50</v>
      </c>
      <c r="J367" s="25"/>
      <c r="K367" s="25" t="str">
        <f ca="1">IF(ISERROR(F360),"",_xlfn.TEXTJOIN("/",FALSE,R367,U367))</f>
        <v>0/150</v>
      </c>
      <c r="L367" s="25"/>
      <c r="M367" s="7" t="str">
        <f ca="1">IF(ISERROR(F360),"",IF(ISTEXT(P367),IF(P367="A","Ab",IF(P367="D","Dt",IF(P367="UFM","UFM",IF(P367="NA","")))),IF(AND(ISBLANK(P367),ISBLANK(R367)),"",IF(P367&lt;0.3*S367,"F",IF(ISBLANK(R367),"",IF(ISTEXT(R367),R367,IF(R367&gt;=0.95*U367,"O",IF(R367&gt;=0.9*U367,"A+",IF(R367&gt;=0.85*U367,"A",IF(R367&gt;=0.8*U367,"B+",IF(R367&gt;=0.75*U367,"B",IF(R367&gt;=0.7*U367,"C+",IF(R367&gt;=0.65*U367,"C",IF(R367&gt;=0.6*U367,"D+",IF(R367&gt;=0.55*U367,"D",IF(R367&gt;=0.5*U367,"E+",IF(R367&gt;=0.45*U367,"E",IF(R367&gt;=0.4*U367,"P",IF(R367&lt;0.4*U367,"F",R367)))))))))))))))))))</f>
        <v>Ab</v>
      </c>
      <c r="N367" s="8">
        <f t="shared" ca="1" si="33"/>
        <v>0</v>
      </c>
      <c r="O367">
        <f>O366+1</f>
        <v>3</v>
      </c>
      <c r="P367" s="1" t="str">
        <f ca="1">IF(ISERROR(F360),"",IF(ISTEXT(VLOOKUP(B360,INDIRECT($F$8),6+(O367-1)*3)),(VLOOKUP(B360,INDIRECT($F$8),6+(O367-1)*3)),SUM(VLOOKUP(B360,INDIRECT($F$8),6+(O367-1)*3),IF(W378,W367,0))))</f>
        <v>A</v>
      </c>
      <c r="Q367" s="1" t="str">
        <f ca="1">IF(ISERROR(F360),"",VLOOKUP(B360,INDIRECT($F$8),7+(O367-1)*3))</f>
        <v>D</v>
      </c>
      <c r="R367" s="1">
        <f ca="1">IF(ISERROR(F360),"",SUM(P367:Q367))</f>
        <v>0</v>
      </c>
      <c r="S367" s="1">
        <f ca="1">IF(ISERROR(F360),"",VLOOKUP(A360,INDIRECT($F$8),6+(O367-1)*3))</f>
        <v>100</v>
      </c>
      <c r="T367" s="1">
        <f ca="1">IF(ISERROR(F360),"",VLOOKUP(A360,INDIRECT($F$8),7+(O367-1)*3))</f>
        <v>50</v>
      </c>
      <c r="U367" s="1">
        <f ca="1">IF(ISERROR(F360),"",VLOOKUP(A360,INDIRECT($F$8),8+(O367-1)*3))</f>
        <v>150</v>
      </c>
      <c r="V367" s="1" t="str">
        <f ca="1">IF(ISERROR(F360),"",IF(N367=0,A367,""))</f>
        <v>ECT 001</v>
      </c>
      <c r="W367" s="1">
        <f ca="1">IF(ISERROR(F360),"",IF(ISTEXT(VLOOKUP(B360,INDIRECT($F$8),6+(O367-1)*3)),11,IF(VLOOKUP(B360,INDIRECT($F$8),6+(O367-1)*3)&lt;S367*0.3,IF(VLOOKUP(B360,INDIRECT($F$8),8+(O367-1)*3)&lt;U367*0.4,IF(AND(0.4*U367-VLOOKUP(B360,INDIRECT($F$8),8+(O367-1)*3)&lt;=5,0.3*S367-VLOOKUP(B360,INDIRECT($F$8),6+(O367-1)*3)&lt;=5),MAX(0.4*U367-VLOOKUP(B360,INDIRECT($F$8),8+(O367-1)*3),0.3*S367-VLOOKUP(B360,INDIRECT($F$8),6+(O367-1)*3)),11),IF(0.3*S367-VLOOKUP(B360,INDIRECT($F$8),6+(O367-1)*3)&lt;=5,0.3*S367-VLOOKUP(B360,INDIRECT($F$8),6+(O367-1)*3),11)),IF(VLOOKUP(B360,INDIRECT($F$8),8+(O367-1)*3)&lt;U367*0.4,IF(U367*0.4-VLOOKUP(B360,INDIRECT($F$8),8+(O367-1)*3)&lt;=5,U367*0.4-VLOOKUP(B360,INDIRECT($F$8),8+(O367-1)*3),11),0))))</f>
        <v>11</v>
      </c>
      <c r="X367" s="1" t="str">
        <f ca="1">IF(ISERROR(F360),"",IF(W367=0,"",_xlfn.TEXTJOIN("",FALSE," G+",W367," in ",A367)))</f>
        <v xml:space="preserve"> G+11 in ECT 001</v>
      </c>
    </row>
    <row r="368" spans="1:24" ht="11.5" customHeight="1" x14ac:dyDescent="0.2">
      <c r="A368" s="7" t="str">
        <f ca="1">IF(ISERROR(F360),"",VLOOKUP(C360,INDIRECT($F$8),6+(O368-1)*3,0))</f>
        <v>MET 001</v>
      </c>
      <c r="B368" s="24" t="str">
        <f ca="1">IF(ISERROR(F360),"",VLOOKUP(D360,INDIRECT($F$8),6+(O368-1)*3,0))</f>
        <v>Basic Mechanical Engineering</v>
      </c>
      <c r="C368" s="24"/>
      <c r="D368" s="24"/>
      <c r="E368" s="24"/>
      <c r="F368" s="7">
        <f ca="1">IF(ISERROR(F360),"",VLOOKUP(E360,INDIRECT($F$8),6+(O368-1)*3,0))</f>
        <v>4</v>
      </c>
      <c r="G368" s="25" t="str">
        <f ca="1">IF(ISERROR(F360),"",_xlfn.TEXTJOIN("/",FALSE,P368,S368))</f>
        <v>A/100</v>
      </c>
      <c r="H368" s="25"/>
      <c r="I368" s="25" t="str">
        <f ca="1">IF(ISERROR(F360),"",_xlfn.TEXTJOIN("/",FALSE,Q368,T368))</f>
        <v>D/50</v>
      </c>
      <c r="J368" s="25"/>
      <c r="K368" s="25" t="str">
        <f ca="1">IF(ISERROR(F360),"",_xlfn.TEXTJOIN("/",FALSE,R368,U368))</f>
        <v>0/150</v>
      </c>
      <c r="L368" s="25"/>
      <c r="M368" s="7" t="str">
        <f ca="1">IF(ISERROR(F360),"",IF(ISTEXT(P368),IF(P368="A","Ab",IF(P368="D","Dt",IF(P368="UFM","UFM",IF(P368="NA","")))),IF(AND(ISBLANK(P368),ISBLANK(R368)),"",IF(P368&lt;0.3*S368,"F",IF(ISBLANK(R368),"",IF(ISTEXT(R368),R368,IF(R368&gt;=0.95*U368,"O",IF(R368&gt;=0.9*U368,"A+",IF(R368&gt;=0.85*U368,"A",IF(R368&gt;=0.8*U368,"B+",IF(R368&gt;=0.75*U368,"B",IF(R368&gt;=0.7*U368,"C+",IF(R368&gt;=0.65*U368,"C",IF(R368&gt;=0.6*U368,"D+",IF(R368&gt;=0.55*U368,"D",IF(R368&gt;=0.5*U368,"E+",IF(R368&gt;=0.45*U368,"E",IF(R368&gt;=0.4*U368,"P",IF(R368&lt;0.4*U368,"F",R368)))))))))))))))))))</f>
        <v>Ab</v>
      </c>
      <c r="N368" s="8">
        <f t="shared" ca="1" si="33"/>
        <v>0</v>
      </c>
      <c r="O368">
        <f>O367+1</f>
        <v>4</v>
      </c>
      <c r="P368" s="1" t="str">
        <f ca="1">IF(ISERROR(F360),"",IF(ISTEXT(VLOOKUP(B360,INDIRECT($F$8),6+(O368-1)*3)),(VLOOKUP(B360,INDIRECT($F$8),6+(O368-1)*3)),SUM(VLOOKUP(B360,INDIRECT($F$8),6+(O368-1)*3),IF(W378,W368,0))))</f>
        <v>A</v>
      </c>
      <c r="Q368" s="1" t="str">
        <f ca="1">IF(ISERROR(F360),"",VLOOKUP(B360,INDIRECT($F$8),7+(O368-1)*3))</f>
        <v>D</v>
      </c>
      <c r="R368" s="1">
        <f ca="1">IF(ISERROR(F360),"",SUM(P368:Q368))</f>
        <v>0</v>
      </c>
      <c r="S368" s="1">
        <f ca="1">IF(ISERROR(F360),"",VLOOKUP(A360,INDIRECT($F$8),6+(O368-1)*3))</f>
        <v>100</v>
      </c>
      <c r="T368" s="1">
        <f ca="1">IF(ISERROR(F360),"",VLOOKUP(A360,INDIRECT($F$8),7+(O368-1)*3))</f>
        <v>50</v>
      </c>
      <c r="U368" s="1">
        <f ca="1">IF(ISERROR(F360),"",VLOOKUP(A360,INDIRECT($F$8),8+(O368-1)*3))</f>
        <v>150</v>
      </c>
      <c r="V368" s="1" t="str">
        <f ca="1">IF(ISERROR(F360),"",IF(N368=0,A368,""))</f>
        <v>MET 001</v>
      </c>
      <c r="W368" s="1">
        <f ca="1">IF(ISERROR(F360),"",IF(ISTEXT(VLOOKUP(B360,INDIRECT($F$8),6+(O368-1)*3)),11,IF(VLOOKUP(B360,INDIRECT($F$8),6+(O368-1)*3)&lt;S368*0.3,IF(VLOOKUP(B360,INDIRECT($F$8),8+(O368-1)*3)&lt;U368*0.4,IF(AND(0.4*U368-VLOOKUP(B360,INDIRECT($F$8),8+(O368-1)*3)&lt;=5,0.3*S368-VLOOKUP(B360,INDIRECT($F$8),6+(O368-1)*3)&lt;=5),MAX(0.4*U368-VLOOKUP(B360,INDIRECT($F$8),8+(O368-1)*3),0.3*S368-VLOOKUP(B360,INDIRECT($F$8),6+(O368-1)*3)),11),IF(0.3*S368-VLOOKUP(B360,INDIRECT($F$8),6+(O368-1)*3)&lt;=5,0.3*S368-VLOOKUP(B360,INDIRECT($F$8),6+(O368-1)*3),11)),IF(VLOOKUP(B360,INDIRECT($F$8),8+(O368-1)*3)&lt;U368*0.4,IF(U368*0.4-VLOOKUP(B360,INDIRECT($F$8),8+(O368-1)*3)&lt;=5,U368*0.4-VLOOKUP(B360,INDIRECT($F$8),8+(O368-1)*3),11),0))))</f>
        <v>11</v>
      </c>
      <c r="X368" s="1" t="str">
        <f ca="1">IF(ISERROR(F360),"",IF(W368=0,"",_xlfn.TEXTJOIN("",FALSE," G+",W368," in ",A368)))</f>
        <v xml:space="preserve"> G+11 in MET 001</v>
      </c>
    </row>
    <row r="369" spans="1:24" ht="11.5" customHeight="1" x14ac:dyDescent="0.2">
      <c r="A369" s="7" t="str">
        <f ca="1">IF(ISERROR(F360),"",VLOOKUP(C360,INDIRECT($F$8),6+(O369-1)*3,0))</f>
        <v>AHT 000</v>
      </c>
      <c r="B369" s="24" t="str">
        <f ca="1">IF(ISERROR(F360),"",VLOOKUP(D360,INDIRECT($F$8),6+(O369-1)*3,0))</f>
        <v>Basic Mathematics (Bridge Course) ($)</v>
      </c>
      <c r="C369" s="24"/>
      <c r="D369" s="24"/>
      <c r="E369" s="24"/>
      <c r="F369" s="7">
        <f ca="1">IF(ISERROR(F360),"",VLOOKUP(E360,INDIRECT($F$8),6+(O369-1)*3,0))</f>
        <v>0</v>
      </c>
      <c r="G369" s="25" t="str">
        <f ca="1">IF(ISERROR(F360),"",_xlfn.TEXTJOIN("/",FALSE,P369,S369))</f>
        <v>D/100</v>
      </c>
      <c r="H369" s="25"/>
      <c r="I369" s="25" t="str">
        <f ca="1">IF(ISERROR(F360),"",_xlfn.TEXTJOIN("/",FALSE,Q369,T369))</f>
        <v>D/50</v>
      </c>
      <c r="J369" s="25"/>
      <c r="K369" s="25" t="str">
        <f ca="1">IF(ISERROR(F360),"",_xlfn.TEXTJOIN("/",FALSE,R369,U369))</f>
        <v>0/150</v>
      </c>
      <c r="L369" s="25"/>
      <c r="M369" s="7" t="str">
        <f ca="1">IF(ISERROR(F360),"",IF(ISTEXT(P369),IF(P369="A","Ab",IF(P369="D","Dt",IF(P369="UFM","UFM",IF(P369="NA","")))),IF(AND(ISBLANK(P369),ISBLANK(R369)),"",IF(P369&lt;0.3*S369,"F",IF(ISBLANK(R369),"",IF(ISTEXT(R369),R369,IF(R369&gt;=0.95*U369,"O",IF(R369&gt;=0.9*U369,"A+",IF(R369&gt;=0.85*U369,"A",IF(R369&gt;=0.8*U369,"B+",IF(R369&gt;=0.75*U369,"B",IF(R369&gt;=0.7*U369,"C+",IF(R369&gt;=0.65*U369,"C",IF(R369&gt;=0.6*U369,"D+",IF(R369&gt;=0.55*U369,"D",IF(R369&gt;=0.5*U369,"E+",IF(R369&gt;=0.45*U369,"E",IF(R369&gt;=0.4*U369,"P",IF(R369&lt;0.4*U369,"F",R369)))))))))))))))))))</f>
        <v>Dt</v>
      </c>
      <c r="N369" s="8">
        <f t="shared" ca="1" si="33"/>
        <v>0</v>
      </c>
      <c r="O369" cm="1">
        <f t="array" aca="1" ref="O369" ca="1">IF(NOT(ISBLANK(INDIRECT("SEM_I!R"&amp;INT((ROW(O369)-17)/22)+6))),5,
IF(NOT(ISBLANK(INDIRECT("SEM_I!U"&amp;INT((ROW(O369)-17)/22)+6))),6))</f>
        <v>5</v>
      </c>
      <c r="P369" s="1" t="str">
        <f ca="1">IF(ISERROR(F360),"",IF(ISTEXT(VLOOKUP(B360,INDIRECT($F$8),6+(O369-1)*3)),(VLOOKUP(B360,INDIRECT($F$8),6+(O369-1)*3)),SUM(VLOOKUP(B360,INDIRECT($F$8),6+(O369-1)*3),IF(W378,W369,0))))</f>
        <v>D</v>
      </c>
      <c r="Q369" s="1" t="str">
        <f ca="1">IF(ISERROR(F360),"",VLOOKUP(B360,INDIRECT($F$8),7+(O369-1)*3))</f>
        <v>D</v>
      </c>
      <c r="R369" s="1">
        <f ca="1">IF(ISERROR(F360),"",SUM(P369:Q369))</f>
        <v>0</v>
      </c>
      <c r="S369" s="1">
        <f ca="1">IF(ISERROR(F360),"",VLOOKUP(A360,INDIRECT($F$8),6+(O369-1)*3))</f>
        <v>100</v>
      </c>
      <c r="T369" s="1">
        <f ca="1">IF(ISERROR(F360),"",VLOOKUP(A360,INDIRECT($F$8),7+(O369-1)*3))</f>
        <v>50</v>
      </c>
      <c r="U369" s="1">
        <f ca="1">IF(ISERROR(F360),"",VLOOKUP(A360,INDIRECT($F$8),8+(O369-1)*3))</f>
        <v>150</v>
      </c>
      <c r="V369" s="1" t="str">
        <f ca="1">IF(ISERROR(F360),"",IF(N369=0,A369,""))</f>
        <v>AHT 000</v>
      </c>
      <c r="W369" s="1">
        <f ca="1">IF(ISERROR(F360),"",IF(ISTEXT(VLOOKUP(B360,INDIRECT($F$8),6+(O369-1)*3)),11,IF(VLOOKUP(B360,INDIRECT($F$8),6+(O369-1)*3)&lt;S369*0.3,IF(VLOOKUP(B360,INDIRECT($F$8),8+(O369-1)*3)&lt;U369*0.4,IF(AND(0.4*U369-VLOOKUP(B360,INDIRECT($F$8),8+(O369-1)*3)&lt;=5,0.3*S369-VLOOKUP(B360,INDIRECT($F$8),6+(O369-1)*3)&lt;=5),MAX(0.4*U369-VLOOKUP(B360,INDIRECT($F$8),8+(O369-1)*3),0.3*S369-VLOOKUP(B360,INDIRECT($F$8),6+(O369-1)*3)),11),IF(0.3*S369-VLOOKUP(B360,INDIRECT($F$8),6+(O369-1)*3)&lt;=5,0.3*S369-VLOOKUP(B360,INDIRECT($F$8),6+(O369-1)*3),11)),IF(VLOOKUP(B360,INDIRECT($F$8),8+(O369-1)*3)&lt;U369*0.4,IF(U369*0.4-VLOOKUP(B360,INDIRECT($F$8),8+(O369-1)*3)&lt;=5,U369*0.4-VLOOKUP(B360,INDIRECT($F$8),8+(O369-1)*3),11),0))))</f>
        <v>11</v>
      </c>
      <c r="X369" s="1" t="str">
        <f ca="1">IF(ISERROR(F360),"",IF(W369=0,"",_xlfn.TEXTJOIN("",FALSE," G+",W369," in ",A369)))</f>
        <v xml:space="preserve"> G+11 in AHT 000</v>
      </c>
    </row>
    <row r="370" spans="1:24" ht="11.5" customHeight="1" x14ac:dyDescent="0.2">
      <c r="A370" s="7" t="str">
        <f ca="1">IF(ISERROR(F360),"",VLOOKUP(C360,INDIRECT($F$8),6+(O370-1)*3,0))</f>
        <v>AHP 002</v>
      </c>
      <c r="B370" s="24" t="str">
        <f ca="1">IF(ISERROR(F360),"",VLOOKUP(D360,INDIRECT($F$8),6+(O370-1)*3,0))</f>
        <v>Engineering Chemistry Lab</v>
      </c>
      <c r="C370" s="24"/>
      <c r="D370" s="24"/>
      <c r="E370" s="24"/>
      <c r="F370" s="7">
        <f ca="1">IF(ISERROR(F360),"",VLOOKUP(E360,INDIRECT($F$8),6+(O370-1)*3,0))</f>
        <v>1</v>
      </c>
      <c r="G370" s="25" t="str">
        <f ca="1">IF(ISERROR(F360),"",_xlfn.TEXTJOIN("/",FALSE,P370,S370))</f>
        <v>D/25</v>
      </c>
      <c r="H370" s="25"/>
      <c r="I370" s="25" t="str">
        <f ca="1">IF(ISERROR(F360),"",_xlfn.TEXTJOIN("/",FALSE,Q370,T370))</f>
        <v>D/25</v>
      </c>
      <c r="J370" s="25"/>
      <c r="K370" s="25" t="str">
        <f ca="1">IF(ISERROR(F360),"",_xlfn.TEXTJOIN("/",FALSE,R370,U370))</f>
        <v>0/50</v>
      </c>
      <c r="L370" s="25"/>
      <c r="M370" s="7" t="str">
        <f ca="1">IF(ISERROR(F360)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Dt</v>
      </c>
      <c r="N370" s="8">
        <f t="shared" ca="1" si="33"/>
        <v>0</v>
      </c>
      <c r="O370">
        <f ca="1">IF(O369&gt;0,7)</f>
        <v>7</v>
      </c>
      <c r="P370" s="1" t="str">
        <f ca="1">IF(ISERROR(F360),"",IF(ISTEXT(VLOOKUP(B360,INDIRECT($F$8),6+(O370-1)*3)),(VLOOKUP(B360,INDIRECT($F$8),6+(O370-1)*3)),SUM(VLOOKUP(B360,INDIRECT($F$8),6+(O370-1)*3),IF(W378,W370,0))))</f>
        <v>D</v>
      </c>
      <c r="Q370" s="1" t="str">
        <f ca="1">IF(ISERROR(F360),"",VLOOKUP(B360,INDIRECT($F$8),7+(O370-1)*3))</f>
        <v>D</v>
      </c>
      <c r="R370" s="1">
        <f ca="1">IF(ISERROR(F360),"",SUM(P370:Q370))</f>
        <v>0</v>
      </c>
      <c r="S370" s="1">
        <f ca="1">IF(ISERROR(F360),"",VLOOKUP(A360,INDIRECT($F$8),6+(O370-1)*3))</f>
        <v>25</v>
      </c>
      <c r="T370" s="1">
        <f ca="1">IF(ISERROR(F360),"",VLOOKUP(A360,INDIRECT($F$8),7+(O370-1)*3))</f>
        <v>25</v>
      </c>
      <c r="U370" s="1">
        <f ca="1">IF(ISERROR(F360),"",VLOOKUP(A360,INDIRECT($F$8),8+(O370-1)*3))</f>
        <v>50</v>
      </c>
      <c r="V370" s="1" t="str">
        <f ca="1">IF(ISERROR(F360),"",IF(N370=0,A370,""))</f>
        <v>AHP 002</v>
      </c>
      <c r="W370" s="1">
        <f ca="1">IF(ISERROR(F360),"",IF(ISTEXT(VLOOKUP(B360,INDIRECT($F$8),6+(O370-1)*3)),11,IF(VLOOKUP(B360,INDIRECT($F$8),6+(O370-1)*3)&lt;S370*0.3,IF(VLOOKUP(B360,INDIRECT($F$8),8+(O370-1)*3)&lt;U370*0.4,IF(AND(0.4*U370-VLOOKUP(B360,INDIRECT($F$8),8+(O370-1)*3)&lt;=5,0.3*S370-VLOOKUP(B360,INDIRECT($F$8),6+(O370-1)*3)&lt;=5),MAX(0.4*U370-VLOOKUP(B360,INDIRECT($F$8),8+(O370-1)*3),0.3*S370-VLOOKUP(B360,INDIRECT($F$8),6+(O370-1)*3)),11),IF(0.3*S370-VLOOKUP(B360,INDIRECT($F$8),6+(O370-1)*3)&lt;=5,0.3*S370-VLOOKUP(B360,INDIRECT($F$8),6+(O370-1)*3),11)),IF(VLOOKUP(B360,INDIRECT($F$8),8+(O370-1)*3)&lt;U370*0.4,IF(U370*0.4-VLOOKUP(B360,INDIRECT($F$8),8+(O370-1)*3)&lt;=5,U370*0.4-VLOOKUP(B360,INDIRECT($F$8),8+(O370-1)*3),11),0))))</f>
        <v>11</v>
      </c>
      <c r="X370" s="1" t="str">
        <f ca="1">IF(ISERROR(F360),"",IF(W370=0,"",_xlfn.TEXTJOIN("",FALSE," G+",W370," in ",A370)))</f>
        <v xml:space="preserve"> G+11 in AHP 002</v>
      </c>
    </row>
    <row r="371" spans="1:24" ht="11.5" customHeight="1" x14ac:dyDescent="0.2">
      <c r="A371" s="7" t="str">
        <f ca="1">IF(ISERROR(F360),"",VLOOKUP(C360,INDIRECT($F$8),6+(O371-1)*3,0))</f>
        <v>ECP 001</v>
      </c>
      <c r="B371" s="24" t="str">
        <f ca="1">IF(ISERROR(F360),"",VLOOKUP(D360,INDIRECT($F$8),6+(O371-1)*3,0))</f>
        <v>Basic Electronics Engineering Lab</v>
      </c>
      <c r="C371" s="24"/>
      <c r="D371" s="24"/>
      <c r="E371" s="24"/>
      <c r="F371" s="7">
        <f ca="1">IF(ISERROR(F360),"",VLOOKUP(E360,INDIRECT($F$8),6+(O371-1)*3,0))</f>
        <v>1</v>
      </c>
      <c r="G371" s="25" t="str">
        <f ca="1">IF(ISERROR(F360),"",_xlfn.TEXTJOIN("/",FALSE,P371,S371))</f>
        <v>A/25</v>
      </c>
      <c r="H371" s="25"/>
      <c r="I371" s="25" t="str">
        <f ca="1">IF(ISERROR(F360),"",_xlfn.TEXTJOIN("/",FALSE,Q371,T371))</f>
        <v>A/25</v>
      </c>
      <c r="J371" s="25"/>
      <c r="K371" s="25" t="str">
        <f ca="1">IF(ISERROR(F360),"",_xlfn.TEXTJOIN("/",FALSE,R371,U371))</f>
        <v>0/50</v>
      </c>
      <c r="L371" s="25"/>
      <c r="M371" s="7" t="str">
        <f ca="1">IF(ISERROR(F360)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Ab</v>
      </c>
      <c r="N371" s="8">
        <f t="shared" ca="1" si="33"/>
        <v>0</v>
      </c>
      <c r="O371">
        <f t="shared" ref="O371:O377" ca="1" si="34">O370+1</f>
        <v>8</v>
      </c>
      <c r="P371" s="1" t="str">
        <f ca="1">IF(ISERROR(F360),"",IF(ISTEXT(VLOOKUP(B360,INDIRECT($F$8),6+(O371-1)*3)),(VLOOKUP(B360,INDIRECT($F$8),6+(O371-1)*3)),SUM(VLOOKUP(B360,INDIRECT($F$8),6+(O371-1)*3),IF(W378,W371,0))))</f>
        <v>A</v>
      </c>
      <c r="Q371" s="1" t="str">
        <f ca="1">IF(ISERROR(F360),"",VLOOKUP(B360,INDIRECT($F$8),7+(O371-1)*3))</f>
        <v>A</v>
      </c>
      <c r="R371" s="1">
        <f ca="1">IF(ISERROR(F360),"",SUM(P371:Q371))</f>
        <v>0</v>
      </c>
      <c r="S371" s="1">
        <f ca="1">IF(ISERROR(F360),"",VLOOKUP(A360,INDIRECT($F$8),6+(O371-1)*3))</f>
        <v>25</v>
      </c>
      <c r="T371" s="1">
        <f ca="1">IF(ISERROR(F360),"",VLOOKUP(A360,INDIRECT($F$8),7+(O371-1)*3))</f>
        <v>25</v>
      </c>
      <c r="U371" s="1">
        <f ca="1">IF(ISERROR(F360),"",VLOOKUP(A360,INDIRECT($F$8),8+(O371-1)*3))</f>
        <v>50</v>
      </c>
      <c r="V371" s="1" t="str">
        <f ca="1">IF(ISERROR(F360),"",IF(N371=0,A371,""))</f>
        <v>ECP 001</v>
      </c>
      <c r="W371" s="1">
        <f ca="1">IF(ISERROR(F360),"",IF(ISTEXT(VLOOKUP(B360,INDIRECT($F$8),6+(O371-1)*3)),11,IF(VLOOKUP(B360,INDIRECT($F$8),6+(O371-1)*3)&lt;S371*0.3,IF(VLOOKUP(B360,INDIRECT($F$8),8+(O371-1)*3)&lt;U371*0.4,IF(AND(0.4*U371-VLOOKUP(B360,INDIRECT($F$8),8+(O371-1)*3)&lt;=5,0.3*S371-VLOOKUP(B360,INDIRECT($F$8),6+(O371-1)*3)&lt;=5),MAX(0.4*U371-VLOOKUP(B360,INDIRECT($F$8),8+(O371-1)*3),0.3*S371-VLOOKUP(B360,INDIRECT($F$8),6+(O371-1)*3)),11),IF(0.3*S371-VLOOKUP(B360,INDIRECT($F$8),6+(O371-1)*3)&lt;=5,0.3*S371-VLOOKUP(B360,INDIRECT($F$8),6+(O371-1)*3),11)),IF(VLOOKUP(B360,INDIRECT($F$8),8+(O371-1)*3)&lt;U371*0.4,IF(U371*0.4-VLOOKUP(B360,INDIRECT($F$8),8+(O371-1)*3)&lt;=5,U371*0.4-VLOOKUP(B360,INDIRECT($F$8),8+(O371-1)*3),11),0))))</f>
        <v>11</v>
      </c>
      <c r="X371" s="1" t="str">
        <f ca="1">IF(ISERROR(F360),"",IF(W371=0,"",_xlfn.TEXTJOIN("",FALSE," G+",W371," in ",A371)))</f>
        <v xml:space="preserve"> G+11 in ECP 001</v>
      </c>
    </row>
    <row r="372" spans="1:24" ht="11.5" customHeight="1" x14ac:dyDescent="0.2">
      <c r="A372" s="7" t="str">
        <f ca="1">IF(ISERROR(F360),"",VLOOKUP(C360,INDIRECT($F$8),6+(O372-1)*3,0))</f>
        <v>MEP 001</v>
      </c>
      <c r="B372" s="24" t="str">
        <f ca="1">IF(ISERROR(F360),"",VLOOKUP(D360,INDIRECT($F$8),6+(O372-1)*3,0))</f>
        <v>Basic Mechanical Engineering Lab</v>
      </c>
      <c r="C372" s="24"/>
      <c r="D372" s="24"/>
      <c r="E372" s="24"/>
      <c r="F372" s="7">
        <f ca="1">IF(ISERROR(F360),"",VLOOKUP(E360,INDIRECT($F$8),6+(O372-1)*3,0))</f>
        <v>1</v>
      </c>
      <c r="G372" s="25" t="str">
        <f ca="1">IF(ISERROR(F360),"",_xlfn.TEXTJOIN("/",FALSE,P372,S372))</f>
        <v>D/25</v>
      </c>
      <c r="H372" s="25"/>
      <c r="I372" s="25" t="str">
        <f ca="1">IF(ISERROR(F360),"",_xlfn.TEXTJOIN("/",FALSE,Q372,T372))</f>
        <v>D/25</v>
      </c>
      <c r="J372" s="25"/>
      <c r="K372" s="25" t="str">
        <f ca="1">IF(ISERROR(F360),"",_xlfn.TEXTJOIN("/",FALSE,R372,U372))</f>
        <v>0/50</v>
      </c>
      <c r="L372" s="25"/>
      <c r="M372" s="7" t="str">
        <f ca="1">IF(ISERROR(F360)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Dt</v>
      </c>
      <c r="N372" s="8">
        <f t="shared" ca="1" si="33"/>
        <v>0</v>
      </c>
      <c r="O372">
        <f t="shared" ca="1" si="34"/>
        <v>9</v>
      </c>
      <c r="P372" s="1" t="str">
        <f ca="1">IF(ISERROR(F360),"",IF(ISTEXT(VLOOKUP(B360,INDIRECT($F$8),6+(O372-1)*3)),(VLOOKUP(B360,INDIRECT($F$8),6+(O372-1)*3)),SUM(VLOOKUP(B360,INDIRECT($F$8),6+(O372-1)*3),IF(W378,W372,0))))</f>
        <v>D</v>
      </c>
      <c r="Q372" s="1" t="str">
        <f ca="1">IF(ISERROR(F360),"",VLOOKUP(B360,INDIRECT($F$8),7+(O372-1)*3))</f>
        <v>D</v>
      </c>
      <c r="R372" s="1">
        <f ca="1">IF(ISERROR(F360),"",SUM(P372:Q372))</f>
        <v>0</v>
      </c>
      <c r="S372" s="1">
        <f ca="1">IF(ISERROR(F360),"",VLOOKUP(A360,INDIRECT($F$8),6+(O372-1)*3))</f>
        <v>25</v>
      </c>
      <c r="T372" s="1">
        <f ca="1">IF(ISERROR(F360),"",VLOOKUP(A360,INDIRECT($F$8),7+(O372-1)*3))</f>
        <v>25</v>
      </c>
      <c r="U372" s="1">
        <f ca="1">IF(ISERROR(F360),"",VLOOKUP(A360,INDIRECT($F$8),8+(O372-1)*3))</f>
        <v>50</v>
      </c>
      <c r="V372" s="1" t="str">
        <f ca="1">IF(ISERROR(F360),"",IF(N372=0,A372,""))</f>
        <v>MEP 001</v>
      </c>
      <c r="W372" s="1">
        <f ca="1">IF(ISERROR(F360),"",IF(ISTEXT(VLOOKUP(B360,INDIRECT($F$8),6+(O372-1)*3)),11,IF(VLOOKUP(B360,INDIRECT($F$8),6+(O372-1)*3)&lt;S372*0.3,IF(VLOOKUP(B360,INDIRECT($F$8),8+(O372-1)*3)&lt;U372*0.4,IF(AND(0.4*U372-VLOOKUP(B360,INDIRECT($F$8),8+(O372-1)*3)&lt;=5,0.3*S372-VLOOKUP(B360,INDIRECT($F$8),6+(O372-1)*3)&lt;=5),MAX(0.4*U372-VLOOKUP(B360,INDIRECT($F$8),8+(O372-1)*3),0.3*S372-VLOOKUP(B360,INDIRECT($F$8),6+(O372-1)*3)),11),IF(0.3*S372-VLOOKUP(B360,INDIRECT($F$8),6+(O372-1)*3)&lt;=5,0.3*S372-VLOOKUP(B360,INDIRECT($F$8),6+(O372-1)*3),11)),IF(VLOOKUP(B360,INDIRECT($F$8),8+(O372-1)*3)&lt;U372*0.4,IF(U372*0.4-VLOOKUP(B360,INDIRECT($F$8),8+(O372-1)*3)&lt;=5,U372*0.4-VLOOKUP(B360,INDIRECT($F$8),8+(O372-1)*3),11),0))))</f>
        <v>11</v>
      </c>
      <c r="X372" s="1" t="str">
        <f ca="1">IF(ISERROR(F360),"",IF(W372=0,"",_xlfn.TEXTJOIN("",FALSE," G+",W372," in ",A372)))</f>
        <v xml:space="preserve"> G+11 in MEP 001</v>
      </c>
    </row>
    <row r="373" spans="1:24" ht="11.5" customHeight="1" x14ac:dyDescent="0.2">
      <c r="A373" s="7" t="str">
        <f ca="1">IF(ISERROR(F360),"",VLOOKUP(C360,INDIRECT($F$8),6+(O373-1)*3,0))</f>
        <v>MEP 003</v>
      </c>
      <c r="B373" s="24" t="str">
        <f ca="1">IF(ISERROR(F360),"",VLOOKUP(D360,INDIRECT($F$8),6+(O373-1)*3-Z373,0))</f>
        <v>Workshop Practices Lab</v>
      </c>
      <c r="C373" s="24"/>
      <c r="D373" s="24"/>
      <c r="E373" s="24"/>
      <c r="F373" s="7">
        <f ca="1">IF(ISERROR(F360),"",VLOOKUP(E360,INDIRECT($F$8),6+(O373-1)*3,0))</f>
        <v>2</v>
      </c>
      <c r="G373" s="25" t="str">
        <f ca="1">IF(ISERROR(F360),"",_xlfn.TEXTJOIN("/",FALSE,P373,S373))</f>
        <v>D/50</v>
      </c>
      <c r="H373" s="25"/>
      <c r="I373" s="25" t="str">
        <f ca="1">IF(ISERROR(F360),"",_xlfn.TEXTJOIN("/",FALSE,Q373,T373))</f>
        <v>D/50</v>
      </c>
      <c r="J373" s="25"/>
      <c r="K373" s="25" t="str">
        <f ca="1">IF(ISERROR(F360),"",_xlfn.TEXTJOIN("/",FALSE,R373,U373))</f>
        <v>0/100</v>
      </c>
      <c r="L373" s="25"/>
      <c r="M373" s="7" t="str">
        <f ca="1">IF(ISERROR(F360)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Dt</v>
      </c>
      <c r="N373" s="8">
        <f t="shared" ca="1" si="33"/>
        <v>0</v>
      </c>
      <c r="O373">
        <f t="shared" ca="1" si="34"/>
        <v>10</v>
      </c>
      <c r="P373" s="1" t="str">
        <f ca="1">IF(ISERROR(F360),"",IF(ISTEXT(VLOOKUP(B360,INDIRECT($F$8),6+(O373-1)*3)),(VLOOKUP(B360,INDIRECT($F$8),6+(O373-1)*3)),SUM(VLOOKUP(B360,INDIRECT($F$8),6+(O373-1)*3),IF(W378,W373,0))))</f>
        <v>D</v>
      </c>
      <c r="Q373" s="1" t="str">
        <f ca="1">IF(ISERROR(F360),"",VLOOKUP(B360,INDIRECT($F$8),7+(O373-1)*3))</f>
        <v>D</v>
      </c>
      <c r="R373" s="1">
        <f ca="1">IF(ISERROR(F360),"",SUM(P373:Q373))</f>
        <v>0</v>
      </c>
      <c r="S373" s="1">
        <f ca="1">IF(ISERROR(F360),"",VLOOKUP(A360,INDIRECT($F$8),6+(O373-1)*3))</f>
        <v>50</v>
      </c>
      <c r="T373" s="1">
        <f ca="1">IF(ISERROR(F360),"",VLOOKUP(A360,INDIRECT($F$8),7+(O373-1)*3))</f>
        <v>50</v>
      </c>
      <c r="U373" s="1">
        <f ca="1">IF(ISERROR(F360),"",VLOOKUP(A360,INDIRECT($F$8),8+(O373-1)*3))</f>
        <v>100</v>
      </c>
      <c r="V373" s="1" t="str">
        <f ca="1">IF(ISERROR(F360),"",IF(N373=0,A373,""))</f>
        <v>MEP 003</v>
      </c>
      <c r="W373" s="1">
        <f ca="1">IF(ISERROR(F360),"",IF(ISTEXT(VLOOKUP(B360,INDIRECT($F$8),6+(O373-1)*3)),11,IF(VLOOKUP(B360,INDIRECT($F$8),6+(O373-1)*3)&lt;S373*0.3,IF(VLOOKUP(B360,INDIRECT($F$8),8+(O373-1)*3)&lt;U373*0.4,IF(AND(0.4*U373-VLOOKUP(B360,INDIRECT($F$8),8+(O373-1)*3)&lt;=5,0.3*S373-VLOOKUP(B360,INDIRECT($F$8),6+(O373-1)*3)&lt;=5),MAX(0.4*U373-VLOOKUP(B360,INDIRECT($F$8),8+(O373-1)*3),0.3*S373-VLOOKUP(B360,INDIRECT($F$8),6+(O373-1)*3)),11),IF(0.3*S373-VLOOKUP(B360,INDIRECT($F$8),6+(O373-1)*3)&lt;=5,0.3*S373-VLOOKUP(B360,INDIRECT($F$8),6+(O373-1)*3),11)),IF(VLOOKUP(B360,INDIRECT($F$8),8+(O373-1)*3)&lt;U373*0.4,IF(U373*0.4-VLOOKUP(B360,INDIRECT($F$8),8+(O373-1)*3)&lt;=5,U373*0.4-VLOOKUP(B360,INDIRECT($F$8),8+(O373-1)*3),11),0))))</f>
        <v>11</v>
      </c>
      <c r="X373" s="1" t="str">
        <f ca="1">IF(ISERROR(F360),"",IF(W373=0,"",_xlfn.TEXTJOIN("",FALSE," G+",W373," in ",A373)))</f>
        <v xml:space="preserve"> G+11 in MEP 003</v>
      </c>
    </row>
    <row r="374" spans="1:24" ht="11.5" customHeight="1" x14ac:dyDescent="0.2">
      <c r="A374" s="7" t="str">
        <f ca="1">IF(ISERROR(F360),"",VLOOKUP(C360,INDIRECT($F$8),6+(O374-1)*3,0))</f>
        <v>AHP 004</v>
      </c>
      <c r="B374" s="24" t="str">
        <f ca="1">IF(ISERROR(F360),"",VLOOKUP(D360,INDIRECT($F$8),6+(O374-1)*3-Z374,0))</f>
        <v>Emerging Technologies in Engineering Lab</v>
      </c>
      <c r="C374" s="24"/>
      <c r="D374" s="24"/>
      <c r="E374" s="24"/>
      <c r="F374" s="7">
        <f ca="1">IF(ISERROR(F360),"",VLOOKUP(E360,INDIRECT($F$8),6+(O374-1)*3,0))</f>
        <v>1</v>
      </c>
      <c r="G374" s="25" t="str">
        <f ca="1">IF(ISERROR(F360),"",_xlfn.TEXTJOIN("/",FALSE,P374,S374))</f>
        <v>D/25</v>
      </c>
      <c r="H374" s="25"/>
      <c r="I374" s="25" t="str">
        <f ca="1">IF(ISERROR(F360),"",_xlfn.TEXTJOIN("/",FALSE,Q374,T374))</f>
        <v>D/25</v>
      </c>
      <c r="J374" s="25"/>
      <c r="K374" s="25" t="str">
        <f ca="1">IF(ISERROR(F360),"",_xlfn.TEXTJOIN("/",FALSE,R374,U374))</f>
        <v>0/50</v>
      </c>
      <c r="L374" s="25"/>
      <c r="M374" s="7" t="str">
        <f ca="1">IF(ISERROR(F360)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Dt</v>
      </c>
      <c r="N374" s="8">
        <f t="shared" ca="1" si="33"/>
        <v>0</v>
      </c>
      <c r="O374">
        <f t="shared" ca="1" si="34"/>
        <v>11</v>
      </c>
      <c r="P374" s="1" t="str">
        <f ca="1">IF(ISERROR(F360),"",IF(ISTEXT(VLOOKUP(B360,INDIRECT($F$8),6+(O374-1)*3)),(VLOOKUP(B360,INDIRECT($F$8),6+(O374-1)*3)),SUM(VLOOKUP(B360,INDIRECT($F$8),6+(O374-1)*3),IF(W378,W374,0))))</f>
        <v>D</v>
      </c>
      <c r="Q374" s="1" t="str">
        <f ca="1">IF(ISERROR(F360),"",VLOOKUP(B360,INDIRECT($F$8),7+(O374-1)*3))</f>
        <v>D</v>
      </c>
      <c r="R374" s="1">
        <f ca="1">IF(ISERROR(F360),"",SUM(P374:Q374))</f>
        <v>0</v>
      </c>
      <c r="S374" s="1">
        <f ca="1">IF(ISERROR(F360),"",VLOOKUP(A360,INDIRECT($F$8),6+(O374-1)*3))</f>
        <v>25</v>
      </c>
      <c r="T374" s="1">
        <f ca="1">IF(ISERROR(F360),"",VLOOKUP(A360,INDIRECT($F$8),7+(O374-1)*3))</f>
        <v>25</v>
      </c>
      <c r="U374" s="1">
        <f ca="1">IF(ISERROR(F360),"",VLOOKUP(A360,INDIRECT($F$8),8+(O374-1)*3))</f>
        <v>50</v>
      </c>
      <c r="V374" s="1" t="str">
        <f ca="1">IF(ISERROR(F360),"",IF(N374=0,A374,""))</f>
        <v>AHP 004</v>
      </c>
      <c r="W374" s="1">
        <f ca="1">IF(ISERROR(F360),"",IF(ISTEXT(VLOOKUP(B360,INDIRECT($F$8),6+(O374-1)*3)),11,IF(VLOOKUP(B360,INDIRECT($F$8),6+(O374-1)*3)&lt;S374*0.3,IF(VLOOKUP(B360,INDIRECT($F$8),8+(O374-1)*3)&lt;U374*0.4,IF(AND(0.4*U374-VLOOKUP(B360,INDIRECT($F$8),8+(O374-1)*3)&lt;=5,0.3*S374-VLOOKUP(B360,INDIRECT($F$8),6+(O374-1)*3)&lt;=5),MAX(0.4*U374-VLOOKUP(B360,INDIRECT($F$8),8+(O374-1)*3),0.3*S374-VLOOKUP(B360,INDIRECT($F$8),6+(O374-1)*3)),11),IF(0.3*S374-VLOOKUP(B360,INDIRECT($F$8),6+(O374-1)*3)&lt;=5,0.3*S374-VLOOKUP(B360,INDIRECT($F$8),6+(O374-1)*3),11)),IF(VLOOKUP(B360,INDIRECT($F$8),8+(O374-1)*3)&lt;U374*0.4,IF(U374*0.4-VLOOKUP(B360,INDIRECT($F$8),8+(O374-1)*3)&lt;=5,U374*0.4-VLOOKUP(B360,INDIRECT($F$8),8+(O374-1)*3),11),0))))</f>
        <v>11</v>
      </c>
      <c r="X374" s="1" t="str">
        <f ca="1">IF(ISERROR(F360),"",IF(W374=0,"",_xlfn.TEXTJOIN("",FALSE," G+",W374," in ",A374)))</f>
        <v xml:space="preserve"> G+11 in AHP 004</v>
      </c>
    </row>
    <row r="375" spans="1:24" ht="11.5" customHeight="1" x14ac:dyDescent="0.2">
      <c r="A375" s="7" t="str">
        <f ca="1">IF(ISERROR(F360),"",VLOOKUP(C360,INDIRECT($F$8),6+(O375-1)*3,0))</f>
        <v>CSP 002</v>
      </c>
      <c r="B375" s="24" t="str">
        <f ca="1">IF(ISERROR(F360),"",VLOOKUP(D360,INDIRECT($F$8),6+(O375-1)*3,0))</f>
        <v>Computer Applications and IOT</v>
      </c>
      <c r="C375" s="24"/>
      <c r="D375" s="24"/>
      <c r="E375" s="24"/>
      <c r="F375" s="7">
        <f ca="1">IF(ISERROR(F360),"",VLOOKUP(E360,INDIRECT($F$8),6+(O375-1)*3,0))</f>
        <v>1</v>
      </c>
      <c r="G375" s="25" t="str">
        <f ca="1">IF(ISERROR(F360),"",_xlfn.TEXTJOIN("/",FALSE,P375,S375))</f>
        <v>D/25</v>
      </c>
      <c r="H375" s="25"/>
      <c r="I375" s="25" t="str">
        <f ca="1">IF(ISERROR(F360),"",_xlfn.TEXTJOIN("/",FALSE,Q375,T375))</f>
        <v>D/25</v>
      </c>
      <c r="J375" s="25"/>
      <c r="K375" s="25" t="str">
        <f ca="1">IF(ISERROR(F360),"",_xlfn.TEXTJOIN("/",FALSE,R375,U375))</f>
        <v>0/50</v>
      </c>
      <c r="L375" s="25"/>
      <c r="M375" s="7" t="str">
        <f ca="1">IF(ISERROR(F360)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Dt</v>
      </c>
      <c r="N375" s="8">
        <f t="shared" ca="1" si="33"/>
        <v>0</v>
      </c>
      <c r="O375">
        <f t="shared" ca="1" si="34"/>
        <v>12</v>
      </c>
      <c r="P375" s="1" t="str">
        <f ca="1">IF(ISERROR(F360),"",IF(ISTEXT(VLOOKUP(B360,INDIRECT($F$8),6+(O375-1)*3)),(VLOOKUP(B360,INDIRECT($F$8),6+(O375-1)*3)),SUM(VLOOKUP(B360,INDIRECT($F$8),6+(O375-1)*3),IF(W378,W375,0))))</f>
        <v>D</v>
      </c>
      <c r="Q375" s="1" t="str">
        <f ca="1">IF(ISERROR(F360),"",VLOOKUP(B360,INDIRECT($F$8),7+(O375-1)*3))</f>
        <v>D</v>
      </c>
      <c r="R375" s="1">
        <f ca="1">IF(ISERROR(F360),"",SUM(P375:Q375))</f>
        <v>0</v>
      </c>
      <c r="S375" s="1">
        <f ca="1">IF(ISERROR(F360),"",VLOOKUP(A360,INDIRECT($F$8),6+(O375-1)*3))</f>
        <v>25</v>
      </c>
      <c r="T375" s="1">
        <f ca="1">IF(ISERROR(F360),"",VLOOKUP(A360,INDIRECT($F$8),7+(O375-1)*3))</f>
        <v>25</v>
      </c>
      <c r="U375" s="1">
        <f ca="1">IF(ISERROR(F360),"",VLOOKUP(A360,INDIRECT($F$8),8+(O375-1)*3))</f>
        <v>50</v>
      </c>
      <c r="V375" s="1" t="str">
        <f ca="1">IF(ISERROR(F360),"",IF(N375=0,A375,""))</f>
        <v>CSP 002</v>
      </c>
      <c r="W375" s="1">
        <f ca="1">IF(ISERROR(F360),"",IF(ISTEXT(VLOOKUP(B360,INDIRECT($F$8),6+(O375-1)*3)),11,IF(VLOOKUP(B360,INDIRECT($F$8),6+(O375-1)*3)&lt;S375*0.3,IF(VLOOKUP(B360,INDIRECT($F$8),8+(O375-1)*3)&lt;U375*0.4,IF(AND(0.4*U375-VLOOKUP(B360,INDIRECT($F$8),8+(O375-1)*3)&lt;=5,0.3*S375-VLOOKUP(B360,INDIRECT($F$8),6+(O375-1)*3)&lt;=5),MAX(0.4*U375-VLOOKUP(B360,INDIRECT($F$8),8+(O375-1)*3),0.3*S375-VLOOKUP(B360,INDIRECT($F$8),6+(O375-1)*3)),11),IF(0.3*S375-VLOOKUP(B360,INDIRECT($F$8),6+(O375-1)*3)&lt;=5,0.3*S375-VLOOKUP(B360,INDIRECT($F$8),6+(O375-1)*3),11)),IF(VLOOKUP(B360,INDIRECT($F$8),8+(O375-1)*3)&lt;U375*0.4,IF(U375*0.4-VLOOKUP(B360,INDIRECT($F$8),8+(O375-1)*3)&lt;=5,U375*0.4-VLOOKUP(B360,INDIRECT($F$8),8+(O375-1)*3),11),0))))</f>
        <v>11</v>
      </c>
      <c r="X375" s="1" t="str">
        <f ca="1">IF(ISERROR(F360),"",IF(W375=0,"",_xlfn.TEXTJOIN("",FALSE," G+",W375," in ",A375)))</f>
        <v xml:space="preserve"> G+11 in CSP 002</v>
      </c>
    </row>
    <row r="376" spans="1:24" ht="11.5" customHeight="1" x14ac:dyDescent="0.2">
      <c r="A376" s="7" t="str">
        <f ca="1">IF(ISERROR(F360),"",VLOOKUP(C360,INDIRECT($F$8),6+(O376-1)*3,0))</f>
        <v>AHP 006</v>
      </c>
      <c r="B376" s="24" t="str">
        <f ca="1">IF(ISERROR(F360),"",VLOOKUP(D360,INDIRECT($F$8),6+(O376-1)*3,0))</f>
        <v>English Language Lab ($)</v>
      </c>
      <c r="C376" s="24"/>
      <c r="D376" s="24"/>
      <c r="E376" s="24"/>
      <c r="F376" s="7">
        <f ca="1">IF(ISERROR(F360),"",VLOOKUP(E360,INDIRECT($F$8),6+(O376-1)*3,0))</f>
        <v>0</v>
      </c>
      <c r="G376" s="25" t="str">
        <f ca="1">IF(ISERROR(F360),"",_xlfn.TEXTJOIN("/",FALSE,P376,S376))</f>
        <v>A/25</v>
      </c>
      <c r="H376" s="25"/>
      <c r="I376" s="25" t="str">
        <f ca="1">IF(ISERROR(F360),"",_xlfn.TEXTJOIN("/",FALSE,Q376,T376))</f>
        <v>A/50</v>
      </c>
      <c r="J376" s="25"/>
      <c r="K376" s="25" t="str">
        <f ca="1">IF(ISERROR(F360),"",_xlfn.TEXTJOIN("/",FALSE,R376,U376))</f>
        <v>0/75</v>
      </c>
      <c r="L376" s="25"/>
      <c r="M376" s="7" t="str">
        <f ca="1">IF(ISERROR(F360)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Ab</v>
      </c>
      <c r="N376" s="8">
        <f ca="1">INDEX($Z$2:$Z$17,MATCH(M376,$Y$2:$Y$17,0))</f>
        <v>0</v>
      </c>
      <c r="O376">
        <f t="shared" ca="1" si="34"/>
        <v>13</v>
      </c>
      <c r="P376" s="1" t="str">
        <f ca="1">IF(ISERROR(F360),"",IF(ISTEXT(VLOOKUP(B360,INDIRECT($F$8),6+(O376-1)*3)),(VLOOKUP(B360,INDIRECT($F$8),6+(O376-1)*3)),SUM(VLOOKUP(B360,INDIRECT($F$8),6+(O376-1)*3),IF(W378,W376,0))))</f>
        <v>A</v>
      </c>
      <c r="Q376" s="1" t="str">
        <f ca="1">IF(ISERROR(F360),"",VLOOKUP(B360,INDIRECT($F$8),7+(O376-1)*3))</f>
        <v>A</v>
      </c>
      <c r="R376" s="1">
        <f ca="1">IF(ISERROR(F360),"",SUM(P376:Q376))</f>
        <v>0</v>
      </c>
      <c r="S376" s="1">
        <f ca="1">IF(ISERROR(F360),"",VLOOKUP(A360,INDIRECT($F$8),6+(O376-1)*3))</f>
        <v>25</v>
      </c>
      <c r="T376" s="1">
        <f ca="1">IF(ISERROR(F360),"",VLOOKUP(A360,INDIRECT($F$8),7+(O376-1)*3))</f>
        <v>50</v>
      </c>
      <c r="U376" s="1">
        <f ca="1">IF(ISERROR(F360),"",VLOOKUP(A360,INDIRECT($F$8),8+(O376-1)*3))</f>
        <v>75</v>
      </c>
      <c r="V376" s="1"/>
      <c r="W376" s="1">
        <f ca="1">IF(ISERROR(F360),"",IF(ISTEXT(VLOOKUP(B360,INDIRECT($F$8),6+(O376-1)*3)),11,IF(VLOOKUP(B360,INDIRECT($F$8),6+(O376-1)*3)&lt;S376*0.3,IF(VLOOKUP(B360,INDIRECT($F$8),8+(O376-1)*3)&lt;U376*0.4,IF(AND(0.4*U376-VLOOKUP(B360,INDIRECT($F$8),8+(O376-1)*3)&lt;=5,0.3*S376-VLOOKUP(B360,INDIRECT($F$8),6+(O376-1)*3)&lt;=5),MAX(0.4*U376-VLOOKUP(B360,INDIRECT($F$8),8+(O376-1)*3),0.3*S376-VLOOKUP(B360,INDIRECT($F$8),6+(O376-1)*3)),11),IF(0.3*S376-VLOOKUP(B360,INDIRECT($F$8),6+(O376-1)*3)&lt;=5,0.3*S376-VLOOKUP(B360,INDIRECT($F$8),6+(O376-1)*3),11)),IF(VLOOKUP(B360,INDIRECT($F$8),8+(O376-1)*3)&lt;U376*0.4,IF(U376*0.4-VLOOKUP(B360,INDIRECT($F$8),8+(O376-1)*3)&lt;=5,U376*0.4-VLOOKUP(B360,INDIRECT($F$8),8+(O376-1)*3),11),0))))</f>
        <v>11</v>
      </c>
      <c r="X376" s="1" t="str">
        <f ca="1">IF(ISERROR(F360),"",IF(W376=0,"",_xlfn.TEXTJOIN("",FALSE," G+",W376," in ",A376)))</f>
        <v xml:space="preserve"> G+11 in AHP 006</v>
      </c>
    </row>
    <row r="377" spans="1:24" ht="11.5" customHeight="1" x14ac:dyDescent="0.2">
      <c r="A377" s="7" t="str">
        <f ca="1">IF(ISERROR(F360),"",VLOOKUP(C360,INDIRECT($F$8),6+(O377-1)*3-Y377,0))</f>
        <v>GP 01</v>
      </c>
      <c r="B377" s="24" t="str">
        <f ca="1">IF(ISERROR(F360),"",VLOOKUP(D360,INDIRECT($F$8),6+(O377-1)*3-Z377,0))</f>
        <v>General Proficiency ($)</v>
      </c>
      <c r="C377" s="24"/>
      <c r="D377" s="24"/>
      <c r="E377" s="24"/>
      <c r="F377" s="7">
        <f ca="1">IF(ISERROR(F360),"",VLOOKUP(E360,INDIRECT($F$8),6+(O377-1)*3-AA377,0))</f>
        <v>0</v>
      </c>
      <c r="G377" s="25" t="str">
        <f ca="1">IF(ISERROR(F360),"","-")</f>
        <v>-</v>
      </c>
      <c r="H377" s="25"/>
      <c r="I377" s="25" t="str">
        <f ca="1">IF(ISERROR(F360),"",_xlfn.TEXTJOIN("/",FALSE,Q377,T377))</f>
        <v>47/50</v>
      </c>
      <c r="J377" s="25"/>
      <c r="K377" s="25" t="str">
        <f ca="1">IF(ISERROR(F360),"",_xlfn.TEXTJOIN("/",FALSE,R377,U377))</f>
        <v>47/50</v>
      </c>
      <c r="L377" s="25"/>
      <c r="M377" s="25" t="str">
        <f ca="1">IF(ISBLANK(R377),"",IF(ISTEXT(R377),R377,IF(R377&gt;=0.8*U377,"Excellent",IF(R377&gt;=0.6*U377,"Very Good",IF(R377&gt;=0.4*U377,"Good",IF(R377&gt;=0.2*U377,"Satisfactory","Average"))))))</f>
        <v>Excellent</v>
      </c>
      <c r="N377" s="25"/>
      <c r="O377">
        <f t="shared" ca="1" si="34"/>
        <v>14</v>
      </c>
      <c r="P377" s="1">
        <f ca="1">IF(ISERROR(F360),"",IF(ISTEXT(VLOOKUP(B\28,INDIRECT($F$8),6+(O377-1)*3)),(VLOOKUP(B360,INDIRECT($F$8),6+(O377-1)*3)),SUM(VLOOKUP(B360,INDIRECT($F$8),6+(O377-1)*3),IF(W378,W378,0))))</f>
        <v>0</v>
      </c>
      <c r="Q377" s="1">
        <f ca="1">IF(ISERROR(F360),"",VLOOKUP(B360,INDIRECT($F$8),7+(O377-1)*3))</f>
        <v>47</v>
      </c>
      <c r="R377" s="1">
        <f ca="1">IF(ISERROR(F360),"",SUM(P377:Q377))</f>
        <v>47</v>
      </c>
      <c r="S377" s="1">
        <f ca="1">IF(ISERROR(F360),"",VLOOKUP(A360,INDIRECT($F$8),6+(O377-1)*3))</f>
        <v>0</v>
      </c>
      <c r="T377" s="1">
        <f ca="1">IF(ISERROR(F360),"",VLOOKUP(A360,INDIRECT($F$8),7+(O377-1)*3))</f>
        <v>50</v>
      </c>
      <c r="U377" s="1">
        <f ca="1">IF(ISERROR(F360),"",VLOOKUP(A360,INDIRECT($F$8),8+(O377-1)*3))</f>
        <v>50</v>
      </c>
      <c r="V377" s="1"/>
      <c r="W377" s="1"/>
      <c r="X377" s="1" t="str">
        <f ca="1">IF(ISERROR(F360),"",IF(W377=0,"",_xlfn.TEXTJOIN("",FALSE," G+",W377," in ",A377)))</f>
        <v/>
      </c>
    </row>
    <row r="378" spans="1:24" ht="11.5" customHeight="1" x14ac:dyDescent="0.2">
      <c r="A378" s="26" t="str">
        <f ca="1">IF(ISERROR(F360),"",A356)</f>
        <v>Total Credits/ Marks/ Total Grade Points</v>
      </c>
      <c r="B378" s="26"/>
      <c r="C378" s="26"/>
      <c r="D378" s="26"/>
      <c r="E378" s="26"/>
      <c r="F378" s="10">
        <f ca="1">IF(ISERROR(F360),"",SUM(F365:F376))</f>
        <v>23</v>
      </c>
      <c r="G378" s="27" t="str">
        <f ca="1">IF(ISERROR(F360),"",_xlfn.TEXTJOIN("/",TRUE,SUMIF(F365:F377,"&gt;0",P365:P377),SUMIF(F365:F377,"&gt;0",S365:S377)))</f>
        <v>0/575</v>
      </c>
      <c r="H378" s="27"/>
      <c r="I378" s="27" t="str">
        <f ca="1">IF(ISERROR(F360),"",_xlfn.TEXTJOIN("/",TRUE,SUMIF(F365:F377,"&gt;0",Q365:Q377),SUMIF(F365:F377,"&gt;0",T365:T377)))</f>
        <v>0/375</v>
      </c>
      <c r="J378" s="27"/>
      <c r="K378" s="27" t="str">
        <f ca="1">IF(ISERROR(F360),"",_xlfn.TEXTJOIN("/",TRUE,SUMIF(F365:F377,"&gt;0",R365:R377),SUMIF(F365:F377,"&gt;0",U365:U377)))</f>
        <v>0/950</v>
      </c>
      <c r="L378" s="27"/>
      <c r="M378" s="26">
        <f ca="1">IF(ISERROR(F360),"",SUMPRODUCT(N365:N376,F365:F376))</f>
        <v>0</v>
      </c>
      <c r="N378" s="26"/>
      <c r="V378" s="1" t="str">
        <f ca="1">_xlfn.TEXTJOIN(", ",TRUE,V365:V377)</f>
        <v>AHT 002, AHT 003, ECT 001, MET 001, AHT 000, AHP 002, ECP 001, MEP 001, MEP 003, AHP 004, CSP 002</v>
      </c>
      <c r="W378" t="b">
        <f ca="1">IF(SUM(W365:W377)&lt;=W364,TRUE,FALSE)</f>
        <v>0</v>
      </c>
      <c r="X378" s="1" t="str">
        <f ca="1">IF(ISERROR(F360),"",_xlfn.TEXTJOIN(",",TRUE,X365:X377))</f>
        <v xml:space="preserve"> G+11 in AHT 002, G+11 in AHT 003, G+11 in ECT 001, G+11 in MET 001, G+11 in AHT 000, G+11 in AHP 002, G+11 in ECP 001, G+11 in MEP 001, G+11 in MEP 003, G+11 in AHP 004, G+11 in CSP 002, G+11 in AHP 006</v>
      </c>
    </row>
    <row r="379" spans="1:24" ht="11.5" customHeight="1" x14ac:dyDescent="0.2">
      <c r="A379" s="26" t="str">
        <f ca="1">IF(ISERROR(F360),"",A357)</f>
        <v>Result:</v>
      </c>
      <c r="B379" s="28" t="str" cm="1">
        <f t="array" aca="1" ref="B379" ca="1">IF(SUM(COUNTIF(M365:M376,{"Ab","Dt"}))=12, "Not Promoted to IInd Semester", IF(V378="", "PASS", "CARRY OVER"))</f>
        <v>Not Promoted to IInd Semester</v>
      </c>
      <c r="C379" s="28"/>
      <c r="D379" s="26" t="str">
        <f ca="1">IF(ISERROR(F360),"",D357)</f>
        <v>Remark:</v>
      </c>
      <c r="E379" s="28" t="str">
        <f ca="1">IF(ISERROR(F360),"",IF(V378="",IF(X378="","",X378),_xlfn.TEXTJOIN(" ",TRUE,"BACK IN",V378)))</f>
        <v>BACK IN AHT 002, AHT 003, ECT 001, MET 001, AHT 000, AHP 002, ECP 001, MEP 001, MEP 003, AHP 004, CSP 002</v>
      </c>
      <c r="F379" s="28"/>
      <c r="G379" s="26" t="str">
        <f ca="1">IF(ISERROR(F360),"",G357)</f>
        <v>SGPA:</v>
      </c>
      <c r="H379" s="29">
        <f ca="1">IF(ISERROR(F360),"",M378/F378)</f>
        <v>0</v>
      </c>
      <c r="I379" s="26" t="str">
        <f ca="1">IF(ISERROR(F360),"",I357)</f>
        <v>CGPA:</v>
      </c>
      <c r="J379" s="29">
        <f ca="1">IF(ISERROR(F360),"",VLOOKUP(B360,INDIRECT($F$8),12+(O377-1)*3,0))</f>
        <v>0</v>
      </c>
      <c r="K379" s="28" t="str">
        <f ca="1">IF(ISERROR(F360),"",K357)</f>
        <v>Earned Credits:</v>
      </c>
      <c r="L379" s="26">
        <f ca="1">IF(ISERROR(F360),"",SUMIF(N365:N376,"&gt;0",F365:F376))</f>
        <v>0</v>
      </c>
      <c r="M379" s="28" t="str">
        <f ca="1">IF(ISERROR(F360),"",M357)</f>
        <v>Cuml. Earned Credits:</v>
      </c>
      <c r="N379" s="26">
        <f ca="1">IF(ISERROR(F360),"",VLOOKUP(B360,INDIRECT($F$8),10+(O377-1)*3,0))</f>
        <v>0</v>
      </c>
    </row>
    <row r="380" spans="1:24" ht="11.5" customHeight="1" x14ac:dyDescent="0.2">
      <c r="A380" s="26"/>
      <c r="B380" s="28"/>
      <c r="C380" s="28"/>
      <c r="D380" s="26"/>
      <c r="E380" s="28"/>
      <c r="F380" s="28"/>
      <c r="G380" s="26"/>
      <c r="H380" s="29"/>
      <c r="I380" s="26"/>
      <c r="J380" s="29"/>
      <c r="K380" s="28"/>
      <c r="L380" s="26"/>
      <c r="M380" s="28"/>
      <c r="N380" s="26"/>
    </row>
    <row r="381" spans="1:24" ht="11.5" customHeight="1" x14ac:dyDescent="0.2">
      <c r="A381" s="26"/>
      <c r="B381" s="28"/>
      <c r="C381" s="28"/>
      <c r="D381" s="26"/>
      <c r="E381" s="28"/>
      <c r="F381" s="28"/>
      <c r="G381" s="26"/>
      <c r="H381" s="29"/>
      <c r="I381" s="26"/>
      <c r="J381" s="29"/>
      <c r="K381" s="28"/>
      <c r="L381" s="26"/>
      <c r="M381" s="28"/>
      <c r="N381" s="26"/>
    </row>
    <row r="382" spans="1:24" ht="11.5" customHeight="1" x14ac:dyDescent="0.2">
      <c r="A382" s="11" t="str">
        <f>A360</f>
        <v>MM</v>
      </c>
      <c r="B382" s="11">
        <f>B360+1</f>
        <v>18</v>
      </c>
      <c r="C382" s="11" t="str">
        <f>C360</f>
        <v>SC</v>
      </c>
      <c r="D382" s="11" t="str">
        <f>D360</f>
        <v>SN</v>
      </c>
      <c r="E382" s="11" t="str">
        <f>E360</f>
        <v>C</v>
      </c>
      <c r="F382" s="11" t="str">
        <f ca="1">VLOOKUP(B382,INDIRECT($F$8),4,0)</f>
        <v>MANSI KOLI</v>
      </c>
    </row>
    <row r="383" spans="1:24" ht="11.5" customHeight="1" x14ac:dyDescent="0.2">
      <c r="A383" s="30" t="str">
        <f ca="1">IF(ISERROR(F382),"",A361)</f>
        <v>Name:</v>
      </c>
      <c r="B383" s="30" t="str">
        <f ca="1">IFERROR(VLOOKUP(B382,INDIRECT($F$8),4,0),"")</f>
        <v>MANSI KOLI</v>
      </c>
      <c r="C383" s="30"/>
      <c r="D383" s="30" t="str">
        <f ca="1">IF(ISERROR(F382),"",D361)</f>
        <v>Father's Name:</v>
      </c>
      <c r="E383" s="30" t="str">
        <f ca="1">IFERROR(VLOOKUP(B382,INDIRECT($F$8),5,0),"")</f>
        <v>RAGHUBIR SINGH KOLI</v>
      </c>
      <c r="F383" s="30"/>
      <c r="G383" s="30" t="str">
        <f ca="1">IF(ISERROR(F382),"",G361)</f>
        <v>University Roll No:</v>
      </c>
      <c r="H383" s="30"/>
      <c r="I383" s="31">
        <f ca="1">IFERROR(VLOOKUP(B382,INDIRECT($F$8),2,0),"")</f>
        <v>250090120019</v>
      </c>
      <c r="J383" s="31"/>
      <c r="K383" s="30" t="str">
        <f ca="1">IF(ISERROR(F382),"",K361)</f>
        <v>University Enrol. No:</v>
      </c>
      <c r="L383" s="30"/>
      <c r="M383" s="31" t="str">
        <f ca="1">IFERROR(VLOOKUP(B382,INDIRECT($F$8),3,0),"")</f>
        <v>UTU/2501104020</v>
      </c>
      <c r="N383" s="31"/>
    </row>
    <row r="384" spans="1:24" ht="11.5" customHeight="1" x14ac:dyDescent="0.2">
      <c r="A384" s="30"/>
      <c r="B384" s="30"/>
      <c r="C384" s="30"/>
      <c r="D384" s="30"/>
      <c r="E384" s="30"/>
      <c r="F384" s="30"/>
      <c r="G384" s="30"/>
      <c r="H384" s="30"/>
      <c r="I384" s="31"/>
      <c r="J384" s="31"/>
      <c r="K384" s="30"/>
      <c r="L384" s="30"/>
      <c r="M384" s="31"/>
      <c r="N384" s="31"/>
    </row>
    <row r="385" spans="1:24" ht="11.5" customHeight="1" x14ac:dyDescent="0.2">
      <c r="A385" s="28" t="str">
        <f ca="1">IF(ISERROR(F382),"",A363)</f>
        <v>Subject Code</v>
      </c>
      <c r="B385" s="28" t="str">
        <f ca="1">IF(ISERROR(F382),"",B363)</f>
        <v>Subject Name</v>
      </c>
      <c r="C385" s="28"/>
      <c r="D385" s="28"/>
      <c r="E385" s="28"/>
      <c r="F385" s="28" t="str">
        <f ca="1">IF(ISERROR(F382),"",F363)</f>
        <v>Credits</v>
      </c>
      <c r="G385" s="28" t="str">
        <f ca="1">IF(ISERROR(F382),"",G363)</f>
        <v>External Marks</v>
      </c>
      <c r="H385" s="28"/>
      <c r="I385" s="28" t="str">
        <f ca="1">IF(ISERROR(F382),"",I363)</f>
        <v>Sessional Marks</v>
      </c>
      <c r="J385" s="28"/>
      <c r="K385" s="28" t="str">
        <f ca="1">IF(ISERROR(F382),"",K363)</f>
        <v>Total Marks</v>
      </c>
      <c r="L385" s="28"/>
      <c r="M385" s="28" t="str">
        <f ca="1">IF(ISERROR(F382),"",M363)</f>
        <v>Grade</v>
      </c>
      <c r="N385" s="28" t="str">
        <f ca="1">IF(ISERROR(F382),"",N363)</f>
        <v>Grade Points</v>
      </c>
    </row>
    <row r="386" spans="1:24" ht="11.5" customHeight="1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W386">
        <f ca="1">IF(ISNUMBER(MATCH($F$8,{"I","III","V","VII"},0)),10,10-INDEX(INDIRECT(_xlfn.TEXTJOIN("",TRUE,"SEM_",$G$8,"!",ADDRESS(6,4+$I$8*3+4),":",ADDRESS(5+$H$8,4+$I$8*3+4))),MATCH(INDIRECT(_xlfn.TEXTJOIN("",TRUE,"TC_",$F$8,"!",ADDRESS(ROW(I383),COLUMN(I383)))),INDIRECT(_xlfn.TEXTJOIN("",TRUE,"SEM_",$G$8,"!",ADDRESS(6,2),":",ADDRESS(5+$H$8,2))))))</f>
        <v>10</v>
      </c>
    </row>
    <row r="387" spans="1:24" ht="11.5" customHeight="1" x14ac:dyDescent="0.2">
      <c r="A387" s="7" t="str">
        <f ca="1">IF(ISERROR(F382),"",VLOOKUP(C382,INDIRECT($F$8),6+(O387-1)*3,0))</f>
        <v>AHT 002</v>
      </c>
      <c r="B387" s="24" t="str">
        <f ca="1">IF(ISERROR(F382),"",VLOOKUP(D382,INDIRECT($F$8),6+(O387-1)*3,0))</f>
        <v>Engineering Chemistry</v>
      </c>
      <c r="C387" s="24"/>
      <c r="D387" s="24"/>
      <c r="E387" s="24"/>
      <c r="F387" s="7">
        <f ca="1">IF(ISERROR(F382),"",VLOOKUP(E382,INDIRECT($F$8),6+(O387-1)*3,0))</f>
        <v>4</v>
      </c>
      <c r="G387" s="25" t="str">
        <f ca="1">IF(ISERROR(F382),"",_xlfn.TEXTJOIN("/",FALSE,P387,S387))</f>
        <v>31/100</v>
      </c>
      <c r="H387" s="25"/>
      <c r="I387" s="25" t="str">
        <f ca="1">IF(ISERROR(F382),"",_xlfn.TEXTJOIN("/",FALSE,Q387,T387))</f>
        <v>28/50</v>
      </c>
      <c r="J387" s="25"/>
      <c r="K387" s="25" t="str">
        <f ca="1">IF(ISERROR(F382),"",_xlfn.TEXTJOIN("/",FALSE,R387,U387))</f>
        <v>59/150</v>
      </c>
      <c r="L387" s="25"/>
      <c r="M387" s="7" t="str">
        <f ca="1">IF(ISERROR(F382),"",IF(ISTEXT(P387),IF(P387="A","Ab",IF(P387="D","Dt",IF(P387="UFM","UFM",IF(P387="NA","")))),IF(AND(ISBLANK(P387),ISBLANK(R387)),"",IF(P387&lt;0.3*S387,"F",IF(ISBLANK(R387),"",IF(ISTEXT(R387),R387,IF(R387&gt;=0.95*U387,"O",IF(R387&gt;=0.9*U387,"A+",IF(R387&gt;=0.85*U387,"A",IF(R387&gt;=0.8*U387,"B+",IF(R387&gt;=0.75*U387,"B",IF(R387&gt;=0.7*U387,"C+",IF(R387&gt;=0.65*U387,"C",IF(R387&gt;=0.6*U387,"D+",IF(R387&gt;=0.55*U387,"D",IF(R387&gt;=0.5*U387,"E+",IF(R387&gt;=0.45*U387,"E",IF(R387&gt;=0.4*U387,"P",IF(R387&lt;0.4*U387,"F",R387)))))))))))))))))))</f>
        <v>F</v>
      </c>
      <c r="N387" s="8">
        <f ca="1">INDEX($Z$2:$Z$17,MATCH(M387,$Y$2:$Y$17,0))</f>
        <v>0</v>
      </c>
      <c r="O387">
        <v>1</v>
      </c>
      <c r="P387" s="1">
        <f ca="1">IF(ISERROR(F382),"",IF(ISTEXT(VLOOKUP(B382,INDIRECT($F$8),6+(O387-1)*3)),(VLOOKUP(B382,INDIRECT($F$8),6+(O387-1)*3)),SUM(VLOOKUP(B382,INDIRECT($F$8),6+(O387-1)*3),IF(W400,W387,0))))</f>
        <v>31</v>
      </c>
      <c r="Q387" s="1">
        <f ca="1">IF(ISERROR(F382),"",VLOOKUP(B382,INDIRECT($F$8),7+(O387-1)*3))</f>
        <v>28</v>
      </c>
      <c r="R387" s="1">
        <f ca="1">IF(ISERROR(F382),"",SUM(P387:Q387))</f>
        <v>59</v>
      </c>
      <c r="S387" s="1">
        <f ca="1">IF(ISERROR(F382),"",VLOOKUP(A382,INDIRECT($F$8),6+(O387-1)*3))</f>
        <v>100</v>
      </c>
      <c r="T387" s="1">
        <f ca="1">IF(ISERROR(F382),"",VLOOKUP(A382,INDIRECT($F$8),7+(O387-1)*3))</f>
        <v>50</v>
      </c>
      <c r="U387" s="1">
        <f ca="1">IF(ISERROR(F382),"",VLOOKUP(A382,INDIRECT($F$8),8+(O387-1)*3))</f>
        <v>150</v>
      </c>
      <c r="V387" s="1" t="str">
        <f ca="1">IF(ISERROR(F382),"",IF(N387=0,A387,""))</f>
        <v>AHT 002</v>
      </c>
      <c r="W387" s="1">
        <f ca="1">IF(ISERROR(F382),"",IF(ISTEXT(VLOOKUP(B382,INDIRECT($F$8),6+(O387-1)*3)),11,IF(VLOOKUP(B382,INDIRECT($F$8),6+(O387-1)*3)&lt;S387*0.3,IF(VLOOKUP(B382,INDIRECT($F$8),8+(O387-1)*3)&lt;U387*0.4,IF(AND(0.4*U387-VLOOKUP(B382,INDIRECT($F$8),8+(O387-1)*3)&lt;=5,0.3*S387-VLOOKUP(B382,INDIRECT($F$8),6+(O387-1)*3)&lt;=5),MAX(0.4*U387-VLOOKUP(B382,INDIRECT($F$8),8+(O387-1)*3),0.3*S387-VLOOKUP(B382,INDIRECT($F$8),6+(O387-1)*3)),11),IF(0.3*S387-VLOOKUP(B382,INDIRECT($F$8),6+(O387-1)*3)&lt;=5,0.3*S387-VLOOKUP(B382,INDIRECT($F$8),6+(O387-1)*3),11)),IF(VLOOKUP(B382,INDIRECT($F$8),8+(O387-1)*3)&lt;U387*0.4,IF(U387*0.4-VLOOKUP(B382,INDIRECT($F$8),8+(O387-1)*3)&lt;=5,U387*0.4-VLOOKUP(B382,INDIRECT($F$8),8+(O387-1)*3),11),0))))</f>
        <v>1</v>
      </c>
      <c r="X387" s="1" t="str">
        <f ca="1">IF(ISERROR(F382),"",IF(W387=0,"",_xlfn.TEXTJOIN("",FALSE," G+",W387," in ",A387)))</f>
        <v xml:space="preserve"> G+1 in AHT 002</v>
      </c>
    </row>
    <row r="388" spans="1:24" ht="11.5" customHeight="1" x14ac:dyDescent="0.2">
      <c r="A388" s="7" t="str">
        <f ca="1">IF(ISERROR(F382),"",VLOOKUP(C382,INDIRECT($F$8),6+(O388-1)*3,0))</f>
        <v>AHT 003</v>
      </c>
      <c r="B388" s="24" t="str">
        <f ca="1">IF(ISERROR(F382),"",VLOOKUP(D382,INDIRECT($F$8),6+(O388-1)*3,0))</f>
        <v>Introduction to Engineering Mathematics</v>
      </c>
      <c r="C388" s="24"/>
      <c r="D388" s="24"/>
      <c r="E388" s="24"/>
      <c r="F388" s="7">
        <f ca="1">IF(ISERROR(F382),"",VLOOKUP(E382,INDIRECT($F$8),6+(O388-1)*3,0))</f>
        <v>4</v>
      </c>
      <c r="G388" s="25" t="str">
        <f ca="1">IF(ISERROR(F382),"",_xlfn.TEXTJOIN("/",FALSE,P388,S388))</f>
        <v>13/100</v>
      </c>
      <c r="H388" s="25"/>
      <c r="I388" s="25" t="str">
        <f ca="1">IF(ISERROR(F382),"",_xlfn.TEXTJOIN("/",FALSE,Q388,T388))</f>
        <v>14/50</v>
      </c>
      <c r="J388" s="25"/>
      <c r="K388" s="25" t="str">
        <f ca="1">IF(ISERROR(F382),"",_xlfn.TEXTJOIN("/",FALSE,R388,U388))</f>
        <v>27/150</v>
      </c>
      <c r="L388" s="25"/>
      <c r="M388" s="7" t="str">
        <f ca="1">IF(ISERROR(F382),"",IF(ISTEXT(P388),IF(P388="A","Ab",IF(P388="D","Dt",IF(P388="UFM","UFM",IF(P388="NA","")))),IF(AND(ISBLANK(P388),ISBLANK(R388)),"",IF(P388&lt;0.3*S388,"F",IF(ISBLANK(R388),"",IF(ISTEXT(R388),R388,IF(R388&gt;=0.95*U388,"O",IF(R388&gt;=0.9*U388,"A+",IF(R388&gt;=0.85*U388,"A",IF(R388&gt;=0.8*U388,"B+",IF(R388&gt;=0.75*U388,"B",IF(R388&gt;=0.7*U388,"C+",IF(R388&gt;=0.65*U388,"C",IF(R388&gt;=0.6*U388,"D+",IF(R388&gt;=0.55*U388,"D",IF(R388&gt;=0.5*U388,"E+",IF(R388&gt;=0.45*U388,"E",IF(R388&gt;=0.4*U388,"P",IF(R388&lt;0.4*U388,"F",R388)))))))))))))))))))</f>
        <v>F</v>
      </c>
      <c r="N388" s="8">
        <f t="shared" ref="N388:N397" ca="1" si="35">INDEX($Z$2:$Z$17,MATCH(M388,$Y$2:$Y$17,0))</f>
        <v>0</v>
      </c>
      <c r="O388">
        <f>O387+1</f>
        <v>2</v>
      </c>
      <c r="P388" s="1">
        <f ca="1">IF(ISERROR(F382),"",IF(ISTEXT(VLOOKUP(B382,INDIRECT($F$8),6+(O388-1)*3)),(VLOOKUP(B382,INDIRECT($F$8),6+(O388-1)*3)),SUM(VLOOKUP(B382,INDIRECT($F$8),6+(O388-1)*3),IF(W400,W388,0))))</f>
        <v>13</v>
      </c>
      <c r="Q388" s="1">
        <f ca="1">IF(ISERROR(F382),"",VLOOKUP(B382,INDIRECT($F$8),7+(O388-1)*3))</f>
        <v>14</v>
      </c>
      <c r="R388" s="1">
        <f ca="1">IF(ISERROR(F382),"",SUM(P388:Q388))</f>
        <v>27</v>
      </c>
      <c r="S388" s="1">
        <f ca="1">IF(ISERROR(F382),"",VLOOKUP(A382,INDIRECT($F$8),6+(O388-1)*3))</f>
        <v>100</v>
      </c>
      <c r="T388" s="1">
        <f ca="1">IF(ISERROR(F382),"",VLOOKUP(A382,INDIRECT($F$8),7+(O388-1)*3))</f>
        <v>50</v>
      </c>
      <c r="U388" s="1">
        <f ca="1">IF(ISERROR(F382),"",VLOOKUP(A382,INDIRECT($F$8),8+(O388-1)*3))</f>
        <v>150</v>
      </c>
      <c r="V388" s="1" t="str">
        <f ca="1">IF(ISERROR(F382),"",IF(N388=0,A388,""))</f>
        <v>AHT 003</v>
      </c>
      <c r="W388" s="1">
        <f ca="1">IF(ISERROR(F382),"",IF(ISTEXT(VLOOKUP(B382,INDIRECT($F$8),6+(O388-1)*3)),11,IF(VLOOKUP(B382,INDIRECT($F$8),6+(O388-1)*3)&lt;S388*0.3,IF(VLOOKUP(B382,INDIRECT($F$8),8+(O388-1)*3)&lt;U388*0.4,IF(AND(0.4*U388-VLOOKUP(B382,INDIRECT($F$8),8+(O388-1)*3)&lt;=5,0.3*S388-VLOOKUP(B382,INDIRECT($F$8),6+(O388-1)*3)&lt;=5),MAX(0.4*U388-VLOOKUP(B382,INDIRECT($F$8),8+(O388-1)*3),0.3*S388-VLOOKUP(B382,INDIRECT($F$8),6+(O388-1)*3)),11),IF(0.3*S388-VLOOKUP(B382,INDIRECT($F$8),6+(O388-1)*3)&lt;=5,0.3*S388-VLOOKUP(B382,INDIRECT($F$8),6+(O388-1)*3),11)),IF(VLOOKUP(B382,INDIRECT($F$8),8+(O388-1)*3)&lt;U388*0.4,IF(U388*0.4-VLOOKUP(B382,INDIRECT($F$8),8+(O388-1)*3)&lt;=5,U388*0.4-VLOOKUP(B382,INDIRECT($F$8),8+(O388-1)*3),11),0))))</f>
        <v>11</v>
      </c>
      <c r="X388" s="1" t="str">
        <f ca="1">IF(ISERROR(F382),"",IF(W388=0,"",_xlfn.TEXTJOIN("",FALSE," G+",W388," in ",A388)))</f>
        <v xml:space="preserve"> G+11 in AHT 003</v>
      </c>
    </row>
    <row r="389" spans="1:24" ht="11.5" customHeight="1" x14ac:dyDescent="0.2">
      <c r="A389" s="7" t="str">
        <f ca="1">IF(ISERROR(F382),"",VLOOKUP(C382,INDIRECT($F$8),6+(O389-1)*3,0))</f>
        <v>ECT 001</v>
      </c>
      <c r="B389" s="24" t="str">
        <f ca="1">IF(ISERROR(F382),"",VLOOKUP(D382,INDIRECT($F$8),6+(O389-1)*3,0))</f>
        <v>Basic Electronics Engineering</v>
      </c>
      <c r="C389" s="24"/>
      <c r="D389" s="24"/>
      <c r="E389" s="24"/>
      <c r="F389" s="7">
        <f ca="1">IF(ISERROR(F382),"",VLOOKUP(E382,INDIRECT($F$8),6+(O389-1)*3,0))</f>
        <v>4</v>
      </c>
      <c r="G389" s="25" t="str">
        <f ca="1">IF(ISERROR(F382),"",_xlfn.TEXTJOIN("/",FALSE,P389,S389))</f>
        <v>51/100</v>
      </c>
      <c r="H389" s="25"/>
      <c r="I389" s="25" t="str">
        <f ca="1">IF(ISERROR(F382),"",_xlfn.TEXTJOIN("/",FALSE,Q389,T389))</f>
        <v>41/50</v>
      </c>
      <c r="J389" s="25"/>
      <c r="K389" s="25" t="str">
        <f ca="1">IF(ISERROR(F382),"",_xlfn.TEXTJOIN("/",FALSE,R389,U389))</f>
        <v>92/150</v>
      </c>
      <c r="L389" s="25"/>
      <c r="M389" s="7" t="str">
        <f ca="1">IF(ISERROR(F382),"",IF(ISTEXT(P389),IF(P389="A","Ab",IF(P389="D","Dt",IF(P389="UFM","UFM",IF(P389="NA","")))),IF(AND(ISBLANK(P389),ISBLANK(R389)),"",IF(P389&lt;0.3*S389,"F",IF(ISBLANK(R389),"",IF(ISTEXT(R389),R389,IF(R389&gt;=0.95*U389,"O",IF(R389&gt;=0.9*U389,"A+",IF(R389&gt;=0.85*U389,"A",IF(R389&gt;=0.8*U389,"B+",IF(R389&gt;=0.75*U389,"B",IF(R389&gt;=0.7*U389,"C+",IF(R389&gt;=0.65*U389,"C",IF(R389&gt;=0.6*U389,"D+",IF(R389&gt;=0.55*U389,"D",IF(R389&gt;=0.5*U389,"E+",IF(R389&gt;=0.45*U389,"E",IF(R389&gt;=0.4*U389,"P",IF(R389&lt;0.4*U389,"F",R389)))))))))))))))))))</f>
        <v>D+</v>
      </c>
      <c r="N389" s="8">
        <f t="shared" ca="1" si="35"/>
        <v>6.5</v>
      </c>
      <c r="O389">
        <f>O388+1</f>
        <v>3</v>
      </c>
      <c r="P389" s="1">
        <f ca="1">IF(ISERROR(F382),"",IF(ISTEXT(VLOOKUP(B382,INDIRECT($F$8),6+(O389-1)*3)),(VLOOKUP(B382,INDIRECT($F$8),6+(O389-1)*3)),SUM(VLOOKUP(B382,INDIRECT($F$8),6+(O389-1)*3),IF(W400,W389,0))))</f>
        <v>51</v>
      </c>
      <c r="Q389" s="1">
        <f ca="1">IF(ISERROR(F382),"",VLOOKUP(B382,INDIRECT($F$8),7+(O389-1)*3))</f>
        <v>41</v>
      </c>
      <c r="R389" s="1">
        <f ca="1">IF(ISERROR(F382),"",SUM(P389:Q389))</f>
        <v>92</v>
      </c>
      <c r="S389" s="1">
        <f ca="1">IF(ISERROR(F382),"",VLOOKUP(A382,INDIRECT($F$8),6+(O389-1)*3))</f>
        <v>100</v>
      </c>
      <c r="T389" s="1">
        <f ca="1">IF(ISERROR(F382),"",VLOOKUP(A382,INDIRECT($F$8),7+(O389-1)*3))</f>
        <v>50</v>
      </c>
      <c r="U389" s="1">
        <f ca="1">IF(ISERROR(F382),"",VLOOKUP(A382,INDIRECT($F$8),8+(O389-1)*3))</f>
        <v>150</v>
      </c>
      <c r="V389" s="1" t="str">
        <f ca="1">IF(ISERROR(F382),"",IF(N389=0,A389,""))</f>
        <v/>
      </c>
      <c r="W389" s="1">
        <f ca="1">IF(ISERROR(F382),"",IF(ISTEXT(VLOOKUP(B382,INDIRECT($F$8),6+(O389-1)*3)),11,IF(VLOOKUP(B382,INDIRECT($F$8),6+(O389-1)*3)&lt;S389*0.3,IF(VLOOKUP(B382,INDIRECT($F$8),8+(O389-1)*3)&lt;U389*0.4,IF(AND(0.4*U389-VLOOKUP(B382,INDIRECT($F$8),8+(O389-1)*3)&lt;=5,0.3*S389-VLOOKUP(B382,INDIRECT($F$8),6+(O389-1)*3)&lt;=5),MAX(0.4*U389-VLOOKUP(B382,INDIRECT($F$8),8+(O389-1)*3),0.3*S389-VLOOKUP(B382,INDIRECT($F$8),6+(O389-1)*3)),11),IF(0.3*S389-VLOOKUP(B382,INDIRECT($F$8),6+(O389-1)*3)&lt;=5,0.3*S389-VLOOKUP(B382,INDIRECT($F$8),6+(O389-1)*3),11)),IF(VLOOKUP(B382,INDIRECT($F$8),8+(O389-1)*3)&lt;U389*0.4,IF(U389*0.4-VLOOKUP(B382,INDIRECT($F$8),8+(O389-1)*3)&lt;=5,U389*0.4-VLOOKUP(B382,INDIRECT($F$8),8+(O389-1)*3),11),0))))</f>
        <v>0</v>
      </c>
      <c r="X389" s="1" t="str">
        <f ca="1">IF(ISERROR(F382),"",IF(W389=0,"",_xlfn.TEXTJOIN("",FALSE," G+",W389," in ",A389)))</f>
        <v/>
      </c>
    </row>
    <row r="390" spans="1:24" ht="11.5" customHeight="1" x14ac:dyDescent="0.2">
      <c r="A390" s="7" t="str">
        <f ca="1">IF(ISERROR(F382),"",VLOOKUP(C382,INDIRECT($F$8),6+(O390-1)*3,0))</f>
        <v>MET 001</v>
      </c>
      <c r="B390" s="24" t="str">
        <f ca="1">IF(ISERROR(F382),"",VLOOKUP(D382,INDIRECT($F$8),6+(O390-1)*3,0))</f>
        <v>Basic Mechanical Engineering</v>
      </c>
      <c r="C390" s="24"/>
      <c r="D390" s="24"/>
      <c r="E390" s="24"/>
      <c r="F390" s="7">
        <f ca="1">IF(ISERROR(F382),"",VLOOKUP(E382,INDIRECT($F$8),6+(O390-1)*3,0))</f>
        <v>4</v>
      </c>
      <c r="G390" s="25" t="str">
        <f ca="1">IF(ISERROR(F382),"",_xlfn.TEXTJOIN("/",FALSE,P390,S390))</f>
        <v>49/100</v>
      </c>
      <c r="H390" s="25"/>
      <c r="I390" s="25" t="str">
        <f ca="1">IF(ISERROR(F382),"",_xlfn.TEXTJOIN("/",FALSE,Q390,T390))</f>
        <v>37/50</v>
      </c>
      <c r="J390" s="25"/>
      <c r="K390" s="25" t="str">
        <f ca="1">IF(ISERROR(F382),"",_xlfn.TEXTJOIN("/",FALSE,R390,U390))</f>
        <v>86/150</v>
      </c>
      <c r="L390" s="25"/>
      <c r="M390" s="7" t="str">
        <f ca="1">IF(ISERROR(F382),"",IF(ISTEXT(P390),IF(P390="A","Ab",IF(P390="D","Dt",IF(P390="UFM","UFM",IF(P390="NA","")))),IF(AND(ISBLANK(P390),ISBLANK(R390)),"",IF(P390&lt;0.3*S390,"F",IF(ISBLANK(R390),"",IF(ISTEXT(R390),R390,IF(R390&gt;=0.95*U390,"O",IF(R390&gt;=0.9*U390,"A+",IF(R390&gt;=0.85*U390,"A",IF(R390&gt;=0.8*U390,"B+",IF(R390&gt;=0.75*U390,"B",IF(R390&gt;=0.7*U390,"C+",IF(R390&gt;=0.65*U390,"C",IF(R390&gt;=0.6*U390,"D+",IF(R390&gt;=0.55*U390,"D",IF(R390&gt;=0.5*U390,"E+",IF(R390&gt;=0.45*U390,"E",IF(R390&gt;=0.4*U390,"P",IF(R390&lt;0.4*U390,"F",R390)))))))))))))))))))</f>
        <v>D</v>
      </c>
      <c r="N390" s="8">
        <f t="shared" ca="1" si="35"/>
        <v>6</v>
      </c>
      <c r="O390">
        <f>O389+1</f>
        <v>4</v>
      </c>
      <c r="P390" s="1">
        <f ca="1">IF(ISERROR(F382),"",IF(ISTEXT(VLOOKUP(B382,INDIRECT($F$8),6+(O390-1)*3)),(VLOOKUP(B382,INDIRECT($F$8),6+(O390-1)*3)),SUM(VLOOKUP(B382,INDIRECT($F$8),6+(O390-1)*3),IF(W400,W390,0))))</f>
        <v>49</v>
      </c>
      <c r="Q390" s="1">
        <f ca="1">IF(ISERROR(F382),"",VLOOKUP(B382,INDIRECT($F$8),7+(O390-1)*3))</f>
        <v>37</v>
      </c>
      <c r="R390" s="1">
        <f ca="1">IF(ISERROR(F382),"",SUM(P390:Q390))</f>
        <v>86</v>
      </c>
      <c r="S390" s="1">
        <f ca="1">IF(ISERROR(F382),"",VLOOKUP(A382,INDIRECT($F$8),6+(O390-1)*3))</f>
        <v>100</v>
      </c>
      <c r="T390" s="1">
        <f ca="1">IF(ISERROR(F382),"",VLOOKUP(A382,INDIRECT($F$8),7+(O390-1)*3))</f>
        <v>50</v>
      </c>
      <c r="U390" s="1">
        <f ca="1">IF(ISERROR(F382),"",VLOOKUP(A382,INDIRECT($F$8),8+(O390-1)*3))</f>
        <v>150</v>
      </c>
      <c r="V390" s="1" t="str">
        <f ca="1">IF(ISERROR(F382),"",IF(N390=0,A390,""))</f>
        <v/>
      </c>
      <c r="W390" s="1">
        <f ca="1">IF(ISERROR(F382),"",IF(ISTEXT(VLOOKUP(B382,INDIRECT($F$8),6+(O390-1)*3)),11,IF(VLOOKUP(B382,INDIRECT($F$8),6+(O390-1)*3)&lt;S390*0.3,IF(VLOOKUP(B382,INDIRECT($F$8),8+(O390-1)*3)&lt;U390*0.4,IF(AND(0.4*U390-VLOOKUP(B382,INDIRECT($F$8),8+(O390-1)*3)&lt;=5,0.3*S390-VLOOKUP(B382,INDIRECT($F$8),6+(O390-1)*3)&lt;=5),MAX(0.4*U390-VLOOKUP(B382,INDIRECT($F$8),8+(O390-1)*3),0.3*S390-VLOOKUP(B382,INDIRECT($F$8),6+(O390-1)*3)),11),IF(0.3*S390-VLOOKUP(B382,INDIRECT($F$8),6+(O390-1)*3)&lt;=5,0.3*S390-VLOOKUP(B382,INDIRECT($F$8),6+(O390-1)*3),11)),IF(VLOOKUP(B382,INDIRECT($F$8),8+(O390-1)*3)&lt;U390*0.4,IF(U390*0.4-VLOOKUP(B382,INDIRECT($F$8),8+(O390-1)*3)&lt;=5,U390*0.4-VLOOKUP(B382,INDIRECT($F$8),8+(O390-1)*3),11),0))))</f>
        <v>0</v>
      </c>
      <c r="X390" s="1" t="str">
        <f ca="1">IF(ISERROR(F382),"",IF(W390=0,"",_xlfn.TEXTJOIN("",FALSE," G+",W390," in ",A390)))</f>
        <v/>
      </c>
    </row>
    <row r="391" spans="1:24" ht="11.5" customHeight="1" x14ac:dyDescent="0.2">
      <c r="A391" s="7" t="str">
        <f ca="1">IF(ISERROR(F382),"",VLOOKUP(C382,INDIRECT($F$8),6+(O391-1)*3,0))</f>
        <v>AHT 000</v>
      </c>
      <c r="B391" s="24" t="str">
        <f ca="1">IF(ISERROR(F382),"",VLOOKUP(D382,INDIRECT($F$8),6+(O391-1)*3,0))</f>
        <v>Basic Mathematics (Bridge Course) ($)</v>
      </c>
      <c r="C391" s="24"/>
      <c r="D391" s="24"/>
      <c r="E391" s="24"/>
      <c r="F391" s="7">
        <f ca="1">IF(ISERROR(F382),"",VLOOKUP(E382,INDIRECT($F$8),6+(O391-1)*3,0))</f>
        <v>0</v>
      </c>
      <c r="G391" s="25" t="str">
        <f ca="1">IF(ISERROR(F382),"",_xlfn.TEXTJOIN("/",FALSE,P391,S391))</f>
        <v>45/100</v>
      </c>
      <c r="H391" s="25"/>
      <c r="I391" s="25" t="str">
        <f ca="1">IF(ISERROR(F382),"",_xlfn.TEXTJOIN("/",FALSE,Q391,T391))</f>
        <v>28/50</v>
      </c>
      <c r="J391" s="25"/>
      <c r="K391" s="25" t="str">
        <f ca="1">IF(ISERROR(F382),"",_xlfn.TEXTJOIN("/",FALSE,R391,U391))</f>
        <v>73/150</v>
      </c>
      <c r="L391" s="25"/>
      <c r="M391" s="7" t="str">
        <f ca="1">IF(ISERROR(F382)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E</v>
      </c>
      <c r="N391" s="8">
        <f t="shared" ca="1" si="35"/>
        <v>5</v>
      </c>
      <c r="O391" cm="1">
        <f t="array" aca="1" ref="O391" ca="1">IF(NOT(ISBLANK(INDIRECT("SEM_I!R"&amp;INT((ROW(O391)-17)/22)+6))),5,
IF(NOT(ISBLANK(INDIRECT("SEM_I!U"&amp;INT((ROW(O391)-17)/22)+6))),6))</f>
        <v>5</v>
      </c>
      <c r="P391" s="1">
        <f ca="1">IF(ISERROR(F382),"",IF(ISTEXT(VLOOKUP(B382,INDIRECT($F$8),6+(O391-1)*3)),(VLOOKUP(B382,INDIRECT($F$8),6+(O391-1)*3)),SUM(VLOOKUP(B382,INDIRECT($F$8),6+(O391-1)*3),IF(W400,W391,0))))</f>
        <v>45</v>
      </c>
      <c r="Q391" s="1">
        <f ca="1">IF(ISERROR(F382),"",VLOOKUP(B382,INDIRECT($F$8),7+(O391-1)*3))</f>
        <v>28</v>
      </c>
      <c r="R391" s="1">
        <f ca="1">IF(ISERROR(F382),"",SUM(P391:Q391))</f>
        <v>73</v>
      </c>
      <c r="S391" s="1">
        <f ca="1">IF(ISERROR(F382),"",VLOOKUP(A382,INDIRECT($F$8),6+(O391-1)*3))</f>
        <v>100</v>
      </c>
      <c r="T391" s="1">
        <f ca="1">IF(ISERROR(F382),"",VLOOKUP(A382,INDIRECT($F$8),7+(O391-1)*3))</f>
        <v>50</v>
      </c>
      <c r="U391" s="1">
        <f ca="1">IF(ISERROR(F382),"",VLOOKUP(A382,INDIRECT($F$8),8+(O391-1)*3))</f>
        <v>150</v>
      </c>
      <c r="V391" s="1" t="str">
        <f ca="1">IF(ISERROR(F382),"",IF(N391=0,A391,""))</f>
        <v/>
      </c>
      <c r="W391" s="1">
        <f ca="1">IF(ISERROR(F382),"",IF(ISTEXT(VLOOKUP(B382,INDIRECT($F$8),6+(O391-1)*3)),11,IF(VLOOKUP(B382,INDIRECT($F$8),6+(O391-1)*3)&lt;S391*0.3,IF(VLOOKUP(B382,INDIRECT($F$8),8+(O391-1)*3)&lt;U391*0.4,IF(AND(0.4*U391-VLOOKUP(B382,INDIRECT($F$8),8+(O391-1)*3)&lt;=5,0.3*S391-VLOOKUP(B382,INDIRECT($F$8),6+(O391-1)*3)&lt;=5),MAX(0.4*U391-VLOOKUP(B382,INDIRECT($F$8),8+(O391-1)*3),0.3*S391-VLOOKUP(B382,INDIRECT($F$8),6+(O391-1)*3)),11),IF(0.3*S391-VLOOKUP(B382,INDIRECT($F$8),6+(O391-1)*3)&lt;=5,0.3*S391-VLOOKUP(B382,INDIRECT($F$8),6+(O391-1)*3),11)),IF(VLOOKUP(B382,INDIRECT($F$8),8+(O391-1)*3)&lt;U391*0.4,IF(U391*0.4-VLOOKUP(B382,INDIRECT($F$8),8+(O391-1)*3)&lt;=5,U391*0.4-VLOOKUP(B382,INDIRECT($F$8),8+(O391-1)*3),11),0))))</f>
        <v>0</v>
      </c>
      <c r="X391" s="1" t="str">
        <f ca="1">IF(ISERROR(F382),"",IF(W391=0,"",_xlfn.TEXTJOIN("",FALSE," G+",W391," in ",A391)))</f>
        <v/>
      </c>
    </row>
    <row r="392" spans="1:24" ht="11.5" customHeight="1" x14ac:dyDescent="0.2">
      <c r="A392" s="7" t="str">
        <f ca="1">IF(ISERROR(F382),"",VLOOKUP(C382,INDIRECT($F$8),6+(O392-1)*3,0))</f>
        <v>AHP 002</v>
      </c>
      <c r="B392" s="24" t="str">
        <f ca="1">IF(ISERROR(F382),"",VLOOKUP(D382,INDIRECT($F$8),6+(O392-1)*3,0))</f>
        <v>Engineering Chemistry Lab</v>
      </c>
      <c r="C392" s="24"/>
      <c r="D392" s="24"/>
      <c r="E392" s="24"/>
      <c r="F392" s="7">
        <f ca="1">IF(ISERROR(F382),"",VLOOKUP(E382,INDIRECT($F$8),6+(O392-1)*3,0))</f>
        <v>1</v>
      </c>
      <c r="G392" s="25" t="str">
        <f ca="1">IF(ISERROR(F382),"",_xlfn.TEXTJOIN("/",FALSE,P392,S392))</f>
        <v>19/25</v>
      </c>
      <c r="H392" s="25"/>
      <c r="I392" s="25" t="str">
        <f ca="1">IF(ISERROR(F382),"",_xlfn.TEXTJOIN("/",FALSE,Q392,T392))</f>
        <v>18/25</v>
      </c>
      <c r="J392" s="25"/>
      <c r="K392" s="25" t="str">
        <f ca="1">IF(ISERROR(F382),"",_xlfn.TEXTJOIN("/",FALSE,R392,U392))</f>
        <v>37/50</v>
      </c>
      <c r="L392" s="25"/>
      <c r="M392" s="7" t="str">
        <f ca="1">IF(ISERROR(F382)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C+</v>
      </c>
      <c r="N392" s="8">
        <f t="shared" ca="1" si="35"/>
        <v>7.5</v>
      </c>
      <c r="O392">
        <f ca="1">IF(O391&gt;0,7)</f>
        <v>7</v>
      </c>
      <c r="P392" s="1">
        <f ca="1">IF(ISERROR(F382),"",IF(ISTEXT(VLOOKUP(B382,INDIRECT($F$8),6+(O392-1)*3)),(VLOOKUP(B382,INDIRECT($F$8),6+(O392-1)*3)),SUM(VLOOKUP(B382,INDIRECT($F$8),6+(O392-1)*3),IF(W400,W392,0))))</f>
        <v>19</v>
      </c>
      <c r="Q392" s="1">
        <f ca="1">IF(ISERROR(F382),"",VLOOKUP(B382,INDIRECT($F$8),7+(O392-1)*3))</f>
        <v>18</v>
      </c>
      <c r="R392" s="1">
        <f ca="1">IF(ISERROR(F382),"",SUM(P392:Q392))</f>
        <v>37</v>
      </c>
      <c r="S392" s="1">
        <f ca="1">IF(ISERROR(F382),"",VLOOKUP(A382,INDIRECT($F$8),6+(O392-1)*3))</f>
        <v>25</v>
      </c>
      <c r="T392" s="1">
        <f ca="1">IF(ISERROR(F382),"",VLOOKUP(A382,INDIRECT($F$8),7+(O392-1)*3))</f>
        <v>25</v>
      </c>
      <c r="U392" s="1">
        <f ca="1">IF(ISERROR(F382),"",VLOOKUP(A382,INDIRECT($F$8),8+(O392-1)*3))</f>
        <v>50</v>
      </c>
      <c r="V392" s="1" t="str">
        <f ca="1">IF(ISERROR(F382),"",IF(N392=0,A392,""))</f>
        <v/>
      </c>
      <c r="W392" s="1">
        <f ca="1">IF(ISERROR(F382),"",IF(ISTEXT(VLOOKUP(B382,INDIRECT($F$8),6+(O392-1)*3)),11,IF(VLOOKUP(B382,INDIRECT($F$8),6+(O392-1)*3)&lt;S392*0.3,IF(VLOOKUP(B382,INDIRECT($F$8),8+(O392-1)*3)&lt;U392*0.4,IF(AND(0.4*U392-VLOOKUP(B382,INDIRECT($F$8),8+(O392-1)*3)&lt;=5,0.3*S392-VLOOKUP(B382,INDIRECT($F$8),6+(O392-1)*3)&lt;=5),MAX(0.4*U392-VLOOKUP(B382,INDIRECT($F$8),8+(O392-1)*3),0.3*S392-VLOOKUP(B382,INDIRECT($F$8),6+(O392-1)*3)),11),IF(0.3*S392-VLOOKUP(B382,INDIRECT($F$8),6+(O392-1)*3)&lt;=5,0.3*S392-VLOOKUP(B382,INDIRECT($F$8),6+(O392-1)*3),11)),IF(VLOOKUP(B382,INDIRECT($F$8),8+(O392-1)*3)&lt;U392*0.4,IF(U392*0.4-VLOOKUP(B382,INDIRECT($F$8),8+(O392-1)*3)&lt;=5,U392*0.4-VLOOKUP(B382,INDIRECT($F$8),8+(O392-1)*3),11),0))))</f>
        <v>0</v>
      </c>
      <c r="X392" s="1" t="str">
        <f ca="1">IF(ISERROR(F382),"",IF(W392=0,"",_xlfn.TEXTJOIN("",FALSE," G+",W392," in ",A392)))</f>
        <v/>
      </c>
    </row>
    <row r="393" spans="1:24" ht="11.5" customHeight="1" x14ac:dyDescent="0.2">
      <c r="A393" s="7" t="str">
        <f ca="1">IF(ISERROR(F382),"",VLOOKUP(C382,INDIRECT($F$8),6+(O393-1)*3,0))</f>
        <v>ECP 001</v>
      </c>
      <c r="B393" s="24" t="str">
        <f ca="1">IF(ISERROR(F382),"",VLOOKUP(D382,INDIRECT($F$8),6+(O393-1)*3,0))</f>
        <v>Basic Electronics Engineering Lab</v>
      </c>
      <c r="C393" s="24"/>
      <c r="D393" s="24"/>
      <c r="E393" s="24"/>
      <c r="F393" s="7">
        <f ca="1">IF(ISERROR(F382),"",VLOOKUP(E382,INDIRECT($F$8),6+(O393-1)*3,0))</f>
        <v>1</v>
      </c>
      <c r="G393" s="25" t="str">
        <f ca="1">IF(ISERROR(F382),"",_xlfn.TEXTJOIN("/",FALSE,P393,S393))</f>
        <v>15/25</v>
      </c>
      <c r="H393" s="25"/>
      <c r="I393" s="25" t="str">
        <f ca="1">IF(ISERROR(F382),"",_xlfn.TEXTJOIN("/",FALSE,Q393,T393))</f>
        <v>20/25</v>
      </c>
      <c r="J393" s="25"/>
      <c r="K393" s="25" t="str">
        <f ca="1">IF(ISERROR(F382),"",_xlfn.TEXTJOIN("/",FALSE,R393,U393))</f>
        <v>35/50</v>
      </c>
      <c r="L393" s="25"/>
      <c r="M393" s="7" t="str">
        <f ca="1">IF(ISERROR(F382)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C+</v>
      </c>
      <c r="N393" s="8">
        <f t="shared" ca="1" si="35"/>
        <v>7.5</v>
      </c>
      <c r="O393">
        <f t="shared" ref="O393:O399" ca="1" si="36">O392+1</f>
        <v>8</v>
      </c>
      <c r="P393" s="1">
        <f ca="1">IF(ISERROR(F382),"",IF(ISTEXT(VLOOKUP(B382,INDIRECT($F$8),6+(O393-1)*3)),(VLOOKUP(B382,INDIRECT($F$8),6+(O393-1)*3)),SUM(VLOOKUP(B382,INDIRECT($F$8),6+(O393-1)*3),IF(W400,W393,0))))</f>
        <v>15</v>
      </c>
      <c r="Q393" s="1">
        <f ca="1">IF(ISERROR(F382),"",VLOOKUP(B382,INDIRECT($F$8),7+(O393-1)*3))</f>
        <v>20</v>
      </c>
      <c r="R393" s="1">
        <f ca="1">IF(ISERROR(F382),"",SUM(P393:Q393))</f>
        <v>35</v>
      </c>
      <c r="S393" s="1">
        <f ca="1">IF(ISERROR(F382),"",VLOOKUP(A382,INDIRECT($F$8),6+(O393-1)*3))</f>
        <v>25</v>
      </c>
      <c r="T393" s="1">
        <f ca="1">IF(ISERROR(F382),"",VLOOKUP(A382,INDIRECT($F$8),7+(O393-1)*3))</f>
        <v>25</v>
      </c>
      <c r="U393" s="1">
        <f ca="1">IF(ISERROR(F382),"",VLOOKUP(A382,INDIRECT($F$8),8+(O393-1)*3))</f>
        <v>50</v>
      </c>
      <c r="V393" s="1" t="str">
        <f ca="1">IF(ISERROR(F382),"",IF(N393=0,A393,""))</f>
        <v/>
      </c>
      <c r="W393" s="1">
        <f ca="1">IF(ISERROR(F382),"",IF(ISTEXT(VLOOKUP(B382,INDIRECT($F$8),6+(O393-1)*3)),11,IF(VLOOKUP(B382,INDIRECT($F$8),6+(O393-1)*3)&lt;S393*0.3,IF(VLOOKUP(B382,INDIRECT($F$8),8+(O393-1)*3)&lt;U393*0.4,IF(AND(0.4*U393-VLOOKUP(B382,INDIRECT($F$8),8+(O393-1)*3)&lt;=5,0.3*S393-VLOOKUP(B382,INDIRECT($F$8),6+(O393-1)*3)&lt;=5),MAX(0.4*U393-VLOOKUP(B382,INDIRECT($F$8),8+(O393-1)*3),0.3*S393-VLOOKUP(B382,INDIRECT($F$8),6+(O393-1)*3)),11),IF(0.3*S393-VLOOKUP(B382,INDIRECT($F$8),6+(O393-1)*3)&lt;=5,0.3*S393-VLOOKUP(B382,INDIRECT($F$8),6+(O393-1)*3),11)),IF(VLOOKUP(B382,INDIRECT($F$8),8+(O393-1)*3)&lt;U393*0.4,IF(U393*0.4-VLOOKUP(B382,INDIRECT($F$8),8+(O393-1)*3)&lt;=5,U393*0.4-VLOOKUP(B382,INDIRECT($F$8),8+(O393-1)*3),11),0))))</f>
        <v>0</v>
      </c>
      <c r="X393" s="1" t="str">
        <f ca="1">IF(ISERROR(F382),"",IF(W393=0,"",_xlfn.TEXTJOIN("",FALSE," G+",W393," in ",A393)))</f>
        <v/>
      </c>
    </row>
    <row r="394" spans="1:24" ht="11.5" customHeight="1" x14ac:dyDescent="0.2">
      <c r="A394" s="7" t="str">
        <f ca="1">IF(ISERROR(F382),"",VLOOKUP(C382,INDIRECT($F$8),6+(O394-1)*3,0))</f>
        <v>MEP 001</v>
      </c>
      <c r="B394" s="24" t="str">
        <f ca="1">IF(ISERROR(F382),"",VLOOKUP(D382,INDIRECT($F$8),6+(O394-1)*3,0))</f>
        <v>Basic Mechanical Engineering Lab</v>
      </c>
      <c r="C394" s="24"/>
      <c r="D394" s="24"/>
      <c r="E394" s="24"/>
      <c r="F394" s="7">
        <f ca="1">IF(ISERROR(F382),"",VLOOKUP(E382,INDIRECT($F$8),6+(O394-1)*3,0))</f>
        <v>1</v>
      </c>
      <c r="G394" s="25" t="str">
        <f ca="1">IF(ISERROR(F382),"",_xlfn.TEXTJOIN("/",FALSE,P394,S394))</f>
        <v>20/25</v>
      </c>
      <c r="H394" s="25"/>
      <c r="I394" s="25" t="str">
        <f ca="1">IF(ISERROR(F382),"",_xlfn.TEXTJOIN("/",FALSE,Q394,T394))</f>
        <v>21/25</v>
      </c>
      <c r="J394" s="25"/>
      <c r="K394" s="25" t="str">
        <f ca="1">IF(ISERROR(F382),"",_xlfn.TEXTJOIN("/",FALSE,R394,U394))</f>
        <v>41/50</v>
      </c>
      <c r="L394" s="25"/>
      <c r="M394" s="7" t="str">
        <f ca="1">IF(ISERROR(F382)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B+</v>
      </c>
      <c r="N394" s="8">
        <f t="shared" ca="1" si="35"/>
        <v>8.5</v>
      </c>
      <c r="O394">
        <f t="shared" ca="1" si="36"/>
        <v>9</v>
      </c>
      <c r="P394" s="1">
        <f ca="1">IF(ISERROR(F382),"",IF(ISTEXT(VLOOKUP(B382,INDIRECT($F$8),6+(O394-1)*3)),(VLOOKUP(B382,INDIRECT($F$8),6+(O394-1)*3)),SUM(VLOOKUP(B382,INDIRECT($F$8),6+(O394-1)*3),IF(W400,W394,0))))</f>
        <v>20</v>
      </c>
      <c r="Q394" s="1">
        <f ca="1">IF(ISERROR(F382),"",VLOOKUP(B382,INDIRECT($F$8),7+(O394-1)*3))</f>
        <v>21</v>
      </c>
      <c r="R394" s="1">
        <f ca="1">IF(ISERROR(F382),"",SUM(P394:Q394))</f>
        <v>41</v>
      </c>
      <c r="S394" s="1">
        <f ca="1">IF(ISERROR(F382),"",VLOOKUP(A382,INDIRECT($F$8),6+(O394-1)*3))</f>
        <v>25</v>
      </c>
      <c r="T394" s="1">
        <f ca="1">IF(ISERROR(F382),"",VLOOKUP(A382,INDIRECT($F$8),7+(O394-1)*3))</f>
        <v>25</v>
      </c>
      <c r="U394" s="1">
        <f ca="1">IF(ISERROR(F382),"",VLOOKUP(A382,INDIRECT($F$8),8+(O394-1)*3))</f>
        <v>50</v>
      </c>
      <c r="V394" s="1" t="str">
        <f ca="1">IF(ISERROR(F382),"",IF(N394=0,A394,""))</f>
        <v/>
      </c>
      <c r="W394" s="1">
        <f ca="1">IF(ISERROR(F382),"",IF(ISTEXT(VLOOKUP(B382,INDIRECT($F$8),6+(O394-1)*3)),11,IF(VLOOKUP(B382,INDIRECT($F$8),6+(O394-1)*3)&lt;S394*0.3,IF(VLOOKUP(B382,INDIRECT($F$8),8+(O394-1)*3)&lt;U394*0.4,IF(AND(0.4*U394-VLOOKUP(B382,INDIRECT($F$8),8+(O394-1)*3)&lt;=5,0.3*S394-VLOOKUP(B382,INDIRECT($F$8),6+(O394-1)*3)&lt;=5),MAX(0.4*U394-VLOOKUP(B382,INDIRECT($F$8),8+(O394-1)*3),0.3*S394-VLOOKUP(B382,INDIRECT($F$8),6+(O394-1)*3)),11),IF(0.3*S394-VLOOKUP(B382,INDIRECT($F$8),6+(O394-1)*3)&lt;=5,0.3*S394-VLOOKUP(B382,INDIRECT($F$8),6+(O394-1)*3),11)),IF(VLOOKUP(B382,INDIRECT($F$8),8+(O394-1)*3)&lt;U394*0.4,IF(U394*0.4-VLOOKUP(B382,INDIRECT($F$8),8+(O394-1)*3)&lt;=5,U394*0.4-VLOOKUP(B382,INDIRECT($F$8),8+(O394-1)*3),11),0))))</f>
        <v>0</v>
      </c>
      <c r="X394" s="1" t="str">
        <f ca="1">IF(ISERROR(F382),"",IF(W394=0,"",_xlfn.TEXTJOIN("",FALSE," G+",W394," in ",A394)))</f>
        <v/>
      </c>
    </row>
    <row r="395" spans="1:24" ht="11.5" customHeight="1" x14ac:dyDescent="0.2">
      <c r="A395" s="7" t="str">
        <f ca="1">IF(ISERROR(F382),"",VLOOKUP(C382,INDIRECT($F$8),6+(O395-1)*3,0))</f>
        <v>MEP 003</v>
      </c>
      <c r="B395" s="24" t="str">
        <f ca="1">IF(ISERROR(F382),"",VLOOKUP(D382,INDIRECT($F$8),6+(O395-1)*3-Z395,0))</f>
        <v>Workshop Practices Lab</v>
      </c>
      <c r="C395" s="24"/>
      <c r="D395" s="24"/>
      <c r="E395" s="24"/>
      <c r="F395" s="7">
        <f ca="1">IF(ISERROR(F382),"",VLOOKUP(E382,INDIRECT($F$8),6+(O395-1)*3,0))</f>
        <v>2</v>
      </c>
      <c r="G395" s="25" t="str">
        <f ca="1">IF(ISERROR(F382),"",_xlfn.TEXTJOIN("/",FALSE,P395,S395))</f>
        <v>48/50</v>
      </c>
      <c r="H395" s="25"/>
      <c r="I395" s="25" t="str">
        <f ca="1">IF(ISERROR(F382),"",_xlfn.TEXTJOIN("/",FALSE,Q395,T395))</f>
        <v>48/50</v>
      </c>
      <c r="J395" s="25"/>
      <c r="K395" s="25" t="str">
        <f ca="1">IF(ISERROR(F382),"",_xlfn.TEXTJOIN("/",FALSE,R395,U395))</f>
        <v>96/100</v>
      </c>
      <c r="L395" s="25"/>
      <c r="M395" s="7" t="str">
        <f ca="1">IF(ISERROR(F382)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O</v>
      </c>
      <c r="N395" s="8">
        <f t="shared" ca="1" si="35"/>
        <v>10</v>
      </c>
      <c r="O395">
        <f t="shared" ca="1" si="36"/>
        <v>10</v>
      </c>
      <c r="P395" s="1">
        <f ca="1">IF(ISERROR(F382),"",IF(ISTEXT(VLOOKUP(B382,INDIRECT($F$8),6+(O395-1)*3)),(VLOOKUP(B382,INDIRECT($F$8),6+(O395-1)*3)),SUM(VLOOKUP(B382,INDIRECT($F$8),6+(O395-1)*3),IF(W400,W395,0))))</f>
        <v>48</v>
      </c>
      <c r="Q395" s="1">
        <f ca="1">IF(ISERROR(F382),"",VLOOKUP(B382,INDIRECT($F$8),7+(O395-1)*3))</f>
        <v>48</v>
      </c>
      <c r="R395" s="1">
        <f ca="1">IF(ISERROR(F382),"",SUM(P395:Q395))</f>
        <v>96</v>
      </c>
      <c r="S395" s="1">
        <f ca="1">IF(ISERROR(F382),"",VLOOKUP(A382,INDIRECT($F$8),6+(O395-1)*3))</f>
        <v>50</v>
      </c>
      <c r="T395" s="1">
        <f ca="1">IF(ISERROR(F382),"",VLOOKUP(A382,INDIRECT($F$8),7+(O395-1)*3))</f>
        <v>50</v>
      </c>
      <c r="U395" s="1">
        <f ca="1">IF(ISERROR(F382),"",VLOOKUP(A382,INDIRECT($F$8),8+(O395-1)*3))</f>
        <v>100</v>
      </c>
      <c r="V395" s="1" t="str">
        <f ca="1">IF(ISERROR(F382),"",IF(N395=0,A395,""))</f>
        <v/>
      </c>
      <c r="W395" s="1">
        <f ca="1">IF(ISERROR(F382),"",IF(ISTEXT(VLOOKUP(B382,INDIRECT($F$8),6+(O395-1)*3)),11,IF(VLOOKUP(B382,INDIRECT($F$8),6+(O395-1)*3)&lt;S395*0.3,IF(VLOOKUP(B382,INDIRECT($F$8),8+(O395-1)*3)&lt;U395*0.4,IF(AND(0.4*U395-VLOOKUP(B382,INDIRECT($F$8),8+(O395-1)*3)&lt;=5,0.3*S395-VLOOKUP(B382,INDIRECT($F$8),6+(O395-1)*3)&lt;=5),MAX(0.4*U395-VLOOKUP(B382,INDIRECT($F$8),8+(O395-1)*3),0.3*S395-VLOOKUP(B382,INDIRECT($F$8),6+(O395-1)*3)),11),IF(0.3*S395-VLOOKUP(B382,INDIRECT($F$8),6+(O395-1)*3)&lt;=5,0.3*S395-VLOOKUP(B382,INDIRECT($F$8),6+(O395-1)*3),11)),IF(VLOOKUP(B382,INDIRECT($F$8),8+(O395-1)*3)&lt;U395*0.4,IF(U395*0.4-VLOOKUP(B382,INDIRECT($F$8),8+(O395-1)*3)&lt;=5,U395*0.4-VLOOKUP(B382,INDIRECT($F$8),8+(O395-1)*3),11),0))))</f>
        <v>0</v>
      </c>
      <c r="X395" s="1" t="str">
        <f ca="1">IF(ISERROR(F382),"",IF(W395=0,"",_xlfn.TEXTJOIN("",FALSE," G+",W395," in ",A395)))</f>
        <v/>
      </c>
    </row>
    <row r="396" spans="1:24" ht="11.5" customHeight="1" x14ac:dyDescent="0.2">
      <c r="A396" s="7" t="str">
        <f ca="1">IF(ISERROR(F382),"",VLOOKUP(C382,INDIRECT($F$8),6+(O396-1)*3,0))</f>
        <v>AHP 004</v>
      </c>
      <c r="B396" s="24" t="str">
        <f ca="1">IF(ISERROR(F382),"",VLOOKUP(D382,INDIRECT($F$8),6+(O396-1)*3-Z396,0))</f>
        <v>Emerging Technologies in Engineering Lab</v>
      </c>
      <c r="C396" s="24"/>
      <c r="D396" s="24"/>
      <c r="E396" s="24"/>
      <c r="F396" s="7">
        <f ca="1">IF(ISERROR(F382),"",VLOOKUP(E382,INDIRECT($F$8),6+(O396-1)*3,0))</f>
        <v>1</v>
      </c>
      <c r="G396" s="25" t="str">
        <f ca="1">IF(ISERROR(F382),"",_xlfn.TEXTJOIN("/",FALSE,P396,S396))</f>
        <v>22/25</v>
      </c>
      <c r="H396" s="25"/>
      <c r="I396" s="25" t="str">
        <f ca="1">IF(ISERROR(F382),"",_xlfn.TEXTJOIN("/",FALSE,Q396,T396))</f>
        <v>23/25</v>
      </c>
      <c r="J396" s="25"/>
      <c r="K396" s="25" t="str">
        <f ca="1">IF(ISERROR(F382),"",_xlfn.TEXTJOIN("/",FALSE,R396,U396))</f>
        <v>45/50</v>
      </c>
      <c r="L396" s="25"/>
      <c r="M396" s="7" t="str">
        <f ca="1">IF(ISERROR(F382)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A+</v>
      </c>
      <c r="N396" s="8">
        <f t="shared" ca="1" si="35"/>
        <v>9.5</v>
      </c>
      <c r="O396">
        <f t="shared" ca="1" si="36"/>
        <v>11</v>
      </c>
      <c r="P396" s="1">
        <f ca="1">IF(ISERROR(F382),"",IF(ISTEXT(VLOOKUP(B382,INDIRECT($F$8),6+(O396-1)*3)),(VLOOKUP(B382,INDIRECT($F$8),6+(O396-1)*3)),SUM(VLOOKUP(B382,INDIRECT($F$8),6+(O396-1)*3),IF(W400,W396,0))))</f>
        <v>22</v>
      </c>
      <c r="Q396" s="1">
        <f ca="1">IF(ISERROR(F382),"",VLOOKUP(B382,INDIRECT($F$8),7+(O396-1)*3))</f>
        <v>23</v>
      </c>
      <c r="R396" s="1">
        <f ca="1">IF(ISERROR(F382),"",SUM(P396:Q396))</f>
        <v>45</v>
      </c>
      <c r="S396" s="1">
        <f ca="1">IF(ISERROR(F382),"",VLOOKUP(A382,INDIRECT($F$8),6+(O396-1)*3))</f>
        <v>25</v>
      </c>
      <c r="T396" s="1">
        <f ca="1">IF(ISERROR(F382),"",VLOOKUP(A382,INDIRECT($F$8),7+(O396-1)*3))</f>
        <v>25</v>
      </c>
      <c r="U396" s="1">
        <f ca="1">IF(ISERROR(F382),"",VLOOKUP(A382,INDIRECT($F$8),8+(O396-1)*3))</f>
        <v>50</v>
      </c>
      <c r="V396" s="1" t="str">
        <f ca="1">IF(ISERROR(F382),"",IF(N396=0,A396,""))</f>
        <v/>
      </c>
      <c r="W396" s="1">
        <f ca="1">IF(ISERROR(F382),"",IF(ISTEXT(VLOOKUP(B382,INDIRECT($F$8),6+(O396-1)*3)),11,IF(VLOOKUP(B382,INDIRECT($F$8),6+(O396-1)*3)&lt;S396*0.3,IF(VLOOKUP(B382,INDIRECT($F$8),8+(O396-1)*3)&lt;U396*0.4,IF(AND(0.4*U396-VLOOKUP(B382,INDIRECT($F$8),8+(O396-1)*3)&lt;=5,0.3*S396-VLOOKUP(B382,INDIRECT($F$8),6+(O396-1)*3)&lt;=5),MAX(0.4*U396-VLOOKUP(B382,INDIRECT($F$8),8+(O396-1)*3),0.3*S396-VLOOKUP(B382,INDIRECT($F$8),6+(O396-1)*3)),11),IF(0.3*S396-VLOOKUP(B382,INDIRECT($F$8),6+(O396-1)*3)&lt;=5,0.3*S396-VLOOKUP(B382,INDIRECT($F$8),6+(O396-1)*3),11)),IF(VLOOKUP(B382,INDIRECT($F$8),8+(O396-1)*3)&lt;U396*0.4,IF(U396*0.4-VLOOKUP(B382,INDIRECT($F$8),8+(O396-1)*3)&lt;=5,U396*0.4-VLOOKUP(B382,INDIRECT($F$8),8+(O396-1)*3),11),0))))</f>
        <v>0</v>
      </c>
      <c r="X396" s="1" t="str">
        <f ca="1">IF(ISERROR(F382),"",IF(W396=0,"",_xlfn.TEXTJOIN("",FALSE," G+",W396," in ",A396)))</f>
        <v/>
      </c>
    </row>
    <row r="397" spans="1:24" ht="11.5" customHeight="1" x14ac:dyDescent="0.2">
      <c r="A397" s="7" t="str">
        <f ca="1">IF(ISERROR(F382),"",VLOOKUP(C382,INDIRECT($F$8),6+(O397-1)*3,0))</f>
        <v>CSP 002</v>
      </c>
      <c r="B397" s="24" t="str">
        <f ca="1">IF(ISERROR(F382),"",VLOOKUP(D382,INDIRECT($F$8),6+(O397-1)*3,0))</f>
        <v>Computer Applications and IOT</v>
      </c>
      <c r="C397" s="24"/>
      <c r="D397" s="24"/>
      <c r="E397" s="24"/>
      <c r="F397" s="7">
        <f ca="1">IF(ISERROR(F382),"",VLOOKUP(E382,INDIRECT($F$8),6+(O397-1)*3,0))</f>
        <v>1</v>
      </c>
      <c r="G397" s="25" t="str">
        <f ca="1">IF(ISERROR(F382),"",_xlfn.TEXTJOIN("/",FALSE,P397,S397))</f>
        <v>24/25</v>
      </c>
      <c r="H397" s="25"/>
      <c r="I397" s="25" t="str">
        <f ca="1">IF(ISERROR(F382),"",_xlfn.TEXTJOIN("/",FALSE,Q397,T397))</f>
        <v>24/25</v>
      </c>
      <c r="J397" s="25"/>
      <c r="K397" s="25" t="str">
        <f ca="1">IF(ISERROR(F382),"",_xlfn.TEXTJOIN("/",FALSE,R397,U397))</f>
        <v>48/50</v>
      </c>
      <c r="L397" s="25"/>
      <c r="M397" s="7" t="str">
        <f ca="1">IF(ISERROR(F382)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O</v>
      </c>
      <c r="N397" s="8">
        <f t="shared" ca="1" si="35"/>
        <v>10</v>
      </c>
      <c r="O397">
        <f t="shared" ca="1" si="36"/>
        <v>12</v>
      </c>
      <c r="P397" s="1">
        <f ca="1">IF(ISERROR(F382),"",IF(ISTEXT(VLOOKUP(B382,INDIRECT($F$8),6+(O397-1)*3)),(VLOOKUP(B382,INDIRECT($F$8),6+(O397-1)*3)),SUM(VLOOKUP(B382,INDIRECT($F$8),6+(O397-1)*3),IF(W400,W397,0))))</f>
        <v>24</v>
      </c>
      <c r="Q397" s="1">
        <f ca="1">IF(ISERROR(F382),"",VLOOKUP(B382,INDIRECT($F$8),7+(O397-1)*3))</f>
        <v>24</v>
      </c>
      <c r="R397" s="1">
        <f ca="1">IF(ISERROR(F382),"",SUM(P397:Q397))</f>
        <v>48</v>
      </c>
      <c r="S397" s="1">
        <f ca="1">IF(ISERROR(F382),"",VLOOKUP(A382,INDIRECT($F$8),6+(O397-1)*3))</f>
        <v>25</v>
      </c>
      <c r="T397" s="1">
        <f ca="1">IF(ISERROR(F382),"",VLOOKUP(A382,INDIRECT($F$8),7+(O397-1)*3))</f>
        <v>25</v>
      </c>
      <c r="U397" s="1">
        <f ca="1">IF(ISERROR(F382),"",VLOOKUP(A382,INDIRECT($F$8),8+(O397-1)*3))</f>
        <v>50</v>
      </c>
      <c r="V397" s="1" t="str">
        <f ca="1">IF(ISERROR(F382),"",IF(N397=0,A397,""))</f>
        <v/>
      </c>
      <c r="W397" s="1">
        <f ca="1">IF(ISERROR(F382),"",IF(ISTEXT(VLOOKUP(B382,INDIRECT($F$8),6+(O397-1)*3)),11,IF(VLOOKUP(B382,INDIRECT($F$8),6+(O397-1)*3)&lt;S397*0.3,IF(VLOOKUP(B382,INDIRECT($F$8),8+(O397-1)*3)&lt;U397*0.4,IF(AND(0.4*U397-VLOOKUP(B382,INDIRECT($F$8),8+(O397-1)*3)&lt;=5,0.3*S397-VLOOKUP(B382,INDIRECT($F$8),6+(O397-1)*3)&lt;=5),MAX(0.4*U397-VLOOKUP(B382,INDIRECT($F$8),8+(O397-1)*3),0.3*S397-VLOOKUP(B382,INDIRECT($F$8),6+(O397-1)*3)),11),IF(0.3*S397-VLOOKUP(B382,INDIRECT($F$8),6+(O397-1)*3)&lt;=5,0.3*S397-VLOOKUP(B382,INDIRECT($F$8),6+(O397-1)*3),11)),IF(VLOOKUP(B382,INDIRECT($F$8),8+(O397-1)*3)&lt;U397*0.4,IF(U397*0.4-VLOOKUP(B382,INDIRECT($F$8),8+(O397-1)*3)&lt;=5,U397*0.4-VLOOKUP(B382,INDIRECT($F$8),8+(O397-1)*3),11),0))))</f>
        <v>0</v>
      </c>
      <c r="X397" s="1" t="str">
        <f ca="1">IF(ISERROR(F382),"",IF(W397=0,"",_xlfn.TEXTJOIN("",FALSE," G+",W397," in ",A397)))</f>
        <v/>
      </c>
    </row>
    <row r="398" spans="1:24" ht="11.5" customHeight="1" x14ac:dyDescent="0.2">
      <c r="A398" s="7" t="str">
        <f ca="1">IF(ISERROR(F382),"",VLOOKUP(C382,INDIRECT($F$8),6+(O398-1)*3,0))</f>
        <v>AHP 006</v>
      </c>
      <c r="B398" s="24" t="str">
        <f ca="1">IF(ISERROR(F382),"",VLOOKUP(D382,INDIRECT($F$8),6+(O398-1)*3,0))</f>
        <v>English Language Lab ($)</v>
      </c>
      <c r="C398" s="24"/>
      <c r="D398" s="24"/>
      <c r="E398" s="24"/>
      <c r="F398" s="7">
        <f ca="1">IF(ISERROR(F382),"",VLOOKUP(E382,INDIRECT($F$8),6+(O398-1)*3,0))</f>
        <v>0</v>
      </c>
      <c r="G398" s="25" t="str">
        <f ca="1">IF(ISERROR(F382),"",_xlfn.TEXTJOIN("/",FALSE,P398,S398))</f>
        <v>19/25</v>
      </c>
      <c r="H398" s="25"/>
      <c r="I398" s="25" t="str">
        <f ca="1">IF(ISERROR(F382),"",_xlfn.TEXTJOIN("/",FALSE,Q398,T398))</f>
        <v>33/50</v>
      </c>
      <c r="J398" s="25"/>
      <c r="K398" s="25" t="str">
        <f ca="1">IF(ISERROR(F382),"",_xlfn.TEXTJOIN("/",FALSE,R398,U398))</f>
        <v>52/75</v>
      </c>
      <c r="L398" s="25"/>
      <c r="M398" s="7" t="str">
        <f ca="1">IF(ISERROR(F382)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C</v>
      </c>
      <c r="N398" s="8">
        <f ca="1">INDEX($Z$2:$Z$17,MATCH(M398,$Y$2:$Y$17,0))</f>
        <v>7</v>
      </c>
      <c r="O398">
        <f t="shared" ca="1" si="36"/>
        <v>13</v>
      </c>
      <c r="P398" s="1">
        <f ca="1">IF(ISERROR(F382),"",IF(ISTEXT(VLOOKUP(B382,INDIRECT($F$8),6+(O398-1)*3)),(VLOOKUP(B382,INDIRECT($F$8),6+(O398-1)*3)),SUM(VLOOKUP(B382,INDIRECT($F$8),6+(O398-1)*3),IF(W400,W398,0))))</f>
        <v>19</v>
      </c>
      <c r="Q398" s="1">
        <f ca="1">IF(ISERROR(F382),"",VLOOKUP(B382,INDIRECT($F$8),7+(O398-1)*3))</f>
        <v>33</v>
      </c>
      <c r="R398" s="1">
        <f ca="1">IF(ISERROR(F382),"",SUM(P398:Q398))</f>
        <v>52</v>
      </c>
      <c r="S398" s="1">
        <f ca="1">IF(ISERROR(F382),"",VLOOKUP(A382,INDIRECT($F$8),6+(O398-1)*3))</f>
        <v>25</v>
      </c>
      <c r="T398" s="1">
        <f ca="1">IF(ISERROR(F382),"",VLOOKUP(A382,INDIRECT($F$8),7+(O398-1)*3))</f>
        <v>50</v>
      </c>
      <c r="U398" s="1">
        <f ca="1">IF(ISERROR(F382),"",VLOOKUP(A382,INDIRECT($F$8),8+(O398-1)*3))</f>
        <v>75</v>
      </c>
      <c r="V398" s="1"/>
      <c r="W398" s="1">
        <f ca="1">IF(ISERROR(F382),"",IF(ISTEXT(VLOOKUP(B382,INDIRECT($F$8),6+(O398-1)*3)),11,IF(VLOOKUP(B382,INDIRECT($F$8),6+(O398-1)*3)&lt;S398*0.3,IF(VLOOKUP(B382,INDIRECT($F$8),8+(O398-1)*3)&lt;U398*0.4,IF(AND(0.4*U398-VLOOKUP(B382,INDIRECT($F$8),8+(O398-1)*3)&lt;=5,0.3*S398-VLOOKUP(B382,INDIRECT($F$8),6+(O398-1)*3)&lt;=5),MAX(0.4*U398-VLOOKUP(B382,INDIRECT($F$8),8+(O398-1)*3),0.3*S398-VLOOKUP(B382,INDIRECT($F$8),6+(O398-1)*3)),11),IF(0.3*S398-VLOOKUP(B382,INDIRECT($F$8),6+(O398-1)*3)&lt;=5,0.3*S398-VLOOKUP(B382,INDIRECT($F$8),6+(O398-1)*3),11)),IF(VLOOKUP(B382,INDIRECT($F$8),8+(O398-1)*3)&lt;U398*0.4,IF(U398*0.4-VLOOKUP(B382,INDIRECT($F$8),8+(O398-1)*3)&lt;=5,U398*0.4-VLOOKUP(B382,INDIRECT($F$8),8+(O398-1)*3),11),0))))</f>
        <v>0</v>
      </c>
      <c r="X398" s="1" t="str">
        <f ca="1">IF(ISERROR(F382),"",IF(W398=0,"",_xlfn.TEXTJOIN("",FALSE," G+",W398," in ",A398)))</f>
        <v/>
      </c>
    </row>
    <row r="399" spans="1:24" ht="11.5" customHeight="1" x14ac:dyDescent="0.2">
      <c r="A399" s="7" t="str">
        <f ca="1">IF(ISERROR(F382),"",VLOOKUP(C382,INDIRECT($F$8),6+(O399-1)*3-Y399,0))</f>
        <v>GP 01</v>
      </c>
      <c r="B399" s="24" t="str">
        <f ca="1">IF(ISERROR(F382),"",VLOOKUP(D382,INDIRECT($F$8),6+(O399-1)*3-Z399,0))</f>
        <v>General Proficiency ($)</v>
      </c>
      <c r="C399" s="24"/>
      <c r="D399" s="24"/>
      <c r="E399" s="24"/>
      <c r="F399" s="7">
        <f ca="1">IF(ISERROR(F382),"",VLOOKUP(E382,INDIRECT($F$8),6+(O399-1)*3-AA399,0))</f>
        <v>0</v>
      </c>
      <c r="G399" s="25" t="str">
        <f ca="1">IF(ISERROR(F382),"","-")</f>
        <v>-</v>
      </c>
      <c r="H399" s="25"/>
      <c r="I399" s="25" t="str">
        <f ca="1">IF(ISERROR(F382),"",_xlfn.TEXTJOIN("/",FALSE,Q399,T399))</f>
        <v>47/50</v>
      </c>
      <c r="J399" s="25"/>
      <c r="K399" s="25" t="str">
        <f ca="1">IF(ISERROR(F382),"",_xlfn.TEXTJOIN("/",FALSE,R399,U399))</f>
        <v>47/50</v>
      </c>
      <c r="L399" s="25"/>
      <c r="M399" s="25" t="str">
        <f ca="1">IF(ISBLANK(R399),"",IF(ISTEXT(R399),R399,IF(R399&gt;=0.8*U399,"Excellent",IF(R399&gt;=0.6*U399,"Very Good",IF(R399&gt;=0.4*U399,"Good",IF(R399&gt;=0.2*U399,"Satisfactory","Average"))))))</f>
        <v>Excellent</v>
      </c>
      <c r="N399" s="25"/>
      <c r="O399">
        <f t="shared" ca="1" si="36"/>
        <v>14</v>
      </c>
      <c r="P399" s="1">
        <f ca="1">IF(ISERROR(F382),"",IF(ISTEXT(VLOOKUP(B\28,INDIRECT($F$8),6+(O399-1)*3)),(VLOOKUP(B382,INDIRECT($F$8),6+(O399-1)*3)),SUM(VLOOKUP(B382,INDIRECT($F$8),6+(O399-1)*3),IF(W400,W400,0))))</f>
        <v>0</v>
      </c>
      <c r="Q399" s="1">
        <f ca="1">IF(ISERROR(F382),"",VLOOKUP(B382,INDIRECT($F$8),7+(O399-1)*3))</f>
        <v>47</v>
      </c>
      <c r="R399" s="1">
        <f ca="1">IF(ISERROR(F382),"",SUM(P399:Q399))</f>
        <v>47</v>
      </c>
      <c r="S399" s="1">
        <f ca="1">IF(ISERROR(F382),"",VLOOKUP(A382,INDIRECT($F$8),6+(O399-1)*3))</f>
        <v>0</v>
      </c>
      <c r="T399" s="1">
        <f ca="1">IF(ISERROR(F382),"",VLOOKUP(A382,INDIRECT($F$8),7+(O399-1)*3))</f>
        <v>50</v>
      </c>
      <c r="U399" s="1">
        <f ca="1">IF(ISERROR(F382),"",VLOOKUP(A382,INDIRECT($F$8),8+(O399-1)*3))</f>
        <v>50</v>
      </c>
      <c r="V399" s="1"/>
      <c r="W399" s="1"/>
      <c r="X399" s="1" t="str">
        <f ca="1">IF(ISERROR(F382),"",IF(W399=0,"",_xlfn.TEXTJOIN("",FALSE," G+",W399," in ",A399)))</f>
        <v/>
      </c>
    </row>
    <row r="400" spans="1:24" ht="11.5" customHeight="1" x14ac:dyDescent="0.2">
      <c r="A400" s="26" t="str">
        <f ca="1">IF(ISERROR(F382),"",A378)</f>
        <v>Total Credits/ Marks/ Total Grade Points</v>
      </c>
      <c r="B400" s="26"/>
      <c r="C400" s="26"/>
      <c r="D400" s="26"/>
      <c r="E400" s="26"/>
      <c r="F400" s="10">
        <f ca="1">IF(ISERROR(F382),"",SUM(F387:F398))</f>
        <v>23</v>
      </c>
      <c r="G400" s="27" t="str">
        <f ca="1">IF(ISERROR(F382),"",_xlfn.TEXTJOIN("/",TRUE,SUMIF(F387:F399,"&gt;0",P387:P399),SUMIF(F387:F399,"&gt;0",S387:S399)))</f>
        <v>292/575</v>
      </c>
      <c r="H400" s="27"/>
      <c r="I400" s="27" t="str">
        <f ca="1">IF(ISERROR(F382),"",_xlfn.TEXTJOIN("/",TRUE,SUMIF(F387:F399,"&gt;0",Q387:Q399),SUMIF(F387:F399,"&gt;0",T387:T399)))</f>
        <v>274/375</v>
      </c>
      <c r="J400" s="27"/>
      <c r="K400" s="27" t="str">
        <f ca="1">IF(ISERROR(F382),"",_xlfn.TEXTJOIN("/",TRUE,SUMIF(F387:F399,"&gt;0",R387:R399),SUMIF(F387:F399,"&gt;0",U387:U399)))</f>
        <v>566/950</v>
      </c>
      <c r="L400" s="27"/>
      <c r="M400" s="26">
        <f ca="1">IF(ISERROR(F382),"",SUMPRODUCT(N387:N398,F387:F398))</f>
        <v>113</v>
      </c>
      <c r="N400" s="26"/>
      <c r="V400" s="1" t="str">
        <f ca="1">_xlfn.TEXTJOIN(", ",TRUE,V387:V399)</f>
        <v>AHT 002, AHT 003</v>
      </c>
      <c r="W400" t="b">
        <f ca="1">IF(SUM(W387:W399)&lt;=W386,TRUE,FALSE)</f>
        <v>0</v>
      </c>
      <c r="X400" s="1" t="str">
        <f ca="1">IF(ISERROR(F382),"",_xlfn.TEXTJOIN(",",TRUE,X387:X399))</f>
        <v xml:space="preserve"> G+1 in AHT 002, G+11 in AHT 003</v>
      </c>
    </row>
    <row r="401" spans="1:24" ht="11.5" customHeight="1" x14ac:dyDescent="0.2">
      <c r="A401" s="26" t="str">
        <f ca="1">IF(ISERROR(F382),"",A379)</f>
        <v>Result:</v>
      </c>
      <c r="B401" s="28" t="str" cm="1">
        <f t="array" aca="1" ref="B401" ca="1">IF(SUM(COUNTIF(M387:M398,{"Ab","Dt"}))=12, "Not Promoted to IInd Semester", IF(V400="", "PASS", "CARRY OVER"))</f>
        <v>CARRY OVER</v>
      </c>
      <c r="C401" s="28"/>
      <c r="D401" s="26" t="str">
        <f ca="1">IF(ISERROR(F382),"",D379)</f>
        <v>Remark:</v>
      </c>
      <c r="E401" s="28" t="str">
        <f ca="1">IF(ISERROR(F382),"",IF(V400="",IF(X400="","",X400),_xlfn.TEXTJOIN(" ",TRUE,"BACK IN",V400)))</f>
        <v>BACK IN AHT 002, AHT 003</v>
      </c>
      <c r="F401" s="28"/>
      <c r="G401" s="26" t="str">
        <f ca="1">IF(ISERROR(F382),"",G379)</f>
        <v>SGPA:</v>
      </c>
      <c r="H401" s="29">
        <f ca="1">IF(ISERROR(F382),"",M400/F400)</f>
        <v>4.9130434782608692</v>
      </c>
      <c r="I401" s="26" t="str">
        <f ca="1">IF(ISERROR(F382),"",I379)</f>
        <v>CGPA:</v>
      </c>
      <c r="J401" s="29">
        <f ca="1">IF(ISERROR(F382),"",VLOOKUP(B382,INDIRECT($F$8),12+(O399-1)*3,0))</f>
        <v>4.9130434782608692</v>
      </c>
      <c r="K401" s="28" t="str">
        <f ca="1">IF(ISERROR(F382),"",K379)</f>
        <v>Earned Credits:</v>
      </c>
      <c r="L401" s="26">
        <f ca="1">IF(ISERROR(F382),"",SUMIF(N387:N398,"&gt;0",F387:F398))</f>
        <v>15</v>
      </c>
      <c r="M401" s="28" t="str">
        <f ca="1">IF(ISERROR(F382),"",M379)</f>
        <v>Cuml. Earned Credits:</v>
      </c>
      <c r="N401" s="26">
        <f ca="1">IF(ISERROR(F382),"",VLOOKUP(B382,INDIRECT($F$8),10+(O399-1)*3,0))</f>
        <v>15</v>
      </c>
    </row>
    <row r="402" spans="1:24" ht="11.5" customHeight="1" x14ac:dyDescent="0.2">
      <c r="A402" s="26"/>
      <c r="B402" s="28"/>
      <c r="C402" s="28"/>
      <c r="D402" s="26"/>
      <c r="E402" s="28"/>
      <c r="F402" s="28"/>
      <c r="G402" s="26"/>
      <c r="H402" s="29"/>
      <c r="I402" s="26"/>
      <c r="J402" s="29"/>
      <c r="K402" s="28"/>
      <c r="L402" s="26"/>
      <c r="M402" s="28"/>
      <c r="N402" s="26"/>
    </row>
    <row r="403" spans="1:24" ht="20" customHeight="1" x14ac:dyDescent="0.2">
      <c r="A403" s="26"/>
      <c r="B403" s="28"/>
      <c r="C403" s="28"/>
      <c r="D403" s="26"/>
      <c r="E403" s="28"/>
      <c r="F403" s="28"/>
      <c r="G403" s="26"/>
      <c r="H403" s="29"/>
      <c r="I403" s="26"/>
      <c r="J403" s="29"/>
      <c r="K403" s="28"/>
      <c r="L403" s="26"/>
      <c r="M403" s="28"/>
      <c r="N403" s="26"/>
    </row>
    <row r="404" spans="1:24" ht="11.5" customHeight="1" x14ac:dyDescent="0.2">
      <c r="A404" s="11" t="str">
        <f>A382</f>
        <v>MM</v>
      </c>
      <c r="B404" s="11">
        <f>B382+1</f>
        <v>19</v>
      </c>
      <c r="C404" s="11" t="str">
        <f>C382</f>
        <v>SC</v>
      </c>
      <c r="D404" s="11" t="str">
        <f>D382</f>
        <v>SN</v>
      </c>
      <c r="E404" s="11" t="str">
        <f>E382</f>
        <v>C</v>
      </c>
      <c r="F404" s="11" t="str">
        <f ca="1">VLOOKUP(B404,INDIRECT($F$8),4,0)</f>
        <v>MOHD SUHAIL</v>
      </c>
    </row>
    <row r="405" spans="1:24" ht="11.5" customHeight="1" x14ac:dyDescent="0.2">
      <c r="A405" s="30" t="str">
        <f ca="1">IF(ISERROR(F404),"",A383)</f>
        <v>Name:</v>
      </c>
      <c r="B405" s="30" t="str">
        <f ca="1">IFERROR(VLOOKUP(B404,INDIRECT($F$8),4,0),"")</f>
        <v>MOHD SUHAIL</v>
      </c>
      <c r="C405" s="30"/>
      <c r="D405" s="30" t="str">
        <f ca="1">IF(ISERROR(F404),"",D383)</f>
        <v>Father's Name:</v>
      </c>
      <c r="E405" s="30" t="str">
        <f ca="1">IFERROR(VLOOKUP(B404,INDIRECT($F$8),5,0),"")</f>
        <v>FURKAN ALI</v>
      </c>
      <c r="F405" s="30"/>
      <c r="G405" s="30" t="str">
        <f ca="1">IF(ISERROR(F404),"",G383)</f>
        <v>University Roll No:</v>
      </c>
      <c r="H405" s="30"/>
      <c r="I405" s="31">
        <f ca="1">IFERROR(VLOOKUP(B404,INDIRECT($F$8),2,0),"")</f>
        <v>250090120020</v>
      </c>
      <c r="J405" s="31"/>
      <c r="K405" s="30" t="str">
        <f ca="1">IF(ISERROR(F404),"",K383)</f>
        <v>University Enrol. No:</v>
      </c>
      <c r="L405" s="30"/>
      <c r="M405" s="31" t="str">
        <f ca="1">IFERROR(VLOOKUP(B404,INDIRECT($F$8),3,0),"")</f>
        <v>UTU/2501103692</v>
      </c>
      <c r="N405" s="31"/>
    </row>
    <row r="406" spans="1:24" ht="11.5" customHeight="1" x14ac:dyDescent="0.2">
      <c r="A406" s="30"/>
      <c r="B406" s="30"/>
      <c r="C406" s="30"/>
      <c r="D406" s="30"/>
      <c r="E406" s="30"/>
      <c r="F406" s="30"/>
      <c r="G406" s="30"/>
      <c r="H406" s="30"/>
      <c r="I406" s="31"/>
      <c r="J406" s="31"/>
      <c r="K406" s="30"/>
      <c r="L406" s="30"/>
      <c r="M406" s="31"/>
      <c r="N406" s="31"/>
    </row>
    <row r="407" spans="1:24" ht="11.5" customHeight="1" x14ac:dyDescent="0.2">
      <c r="A407" s="28" t="str">
        <f ca="1">IF(ISERROR(F404),"",A385)</f>
        <v>Subject Code</v>
      </c>
      <c r="B407" s="28" t="str">
        <f ca="1">IF(ISERROR(F404),"",B385)</f>
        <v>Subject Name</v>
      </c>
      <c r="C407" s="28"/>
      <c r="D407" s="28"/>
      <c r="E407" s="28"/>
      <c r="F407" s="28" t="str">
        <f ca="1">IF(ISERROR(F404),"",F385)</f>
        <v>Credits</v>
      </c>
      <c r="G407" s="28" t="str">
        <f ca="1">IF(ISERROR(F404),"",G385)</f>
        <v>External Marks</v>
      </c>
      <c r="H407" s="28"/>
      <c r="I407" s="28" t="str">
        <f ca="1">IF(ISERROR(F404),"",I385)</f>
        <v>Sessional Marks</v>
      </c>
      <c r="J407" s="28"/>
      <c r="K407" s="28" t="str">
        <f ca="1">IF(ISERROR(F404),"",K385)</f>
        <v>Total Marks</v>
      </c>
      <c r="L407" s="28"/>
      <c r="M407" s="28" t="str">
        <f ca="1">IF(ISERROR(F404),"",M385)</f>
        <v>Grade</v>
      </c>
      <c r="N407" s="28" t="str">
        <f ca="1">IF(ISERROR(F404),"",N385)</f>
        <v>Grade Points</v>
      </c>
    </row>
    <row r="408" spans="1:24" ht="11.5" customHeight="1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W408">
        <f ca="1">IF(ISNUMBER(MATCH($F$8,{"I","III","V","VII"},0)),10,10-INDEX(INDIRECT(_xlfn.TEXTJOIN("",TRUE,"SEM_",$G$8,"!",ADDRESS(6,4+$I$8*3+4),":",ADDRESS(5+$H$8,4+$I$8*3+4))),MATCH(INDIRECT(_xlfn.TEXTJOIN("",TRUE,"TC_",$F$8,"!",ADDRESS(ROW(I405),COLUMN(I405)))),INDIRECT(_xlfn.TEXTJOIN("",TRUE,"SEM_",$G$8,"!",ADDRESS(6,2),":",ADDRESS(5+$H$8,2))))))</f>
        <v>10</v>
      </c>
    </row>
    <row r="409" spans="1:24" ht="11.5" customHeight="1" x14ac:dyDescent="0.2">
      <c r="A409" s="7" t="str">
        <f ca="1">IF(ISERROR(F404),"",VLOOKUP(C404,INDIRECT($F$8),6+(O409-1)*3,0))</f>
        <v>AHT 002</v>
      </c>
      <c r="B409" s="24" t="str">
        <f ca="1">IF(ISERROR(F404),"",VLOOKUP(D404,INDIRECT($F$8),6+(O409-1)*3,0))</f>
        <v>Engineering Chemistry</v>
      </c>
      <c r="C409" s="24"/>
      <c r="D409" s="24"/>
      <c r="E409" s="24"/>
      <c r="F409" s="7">
        <f ca="1">IF(ISERROR(F404),"",VLOOKUP(E404,INDIRECT($F$8),6+(O409-1)*3,0))</f>
        <v>4</v>
      </c>
      <c r="G409" s="25" t="str">
        <f ca="1">IF(ISERROR(F404),"",_xlfn.TEXTJOIN("/",FALSE,P409,S409))</f>
        <v>30/100</v>
      </c>
      <c r="H409" s="25"/>
      <c r="I409" s="25" t="str">
        <f ca="1">IF(ISERROR(F404),"",_xlfn.TEXTJOIN("/",FALSE,Q409,T409))</f>
        <v>31/50</v>
      </c>
      <c r="J409" s="25"/>
      <c r="K409" s="25" t="str">
        <f ca="1">IF(ISERROR(F404),"",_xlfn.TEXTJOIN("/",FALSE,R409,U409))</f>
        <v>61/150</v>
      </c>
      <c r="L409" s="25"/>
      <c r="M409" s="7" t="str">
        <f ca="1">IF(ISERROR(F404),"",IF(ISTEXT(P409),IF(P409="A","Ab",IF(P409="D","Dt",IF(P409="UFM","UFM",IF(P409="NA","")))),IF(AND(ISBLANK(P409),ISBLANK(R409)),"",IF(P409&lt;0.3*S409,"F",IF(ISBLANK(R409),"",IF(ISTEXT(R409),R409,IF(R409&gt;=0.95*U409,"O",IF(R409&gt;=0.9*U409,"A+",IF(R409&gt;=0.85*U409,"A",IF(R409&gt;=0.8*U409,"B+",IF(R409&gt;=0.75*U409,"B",IF(R409&gt;=0.7*U409,"C+",IF(R409&gt;=0.65*U409,"C",IF(R409&gt;=0.6*U409,"D+",IF(R409&gt;=0.55*U409,"D",IF(R409&gt;=0.5*U409,"E+",IF(R409&gt;=0.45*U409,"E",IF(R409&gt;=0.4*U409,"P",IF(R409&lt;0.4*U409,"F",R409)))))))))))))))))))</f>
        <v>P</v>
      </c>
      <c r="N409" s="8">
        <f ca="1">INDEX($Z$2:$Z$17,MATCH(M409,$Y$2:$Y$17,0))</f>
        <v>4.5</v>
      </c>
      <c r="O409">
        <v>1</v>
      </c>
      <c r="P409" s="1">
        <f ca="1">IF(ISERROR(F404),"",IF(ISTEXT(VLOOKUP(B404,INDIRECT($F$8),6+(O409-1)*3)),(VLOOKUP(B404,INDIRECT($F$8),6+(O409-1)*3)),SUM(VLOOKUP(B404,INDIRECT($F$8),6+(O409-1)*3),IF(W422,W409,0))))</f>
        <v>30</v>
      </c>
      <c r="Q409" s="1">
        <f ca="1">IF(ISERROR(F404),"",VLOOKUP(B404,INDIRECT($F$8),7+(O409-1)*3))</f>
        <v>31</v>
      </c>
      <c r="R409" s="1">
        <f ca="1">IF(ISERROR(F404),"",SUM(P409:Q409))</f>
        <v>61</v>
      </c>
      <c r="S409" s="1">
        <f ca="1">IF(ISERROR(F404),"",VLOOKUP(A404,INDIRECT($F$8),6+(O409-1)*3))</f>
        <v>100</v>
      </c>
      <c r="T409" s="1">
        <f ca="1">IF(ISERROR(F404),"",VLOOKUP(A404,INDIRECT($F$8),7+(O409-1)*3))</f>
        <v>50</v>
      </c>
      <c r="U409" s="1">
        <f ca="1">IF(ISERROR(F404),"",VLOOKUP(A404,INDIRECT($F$8),8+(O409-1)*3))</f>
        <v>150</v>
      </c>
      <c r="V409" s="1" t="str">
        <f ca="1">IF(ISERROR(F404),"",IF(N409=0,A409,""))</f>
        <v/>
      </c>
      <c r="W409" s="1">
        <f ca="1">IF(ISERROR(F404),"",IF(ISTEXT(VLOOKUP(B404,INDIRECT($F$8),6+(O409-1)*3)),11,IF(VLOOKUP(B404,INDIRECT($F$8),6+(O409-1)*3)&lt;S409*0.3,IF(VLOOKUP(B404,INDIRECT($F$8),8+(O409-1)*3)&lt;U409*0.4,IF(AND(0.4*U409-VLOOKUP(B404,INDIRECT($F$8),8+(O409-1)*3)&lt;=5,0.3*S409-VLOOKUP(B404,INDIRECT($F$8),6+(O409-1)*3)&lt;=5),MAX(0.4*U409-VLOOKUP(B404,INDIRECT($F$8),8+(O409-1)*3),0.3*S409-VLOOKUP(B404,INDIRECT($F$8),6+(O409-1)*3)),11),IF(0.3*S409-VLOOKUP(B404,INDIRECT($F$8),6+(O409-1)*3)&lt;=5,0.3*S409-VLOOKUP(B404,INDIRECT($F$8),6+(O409-1)*3),11)),IF(VLOOKUP(B404,INDIRECT($F$8),8+(O409-1)*3)&lt;U409*0.4,IF(U409*0.4-VLOOKUP(B404,INDIRECT($F$8),8+(O409-1)*3)&lt;=5,U409*0.4-VLOOKUP(B404,INDIRECT($F$8),8+(O409-1)*3),11),0))))</f>
        <v>0</v>
      </c>
      <c r="X409" s="1" t="str">
        <f ca="1">IF(ISERROR(F404),"",IF(W409=0,"",_xlfn.TEXTJOIN("",FALSE," G+",W409," in ",A409)))</f>
        <v/>
      </c>
    </row>
    <row r="410" spans="1:24" ht="11.5" customHeight="1" x14ac:dyDescent="0.2">
      <c r="A410" s="7" t="str">
        <f ca="1">IF(ISERROR(F404),"",VLOOKUP(C404,INDIRECT($F$8),6+(O410-1)*3,0))</f>
        <v>AHT 003</v>
      </c>
      <c r="B410" s="24" t="str">
        <f ca="1">IF(ISERROR(F404),"",VLOOKUP(D404,INDIRECT($F$8),6+(O410-1)*3,0))</f>
        <v>Introduction to Engineering Mathematics</v>
      </c>
      <c r="C410" s="24"/>
      <c r="D410" s="24"/>
      <c r="E410" s="24"/>
      <c r="F410" s="7">
        <f ca="1">IF(ISERROR(F404),"",VLOOKUP(E404,INDIRECT($F$8),6+(O410-1)*3,0))</f>
        <v>4</v>
      </c>
      <c r="G410" s="25" t="str">
        <f ca="1">IF(ISERROR(F404),"",_xlfn.TEXTJOIN("/",FALSE,P410,S410))</f>
        <v>13/100</v>
      </c>
      <c r="H410" s="25"/>
      <c r="I410" s="25" t="str">
        <f ca="1">IF(ISERROR(F404),"",_xlfn.TEXTJOIN("/",FALSE,Q410,T410))</f>
        <v>23/50</v>
      </c>
      <c r="J410" s="25"/>
      <c r="K410" s="25" t="str">
        <f ca="1">IF(ISERROR(F404),"",_xlfn.TEXTJOIN("/",FALSE,R410,U410))</f>
        <v>36/150</v>
      </c>
      <c r="L410" s="25"/>
      <c r="M410" s="7" t="str">
        <f ca="1">IF(ISERROR(F404),"",IF(ISTEXT(P410),IF(P410="A","Ab",IF(P410="D","Dt",IF(P410="UFM","UFM",IF(P410="NA","")))),IF(AND(ISBLANK(P410),ISBLANK(R410)),"",IF(P410&lt;0.3*S410,"F",IF(ISBLANK(R410),"",IF(ISTEXT(R410),R410,IF(R410&gt;=0.95*U410,"O",IF(R410&gt;=0.9*U410,"A+",IF(R410&gt;=0.85*U410,"A",IF(R410&gt;=0.8*U410,"B+",IF(R410&gt;=0.75*U410,"B",IF(R410&gt;=0.7*U410,"C+",IF(R410&gt;=0.65*U410,"C",IF(R410&gt;=0.6*U410,"D+",IF(R410&gt;=0.55*U410,"D",IF(R410&gt;=0.5*U410,"E+",IF(R410&gt;=0.45*U410,"E",IF(R410&gt;=0.4*U410,"P",IF(R410&lt;0.4*U410,"F",R410)))))))))))))))))))</f>
        <v>F</v>
      </c>
      <c r="N410" s="8">
        <f t="shared" ref="N410:N419" ca="1" si="37">INDEX($Z$2:$Z$17,MATCH(M410,$Y$2:$Y$17,0))</f>
        <v>0</v>
      </c>
      <c r="O410">
        <f>O409+1</f>
        <v>2</v>
      </c>
      <c r="P410" s="1">
        <f ca="1">IF(ISERROR(F404),"",IF(ISTEXT(VLOOKUP(B404,INDIRECT($F$8),6+(O410-1)*3)),(VLOOKUP(B404,INDIRECT($F$8),6+(O410-1)*3)),SUM(VLOOKUP(B404,INDIRECT($F$8),6+(O410-1)*3),IF(W422,W410,0))))</f>
        <v>13</v>
      </c>
      <c r="Q410" s="1">
        <f ca="1">IF(ISERROR(F404),"",VLOOKUP(B404,INDIRECT($F$8),7+(O410-1)*3))</f>
        <v>23</v>
      </c>
      <c r="R410" s="1">
        <f ca="1">IF(ISERROR(F404),"",SUM(P410:Q410))</f>
        <v>36</v>
      </c>
      <c r="S410" s="1">
        <f ca="1">IF(ISERROR(F404),"",VLOOKUP(A404,INDIRECT($F$8),6+(O410-1)*3))</f>
        <v>100</v>
      </c>
      <c r="T410" s="1">
        <f ca="1">IF(ISERROR(F404),"",VLOOKUP(A404,INDIRECT($F$8),7+(O410-1)*3))</f>
        <v>50</v>
      </c>
      <c r="U410" s="1">
        <f ca="1">IF(ISERROR(F404),"",VLOOKUP(A404,INDIRECT($F$8),8+(O410-1)*3))</f>
        <v>150</v>
      </c>
      <c r="V410" s="1" t="str">
        <f ca="1">IF(ISERROR(F404),"",IF(N410=0,A410,""))</f>
        <v>AHT 003</v>
      </c>
      <c r="W410" s="1">
        <f ca="1">IF(ISERROR(F404),"",IF(ISTEXT(VLOOKUP(B404,INDIRECT($F$8),6+(O410-1)*3)),11,IF(VLOOKUP(B404,INDIRECT($F$8),6+(O410-1)*3)&lt;S410*0.3,IF(VLOOKUP(B404,INDIRECT($F$8),8+(O410-1)*3)&lt;U410*0.4,IF(AND(0.4*U410-VLOOKUP(B404,INDIRECT($F$8),8+(O410-1)*3)&lt;=5,0.3*S410-VLOOKUP(B404,INDIRECT($F$8),6+(O410-1)*3)&lt;=5),MAX(0.4*U410-VLOOKUP(B404,INDIRECT($F$8),8+(O410-1)*3),0.3*S410-VLOOKUP(B404,INDIRECT($F$8),6+(O410-1)*3)),11),IF(0.3*S410-VLOOKUP(B404,INDIRECT($F$8),6+(O410-1)*3)&lt;=5,0.3*S410-VLOOKUP(B404,INDIRECT($F$8),6+(O410-1)*3),11)),IF(VLOOKUP(B404,INDIRECT($F$8),8+(O410-1)*3)&lt;U410*0.4,IF(U410*0.4-VLOOKUP(B404,INDIRECT($F$8),8+(O410-1)*3)&lt;=5,U410*0.4-VLOOKUP(B404,INDIRECT($F$8),8+(O410-1)*3),11),0))))</f>
        <v>11</v>
      </c>
      <c r="X410" s="1" t="str">
        <f ca="1">IF(ISERROR(F404),"",IF(W410=0,"",_xlfn.TEXTJOIN("",FALSE," G+",W410," in ",A410)))</f>
        <v xml:space="preserve"> G+11 in AHT 003</v>
      </c>
    </row>
    <row r="411" spans="1:24" ht="11.5" customHeight="1" x14ac:dyDescent="0.2">
      <c r="A411" s="7" t="str">
        <f ca="1">IF(ISERROR(F404),"",VLOOKUP(C404,INDIRECT($F$8),6+(O411-1)*3,0))</f>
        <v>ECT 001</v>
      </c>
      <c r="B411" s="24" t="str">
        <f ca="1">IF(ISERROR(F404),"",VLOOKUP(D404,INDIRECT($F$8),6+(O411-1)*3,0))</f>
        <v>Basic Electronics Engineering</v>
      </c>
      <c r="C411" s="24"/>
      <c r="D411" s="24"/>
      <c r="E411" s="24"/>
      <c r="F411" s="7">
        <f ca="1">IF(ISERROR(F404),"",VLOOKUP(E404,INDIRECT($F$8),6+(O411-1)*3,0))</f>
        <v>4</v>
      </c>
      <c r="G411" s="25" t="str">
        <f ca="1">IF(ISERROR(F404),"",_xlfn.TEXTJOIN("/",FALSE,P411,S411))</f>
        <v>56/100</v>
      </c>
      <c r="H411" s="25"/>
      <c r="I411" s="25" t="str">
        <f ca="1">IF(ISERROR(F404),"",_xlfn.TEXTJOIN("/",FALSE,Q411,T411))</f>
        <v>40/50</v>
      </c>
      <c r="J411" s="25"/>
      <c r="K411" s="25" t="str">
        <f ca="1">IF(ISERROR(F404),"",_xlfn.TEXTJOIN("/",FALSE,R411,U411))</f>
        <v>96/150</v>
      </c>
      <c r="L411" s="25"/>
      <c r="M411" s="7" t="str">
        <f ca="1">IF(ISERROR(F404),"",IF(ISTEXT(P411),IF(P411="A","Ab",IF(P411="D","Dt",IF(P411="UFM","UFM",IF(P411="NA","")))),IF(AND(ISBLANK(P411),ISBLANK(R411)),"",IF(P411&lt;0.3*S411,"F",IF(ISBLANK(R411),"",IF(ISTEXT(R411),R411,IF(R411&gt;=0.95*U411,"O",IF(R411&gt;=0.9*U411,"A+",IF(R411&gt;=0.85*U411,"A",IF(R411&gt;=0.8*U411,"B+",IF(R411&gt;=0.75*U411,"B",IF(R411&gt;=0.7*U411,"C+",IF(R411&gt;=0.65*U411,"C",IF(R411&gt;=0.6*U411,"D+",IF(R411&gt;=0.55*U411,"D",IF(R411&gt;=0.5*U411,"E+",IF(R411&gt;=0.45*U411,"E",IF(R411&gt;=0.4*U411,"P",IF(R411&lt;0.4*U411,"F",R411)))))))))))))))))))</f>
        <v>D+</v>
      </c>
      <c r="N411" s="8">
        <f t="shared" ca="1" si="37"/>
        <v>6.5</v>
      </c>
      <c r="O411">
        <f>O410+1</f>
        <v>3</v>
      </c>
      <c r="P411" s="1">
        <f ca="1">IF(ISERROR(F404),"",IF(ISTEXT(VLOOKUP(B404,INDIRECT($F$8),6+(O411-1)*3)),(VLOOKUP(B404,INDIRECT($F$8),6+(O411-1)*3)),SUM(VLOOKUP(B404,INDIRECT($F$8),6+(O411-1)*3),IF(W422,W411,0))))</f>
        <v>56</v>
      </c>
      <c r="Q411" s="1">
        <f ca="1">IF(ISERROR(F404),"",VLOOKUP(B404,INDIRECT($F$8),7+(O411-1)*3))</f>
        <v>40</v>
      </c>
      <c r="R411" s="1">
        <f ca="1">IF(ISERROR(F404),"",SUM(P411:Q411))</f>
        <v>96</v>
      </c>
      <c r="S411" s="1">
        <f ca="1">IF(ISERROR(F404),"",VLOOKUP(A404,INDIRECT($F$8),6+(O411-1)*3))</f>
        <v>100</v>
      </c>
      <c r="T411" s="1">
        <f ca="1">IF(ISERROR(F404),"",VLOOKUP(A404,INDIRECT($F$8),7+(O411-1)*3))</f>
        <v>50</v>
      </c>
      <c r="U411" s="1">
        <f ca="1">IF(ISERROR(F404),"",VLOOKUP(A404,INDIRECT($F$8),8+(O411-1)*3))</f>
        <v>150</v>
      </c>
      <c r="V411" s="1" t="str">
        <f ca="1">IF(ISERROR(F404),"",IF(N411=0,A411,""))</f>
        <v/>
      </c>
      <c r="W411" s="1">
        <f ca="1">IF(ISERROR(F404),"",IF(ISTEXT(VLOOKUP(B404,INDIRECT($F$8),6+(O411-1)*3)),11,IF(VLOOKUP(B404,INDIRECT($F$8),6+(O411-1)*3)&lt;S411*0.3,IF(VLOOKUP(B404,INDIRECT($F$8),8+(O411-1)*3)&lt;U411*0.4,IF(AND(0.4*U411-VLOOKUP(B404,INDIRECT($F$8),8+(O411-1)*3)&lt;=5,0.3*S411-VLOOKUP(B404,INDIRECT($F$8),6+(O411-1)*3)&lt;=5),MAX(0.4*U411-VLOOKUP(B404,INDIRECT($F$8),8+(O411-1)*3),0.3*S411-VLOOKUP(B404,INDIRECT($F$8),6+(O411-1)*3)),11),IF(0.3*S411-VLOOKUP(B404,INDIRECT($F$8),6+(O411-1)*3)&lt;=5,0.3*S411-VLOOKUP(B404,INDIRECT($F$8),6+(O411-1)*3),11)),IF(VLOOKUP(B404,INDIRECT($F$8),8+(O411-1)*3)&lt;U411*0.4,IF(U411*0.4-VLOOKUP(B404,INDIRECT($F$8),8+(O411-1)*3)&lt;=5,U411*0.4-VLOOKUP(B404,INDIRECT($F$8),8+(O411-1)*3),11),0))))</f>
        <v>0</v>
      </c>
      <c r="X411" s="1" t="str">
        <f ca="1">IF(ISERROR(F404),"",IF(W411=0,"",_xlfn.TEXTJOIN("",FALSE," G+",W411," in ",A411)))</f>
        <v/>
      </c>
    </row>
    <row r="412" spans="1:24" ht="11.5" customHeight="1" x14ac:dyDescent="0.2">
      <c r="A412" s="7" t="str">
        <f ca="1">IF(ISERROR(F404),"",VLOOKUP(C404,INDIRECT($F$8),6+(O412-1)*3,0))</f>
        <v>MET 001</v>
      </c>
      <c r="B412" s="24" t="str">
        <f ca="1">IF(ISERROR(F404),"",VLOOKUP(D404,INDIRECT($F$8),6+(O412-1)*3,0))</f>
        <v>Basic Mechanical Engineering</v>
      </c>
      <c r="C412" s="24"/>
      <c r="D412" s="24"/>
      <c r="E412" s="24"/>
      <c r="F412" s="7">
        <f ca="1">IF(ISERROR(F404),"",VLOOKUP(E404,INDIRECT($F$8),6+(O412-1)*3,0))</f>
        <v>4</v>
      </c>
      <c r="G412" s="25" t="str">
        <f ca="1">IF(ISERROR(F404),"",_xlfn.TEXTJOIN("/",FALSE,P412,S412))</f>
        <v>44/100</v>
      </c>
      <c r="H412" s="25"/>
      <c r="I412" s="25" t="str">
        <f ca="1">IF(ISERROR(F404),"",_xlfn.TEXTJOIN("/",FALSE,Q412,T412))</f>
        <v>42/50</v>
      </c>
      <c r="J412" s="25"/>
      <c r="K412" s="25" t="str">
        <f ca="1">IF(ISERROR(F404),"",_xlfn.TEXTJOIN("/",FALSE,R412,U412))</f>
        <v>86/150</v>
      </c>
      <c r="L412" s="25"/>
      <c r="M412" s="7" t="str">
        <f ca="1">IF(ISERROR(F404)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D</v>
      </c>
      <c r="N412" s="8">
        <f t="shared" ca="1" si="37"/>
        <v>6</v>
      </c>
      <c r="O412">
        <f>O411+1</f>
        <v>4</v>
      </c>
      <c r="P412" s="1">
        <f ca="1">IF(ISERROR(F404),"",IF(ISTEXT(VLOOKUP(B404,INDIRECT($F$8),6+(O412-1)*3)),(VLOOKUP(B404,INDIRECT($F$8),6+(O412-1)*3)),SUM(VLOOKUP(B404,INDIRECT($F$8),6+(O412-1)*3),IF(W422,W412,0))))</f>
        <v>44</v>
      </c>
      <c r="Q412" s="1">
        <f ca="1">IF(ISERROR(F404),"",VLOOKUP(B404,INDIRECT($F$8),7+(O412-1)*3))</f>
        <v>42</v>
      </c>
      <c r="R412" s="1">
        <f ca="1">IF(ISERROR(F404),"",SUM(P412:Q412))</f>
        <v>86</v>
      </c>
      <c r="S412" s="1">
        <f ca="1">IF(ISERROR(F404),"",VLOOKUP(A404,INDIRECT($F$8),6+(O412-1)*3))</f>
        <v>100</v>
      </c>
      <c r="T412" s="1">
        <f ca="1">IF(ISERROR(F404),"",VLOOKUP(A404,INDIRECT($F$8),7+(O412-1)*3))</f>
        <v>50</v>
      </c>
      <c r="U412" s="1">
        <f ca="1">IF(ISERROR(F404),"",VLOOKUP(A404,INDIRECT($F$8),8+(O412-1)*3))</f>
        <v>150</v>
      </c>
      <c r="V412" s="1" t="str">
        <f ca="1">IF(ISERROR(F404),"",IF(N412=0,A412,""))</f>
        <v/>
      </c>
      <c r="W412" s="1">
        <f ca="1">IF(ISERROR(F404),"",IF(ISTEXT(VLOOKUP(B404,INDIRECT($F$8),6+(O412-1)*3)),11,IF(VLOOKUP(B404,INDIRECT($F$8),6+(O412-1)*3)&lt;S412*0.3,IF(VLOOKUP(B404,INDIRECT($F$8),8+(O412-1)*3)&lt;U412*0.4,IF(AND(0.4*U412-VLOOKUP(B404,INDIRECT($F$8),8+(O412-1)*3)&lt;=5,0.3*S412-VLOOKUP(B404,INDIRECT($F$8),6+(O412-1)*3)&lt;=5),MAX(0.4*U412-VLOOKUP(B404,INDIRECT($F$8),8+(O412-1)*3),0.3*S412-VLOOKUP(B404,INDIRECT($F$8),6+(O412-1)*3)),11),IF(0.3*S412-VLOOKUP(B404,INDIRECT($F$8),6+(O412-1)*3)&lt;=5,0.3*S412-VLOOKUP(B404,INDIRECT($F$8),6+(O412-1)*3),11)),IF(VLOOKUP(B404,INDIRECT($F$8),8+(O412-1)*3)&lt;U412*0.4,IF(U412*0.4-VLOOKUP(B404,INDIRECT($F$8),8+(O412-1)*3)&lt;=5,U412*0.4-VLOOKUP(B404,INDIRECT($F$8),8+(O412-1)*3),11),0))))</f>
        <v>0</v>
      </c>
      <c r="X412" s="1" t="str">
        <f ca="1">IF(ISERROR(F404),"",IF(W412=0,"",_xlfn.TEXTJOIN("",FALSE," G+",W412," in ",A412)))</f>
        <v/>
      </c>
    </row>
    <row r="413" spans="1:24" ht="11.5" customHeight="1" x14ac:dyDescent="0.2">
      <c r="A413" s="7" t="str">
        <f ca="1">IF(ISERROR(F404),"",VLOOKUP(C404,INDIRECT($F$8),6+(O413-1)*3,0))</f>
        <v>AHT 000</v>
      </c>
      <c r="B413" s="24" t="str">
        <f ca="1">IF(ISERROR(F404),"",VLOOKUP(D404,INDIRECT($F$8),6+(O413-1)*3,0))</f>
        <v>Basic Mathematics (Bridge Course) ($)</v>
      </c>
      <c r="C413" s="24"/>
      <c r="D413" s="24"/>
      <c r="E413" s="24"/>
      <c r="F413" s="7">
        <f ca="1">IF(ISERROR(F404),"",VLOOKUP(E404,INDIRECT($F$8),6+(O413-1)*3,0))</f>
        <v>0</v>
      </c>
      <c r="G413" s="25" t="str">
        <f ca="1">IF(ISERROR(F404),"",_xlfn.TEXTJOIN("/",FALSE,P413,S413))</f>
        <v>30/100</v>
      </c>
      <c r="H413" s="25"/>
      <c r="I413" s="25" t="str">
        <f ca="1">IF(ISERROR(F404),"",_xlfn.TEXTJOIN("/",FALSE,Q413,T413))</f>
        <v>30/50</v>
      </c>
      <c r="J413" s="25"/>
      <c r="K413" s="25" t="str">
        <f ca="1">IF(ISERROR(F404),"",_xlfn.TEXTJOIN("/",FALSE,R413,U413))</f>
        <v>60/150</v>
      </c>
      <c r="L413" s="25"/>
      <c r="M413" s="7" t="str">
        <f ca="1">IF(ISERROR(F404)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P</v>
      </c>
      <c r="N413" s="8">
        <f t="shared" ca="1" si="37"/>
        <v>4.5</v>
      </c>
      <c r="O413" cm="1">
        <f t="array" aca="1" ref="O413" ca="1">IF(NOT(ISBLANK(INDIRECT("SEM_I!R"&amp;INT((ROW(O413)-17)/22)+6))),5,
IF(NOT(ISBLANK(INDIRECT("SEM_I!U"&amp;INT((ROW(O413)-17)/22)+6))),6))</f>
        <v>5</v>
      </c>
      <c r="P413" s="1">
        <f ca="1">IF(ISERROR(F404),"",IF(ISTEXT(VLOOKUP(B404,INDIRECT($F$8),6+(O413-1)*3)),(VLOOKUP(B404,INDIRECT($F$8),6+(O413-1)*3)),SUM(VLOOKUP(B404,INDIRECT($F$8),6+(O413-1)*3),IF(W422,W413,0))))</f>
        <v>30</v>
      </c>
      <c r="Q413" s="1">
        <f ca="1">IF(ISERROR(F404),"",VLOOKUP(B404,INDIRECT($F$8),7+(O413-1)*3))</f>
        <v>30</v>
      </c>
      <c r="R413" s="1">
        <f ca="1">IF(ISERROR(F404),"",SUM(P413:Q413))</f>
        <v>60</v>
      </c>
      <c r="S413" s="1">
        <f ca="1">IF(ISERROR(F404),"",VLOOKUP(A404,INDIRECT($F$8),6+(O413-1)*3))</f>
        <v>100</v>
      </c>
      <c r="T413" s="1">
        <f ca="1">IF(ISERROR(F404),"",VLOOKUP(A404,INDIRECT($F$8),7+(O413-1)*3))</f>
        <v>50</v>
      </c>
      <c r="U413" s="1">
        <f ca="1">IF(ISERROR(F404),"",VLOOKUP(A404,INDIRECT($F$8),8+(O413-1)*3))</f>
        <v>150</v>
      </c>
      <c r="V413" s="1" t="str">
        <f ca="1">IF(ISERROR(F404),"",IF(N413=0,A413,""))</f>
        <v/>
      </c>
      <c r="W413" s="1">
        <f ca="1">IF(ISERROR(F404),"",IF(ISTEXT(VLOOKUP(B404,INDIRECT($F$8),6+(O413-1)*3)),11,IF(VLOOKUP(B404,INDIRECT($F$8),6+(O413-1)*3)&lt;S413*0.3,IF(VLOOKUP(B404,INDIRECT($F$8),8+(O413-1)*3)&lt;U413*0.4,IF(AND(0.4*U413-VLOOKUP(B404,INDIRECT($F$8),8+(O413-1)*3)&lt;=5,0.3*S413-VLOOKUP(B404,INDIRECT($F$8),6+(O413-1)*3)&lt;=5),MAX(0.4*U413-VLOOKUP(B404,INDIRECT($F$8),8+(O413-1)*3),0.3*S413-VLOOKUP(B404,INDIRECT($F$8),6+(O413-1)*3)),11),IF(0.3*S413-VLOOKUP(B404,INDIRECT($F$8),6+(O413-1)*3)&lt;=5,0.3*S413-VLOOKUP(B404,INDIRECT($F$8),6+(O413-1)*3),11)),IF(VLOOKUP(B404,INDIRECT($F$8),8+(O413-1)*3)&lt;U413*0.4,IF(U413*0.4-VLOOKUP(B404,INDIRECT($F$8),8+(O413-1)*3)&lt;=5,U413*0.4-VLOOKUP(B404,INDIRECT($F$8),8+(O413-1)*3),11),0))))</f>
        <v>0</v>
      </c>
      <c r="X413" s="1" t="str">
        <f ca="1">IF(ISERROR(F404),"",IF(W413=0,"",_xlfn.TEXTJOIN("",FALSE," G+",W413," in ",A413)))</f>
        <v/>
      </c>
    </row>
    <row r="414" spans="1:24" ht="11.5" customHeight="1" x14ac:dyDescent="0.2">
      <c r="A414" s="7" t="str">
        <f ca="1">IF(ISERROR(F404),"",VLOOKUP(C404,INDIRECT($F$8),6+(O414-1)*3,0))</f>
        <v>AHP 002</v>
      </c>
      <c r="B414" s="24" t="str">
        <f ca="1">IF(ISERROR(F404),"",VLOOKUP(D404,INDIRECT($F$8),6+(O414-1)*3,0))</f>
        <v>Engineering Chemistry Lab</v>
      </c>
      <c r="C414" s="24"/>
      <c r="D414" s="24"/>
      <c r="E414" s="24"/>
      <c r="F414" s="7">
        <f ca="1">IF(ISERROR(F404),"",VLOOKUP(E404,INDIRECT($F$8),6+(O414-1)*3,0))</f>
        <v>1</v>
      </c>
      <c r="G414" s="25" t="str">
        <f ca="1">IF(ISERROR(F404),"",_xlfn.TEXTJOIN("/",FALSE,P414,S414))</f>
        <v>19/25</v>
      </c>
      <c r="H414" s="25"/>
      <c r="I414" s="25" t="str">
        <f ca="1">IF(ISERROR(F404),"",_xlfn.TEXTJOIN("/",FALSE,Q414,T414))</f>
        <v>15/25</v>
      </c>
      <c r="J414" s="25"/>
      <c r="K414" s="25" t="str">
        <f ca="1">IF(ISERROR(F404),"",_xlfn.TEXTJOIN("/",FALSE,R414,U414))</f>
        <v>34/50</v>
      </c>
      <c r="L414" s="25"/>
      <c r="M414" s="7" t="str">
        <f ca="1">IF(ISERROR(F404)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C</v>
      </c>
      <c r="N414" s="8">
        <f t="shared" ca="1" si="37"/>
        <v>7</v>
      </c>
      <c r="O414">
        <f ca="1">IF(O413&gt;0,7)</f>
        <v>7</v>
      </c>
      <c r="P414" s="1">
        <f ca="1">IF(ISERROR(F404),"",IF(ISTEXT(VLOOKUP(B404,INDIRECT($F$8),6+(O414-1)*3)),(VLOOKUP(B404,INDIRECT($F$8),6+(O414-1)*3)),SUM(VLOOKUP(B404,INDIRECT($F$8),6+(O414-1)*3),IF(W422,W414,0))))</f>
        <v>19</v>
      </c>
      <c r="Q414" s="1">
        <f ca="1">IF(ISERROR(F404),"",VLOOKUP(B404,INDIRECT($F$8),7+(O414-1)*3))</f>
        <v>15</v>
      </c>
      <c r="R414" s="1">
        <f ca="1">IF(ISERROR(F404),"",SUM(P414:Q414))</f>
        <v>34</v>
      </c>
      <c r="S414" s="1">
        <f ca="1">IF(ISERROR(F404),"",VLOOKUP(A404,INDIRECT($F$8),6+(O414-1)*3))</f>
        <v>25</v>
      </c>
      <c r="T414" s="1">
        <f ca="1">IF(ISERROR(F404),"",VLOOKUP(A404,INDIRECT($F$8),7+(O414-1)*3))</f>
        <v>25</v>
      </c>
      <c r="U414" s="1">
        <f ca="1">IF(ISERROR(F404),"",VLOOKUP(A404,INDIRECT($F$8),8+(O414-1)*3))</f>
        <v>50</v>
      </c>
      <c r="V414" s="1" t="str">
        <f ca="1">IF(ISERROR(F404),"",IF(N414=0,A414,""))</f>
        <v/>
      </c>
      <c r="W414" s="1">
        <f ca="1">IF(ISERROR(F404),"",IF(ISTEXT(VLOOKUP(B404,INDIRECT($F$8),6+(O414-1)*3)),11,IF(VLOOKUP(B404,INDIRECT($F$8),6+(O414-1)*3)&lt;S414*0.3,IF(VLOOKUP(B404,INDIRECT($F$8),8+(O414-1)*3)&lt;U414*0.4,IF(AND(0.4*U414-VLOOKUP(B404,INDIRECT($F$8),8+(O414-1)*3)&lt;=5,0.3*S414-VLOOKUP(B404,INDIRECT($F$8),6+(O414-1)*3)&lt;=5),MAX(0.4*U414-VLOOKUP(B404,INDIRECT($F$8),8+(O414-1)*3),0.3*S414-VLOOKUP(B404,INDIRECT($F$8),6+(O414-1)*3)),11),IF(0.3*S414-VLOOKUP(B404,INDIRECT($F$8),6+(O414-1)*3)&lt;=5,0.3*S414-VLOOKUP(B404,INDIRECT($F$8),6+(O414-1)*3),11)),IF(VLOOKUP(B404,INDIRECT($F$8),8+(O414-1)*3)&lt;U414*0.4,IF(U414*0.4-VLOOKUP(B404,INDIRECT($F$8),8+(O414-1)*3)&lt;=5,U414*0.4-VLOOKUP(B404,INDIRECT($F$8),8+(O414-1)*3),11),0))))</f>
        <v>0</v>
      </c>
      <c r="X414" s="1" t="str">
        <f ca="1">IF(ISERROR(F404),"",IF(W414=0,"",_xlfn.TEXTJOIN("",FALSE," G+",W414," in ",A414)))</f>
        <v/>
      </c>
    </row>
    <row r="415" spans="1:24" ht="11.5" customHeight="1" x14ac:dyDescent="0.2">
      <c r="A415" s="7" t="str">
        <f ca="1">IF(ISERROR(F404),"",VLOOKUP(C404,INDIRECT($F$8),6+(O415-1)*3,0))</f>
        <v>ECP 001</v>
      </c>
      <c r="B415" s="24" t="str">
        <f ca="1">IF(ISERROR(F404),"",VLOOKUP(D404,INDIRECT($F$8),6+(O415-1)*3,0))</f>
        <v>Basic Electronics Engineering Lab</v>
      </c>
      <c r="C415" s="24"/>
      <c r="D415" s="24"/>
      <c r="E415" s="24"/>
      <c r="F415" s="7">
        <f ca="1">IF(ISERROR(F404),"",VLOOKUP(E404,INDIRECT($F$8),6+(O415-1)*3,0))</f>
        <v>1</v>
      </c>
      <c r="G415" s="25" t="str">
        <f ca="1">IF(ISERROR(F404),"",_xlfn.TEXTJOIN("/",FALSE,P415,S415))</f>
        <v>16/25</v>
      </c>
      <c r="H415" s="25"/>
      <c r="I415" s="25" t="str">
        <f ca="1">IF(ISERROR(F404),"",_xlfn.TEXTJOIN("/",FALSE,Q415,T415))</f>
        <v>18/25</v>
      </c>
      <c r="J415" s="25"/>
      <c r="K415" s="25" t="str">
        <f ca="1">IF(ISERROR(F404),"",_xlfn.TEXTJOIN("/",FALSE,R415,U415))</f>
        <v>34/50</v>
      </c>
      <c r="L415" s="25"/>
      <c r="M415" s="7" t="str">
        <f ca="1">IF(ISERROR(F404)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C</v>
      </c>
      <c r="N415" s="8">
        <f t="shared" ca="1" si="37"/>
        <v>7</v>
      </c>
      <c r="O415">
        <f t="shared" ref="O415:O421" ca="1" si="38">O414+1</f>
        <v>8</v>
      </c>
      <c r="P415" s="1">
        <f ca="1">IF(ISERROR(F404),"",IF(ISTEXT(VLOOKUP(B404,INDIRECT($F$8),6+(O415-1)*3)),(VLOOKUP(B404,INDIRECT($F$8),6+(O415-1)*3)),SUM(VLOOKUP(B404,INDIRECT($F$8),6+(O415-1)*3),IF(W422,W415,0))))</f>
        <v>16</v>
      </c>
      <c r="Q415" s="1">
        <f ca="1">IF(ISERROR(F404),"",VLOOKUP(B404,INDIRECT($F$8),7+(O415-1)*3))</f>
        <v>18</v>
      </c>
      <c r="R415" s="1">
        <f ca="1">IF(ISERROR(F404),"",SUM(P415:Q415))</f>
        <v>34</v>
      </c>
      <c r="S415" s="1">
        <f ca="1">IF(ISERROR(F404),"",VLOOKUP(A404,INDIRECT($F$8),6+(O415-1)*3))</f>
        <v>25</v>
      </c>
      <c r="T415" s="1">
        <f ca="1">IF(ISERROR(F404),"",VLOOKUP(A404,INDIRECT($F$8),7+(O415-1)*3))</f>
        <v>25</v>
      </c>
      <c r="U415" s="1">
        <f ca="1">IF(ISERROR(F404),"",VLOOKUP(A404,INDIRECT($F$8),8+(O415-1)*3))</f>
        <v>50</v>
      </c>
      <c r="V415" s="1" t="str">
        <f ca="1">IF(ISERROR(F404),"",IF(N415=0,A415,""))</f>
        <v/>
      </c>
      <c r="W415" s="1">
        <f ca="1">IF(ISERROR(F404),"",IF(ISTEXT(VLOOKUP(B404,INDIRECT($F$8),6+(O415-1)*3)),11,IF(VLOOKUP(B404,INDIRECT($F$8),6+(O415-1)*3)&lt;S415*0.3,IF(VLOOKUP(B404,INDIRECT($F$8),8+(O415-1)*3)&lt;U415*0.4,IF(AND(0.4*U415-VLOOKUP(B404,INDIRECT($F$8),8+(O415-1)*3)&lt;=5,0.3*S415-VLOOKUP(B404,INDIRECT($F$8),6+(O415-1)*3)&lt;=5),MAX(0.4*U415-VLOOKUP(B404,INDIRECT($F$8),8+(O415-1)*3),0.3*S415-VLOOKUP(B404,INDIRECT($F$8),6+(O415-1)*3)),11),IF(0.3*S415-VLOOKUP(B404,INDIRECT($F$8),6+(O415-1)*3)&lt;=5,0.3*S415-VLOOKUP(B404,INDIRECT($F$8),6+(O415-1)*3),11)),IF(VLOOKUP(B404,INDIRECT($F$8),8+(O415-1)*3)&lt;U415*0.4,IF(U415*0.4-VLOOKUP(B404,INDIRECT($F$8),8+(O415-1)*3)&lt;=5,U415*0.4-VLOOKUP(B404,INDIRECT($F$8),8+(O415-1)*3),11),0))))</f>
        <v>0</v>
      </c>
      <c r="X415" s="1" t="str">
        <f ca="1">IF(ISERROR(F404),"",IF(W415=0,"",_xlfn.TEXTJOIN("",FALSE," G+",W415," in ",A415)))</f>
        <v/>
      </c>
    </row>
    <row r="416" spans="1:24" ht="11.5" customHeight="1" x14ac:dyDescent="0.2">
      <c r="A416" s="7" t="str">
        <f ca="1">IF(ISERROR(F404),"",VLOOKUP(C404,INDIRECT($F$8),6+(O416-1)*3,0))</f>
        <v>MEP 001</v>
      </c>
      <c r="B416" s="24" t="str">
        <f ca="1">IF(ISERROR(F404),"",VLOOKUP(D404,INDIRECT($F$8),6+(O416-1)*3,0))</f>
        <v>Basic Mechanical Engineering Lab</v>
      </c>
      <c r="C416" s="24"/>
      <c r="D416" s="24"/>
      <c r="E416" s="24"/>
      <c r="F416" s="7">
        <f ca="1">IF(ISERROR(F404),"",VLOOKUP(E404,INDIRECT($F$8),6+(O416-1)*3,0))</f>
        <v>1</v>
      </c>
      <c r="G416" s="25" t="str">
        <f ca="1">IF(ISERROR(F404),"",_xlfn.TEXTJOIN("/",FALSE,P416,S416))</f>
        <v>22/25</v>
      </c>
      <c r="H416" s="25"/>
      <c r="I416" s="25" t="str">
        <f ca="1">IF(ISERROR(F404),"",_xlfn.TEXTJOIN("/",FALSE,Q416,T416))</f>
        <v>23/25</v>
      </c>
      <c r="J416" s="25"/>
      <c r="K416" s="25" t="str">
        <f ca="1">IF(ISERROR(F404),"",_xlfn.TEXTJOIN("/",FALSE,R416,U416))</f>
        <v>45/50</v>
      </c>
      <c r="L416" s="25"/>
      <c r="M416" s="7" t="str">
        <f ca="1">IF(ISERROR(F404)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A+</v>
      </c>
      <c r="N416" s="8">
        <f t="shared" ca="1" si="37"/>
        <v>9.5</v>
      </c>
      <c r="O416">
        <f t="shared" ca="1" si="38"/>
        <v>9</v>
      </c>
      <c r="P416" s="1">
        <f ca="1">IF(ISERROR(F404),"",IF(ISTEXT(VLOOKUP(B404,INDIRECT($F$8),6+(O416-1)*3)),(VLOOKUP(B404,INDIRECT($F$8),6+(O416-1)*3)),SUM(VLOOKUP(B404,INDIRECT($F$8),6+(O416-1)*3),IF(W422,W416,0))))</f>
        <v>22</v>
      </c>
      <c r="Q416" s="1">
        <f ca="1">IF(ISERROR(F404),"",VLOOKUP(B404,INDIRECT($F$8),7+(O416-1)*3))</f>
        <v>23</v>
      </c>
      <c r="R416" s="1">
        <f ca="1">IF(ISERROR(F404),"",SUM(P416:Q416))</f>
        <v>45</v>
      </c>
      <c r="S416" s="1">
        <f ca="1">IF(ISERROR(F404),"",VLOOKUP(A404,INDIRECT($F$8),6+(O416-1)*3))</f>
        <v>25</v>
      </c>
      <c r="T416" s="1">
        <f ca="1">IF(ISERROR(F404),"",VLOOKUP(A404,INDIRECT($F$8),7+(O416-1)*3))</f>
        <v>25</v>
      </c>
      <c r="U416" s="1">
        <f ca="1">IF(ISERROR(F404),"",VLOOKUP(A404,INDIRECT($F$8),8+(O416-1)*3))</f>
        <v>50</v>
      </c>
      <c r="V416" s="1" t="str">
        <f ca="1">IF(ISERROR(F404),"",IF(N416=0,A416,""))</f>
        <v/>
      </c>
      <c r="W416" s="1">
        <f ca="1">IF(ISERROR(F404),"",IF(ISTEXT(VLOOKUP(B404,INDIRECT($F$8),6+(O416-1)*3)),11,IF(VLOOKUP(B404,INDIRECT($F$8),6+(O416-1)*3)&lt;S416*0.3,IF(VLOOKUP(B404,INDIRECT($F$8),8+(O416-1)*3)&lt;U416*0.4,IF(AND(0.4*U416-VLOOKUP(B404,INDIRECT($F$8),8+(O416-1)*3)&lt;=5,0.3*S416-VLOOKUP(B404,INDIRECT($F$8),6+(O416-1)*3)&lt;=5),MAX(0.4*U416-VLOOKUP(B404,INDIRECT($F$8),8+(O416-1)*3),0.3*S416-VLOOKUP(B404,INDIRECT($F$8),6+(O416-1)*3)),11),IF(0.3*S416-VLOOKUP(B404,INDIRECT($F$8),6+(O416-1)*3)&lt;=5,0.3*S416-VLOOKUP(B404,INDIRECT($F$8),6+(O416-1)*3),11)),IF(VLOOKUP(B404,INDIRECT($F$8),8+(O416-1)*3)&lt;U416*0.4,IF(U416*0.4-VLOOKUP(B404,INDIRECT($F$8),8+(O416-1)*3)&lt;=5,U416*0.4-VLOOKUP(B404,INDIRECT($F$8),8+(O416-1)*3),11),0))))</f>
        <v>0</v>
      </c>
      <c r="X416" s="1" t="str">
        <f ca="1">IF(ISERROR(F404),"",IF(W416=0,"",_xlfn.TEXTJOIN("",FALSE," G+",W416," in ",A416)))</f>
        <v/>
      </c>
    </row>
    <row r="417" spans="1:24" ht="11.5" customHeight="1" x14ac:dyDescent="0.2">
      <c r="A417" s="7" t="str">
        <f ca="1">IF(ISERROR(F404),"",VLOOKUP(C404,INDIRECT($F$8),6+(O417-1)*3,0))</f>
        <v>MEP 003</v>
      </c>
      <c r="B417" s="24" t="str">
        <f ca="1">IF(ISERROR(F404),"",VLOOKUP(D404,INDIRECT($F$8),6+(O417-1)*3-Z417,0))</f>
        <v>Workshop Practices Lab</v>
      </c>
      <c r="C417" s="24"/>
      <c r="D417" s="24"/>
      <c r="E417" s="24"/>
      <c r="F417" s="7">
        <f ca="1">IF(ISERROR(F404),"",VLOOKUP(E404,INDIRECT($F$8),6+(O417-1)*3,0))</f>
        <v>2</v>
      </c>
      <c r="G417" s="25" t="str">
        <f ca="1">IF(ISERROR(F404),"",_xlfn.TEXTJOIN("/",FALSE,P417,S417))</f>
        <v>43/50</v>
      </c>
      <c r="H417" s="25"/>
      <c r="I417" s="25" t="str">
        <f ca="1">IF(ISERROR(F404),"",_xlfn.TEXTJOIN("/",FALSE,Q417,T417))</f>
        <v>40/50</v>
      </c>
      <c r="J417" s="25"/>
      <c r="K417" s="25" t="str">
        <f ca="1">IF(ISERROR(F404),"",_xlfn.TEXTJOIN("/",FALSE,R417,U417))</f>
        <v>83/100</v>
      </c>
      <c r="L417" s="25"/>
      <c r="M417" s="7" t="str">
        <f ca="1">IF(ISERROR(F404)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7"/>
        <v>8.5</v>
      </c>
      <c r="O417">
        <f t="shared" ca="1" si="38"/>
        <v>10</v>
      </c>
      <c r="P417" s="1">
        <f ca="1">IF(ISERROR(F404),"",IF(ISTEXT(VLOOKUP(B404,INDIRECT($F$8),6+(O417-1)*3)),(VLOOKUP(B404,INDIRECT($F$8),6+(O417-1)*3)),SUM(VLOOKUP(B404,INDIRECT($F$8),6+(O417-1)*3),IF(W422,W417,0))))</f>
        <v>43</v>
      </c>
      <c r="Q417" s="1">
        <f ca="1">IF(ISERROR(F404),"",VLOOKUP(B404,INDIRECT($F$8),7+(O417-1)*3))</f>
        <v>40</v>
      </c>
      <c r="R417" s="1">
        <f ca="1">IF(ISERROR(F404),"",SUM(P417:Q417))</f>
        <v>83</v>
      </c>
      <c r="S417" s="1">
        <f ca="1">IF(ISERROR(F404),"",VLOOKUP(A404,INDIRECT($F$8),6+(O417-1)*3))</f>
        <v>50</v>
      </c>
      <c r="T417" s="1">
        <f ca="1">IF(ISERROR(F404),"",VLOOKUP(A404,INDIRECT($F$8),7+(O417-1)*3))</f>
        <v>50</v>
      </c>
      <c r="U417" s="1">
        <f ca="1">IF(ISERROR(F404),"",VLOOKUP(A404,INDIRECT($F$8),8+(O417-1)*3))</f>
        <v>100</v>
      </c>
      <c r="V417" s="1" t="str">
        <f ca="1">IF(ISERROR(F404),"",IF(N417=0,A417,""))</f>
        <v/>
      </c>
      <c r="W417" s="1">
        <f ca="1">IF(ISERROR(F404),"",IF(ISTEXT(VLOOKUP(B404,INDIRECT($F$8),6+(O417-1)*3)),11,IF(VLOOKUP(B404,INDIRECT($F$8),6+(O417-1)*3)&lt;S417*0.3,IF(VLOOKUP(B404,INDIRECT($F$8),8+(O417-1)*3)&lt;U417*0.4,IF(AND(0.4*U417-VLOOKUP(B404,INDIRECT($F$8),8+(O417-1)*3)&lt;=5,0.3*S417-VLOOKUP(B404,INDIRECT($F$8),6+(O417-1)*3)&lt;=5),MAX(0.4*U417-VLOOKUP(B404,INDIRECT($F$8),8+(O417-1)*3),0.3*S417-VLOOKUP(B404,INDIRECT($F$8),6+(O417-1)*3)),11),IF(0.3*S417-VLOOKUP(B404,INDIRECT($F$8),6+(O417-1)*3)&lt;=5,0.3*S417-VLOOKUP(B404,INDIRECT($F$8),6+(O417-1)*3),11)),IF(VLOOKUP(B404,INDIRECT($F$8),8+(O417-1)*3)&lt;U417*0.4,IF(U417*0.4-VLOOKUP(B404,INDIRECT($F$8),8+(O417-1)*3)&lt;=5,U417*0.4-VLOOKUP(B404,INDIRECT($F$8),8+(O417-1)*3),11),0))))</f>
        <v>0</v>
      </c>
      <c r="X417" s="1" t="str">
        <f ca="1">IF(ISERROR(F404),"",IF(W417=0,"",_xlfn.TEXTJOIN("",FALSE," G+",W417," in ",A417)))</f>
        <v/>
      </c>
    </row>
    <row r="418" spans="1:24" ht="11.5" customHeight="1" x14ac:dyDescent="0.2">
      <c r="A418" s="7" t="str">
        <f ca="1">IF(ISERROR(F404),"",VLOOKUP(C404,INDIRECT($F$8),6+(O418-1)*3,0))</f>
        <v>AHP 004</v>
      </c>
      <c r="B418" s="24" t="str">
        <f ca="1">IF(ISERROR(F404),"",VLOOKUP(D404,INDIRECT($F$8),6+(O418-1)*3-Z418,0))</f>
        <v>Emerging Technologies in Engineering Lab</v>
      </c>
      <c r="C418" s="24"/>
      <c r="D418" s="24"/>
      <c r="E418" s="24"/>
      <c r="F418" s="7">
        <f ca="1">IF(ISERROR(F404),"",VLOOKUP(E404,INDIRECT($F$8),6+(O418-1)*3,0))</f>
        <v>1</v>
      </c>
      <c r="G418" s="25" t="str">
        <f ca="1">IF(ISERROR(F404),"",_xlfn.TEXTJOIN("/",FALSE,P418,S418))</f>
        <v>22/25</v>
      </c>
      <c r="H418" s="25"/>
      <c r="I418" s="25" t="str">
        <f ca="1">IF(ISERROR(F404),"",_xlfn.TEXTJOIN("/",FALSE,Q418,T418))</f>
        <v>19/25</v>
      </c>
      <c r="J418" s="25"/>
      <c r="K418" s="25" t="str">
        <f ca="1">IF(ISERROR(F404),"",_xlfn.TEXTJOIN("/",FALSE,R418,U418))</f>
        <v>41/50</v>
      </c>
      <c r="L418" s="25"/>
      <c r="M418" s="7" t="str">
        <f ca="1">IF(ISERROR(F404)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B+</v>
      </c>
      <c r="N418" s="8">
        <f t="shared" ca="1" si="37"/>
        <v>8.5</v>
      </c>
      <c r="O418">
        <f t="shared" ca="1" si="38"/>
        <v>11</v>
      </c>
      <c r="P418" s="1">
        <f ca="1">IF(ISERROR(F404),"",IF(ISTEXT(VLOOKUP(B404,INDIRECT($F$8),6+(O418-1)*3)),(VLOOKUP(B404,INDIRECT($F$8),6+(O418-1)*3)),SUM(VLOOKUP(B404,INDIRECT($F$8),6+(O418-1)*3),IF(W422,W418,0))))</f>
        <v>22</v>
      </c>
      <c r="Q418" s="1">
        <f ca="1">IF(ISERROR(F404),"",VLOOKUP(B404,INDIRECT($F$8),7+(O418-1)*3))</f>
        <v>19</v>
      </c>
      <c r="R418" s="1">
        <f ca="1">IF(ISERROR(F404),"",SUM(P418:Q418))</f>
        <v>41</v>
      </c>
      <c r="S418" s="1">
        <f ca="1">IF(ISERROR(F404),"",VLOOKUP(A404,INDIRECT($F$8),6+(O418-1)*3))</f>
        <v>25</v>
      </c>
      <c r="T418" s="1">
        <f ca="1">IF(ISERROR(F404),"",VLOOKUP(A404,INDIRECT($F$8),7+(O418-1)*3))</f>
        <v>25</v>
      </c>
      <c r="U418" s="1">
        <f ca="1">IF(ISERROR(F404),"",VLOOKUP(A404,INDIRECT($F$8),8+(O418-1)*3))</f>
        <v>50</v>
      </c>
      <c r="V418" s="1" t="str">
        <f ca="1">IF(ISERROR(F404),"",IF(N418=0,A418,""))</f>
        <v/>
      </c>
      <c r="W418" s="1">
        <f ca="1">IF(ISERROR(F404),"",IF(ISTEXT(VLOOKUP(B404,INDIRECT($F$8),6+(O418-1)*3)),11,IF(VLOOKUP(B404,INDIRECT($F$8),6+(O418-1)*3)&lt;S418*0.3,IF(VLOOKUP(B404,INDIRECT($F$8),8+(O418-1)*3)&lt;U418*0.4,IF(AND(0.4*U418-VLOOKUP(B404,INDIRECT($F$8),8+(O418-1)*3)&lt;=5,0.3*S418-VLOOKUP(B404,INDIRECT($F$8),6+(O418-1)*3)&lt;=5),MAX(0.4*U418-VLOOKUP(B404,INDIRECT($F$8),8+(O418-1)*3),0.3*S418-VLOOKUP(B404,INDIRECT($F$8),6+(O418-1)*3)),11),IF(0.3*S418-VLOOKUP(B404,INDIRECT($F$8),6+(O418-1)*3)&lt;=5,0.3*S418-VLOOKUP(B404,INDIRECT($F$8),6+(O418-1)*3),11)),IF(VLOOKUP(B404,INDIRECT($F$8),8+(O418-1)*3)&lt;U418*0.4,IF(U418*0.4-VLOOKUP(B404,INDIRECT($F$8),8+(O418-1)*3)&lt;=5,U418*0.4-VLOOKUP(B404,INDIRECT($F$8),8+(O418-1)*3),11),0))))</f>
        <v>0</v>
      </c>
      <c r="X418" s="1" t="str">
        <f ca="1">IF(ISERROR(F404),"",IF(W418=0,"",_xlfn.TEXTJOIN("",FALSE," G+",W418," in ",A418)))</f>
        <v/>
      </c>
    </row>
    <row r="419" spans="1:24" ht="11.5" customHeight="1" x14ac:dyDescent="0.2">
      <c r="A419" s="7" t="str">
        <f ca="1">IF(ISERROR(F404),"",VLOOKUP(C404,INDIRECT($F$8),6+(O419-1)*3,0))</f>
        <v>CSP 002</v>
      </c>
      <c r="B419" s="24" t="str">
        <f ca="1">IF(ISERROR(F404),"",VLOOKUP(D404,INDIRECT($F$8),6+(O419-1)*3,0))</f>
        <v>Computer Applications and IOT</v>
      </c>
      <c r="C419" s="24"/>
      <c r="D419" s="24"/>
      <c r="E419" s="24"/>
      <c r="F419" s="7">
        <f ca="1">IF(ISERROR(F404),"",VLOOKUP(E404,INDIRECT($F$8),6+(O419-1)*3,0))</f>
        <v>1</v>
      </c>
      <c r="G419" s="25" t="str">
        <f ca="1">IF(ISERROR(F404),"",_xlfn.TEXTJOIN("/",FALSE,P419,S419))</f>
        <v>24/25</v>
      </c>
      <c r="H419" s="25"/>
      <c r="I419" s="25" t="str">
        <f ca="1">IF(ISERROR(F404),"",_xlfn.TEXTJOIN("/",FALSE,Q419,T419))</f>
        <v>24/25</v>
      </c>
      <c r="J419" s="25"/>
      <c r="K419" s="25" t="str">
        <f ca="1">IF(ISERROR(F404),"",_xlfn.TEXTJOIN("/",FALSE,R419,U419))</f>
        <v>48/50</v>
      </c>
      <c r="L419" s="25"/>
      <c r="M419" s="7" t="str">
        <f ca="1">IF(ISERROR(F404)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O</v>
      </c>
      <c r="N419" s="8">
        <f t="shared" ca="1" si="37"/>
        <v>10</v>
      </c>
      <c r="O419">
        <f t="shared" ca="1" si="38"/>
        <v>12</v>
      </c>
      <c r="P419" s="1">
        <f ca="1">IF(ISERROR(F404),"",IF(ISTEXT(VLOOKUP(B404,INDIRECT($F$8),6+(O419-1)*3)),(VLOOKUP(B404,INDIRECT($F$8),6+(O419-1)*3)),SUM(VLOOKUP(B404,INDIRECT($F$8),6+(O419-1)*3),IF(W422,W419,0))))</f>
        <v>24</v>
      </c>
      <c r="Q419" s="1">
        <f ca="1">IF(ISERROR(F404),"",VLOOKUP(B404,INDIRECT($F$8),7+(O419-1)*3))</f>
        <v>24</v>
      </c>
      <c r="R419" s="1">
        <f ca="1">IF(ISERROR(F404),"",SUM(P419:Q419))</f>
        <v>48</v>
      </c>
      <c r="S419" s="1">
        <f ca="1">IF(ISERROR(F404),"",VLOOKUP(A404,INDIRECT($F$8),6+(O419-1)*3))</f>
        <v>25</v>
      </c>
      <c r="T419" s="1">
        <f ca="1">IF(ISERROR(F404),"",VLOOKUP(A404,INDIRECT($F$8),7+(O419-1)*3))</f>
        <v>25</v>
      </c>
      <c r="U419" s="1">
        <f ca="1">IF(ISERROR(F404),"",VLOOKUP(A404,INDIRECT($F$8),8+(O419-1)*3))</f>
        <v>50</v>
      </c>
      <c r="V419" s="1" t="str">
        <f ca="1">IF(ISERROR(F404),"",IF(N419=0,A419,""))</f>
        <v/>
      </c>
      <c r="W419" s="1">
        <f ca="1">IF(ISERROR(F404),"",IF(ISTEXT(VLOOKUP(B404,INDIRECT($F$8),6+(O419-1)*3)),11,IF(VLOOKUP(B404,INDIRECT($F$8),6+(O419-1)*3)&lt;S419*0.3,IF(VLOOKUP(B404,INDIRECT($F$8),8+(O419-1)*3)&lt;U419*0.4,IF(AND(0.4*U419-VLOOKUP(B404,INDIRECT($F$8),8+(O419-1)*3)&lt;=5,0.3*S419-VLOOKUP(B404,INDIRECT($F$8),6+(O419-1)*3)&lt;=5),MAX(0.4*U419-VLOOKUP(B404,INDIRECT($F$8),8+(O419-1)*3),0.3*S419-VLOOKUP(B404,INDIRECT($F$8),6+(O419-1)*3)),11),IF(0.3*S419-VLOOKUP(B404,INDIRECT($F$8),6+(O419-1)*3)&lt;=5,0.3*S419-VLOOKUP(B404,INDIRECT($F$8),6+(O419-1)*3),11)),IF(VLOOKUP(B404,INDIRECT($F$8),8+(O419-1)*3)&lt;U419*0.4,IF(U419*0.4-VLOOKUP(B404,INDIRECT($F$8),8+(O419-1)*3)&lt;=5,U419*0.4-VLOOKUP(B404,INDIRECT($F$8),8+(O419-1)*3),11),0))))</f>
        <v>0</v>
      </c>
      <c r="X419" s="1" t="str">
        <f ca="1">IF(ISERROR(F404),"",IF(W419=0,"",_xlfn.TEXTJOIN("",FALSE," G+",W419," in ",A419)))</f>
        <v/>
      </c>
    </row>
    <row r="420" spans="1:24" ht="11.5" customHeight="1" x14ac:dyDescent="0.2">
      <c r="A420" s="7" t="str">
        <f ca="1">IF(ISERROR(F404),"",VLOOKUP(C404,INDIRECT($F$8),6+(O420-1)*3,0))</f>
        <v>AHP 006</v>
      </c>
      <c r="B420" s="24" t="str">
        <f ca="1">IF(ISERROR(F404),"",VLOOKUP(D404,INDIRECT($F$8),6+(O420-1)*3,0))</f>
        <v>English Language Lab ($)</v>
      </c>
      <c r="C420" s="24"/>
      <c r="D420" s="24"/>
      <c r="E420" s="24"/>
      <c r="F420" s="7">
        <f ca="1">IF(ISERROR(F404),"",VLOOKUP(E404,INDIRECT($F$8),6+(O420-1)*3,0))</f>
        <v>0</v>
      </c>
      <c r="G420" s="25" t="str">
        <f ca="1">IF(ISERROR(F404),"",_xlfn.TEXTJOIN("/",FALSE,P420,S420))</f>
        <v>17/25</v>
      </c>
      <c r="H420" s="25"/>
      <c r="I420" s="25" t="str">
        <f ca="1">IF(ISERROR(F404),"",_xlfn.TEXTJOIN("/",FALSE,Q420,T420))</f>
        <v>33/50</v>
      </c>
      <c r="J420" s="25"/>
      <c r="K420" s="25" t="str">
        <f ca="1">IF(ISERROR(F404),"",_xlfn.TEXTJOIN("/",FALSE,R420,U420))</f>
        <v>50/75</v>
      </c>
      <c r="L420" s="25"/>
      <c r="M420" s="7" t="str">
        <f ca="1">IF(ISERROR(F404)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C</v>
      </c>
      <c r="N420" s="8">
        <f ca="1">INDEX($Z$2:$Z$17,MATCH(M420,$Y$2:$Y$17,0))</f>
        <v>7</v>
      </c>
      <c r="O420">
        <f t="shared" ca="1" si="38"/>
        <v>13</v>
      </c>
      <c r="P420" s="1">
        <f ca="1">IF(ISERROR(F404),"",IF(ISTEXT(VLOOKUP(B404,INDIRECT($F$8),6+(O420-1)*3)),(VLOOKUP(B404,INDIRECT($F$8),6+(O420-1)*3)),SUM(VLOOKUP(B404,INDIRECT($F$8),6+(O420-1)*3),IF(W422,W420,0))))</f>
        <v>17</v>
      </c>
      <c r="Q420" s="1">
        <f ca="1">IF(ISERROR(F404),"",VLOOKUP(B404,INDIRECT($F$8),7+(O420-1)*3))</f>
        <v>33</v>
      </c>
      <c r="R420" s="1">
        <f ca="1">IF(ISERROR(F404),"",SUM(P420:Q420))</f>
        <v>50</v>
      </c>
      <c r="S420" s="1">
        <f ca="1">IF(ISERROR(F404),"",VLOOKUP(A404,INDIRECT($F$8),6+(O420-1)*3))</f>
        <v>25</v>
      </c>
      <c r="T420" s="1">
        <f ca="1">IF(ISERROR(F404),"",VLOOKUP(A404,INDIRECT($F$8),7+(O420-1)*3))</f>
        <v>50</v>
      </c>
      <c r="U420" s="1">
        <f ca="1">IF(ISERROR(F404),"",VLOOKUP(A404,INDIRECT($F$8),8+(O420-1)*3))</f>
        <v>75</v>
      </c>
      <c r="V420" s="1"/>
      <c r="W420" s="1">
        <f ca="1">IF(ISERROR(F404),"",IF(ISTEXT(VLOOKUP(B404,INDIRECT($F$8),6+(O420-1)*3)),11,IF(VLOOKUP(B404,INDIRECT($F$8),6+(O420-1)*3)&lt;S420*0.3,IF(VLOOKUP(B404,INDIRECT($F$8),8+(O420-1)*3)&lt;U420*0.4,IF(AND(0.4*U420-VLOOKUP(B404,INDIRECT($F$8),8+(O420-1)*3)&lt;=5,0.3*S420-VLOOKUP(B404,INDIRECT($F$8),6+(O420-1)*3)&lt;=5),MAX(0.4*U420-VLOOKUP(B404,INDIRECT($F$8),8+(O420-1)*3),0.3*S420-VLOOKUP(B404,INDIRECT($F$8),6+(O420-1)*3)),11),IF(0.3*S420-VLOOKUP(B404,INDIRECT($F$8),6+(O420-1)*3)&lt;=5,0.3*S420-VLOOKUP(B404,INDIRECT($F$8),6+(O420-1)*3),11)),IF(VLOOKUP(B404,INDIRECT($F$8),8+(O420-1)*3)&lt;U420*0.4,IF(U420*0.4-VLOOKUP(B404,INDIRECT($F$8),8+(O420-1)*3)&lt;=5,U420*0.4-VLOOKUP(B404,INDIRECT($F$8),8+(O420-1)*3),11),0))))</f>
        <v>0</v>
      </c>
      <c r="X420" s="1" t="str">
        <f ca="1">IF(ISERROR(F404),"",IF(W420=0,"",_xlfn.TEXTJOIN("",FALSE," G+",W420," in ",A420)))</f>
        <v/>
      </c>
    </row>
    <row r="421" spans="1:24" ht="11.5" customHeight="1" x14ac:dyDescent="0.2">
      <c r="A421" s="7" t="str">
        <f ca="1">IF(ISERROR(F404),"",VLOOKUP(C404,INDIRECT($F$8),6+(O421-1)*3-Y421,0))</f>
        <v>GP 01</v>
      </c>
      <c r="B421" s="24" t="str">
        <f ca="1">IF(ISERROR(F404),"",VLOOKUP(D404,INDIRECT($F$8),6+(O421-1)*3-Z421,0))</f>
        <v>General Proficiency ($)</v>
      </c>
      <c r="C421" s="24"/>
      <c r="D421" s="24"/>
      <c r="E421" s="24"/>
      <c r="F421" s="7">
        <f ca="1">IF(ISERROR(F404),"",VLOOKUP(E404,INDIRECT($F$8),6+(O421-1)*3-AA421,0))</f>
        <v>0</v>
      </c>
      <c r="G421" s="25" t="str">
        <f ca="1">IF(ISERROR(F404),"","-")</f>
        <v>-</v>
      </c>
      <c r="H421" s="25"/>
      <c r="I421" s="25" t="str">
        <f ca="1">IF(ISERROR(F404),"",_xlfn.TEXTJOIN("/",FALSE,Q421,T421))</f>
        <v>47/50</v>
      </c>
      <c r="J421" s="25"/>
      <c r="K421" s="25" t="str">
        <f ca="1">IF(ISERROR(F404),"",_xlfn.TEXTJOIN("/",FALSE,R421,U421))</f>
        <v>47/50</v>
      </c>
      <c r="L421" s="25"/>
      <c r="M421" s="25" t="str">
        <f ca="1">IF(ISBLANK(R421),"",IF(ISTEXT(R421),R421,IF(R421&gt;=0.8*U421,"Excellent",IF(R421&gt;=0.6*U421,"Very Good",IF(R421&gt;=0.4*U421,"Good",IF(R421&gt;=0.2*U421,"Satisfactory","Average"))))))</f>
        <v>Excellent</v>
      </c>
      <c r="N421" s="25"/>
      <c r="O421">
        <f t="shared" ca="1" si="38"/>
        <v>14</v>
      </c>
      <c r="P421" s="1">
        <f ca="1">IF(ISERROR(F404),"",IF(ISTEXT(VLOOKUP(B\28,INDIRECT($F$8),6+(O421-1)*3)),(VLOOKUP(B404,INDIRECT($F$8),6+(O421-1)*3)),SUM(VLOOKUP(B404,INDIRECT($F$8),6+(O421-1)*3),IF(W422,W422,0))))</f>
        <v>0</v>
      </c>
      <c r="Q421" s="1">
        <f ca="1">IF(ISERROR(F404),"",VLOOKUP(B404,INDIRECT($F$8),7+(O421-1)*3))</f>
        <v>47</v>
      </c>
      <c r="R421" s="1">
        <f ca="1">IF(ISERROR(F404),"",SUM(P421:Q421))</f>
        <v>47</v>
      </c>
      <c r="S421" s="1">
        <f ca="1">IF(ISERROR(F404),"",VLOOKUP(A404,INDIRECT($F$8),6+(O421-1)*3))</f>
        <v>0</v>
      </c>
      <c r="T421" s="1">
        <f ca="1">IF(ISERROR(F404),"",VLOOKUP(A404,INDIRECT($F$8),7+(O421-1)*3))</f>
        <v>50</v>
      </c>
      <c r="U421" s="1">
        <f ca="1">IF(ISERROR(F404),"",VLOOKUP(A404,INDIRECT($F$8),8+(O421-1)*3))</f>
        <v>50</v>
      </c>
      <c r="V421" s="1"/>
      <c r="W421" s="1"/>
      <c r="X421" s="1" t="str">
        <f ca="1">IF(ISERROR(F404),"",IF(W421=0,"",_xlfn.TEXTJOIN("",FALSE," G+",W421," in ",A421)))</f>
        <v/>
      </c>
    </row>
    <row r="422" spans="1:24" ht="11.5" customHeight="1" x14ac:dyDescent="0.2">
      <c r="A422" s="26" t="str">
        <f ca="1">IF(ISERROR(F404),"",A400)</f>
        <v>Total Credits/ Marks/ Total Grade Points</v>
      </c>
      <c r="B422" s="26"/>
      <c r="C422" s="26"/>
      <c r="D422" s="26"/>
      <c r="E422" s="26"/>
      <c r="F422" s="10">
        <f ca="1">IF(ISERROR(F404),"",SUM(F409:F420))</f>
        <v>23</v>
      </c>
      <c r="G422" s="27" t="str">
        <f ca="1">IF(ISERROR(F404),"",_xlfn.TEXTJOIN("/",TRUE,SUMIF(F409:F421,"&gt;0",P409:P421),SUMIF(F409:F421,"&gt;0",S409:S421)))</f>
        <v>289/575</v>
      </c>
      <c r="H422" s="27"/>
      <c r="I422" s="27" t="str">
        <f ca="1">IF(ISERROR(F404),"",_xlfn.TEXTJOIN("/",TRUE,SUMIF(F409:F421,"&gt;0",Q409:Q421),SUMIF(F409:F421,"&gt;0",T409:T421)))</f>
        <v>275/375</v>
      </c>
      <c r="J422" s="27"/>
      <c r="K422" s="27" t="str">
        <f ca="1">IF(ISERROR(F404),"",_xlfn.TEXTJOIN("/",TRUE,SUMIF(F409:F421,"&gt;0",R409:R421),SUMIF(F409:F421,"&gt;0",U409:U421)))</f>
        <v>564/950</v>
      </c>
      <c r="L422" s="27"/>
      <c r="M422" s="26">
        <f ca="1">IF(ISERROR(F404),"",SUMPRODUCT(N409:N420,F409:F420))</f>
        <v>127</v>
      </c>
      <c r="N422" s="26"/>
      <c r="V422" s="1" t="str">
        <f ca="1">_xlfn.TEXTJOIN(", ",TRUE,V409:V421)</f>
        <v>AHT 003</v>
      </c>
      <c r="W422" t="b">
        <f ca="1">IF(SUM(W409:W421)&lt;=W408,TRUE,FALSE)</f>
        <v>0</v>
      </c>
      <c r="X422" s="1" t="str">
        <f ca="1">IF(ISERROR(F404),"",_xlfn.TEXTJOIN(",",TRUE,X409:X421))</f>
        <v xml:space="preserve"> G+11 in AHT 003</v>
      </c>
    </row>
    <row r="423" spans="1:24" ht="11.5" customHeight="1" x14ac:dyDescent="0.2">
      <c r="A423" s="26" t="str">
        <f ca="1">IF(ISERROR(F404),"",A401)</f>
        <v>Result:</v>
      </c>
      <c r="B423" s="28" t="str" cm="1">
        <f t="array" aca="1" ref="B423" ca="1">IF(SUM(COUNTIF(M409:M420,{"Ab","Dt"}))=12, "Not Promoted to IInd Semester", IF(V422="", "PASS", "CARRY OVER"))</f>
        <v>CARRY OVER</v>
      </c>
      <c r="C423" s="28"/>
      <c r="D423" s="26" t="str">
        <f ca="1">IF(ISERROR(F404),"",D401)</f>
        <v>Remark:</v>
      </c>
      <c r="E423" s="28" t="str">
        <f ca="1">IF(ISERROR(F404),"",IF(V422="",IF(X422="","",X422),_xlfn.TEXTJOIN(" ",TRUE,"BACK IN",V422)))</f>
        <v>BACK IN AHT 003</v>
      </c>
      <c r="F423" s="28"/>
      <c r="G423" s="26" t="str">
        <f ca="1">IF(ISERROR(F404),"",G401)</f>
        <v>SGPA:</v>
      </c>
      <c r="H423" s="29">
        <f ca="1">IF(ISERROR(F404),"",M422/F422)</f>
        <v>5.5217391304347823</v>
      </c>
      <c r="I423" s="26" t="str">
        <f ca="1">IF(ISERROR(F404),"",I401)</f>
        <v>CGPA:</v>
      </c>
      <c r="J423" s="29">
        <f ca="1">IF(ISERROR(F404),"",VLOOKUP(B404,INDIRECT($F$8),12+(O421-1)*3,0))</f>
        <v>5.5217391304347823</v>
      </c>
      <c r="K423" s="28" t="str">
        <f ca="1">IF(ISERROR(F404),"",K401)</f>
        <v>Earned Credits:</v>
      </c>
      <c r="L423" s="26">
        <f ca="1">IF(ISERROR(F404),"",SUMIF(N409:N420,"&gt;0",F409:F420))</f>
        <v>19</v>
      </c>
      <c r="M423" s="28" t="str">
        <f ca="1">IF(ISERROR(F404),"",M401)</f>
        <v>Cuml. Earned Credits:</v>
      </c>
      <c r="N423" s="26">
        <f ca="1">IF(ISERROR(F404),"",VLOOKUP(B404,INDIRECT($F$8),10+(O421-1)*3,0))</f>
        <v>19</v>
      </c>
    </row>
    <row r="424" spans="1:24" ht="11.5" customHeight="1" x14ac:dyDescent="0.2">
      <c r="A424" s="26"/>
      <c r="B424" s="28"/>
      <c r="C424" s="28"/>
      <c r="D424" s="26"/>
      <c r="E424" s="28"/>
      <c r="F424" s="28"/>
      <c r="G424" s="26"/>
      <c r="H424" s="29"/>
      <c r="I424" s="26"/>
      <c r="J424" s="29"/>
      <c r="K424" s="28"/>
      <c r="L424" s="26"/>
      <c r="M424" s="28"/>
      <c r="N424" s="26"/>
    </row>
    <row r="425" spans="1:24" ht="11.5" customHeight="1" x14ac:dyDescent="0.2">
      <c r="A425" s="26"/>
      <c r="B425" s="28"/>
      <c r="C425" s="28"/>
      <c r="D425" s="26"/>
      <c r="E425" s="28"/>
      <c r="F425" s="28"/>
      <c r="G425" s="26"/>
      <c r="H425" s="29"/>
      <c r="I425" s="26"/>
      <c r="J425" s="29"/>
      <c r="K425" s="28"/>
      <c r="L425" s="26"/>
      <c r="M425" s="28"/>
      <c r="N425" s="26"/>
    </row>
    <row r="426" spans="1:24" ht="11.5" customHeight="1" x14ac:dyDescent="0.2">
      <c r="A426" s="11" t="str">
        <f>A404</f>
        <v>MM</v>
      </c>
      <c r="B426" s="11">
        <f>B404+1</f>
        <v>20</v>
      </c>
      <c r="C426" s="11" t="str">
        <f>C404</f>
        <v>SC</v>
      </c>
      <c r="D426" s="11" t="str">
        <f>D404</f>
        <v>SN</v>
      </c>
      <c r="E426" s="11" t="str">
        <f>E404</f>
        <v>C</v>
      </c>
      <c r="F426" s="11" t="str">
        <f ca="1">VLOOKUP(B426,INDIRECT($F$8),4,0)</f>
        <v>NIKITA PUNETHA</v>
      </c>
    </row>
    <row r="427" spans="1:24" ht="11.5" customHeight="1" x14ac:dyDescent="0.2">
      <c r="A427" s="30" t="str">
        <f ca="1">IF(ISERROR(F426),"",A405)</f>
        <v>Name:</v>
      </c>
      <c r="B427" s="30" t="str">
        <f ca="1">IFERROR(VLOOKUP(B426,INDIRECT($F$8),4,0),"")</f>
        <v>NIKITA PUNETHA</v>
      </c>
      <c r="C427" s="30"/>
      <c r="D427" s="30" t="str">
        <f ca="1">IF(ISERROR(F426),"",D405)</f>
        <v>Father's Name:</v>
      </c>
      <c r="E427" s="30" t="str">
        <f ca="1">IFERROR(VLOOKUP(B426,INDIRECT($F$8),5,0),"")</f>
        <v>SHYAM DATT PUNETHA</v>
      </c>
      <c r="F427" s="30"/>
      <c r="G427" s="30" t="str">
        <f ca="1">IF(ISERROR(F426),"",G405)</f>
        <v>University Roll No:</v>
      </c>
      <c r="H427" s="30"/>
      <c r="I427" s="31">
        <f ca="1">IFERROR(VLOOKUP(B426,INDIRECT($F$8),2,0),"")</f>
        <v>250090120021</v>
      </c>
      <c r="J427" s="31"/>
      <c r="K427" s="30" t="str">
        <f ca="1">IF(ISERROR(F426),"",K405)</f>
        <v>University Enrol. No:</v>
      </c>
      <c r="L427" s="30"/>
      <c r="M427" s="31" t="str">
        <f ca="1">IFERROR(VLOOKUP(B426,INDIRECT($F$8),3,0),"")</f>
        <v>UTU/2501103767</v>
      </c>
      <c r="N427" s="31"/>
    </row>
    <row r="428" spans="1:24" ht="11.5" customHeight="1" x14ac:dyDescent="0.2">
      <c r="A428" s="30"/>
      <c r="B428" s="30"/>
      <c r="C428" s="30"/>
      <c r="D428" s="30"/>
      <c r="E428" s="30"/>
      <c r="F428" s="30"/>
      <c r="G428" s="30"/>
      <c r="H428" s="30"/>
      <c r="I428" s="31"/>
      <c r="J428" s="31"/>
      <c r="K428" s="30"/>
      <c r="L428" s="30"/>
      <c r="M428" s="31"/>
      <c r="N428" s="31"/>
    </row>
    <row r="429" spans="1:24" ht="11.5" customHeight="1" x14ac:dyDescent="0.2">
      <c r="A429" s="28" t="str">
        <f ca="1">IF(ISERROR(F426),"",A407)</f>
        <v>Subject Code</v>
      </c>
      <c r="B429" s="28" t="str">
        <f ca="1">IF(ISERROR(F426),"",B407)</f>
        <v>Subject Name</v>
      </c>
      <c r="C429" s="28"/>
      <c r="D429" s="28"/>
      <c r="E429" s="28"/>
      <c r="F429" s="28" t="str">
        <f ca="1">IF(ISERROR(F426),"",F407)</f>
        <v>Credits</v>
      </c>
      <c r="G429" s="28" t="str">
        <f ca="1">IF(ISERROR(F426),"",G407)</f>
        <v>External Marks</v>
      </c>
      <c r="H429" s="28"/>
      <c r="I429" s="28" t="str">
        <f ca="1">IF(ISERROR(F426),"",I407)</f>
        <v>Sessional Marks</v>
      </c>
      <c r="J429" s="28"/>
      <c r="K429" s="28" t="str">
        <f ca="1">IF(ISERROR(F426),"",K407)</f>
        <v>Total Marks</v>
      </c>
      <c r="L429" s="28"/>
      <c r="M429" s="28" t="str">
        <f ca="1">IF(ISERROR(F426),"",M407)</f>
        <v>Grade</v>
      </c>
      <c r="N429" s="28" t="str">
        <f ca="1">IF(ISERROR(F426),"",N407)</f>
        <v>Grade Points</v>
      </c>
    </row>
    <row r="430" spans="1:24" ht="11.5" customHeight="1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W430">
        <f ca="1">IF(ISNUMBER(MATCH($F$8,{"I","III","V","VII"},0)),10,10-INDEX(INDIRECT(_xlfn.TEXTJOIN("",TRUE,"SEM_",$G$8,"!",ADDRESS(6,4+$I$8*3+4),":",ADDRESS(5+$H$8,4+$I$8*3+4))),MATCH(INDIRECT(_xlfn.TEXTJOIN("",TRUE,"TC_",$F$8,"!",ADDRESS(ROW(I427),COLUMN(I427)))),INDIRECT(_xlfn.TEXTJOIN("",TRUE,"SEM_",$G$8,"!",ADDRESS(6,2),":",ADDRESS(5+$H$8,2))))))</f>
        <v>10</v>
      </c>
    </row>
    <row r="431" spans="1:24" ht="11.5" customHeight="1" x14ac:dyDescent="0.2">
      <c r="A431" s="7" t="str">
        <f ca="1">IF(ISERROR(F426),"",VLOOKUP(C426,INDIRECT($F$8),6+(O431-1)*3,0))</f>
        <v>AHT 002</v>
      </c>
      <c r="B431" s="24" t="str">
        <f ca="1">IF(ISERROR(F426),"",VLOOKUP(D426,INDIRECT($F$8),6+(O431-1)*3,0))</f>
        <v>Engineering Chemistry</v>
      </c>
      <c r="C431" s="24"/>
      <c r="D431" s="24"/>
      <c r="E431" s="24"/>
      <c r="F431" s="7">
        <f ca="1">IF(ISERROR(F426),"",VLOOKUP(E426,INDIRECT($F$8),6+(O431-1)*3,0))</f>
        <v>4</v>
      </c>
      <c r="G431" s="25" t="str">
        <f ca="1">IF(ISERROR(F426),"",_xlfn.TEXTJOIN("/",FALSE,P431,S431))</f>
        <v>35/100</v>
      </c>
      <c r="H431" s="25"/>
      <c r="I431" s="25" t="str">
        <f ca="1">IF(ISERROR(F426),"",_xlfn.TEXTJOIN("/",FALSE,Q431,T431))</f>
        <v>34/50</v>
      </c>
      <c r="J431" s="25"/>
      <c r="K431" s="25" t="str">
        <f ca="1">IF(ISERROR(F426),"",_xlfn.TEXTJOIN("/",FALSE,R431,U431))</f>
        <v>69/150</v>
      </c>
      <c r="L431" s="25"/>
      <c r="M431" s="7" t="str">
        <f ca="1">IF(ISERROR(F426),"",IF(ISTEXT(P431),IF(P431="A","Ab",IF(P431="D","Dt",IF(P431="UFM","UFM",IF(P431="NA","")))),IF(AND(ISBLANK(P431),ISBLANK(R431)),"",IF(P431&lt;0.3*S431,"F",IF(ISBLANK(R431),"",IF(ISTEXT(R431),R431,IF(R431&gt;=0.95*U431,"O",IF(R431&gt;=0.9*U431,"A+",IF(R431&gt;=0.85*U431,"A",IF(R431&gt;=0.8*U431,"B+",IF(R431&gt;=0.75*U431,"B",IF(R431&gt;=0.7*U431,"C+",IF(R431&gt;=0.65*U431,"C",IF(R431&gt;=0.6*U431,"D+",IF(R431&gt;=0.55*U431,"D",IF(R431&gt;=0.5*U431,"E+",IF(R431&gt;=0.45*U431,"E",IF(R431&gt;=0.4*U431,"P",IF(R431&lt;0.4*U431,"F",R431)))))))))))))))))))</f>
        <v>E</v>
      </c>
      <c r="N431" s="8">
        <f ca="1">INDEX($Z$2:$Z$17,MATCH(M431,$Y$2:$Y$17,0))</f>
        <v>5</v>
      </c>
      <c r="O431">
        <v>1</v>
      </c>
      <c r="P431" s="1">
        <f ca="1">IF(ISERROR(F426),"",IF(ISTEXT(VLOOKUP(B426,INDIRECT($F$8),6+(O431-1)*3)),(VLOOKUP(B426,INDIRECT($F$8),6+(O431-1)*3)),SUM(VLOOKUP(B426,INDIRECT($F$8),6+(O431-1)*3),IF(W444,W431,0))))</f>
        <v>35</v>
      </c>
      <c r="Q431" s="1">
        <f ca="1">IF(ISERROR(F426),"",VLOOKUP(B426,INDIRECT($F$8),7+(O431-1)*3))</f>
        <v>34</v>
      </c>
      <c r="R431" s="1">
        <f ca="1">IF(ISERROR(F426),"",SUM(P431:Q431))</f>
        <v>69</v>
      </c>
      <c r="S431" s="1">
        <f ca="1">IF(ISERROR(F426),"",VLOOKUP(A426,INDIRECT($F$8),6+(O431-1)*3))</f>
        <v>100</v>
      </c>
      <c r="T431" s="1">
        <f ca="1">IF(ISERROR(F426),"",VLOOKUP(A426,INDIRECT($F$8),7+(O431-1)*3))</f>
        <v>50</v>
      </c>
      <c r="U431" s="1">
        <f ca="1">IF(ISERROR(F426),"",VLOOKUP(A426,INDIRECT($F$8),8+(O431-1)*3))</f>
        <v>150</v>
      </c>
      <c r="V431" s="1" t="str">
        <f ca="1">IF(ISERROR(F426),"",IF(N431=0,A431,""))</f>
        <v/>
      </c>
      <c r="W431" s="1">
        <f ca="1">IF(ISERROR(F426),"",IF(ISTEXT(VLOOKUP(B426,INDIRECT($F$8),6+(O431-1)*3)),11,IF(VLOOKUP(B426,INDIRECT($F$8),6+(O431-1)*3)&lt;S431*0.3,IF(VLOOKUP(B426,INDIRECT($F$8),8+(O431-1)*3)&lt;U431*0.4,IF(AND(0.4*U431-VLOOKUP(B426,INDIRECT($F$8),8+(O431-1)*3)&lt;=5,0.3*S431-VLOOKUP(B426,INDIRECT($F$8),6+(O431-1)*3)&lt;=5),MAX(0.4*U431-VLOOKUP(B426,INDIRECT($F$8),8+(O431-1)*3),0.3*S431-VLOOKUP(B426,INDIRECT($F$8),6+(O431-1)*3)),11),IF(0.3*S431-VLOOKUP(B426,INDIRECT($F$8),6+(O431-1)*3)&lt;=5,0.3*S431-VLOOKUP(B426,INDIRECT($F$8),6+(O431-1)*3),11)),IF(VLOOKUP(B426,INDIRECT($F$8),8+(O431-1)*3)&lt;U431*0.4,IF(U431*0.4-VLOOKUP(B426,INDIRECT($F$8),8+(O431-1)*3)&lt;=5,U431*0.4-VLOOKUP(B426,INDIRECT($F$8),8+(O431-1)*3),11),0))))</f>
        <v>0</v>
      </c>
      <c r="X431" s="1" t="str">
        <f ca="1">IF(ISERROR(F426),"",IF(W431=0,"",_xlfn.TEXTJOIN("",FALSE," G+",W431," in ",A431)))</f>
        <v/>
      </c>
    </row>
    <row r="432" spans="1:24" ht="11.5" customHeight="1" x14ac:dyDescent="0.2">
      <c r="A432" s="7" t="str">
        <f ca="1">IF(ISERROR(F426),"",VLOOKUP(C426,INDIRECT($F$8),6+(O432-1)*3,0))</f>
        <v>AHT 003</v>
      </c>
      <c r="B432" s="24" t="str">
        <f ca="1">IF(ISERROR(F426),"",VLOOKUP(D426,INDIRECT($F$8),6+(O432-1)*3,0))</f>
        <v>Introduction to Engineering Mathematics</v>
      </c>
      <c r="C432" s="24"/>
      <c r="D432" s="24"/>
      <c r="E432" s="24"/>
      <c r="F432" s="7">
        <f ca="1">IF(ISERROR(F426),"",VLOOKUP(E426,INDIRECT($F$8),6+(O432-1)*3,0))</f>
        <v>4</v>
      </c>
      <c r="G432" s="25" t="str">
        <f ca="1">IF(ISERROR(F426),"",_xlfn.TEXTJOIN("/",FALSE,P432,S432))</f>
        <v>4/100</v>
      </c>
      <c r="H432" s="25"/>
      <c r="I432" s="25" t="str">
        <f ca="1">IF(ISERROR(F426),"",_xlfn.TEXTJOIN("/",FALSE,Q432,T432))</f>
        <v>18/50</v>
      </c>
      <c r="J432" s="25"/>
      <c r="K432" s="25" t="str">
        <f ca="1">IF(ISERROR(F426),"",_xlfn.TEXTJOIN("/",FALSE,R432,U432))</f>
        <v>22/150</v>
      </c>
      <c r="L432" s="25"/>
      <c r="M432" s="7" t="str">
        <f ca="1">IF(ISERROR(F426),"",IF(ISTEXT(P432),IF(P432="A","Ab",IF(P432="D","Dt",IF(P432="UFM","UFM",IF(P432="NA","")))),IF(AND(ISBLANK(P432),ISBLANK(R432)),"",IF(P432&lt;0.3*S432,"F",IF(ISBLANK(R432),"",IF(ISTEXT(R432),R432,IF(R432&gt;=0.95*U432,"O",IF(R432&gt;=0.9*U432,"A+",IF(R432&gt;=0.85*U432,"A",IF(R432&gt;=0.8*U432,"B+",IF(R432&gt;=0.75*U432,"B",IF(R432&gt;=0.7*U432,"C+",IF(R432&gt;=0.65*U432,"C",IF(R432&gt;=0.6*U432,"D+",IF(R432&gt;=0.55*U432,"D",IF(R432&gt;=0.5*U432,"E+",IF(R432&gt;=0.45*U432,"E",IF(R432&gt;=0.4*U432,"P",IF(R432&lt;0.4*U432,"F",R432)))))))))))))))))))</f>
        <v>F</v>
      </c>
      <c r="N432" s="8">
        <f t="shared" ref="N432:N441" ca="1" si="39">INDEX($Z$2:$Z$17,MATCH(M432,$Y$2:$Y$17,0))</f>
        <v>0</v>
      </c>
      <c r="O432">
        <f>O431+1</f>
        <v>2</v>
      </c>
      <c r="P432" s="1">
        <f ca="1">IF(ISERROR(F426),"",IF(ISTEXT(VLOOKUP(B426,INDIRECT($F$8),6+(O432-1)*3)),(VLOOKUP(B426,INDIRECT($F$8),6+(O432-1)*3)),SUM(VLOOKUP(B426,INDIRECT($F$8),6+(O432-1)*3),IF(W444,W432,0))))</f>
        <v>4</v>
      </c>
      <c r="Q432" s="1">
        <f ca="1">IF(ISERROR(F426),"",VLOOKUP(B426,INDIRECT($F$8),7+(O432-1)*3))</f>
        <v>18</v>
      </c>
      <c r="R432" s="1">
        <f ca="1">IF(ISERROR(F426),"",SUM(P432:Q432))</f>
        <v>22</v>
      </c>
      <c r="S432" s="1">
        <f ca="1">IF(ISERROR(F426),"",VLOOKUP(A426,INDIRECT($F$8),6+(O432-1)*3))</f>
        <v>100</v>
      </c>
      <c r="T432" s="1">
        <f ca="1">IF(ISERROR(F426),"",VLOOKUP(A426,INDIRECT($F$8),7+(O432-1)*3))</f>
        <v>50</v>
      </c>
      <c r="U432" s="1">
        <f ca="1">IF(ISERROR(F426),"",VLOOKUP(A426,INDIRECT($F$8),8+(O432-1)*3))</f>
        <v>150</v>
      </c>
      <c r="V432" s="1" t="str">
        <f ca="1">IF(ISERROR(F426),"",IF(N432=0,A432,""))</f>
        <v>AHT 003</v>
      </c>
      <c r="W432" s="1">
        <f ca="1">IF(ISERROR(F426),"",IF(ISTEXT(VLOOKUP(B426,INDIRECT($F$8),6+(O432-1)*3)),11,IF(VLOOKUP(B426,INDIRECT($F$8),6+(O432-1)*3)&lt;S432*0.3,IF(VLOOKUP(B426,INDIRECT($F$8),8+(O432-1)*3)&lt;U432*0.4,IF(AND(0.4*U432-VLOOKUP(B426,INDIRECT($F$8),8+(O432-1)*3)&lt;=5,0.3*S432-VLOOKUP(B426,INDIRECT($F$8),6+(O432-1)*3)&lt;=5),MAX(0.4*U432-VLOOKUP(B426,INDIRECT($F$8),8+(O432-1)*3),0.3*S432-VLOOKUP(B426,INDIRECT($F$8),6+(O432-1)*3)),11),IF(0.3*S432-VLOOKUP(B426,INDIRECT($F$8),6+(O432-1)*3)&lt;=5,0.3*S432-VLOOKUP(B426,INDIRECT($F$8),6+(O432-1)*3),11)),IF(VLOOKUP(B426,INDIRECT($F$8),8+(O432-1)*3)&lt;U432*0.4,IF(U432*0.4-VLOOKUP(B426,INDIRECT($F$8),8+(O432-1)*3)&lt;=5,U432*0.4-VLOOKUP(B426,INDIRECT($F$8),8+(O432-1)*3),11),0))))</f>
        <v>11</v>
      </c>
      <c r="X432" s="1" t="str">
        <f ca="1">IF(ISERROR(F426),"",IF(W432=0,"",_xlfn.TEXTJOIN("",FALSE," G+",W432," in ",A432)))</f>
        <v xml:space="preserve"> G+11 in AHT 003</v>
      </c>
    </row>
    <row r="433" spans="1:24" ht="11.5" customHeight="1" x14ac:dyDescent="0.2">
      <c r="A433" s="7" t="str">
        <f ca="1">IF(ISERROR(F426),"",VLOOKUP(C426,INDIRECT($F$8),6+(O433-1)*3,0))</f>
        <v>ECT 001</v>
      </c>
      <c r="B433" s="24" t="str">
        <f ca="1">IF(ISERROR(F426),"",VLOOKUP(D426,INDIRECT($F$8),6+(O433-1)*3,0))</f>
        <v>Basic Electronics Engineering</v>
      </c>
      <c r="C433" s="24"/>
      <c r="D433" s="24"/>
      <c r="E433" s="24"/>
      <c r="F433" s="7">
        <f ca="1">IF(ISERROR(F426),"",VLOOKUP(E426,INDIRECT($F$8),6+(O433-1)*3,0))</f>
        <v>4</v>
      </c>
      <c r="G433" s="25" t="str">
        <f ca="1">IF(ISERROR(F426),"",_xlfn.TEXTJOIN("/",FALSE,P433,S433))</f>
        <v>47/100</v>
      </c>
      <c r="H433" s="25"/>
      <c r="I433" s="25" t="str">
        <f ca="1">IF(ISERROR(F426),"",_xlfn.TEXTJOIN("/",FALSE,Q433,T433))</f>
        <v>40/50</v>
      </c>
      <c r="J433" s="25"/>
      <c r="K433" s="25" t="str">
        <f ca="1">IF(ISERROR(F426),"",_xlfn.TEXTJOIN("/",FALSE,R433,U433))</f>
        <v>87/150</v>
      </c>
      <c r="L433" s="25"/>
      <c r="M433" s="7" t="str">
        <f ca="1">IF(ISERROR(F426)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D</v>
      </c>
      <c r="N433" s="8">
        <f t="shared" ca="1" si="39"/>
        <v>6</v>
      </c>
      <c r="O433">
        <f>O432+1</f>
        <v>3</v>
      </c>
      <c r="P433" s="1">
        <f ca="1">IF(ISERROR(F426),"",IF(ISTEXT(VLOOKUP(B426,INDIRECT($F$8),6+(O433-1)*3)),(VLOOKUP(B426,INDIRECT($F$8),6+(O433-1)*3)),SUM(VLOOKUP(B426,INDIRECT($F$8),6+(O433-1)*3),IF(W444,W433,0))))</f>
        <v>47</v>
      </c>
      <c r="Q433" s="1">
        <f ca="1">IF(ISERROR(F426),"",VLOOKUP(B426,INDIRECT($F$8),7+(O433-1)*3))</f>
        <v>40</v>
      </c>
      <c r="R433" s="1">
        <f ca="1">IF(ISERROR(F426),"",SUM(P433:Q433))</f>
        <v>87</v>
      </c>
      <c r="S433" s="1">
        <f ca="1">IF(ISERROR(F426),"",VLOOKUP(A426,INDIRECT($F$8),6+(O433-1)*3))</f>
        <v>100</v>
      </c>
      <c r="T433" s="1">
        <f ca="1">IF(ISERROR(F426),"",VLOOKUP(A426,INDIRECT($F$8),7+(O433-1)*3))</f>
        <v>50</v>
      </c>
      <c r="U433" s="1">
        <f ca="1">IF(ISERROR(F426),"",VLOOKUP(A426,INDIRECT($F$8),8+(O433-1)*3))</f>
        <v>150</v>
      </c>
      <c r="V433" s="1" t="str">
        <f ca="1">IF(ISERROR(F426),"",IF(N433=0,A433,""))</f>
        <v/>
      </c>
      <c r="W433" s="1">
        <f ca="1">IF(ISERROR(F426),"",IF(ISTEXT(VLOOKUP(B426,INDIRECT($F$8),6+(O433-1)*3)),11,IF(VLOOKUP(B426,INDIRECT($F$8),6+(O433-1)*3)&lt;S433*0.3,IF(VLOOKUP(B426,INDIRECT($F$8),8+(O433-1)*3)&lt;U433*0.4,IF(AND(0.4*U433-VLOOKUP(B426,INDIRECT($F$8),8+(O433-1)*3)&lt;=5,0.3*S433-VLOOKUP(B426,INDIRECT($F$8),6+(O433-1)*3)&lt;=5),MAX(0.4*U433-VLOOKUP(B426,INDIRECT($F$8),8+(O433-1)*3),0.3*S433-VLOOKUP(B426,INDIRECT($F$8),6+(O433-1)*3)),11),IF(0.3*S433-VLOOKUP(B426,INDIRECT($F$8),6+(O433-1)*3)&lt;=5,0.3*S433-VLOOKUP(B426,INDIRECT($F$8),6+(O433-1)*3),11)),IF(VLOOKUP(B426,INDIRECT($F$8),8+(O433-1)*3)&lt;U433*0.4,IF(U433*0.4-VLOOKUP(B426,INDIRECT($F$8),8+(O433-1)*3)&lt;=5,U433*0.4-VLOOKUP(B426,INDIRECT($F$8),8+(O433-1)*3),11),0))))</f>
        <v>0</v>
      </c>
      <c r="X433" s="1" t="str">
        <f ca="1">IF(ISERROR(F426),"",IF(W433=0,"",_xlfn.TEXTJOIN("",FALSE," G+",W433," in ",A433)))</f>
        <v/>
      </c>
    </row>
    <row r="434" spans="1:24" ht="11.5" customHeight="1" x14ac:dyDescent="0.2">
      <c r="A434" s="7" t="str">
        <f ca="1">IF(ISERROR(F426),"",VLOOKUP(C426,INDIRECT($F$8),6+(O434-1)*3,0))</f>
        <v>MET 001</v>
      </c>
      <c r="B434" s="24" t="str">
        <f ca="1">IF(ISERROR(F426),"",VLOOKUP(D426,INDIRECT($F$8),6+(O434-1)*3,0))</f>
        <v>Basic Mechanical Engineering</v>
      </c>
      <c r="C434" s="24"/>
      <c r="D434" s="24"/>
      <c r="E434" s="24"/>
      <c r="F434" s="7">
        <f ca="1">IF(ISERROR(F426),"",VLOOKUP(E426,INDIRECT($F$8),6+(O434-1)*3,0))</f>
        <v>4</v>
      </c>
      <c r="G434" s="25" t="str">
        <f ca="1">IF(ISERROR(F426),"",_xlfn.TEXTJOIN("/",FALSE,P434,S434))</f>
        <v>49/100</v>
      </c>
      <c r="H434" s="25"/>
      <c r="I434" s="25" t="str">
        <f ca="1">IF(ISERROR(F426),"",_xlfn.TEXTJOIN("/",FALSE,Q434,T434))</f>
        <v>37/50</v>
      </c>
      <c r="J434" s="25"/>
      <c r="K434" s="25" t="str">
        <f ca="1">IF(ISERROR(F426),"",_xlfn.TEXTJOIN("/",FALSE,R434,U434))</f>
        <v>86/150</v>
      </c>
      <c r="L434" s="25"/>
      <c r="M434" s="7" t="str">
        <f ca="1">IF(ISERROR(F426)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D</v>
      </c>
      <c r="N434" s="8">
        <f t="shared" ca="1" si="39"/>
        <v>6</v>
      </c>
      <c r="O434">
        <f>O433+1</f>
        <v>4</v>
      </c>
      <c r="P434" s="1">
        <f ca="1">IF(ISERROR(F426),"",IF(ISTEXT(VLOOKUP(B426,INDIRECT($F$8),6+(O434-1)*3)),(VLOOKUP(B426,INDIRECT($F$8),6+(O434-1)*3)),SUM(VLOOKUP(B426,INDIRECT($F$8),6+(O434-1)*3),IF(W444,W434,0))))</f>
        <v>49</v>
      </c>
      <c r="Q434" s="1">
        <f ca="1">IF(ISERROR(F426),"",VLOOKUP(B426,INDIRECT($F$8),7+(O434-1)*3))</f>
        <v>37</v>
      </c>
      <c r="R434" s="1">
        <f ca="1">IF(ISERROR(F426),"",SUM(P434:Q434))</f>
        <v>86</v>
      </c>
      <c r="S434" s="1">
        <f ca="1">IF(ISERROR(F426),"",VLOOKUP(A426,INDIRECT($F$8),6+(O434-1)*3))</f>
        <v>100</v>
      </c>
      <c r="T434" s="1">
        <f ca="1">IF(ISERROR(F426),"",VLOOKUP(A426,INDIRECT($F$8),7+(O434-1)*3))</f>
        <v>50</v>
      </c>
      <c r="U434" s="1">
        <f ca="1">IF(ISERROR(F426),"",VLOOKUP(A426,INDIRECT($F$8),8+(O434-1)*3))</f>
        <v>150</v>
      </c>
      <c r="V434" s="1" t="str">
        <f ca="1">IF(ISERROR(F426),"",IF(N434=0,A434,""))</f>
        <v/>
      </c>
      <c r="W434" s="1">
        <f ca="1">IF(ISERROR(F426),"",IF(ISTEXT(VLOOKUP(B426,INDIRECT($F$8),6+(O434-1)*3)),11,IF(VLOOKUP(B426,INDIRECT($F$8),6+(O434-1)*3)&lt;S434*0.3,IF(VLOOKUP(B426,INDIRECT($F$8),8+(O434-1)*3)&lt;U434*0.4,IF(AND(0.4*U434-VLOOKUP(B426,INDIRECT($F$8),8+(O434-1)*3)&lt;=5,0.3*S434-VLOOKUP(B426,INDIRECT($F$8),6+(O434-1)*3)&lt;=5),MAX(0.4*U434-VLOOKUP(B426,INDIRECT($F$8),8+(O434-1)*3),0.3*S434-VLOOKUP(B426,INDIRECT($F$8),6+(O434-1)*3)),11),IF(0.3*S434-VLOOKUP(B426,INDIRECT($F$8),6+(O434-1)*3)&lt;=5,0.3*S434-VLOOKUP(B426,INDIRECT($F$8),6+(O434-1)*3),11)),IF(VLOOKUP(B426,INDIRECT($F$8),8+(O434-1)*3)&lt;U434*0.4,IF(U434*0.4-VLOOKUP(B426,INDIRECT($F$8),8+(O434-1)*3)&lt;=5,U434*0.4-VLOOKUP(B426,INDIRECT($F$8),8+(O434-1)*3),11),0))))</f>
        <v>0</v>
      </c>
      <c r="X434" s="1" t="str">
        <f ca="1">IF(ISERROR(F426),"",IF(W434=0,"",_xlfn.TEXTJOIN("",FALSE," G+",W434," in ",A434)))</f>
        <v/>
      </c>
    </row>
    <row r="435" spans="1:24" ht="11.5" customHeight="1" x14ac:dyDescent="0.2">
      <c r="A435" s="7" t="str">
        <f ca="1">IF(ISERROR(F426),"",VLOOKUP(C426,INDIRECT($F$8),6+(O435-1)*3,0))</f>
        <v>AHT 000</v>
      </c>
      <c r="B435" s="24" t="str">
        <f ca="1">IF(ISERROR(F426),"",VLOOKUP(D426,INDIRECT($F$8),6+(O435-1)*3,0))</f>
        <v>Basic Mathematics (Bridge Course) ($)</v>
      </c>
      <c r="C435" s="24"/>
      <c r="D435" s="24"/>
      <c r="E435" s="24"/>
      <c r="F435" s="7">
        <f ca="1">IF(ISERROR(F426),"",VLOOKUP(E426,INDIRECT($F$8),6+(O435-1)*3,0))</f>
        <v>0</v>
      </c>
      <c r="G435" s="25" t="str">
        <f ca="1">IF(ISERROR(F426),"",_xlfn.TEXTJOIN("/",FALSE,P435,S435))</f>
        <v>48/100</v>
      </c>
      <c r="H435" s="25"/>
      <c r="I435" s="25" t="str">
        <f ca="1">IF(ISERROR(F426),"",_xlfn.TEXTJOIN("/",FALSE,Q435,T435))</f>
        <v>33/50</v>
      </c>
      <c r="J435" s="25"/>
      <c r="K435" s="25" t="str">
        <f ca="1">IF(ISERROR(F426),"",_xlfn.TEXTJOIN("/",FALSE,R435,U435))</f>
        <v>81/150</v>
      </c>
      <c r="L435" s="25"/>
      <c r="M435" s="7" t="str">
        <f ca="1">IF(ISERROR(F426)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E+</v>
      </c>
      <c r="N435" s="8">
        <f t="shared" ca="1" si="39"/>
        <v>5.5</v>
      </c>
      <c r="O435" cm="1">
        <f t="array" aca="1" ref="O435" ca="1">IF(NOT(ISBLANK(INDIRECT("SEM_I!R"&amp;INT((ROW(O435)-17)/22)+6))),5,
IF(NOT(ISBLANK(INDIRECT("SEM_I!U"&amp;INT((ROW(O435)-17)/22)+6))),6))</f>
        <v>5</v>
      </c>
      <c r="P435" s="1">
        <f ca="1">IF(ISERROR(F426),"",IF(ISTEXT(VLOOKUP(B426,INDIRECT($F$8),6+(O435-1)*3)),(VLOOKUP(B426,INDIRECT($F$8),6+(O435-1)*3)),SUM(VLOOKUP(B426,INDIRECT($F$8),6+(O435-1)*3),IF(W444,W435,0))))</f>
        <v>48</v>
      </c>
      <c r="Q435" s="1">
        <f ca="1">IF(ISERROR(F426),"",VLOOKUP(B426,INDIRECT($F$8),7+(O435-1)*3))</f>
        <v>33</v>
      </c>
      <c r="R435" s="1">
        <f ca="1">IF(ISERROR(F426),"",SUM(P435:Q435))</f>
        <v>81</v>
      </c>
      <c r="S435" s="1">
        <f ca="1">IF(ISERROR(F426),"",VLOOKUP(A426,INDIRECT($F$8),6+(O435-1)*3))</f>
        <v>100</v>
      </c>
      <c r="T435" s="1">
        <f ca="1">IF(ISERROR(F426),"",VLOOKUP(A426,INDIRECT($F$8),7+(O435-1)*3))</f>
        <v>50</v>
      </c>
      <c r="U435" s="1">
        <f ca="1">IF(ISERROR(F426),"",VLOOKUP(A426,INDIRECT($F$8),8+(O435-1)*3))</f>
        <v>150</v>
      </c>
      <c r="V435" s="1" t="str">
        <f ca="1">IF(ISERROR(F426),"",IF(N435=0,A435,""))</f>
        <v/>
      </c>
      <c r="W435" s="1">
        <f ca="1">IF(ISERROR(F426),"",IF(ISTEXT(VLOOKUP(B426,INDIRECT($F$8),6+(O435-1)*3)),11,IF(VLOOKUP(B426,INDIRECT($F$8),6+(O435-1)*3)&lt;S435*0.3,IF(VLOOKUP(B426,INDIRECT($F$8),8+(O435-1)*3)&lt;U435*0.4,IF(AND(0.4*U435-VLOOKUP(B426,INDIRECT($F$8),8+(O435-1)*3)&lt;=5,0.3*S435-VLOOKUP(B426,INDIRECT($F$8),6+(O435-1)*3)&lt;=5),MAX(0.4*U435-VLOOKUP(B426,INDIRECT($F$8),8+(O435-1)*3),0.3*S435-VLOOKUP(B426,INDIRECT($F$8),6+(O435-1)*3)),11),IF(0.3*S435-VLOOKUP(B426,INDIRECT($F$8),6+(O435-1)*3)&lt;=5,0.3*S435-VLOOKUP(B426,INDIRECT($F$8),6+(O435-1)*3),11)),IF(VLOOKUP(B426,INDIRECT($F$8),8+(O435-1)*3)&lt;U435*0.4,IF(U435*0.4-VLOOKUP(B426,INDIRECT($F$8),8+(O435-1)*3)&lt;=5,U435*0.4-VLOOKUP(B426,INDIRECT($F$8),8+(O435-1)*3),11),0))))</f>
        <v>0</v>
      </c>
      <c r="X435" s="1" t="str">
        <f ca="1">IF(ISERROR(F426),"",IF(W435=0,"",_xlfn.TEXTJOIN("",FALSE," G+",W435," in ",A435)))</f>
        <v/>
      </c>
    </row>
    <row r="436" spans="1:24" ht="11.5" customHeight="1" x14ac:dyDescent="0.2">
      <c r="A436" s="7" t="str">
        <f ca="1">IF(ISERROR(F426),"",VLOOKUP(C426,INDIRECT($F$8),6+(O436-1)*3,0))</f>
        <v>AHP 002</v>
      </c>
      <c r="B436" s="24" t="str">
        <f ca="1">IF(ISERROR(F426),"",VLOOKUP(D426,INDIRECT($F$8),6+(O436-1)*3,0))</f>
        <v>Engineering Chemistry Lab</v>
      </c>
      <c r="C436" s="24"/>
      <c r="D436" s="24"/>
      <c r="E436" s="24"/>
      <c r="F436" s="7">
        <f ca="1">IF(ISERROR(F426),"",VLOOKUP(E426,INDIRECT($F$8),6+(O436-1)*3,0))</f>
        <v>1</v>
      </c>
      <c r="G436" s="25" t="str">
        <f ca="1">IF(ISERROR(F426),"",_xlfn.TEXTJOIN("/",FALSE,P436,S436))</f>
        <v>17/25</v>
      </c>
      <c r="H436" s="25"/>
      <c r="I436" s="25" t="str">
        <f ca="1">IF(ISERROR(F426),"",_xlfn.TEXTJOIN("/",FALSE,Q436,T436))</f>
        <v>17/25</v>
      </c>
      <c r="J436" s="25"/>
      <c r="K436" s="25" t="str">
        <f ca="1">IF(ISERROR(F426),"",_xlfn.TEXTJOIN("/",FALSE,R436,U436))</f>
        <v>34/50</v>
      </c>
      <c r="L436" s="25"/>
      <c r="M436" s="7" t="str">
        <f ca="1">IF(ISERROR(F426)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C</v>
      </c>
      <c r="N436" s="8">
        <f t="shared" ca="1" si="39"/>
        <v>7</v>
      </c>
      <c r="O436">
        <f ca="1">IF(O435&gt;0,7)</f>
        <v>7</v>
      </c>
      <c r="P436" s="1">
        <f ca="1">IF(ISERROR(F426),"",IF(ISTEXT(VLOOKUP(B426,INDIRECT($F$8),6+(O436-1)*3)),(VLOOKUP(B426,INDIRECT($F$8),6+(O436-1)*3)),SUM(VLOOKUP(B426,INDIRECT($F$8),6+(O436-1)*3),IF(W444,W436,0))))</f>
        <v>17</v>
      </c>
      <c r="Q436" s="1">
        <f ca="1">IF(ISERROR(F426),"",VLOOKUP(B426,INDIRECT($F$8),7+(O436-1)*3))</f>
        <v>17</v>
      </c>
      <c r="R436" s="1">
        <f ca="1">IF(ISERROR(F426),"",SUM(P436:Q436))</f>
        <v>34</v>
      </c>
      <c r="S436" s="1">
        <f ca="1">IF(ISERROR(F426),"",VLOOKUP(A426,INDIRECT($F$8),6+(O436-1)*3))</f>
        <v>25</v>
      </c>
      <c r="T436" s="1">
        <f ca="1">IF(ISERROR(F426),"",VLOOKUP(A426,INDIRECT($F$8),7+(O436-1)*3))</f>
        <v>25</v>
      </c>
      <c r="U436" s="1">
        <f ca="1">IF(ISERROR(F426),"",VLOOKUP(A426,INDIRECT($F$8),8+(O436-1)*3))</f>
        <v>50</v>
      </c>
      <c r="V436" s="1" t="str">
        <f ca="1">IF(ISERROR(F426),"",IF(N436=0,A436,""))</f>
        <v/>
      </c>
      <c r="W436" s="1">
        <f ca="1">IF(ISERROR(F426),"",IF(ISTEXT(VLOOKUP(B426,INDIRECT($F$8),6+(O436-1)*3)),11,IF(VLOOKUP(B426,INDIRECT($F$8),6+(O436-1)*3)&lt;S436*0.3,IF(VLOOKUP(B426,INDIRECT($F$8),8+(O436-1)*3)&lt;U436*0.4,IF(AND(0.4*U436-VLOOKUP(B426,INDIRECT($F$8),8+(O436-1)*3)&lt;=5,0.3*S436-VLOOKUP(B426,INDIRECT($F$8),6+(O436-1)*3)&lt;=5),MAX(0.4*U436-VLOOKUP(B426,INDIRECT($F$8),8+(O436-1)*3),0.3*S436-VLOOKUP(B426,INDIRECT($F$8),6+(O436-1)*3)),11),IF(0.3*S436-VLOOKUP(B426,INDIRECT($F$8),6+(O436-1)*3)&lt;=5,0.3*S436-VLOOKUP(B426,INDIRECT($F$8),6+(O436-1)*3),11)),IF(VLOOKUP(B426,INDIRECT($F$8),8+(O436-1)*3)&lt;U436*0.4,IF(U436*0.4-VLOOKUP(B426,INDIRECT($F$8),8+(O436-1)*3)&lt;=5,U436*0.4-VLOOKUP(B426,INDIRECT($F$8),8+(O436-1)*3),11),0))))</f>
        <v>0</v>
      </c>
      <c r="X436" s="1" t="str">
        <f ca="1">IF(ISERROR(F426),"",IF(W436=0,"",_xlfn.TEXTJOIN("",FALSE," G+",W436," in ",A436)))</f>
        <v/>
      </c>
    </row>
    <row r="437" spans="1:24" ht="11.5" customHeight="1" x14ac:dyDescent="0.2">
      <c r="A437" s="7" t="str">
        <f ca="1">IF(ISERROR(F426),"",VLOOKUP(C426,INDIRECT($F$8),6+(O437-1)*3,0))</f>
        <v>ECP 001</v>
      </c>
      <c r="B437" s="24" t="str">
        <f ca="1">IF(ISERROR(F426),"",VLOOKUP(D426,INDIRECT($F$8),6+(O437-1)*3,0))</f>
        <v>Basic Electronics Engineering Lab</v>
      </c>
      <c r="C437" s="24"/>
      <c r="D437" s="24"/>
      <c r="E437" s="24"/>
      <c r="F437" s="7">
        <f ca="1">IF(ISERROR(F426),"",VLOOKUP(E426,INDIRECT($F$8),6+(O437-1)*3,0))</f>
        <v>1</v>
      </c>
      <c r="G437" s="25" t="str">
        <f ca="1">IF(ISERROR(F426),"",_xlfn.TEXTJOIN("/",FALSE,P437,S437))</f>
        <v>21/25</v>
      </c>
      <c r="H437" s="25"/>
      <c r="I437" s="25" t="str">
        <f ca="1">IF(ISERROR(F426),"",_xlfn.TEXTJOIN("/",FALSE,Q437,T437))</f>
        <v>23/25</v>
      </c>
      <c r="J437" s="25"/>
      <c r="K437" s="25" t="str">
        <f ca="1">IF(ISERROR(F426),"",_xlfn.TEXTJOIN("/",FALSE,R437,U437))</f>
        <v>44/50</v>
      </c>
      <c r="L437" s="25"/>
      <c r="M437" s="7" t="str">
        <f ca="1">IF(ISERROR(F426)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A</v>
      </c>
      <c r="N437" s="8">
        <f t="shared" ca="1" si="39"/>
        <v>9</v>
      </c>
      <c r="O437">
        <f t="shared" ref="O437:O443" ca="1" si="40">O436+1</f>
        <v>8</v>
      </c>
      <c r="P437" s="1">
        <f ca="1">IF(ISERROR(F426),"",IF(ISTEXT(VLOOKUP(B426,INDIRECT($F$8),6+(O437-1)*3)),(VLOOKUP(B426,INDIRECT($F$8),6+(O437-1)*3)),SUM(VLOOKUP(B426,INDIRECT($F$8),6+(O437-1)*3),IF(W444,W437,0))))</f>
        <v>21</v>
      </c>
      <c r="Q437" s="1">
        <f ca="1">IF(ISERROR(F426),"",VLOOKUP(B426,INDIRECT($F$8),7+(O437-1)*3))</f>
        <v>23</v>
      </c>
      <c r="R437" s="1">
        <f ca="1">IF(ISERROR(F426),"",SUM(P437:Q437))</f>
        <v>44</v>
      </c>
      <c r="S437" s="1">
        <f ca="1">IF(ISERROR(F426),"",VLOOKUP(A426,INDIRECT($F$8),6+(O437-1)*3))</f>
        <v>25</v>
      </c>
      <c r="T437" s="1">
        <f ca="1">IF(ISERROR(F426),"",VLOOKUP(A426,INDIRECT($F$8),7+(O437-1)*3))</f>
        <v>25</v>
      </c>
      <c r="U437" s="1">
        <f ca="1">IF(ISERROR(F426),"",VLOOKUP(A426,INDIRECT($F$8),8+(O437-1)*3))</f>
        <v>50</v>
      </c>
      <c r="V437" s="1" t="str">
        <f ca="1">IF(ISERROR(F426),"",IF(N437=0,A437,""))</f>
        <v/>
      </c>
      <c r="W437" s="1">
        <f ca="1">IF(ISERROR(F426),"",IF(ISTEXT(VLOOKUP(B426,INDIRECT($F$8),6+(O437-1)*3)),11,IF(VLOOKUP(B426,INDIRECT($F$8),6+(O437-1)*3)&lt;S437*0.3,IF(VLOOKUP(B426,INDIRECT($F$8),8+(O437-1)*3)&lt;U437*0.4,IF(AND(0.4*U437-VLOOKUP(B426,INDIRECT($F$8),8+(O437-1)*3)&lt;=5,0.3*S437-VLOOKUP(B426,INDIRECT($F$8),6+(O437-1)*3)&lt;=5),MAX(0.4*U437-VLOOKUP(B426,INDIRECT($F$8),8+(O437-1)*3),0.3*S437-VLOOKUP(B426,INDIRECT($F$8),6+(O437-1)*3)),11),IF(0.3*S437-VLOOKUP(B426,INDIRECT($F$8),6+(O437-1)*3)&lt;=5,0.3*S437-VLOOKUP(B426,INDIRECT($F$8),6+(O437-1)*3),11)),IF(VLOOKUP(B426,INDIRECT($F$8),8+(O437-1)*3)&lt;U437*0.4,IF(U437*0.4-VLOOKUP(B426,INDIRECT($F$8),8+(O437-1)*3)&lt;=5,U437*0.4-VLOOKUP(B426,INDIRECT($F$8),8+(O437-1)*3),11),0))))</f>
        <v>0</v>
      </c>
      <c r="X437" s="1" t="str">
        <f ca="1">IF(ISERROR(F426),"",IF(W437=0,"",_xlfn.TEXTJOIN("",FALSE," G+",W437," in ",A437)))</f>
        <v/>
      </c>
    </row>
    <row r="438" spans="1:24" ht="11.5" customHeight="1" x14ac:dyDescent="0.2">
      <c r="A438" s="7" t="str">
        <f ca="1">IF(ISERROR(F426),"",VLOOKUP(C426,INDIRECT($F$8),6+(O438-1)*3,0))</f>
        <v>MEP 001</v>
      </c>
      <c r="B438" s="24" t="str">
        <f ca="1">IF(ISERROR(F426),"",VLOOKUP(D426,INDIRECT($F$8),6+(O438-1)*3,0))</f>
        <v>Basic Mechanical Engineering Lab</v>
      </c>
      <c r="C438" s="24"/>
      <c r="D438" s="24"/>
      <c r="E438" s="24"/>
      <c r="F438" s="7">
        <f ca="1">IF(ISERROR(F426),"",VLOOKUP(E426,INDIRECT($F$8),6+(O438-1)*3,0))</f>
        <v>1</v>
      </c>
      <c r="G438" s="25" t="str">
        <f ca="1">IF(ISERROR(F426),"",_xlfn.TEXTJOIN("/",FALSE,P438,S438))</f>
        <v>24/25</v>
      </c>
      <c r="H438" s="25"/>
      <c r="I438" s="25" t="str">
        <f ca="1">IF(ISERROR(F426),"",_xlfn.TEXTJOIN("/",FALSE,Q438,T438))</f>
        <v>22/25</v>
      </c>
      <c r="J438" s="25"/>
      <c r="K438" s="25" t="str">
        <f ca="1">IF(ISERROR(F426),"",_xlfn.TEXTJOIN("/",FALSE,R438,U438))</f>
        <v>46/50</v>
      </c>
      <c r="L438" s="25"/>
      <c r="M438" s="7" t="str">
        <f ca="1">IF(ISERROR(F426)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A+</v>
      </c>
      <c r="N438" s="8">
        <f t="shared" ca="1" si="39"/>
        <v>9.5</v>
      </c>
      <c r="O438">
        <f t="shared" ca="1" si="40"/>
        <v>9</v>
      </c>
      <c r="P438" s="1">
        <f ca="1">IF(ISERROR(F426),"",IF(ISTEXT(VLOOKUP(B426,INDIRECT($F$8),6+(O438-1)*3)),(VLOOKUP(B426,INDIRECT($F$8),6+(O438-1)*3)),SUM(VLOOKUP(B426,INDIRECT($F$8),6+(O438-1)*3),IF(W444,W438,0))))</f>
        <v>24</v>
      </c>
      <c r="Q438" s="1">
        <f ca="1">IF(ISERROR(F426),"",VLOOKUP(B426,INDIRECT($F$8),7+(O438-1)*3))</f>
        <v>22</v>
      </c>
      <c r="R438" s="1">
        <f ca="1">IF(ISERROR(F426),"",SUM(P438:Q438))</f>
        <v>46</v>
      </c>
      <c r="S438" s="1">
        <f ca="1">IF(ISERROR(F426),"",VLOOKUP(A426,INDIRECT($F$8),6+(O438-1)*3))</f>
        <v>25</v>
      </c>
      <c r="T438" s="1">
        <f ca="1">IF(ISERROR(F426),"",VLOOKUP(A426,INDIRECT($F$8),7+(O438-1)*3))</f>
        <v>25</v>
      </c>
      <c r="U438" s="1">
        <f ca="1">IF(ISERROR(F426),"",VLOOKUP(A426,INDIRECT($F$8),8+(O438-1)*3))</f>
        <v>50</v>
      </c>
      <c r="V438" s="1" t="str">
        <f ca="1">IF(ISERROR(F426),"",IF(N438=0,A438,""))</f>
        <v/>
      </c>
      <c r="W438" s="1">
        <f ca="1">IF(ISERROR(F426),"",IF(ISTEXT(VLOOKUP(B426,INDIRECT($F$8),6+(O438-1)*3)),11,IF(VLOOKUP(B426,INDIRECT($F$8),6+(O438-1)*3)&lt;S438*0.3,IF(VLOOKUP(B426,INDIRECT($F$8),8+(O438-1)*3)&lt;U438*0.4,IF(AND(0.4*U438-VLOOKUP(B426,INDIRECT($F$8),8+(O438-1)*3)&lt;=5,0.3*S438-VLOOKUP(B426,INDIRECT($F$8),6+(O438-1)*3)&lt;=5),MAX(0.4*U438-VLOOKUP(B426,INDIRECT($F$8),8+(O438-1)*3),0.3*S438-VLOOKUP(B426,INDIRECT($F$8),6+(O438-1)*3)),11),IF(0.3*S438-VLOOKUP(B426,INDIRECT($F$8),6+(O438-1)*3)&lt;=5,0.3*S438-VLOOKUP(B426,INDIRECT($F$8),6+(O438-1)*3),11)),IF(VLOOKUP(B426,INDIRECT($F$8),8+(O438-1)*3)&lt;U438*0.4,IF(U438*0.4-VLOOKUP(B426,INDIRECT($F$8),8+(O438-1)*3)&lt;=5,U438*0.4-VLOOKUP(B426,INDIRECT($F$8),8+(O438-1)*3),11),0))))</f>
        <v>0</v>
      </c>
      <c r="X438" s="1" t="str">
        <f ca="1">IF(ISERROR(F426),"",IF(W438=0,"",_xlfn.TEXTJOIN("",FALSE," G+",W438," in ",A438)))</f>
        <v/>
      </c>
    </row>
    <row r="439" spans="1:24" ht="11.5" customHeight="1" x14ac:dyDescent="0.2">
      <c r="A439" s="7" t="str">
        <f ca="1">IF(ISERROR(F426),"",VLOOKUP(C426,INDIRECT($F$8),6+(O439-1)*3,0))</f>
        <v>MEP 003</v>
      </c>
      <c r="B439" s="24" t="str">
        <f ca="1">IF(ISERROR(F426),"",VLOOKUP(D426,INDIRECT($F$8),6+(O439-1)*3-Z439,0))</f>
        <v>Workshop Practices Lab</v>
      </c>
      <c r="C439" s="24"/>
      <c r="D439" s="24"/>
      <c r="E439" s="24"/>
      <c r="F439" s="7">
        <f ca="1">IF(ISERROR(F426),"",VLOOKUP(E426,INDIRECT($F$8),6+(O439-1)*3,0))</f>
        <v>2</v>
      </c>
      <c r="G439" s="25" t="str">
        <f ca="1">IF(ISERROR(F426),"",_xlfn.TEXTJOIN("/",FALSE,P439,S439))</f>
        <v>48/50</v>
      </c>
      <c r="H439" s="25"/>
      <c r="I439" s="25" t="str">
        <f ca="1">IF(ISERROR(F426),"",_xlfn.TEXTJOIN("/",FALSE,Q439,T439))</f>
        <v>49/50</v>
      </c>
      <c r="J439" s="25"/>
      <c r="K439" s="25" t="str">
        <f ca="1">IF(ISERROR(F426),"",_xlfn.TEXTJOIN("/",FALSE,R439,U439))</f>
        <v>97/100</v>
      </c>
      <c r="L439" s="25"/>
      <c r="M439" s="7" t="str">
        <f ca="1">IF(ISERROR(F426)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O</v>
      </c>
      <c r="N439" s="8">
        <f t="shared" ca="1" si="39"/>
        <v>10</v>
      </c>
      <c r="O439">
        <f t="shared" ca="1" si="40"/>
        <v>10</v>
      </c>
      <c r="P439" s="1">
        <f ca="1">IF(ISERROR(F426),"",IF(ISTEXT(VLOOKUP(B426,INDIRECT($F$8),6+(O439-1)*3)),(VLOOKUP(B426,INDIRECT($F$8),6+(O439-1)*3)),SUM(VLOOKUP(B426,INDIRECT($F$8),6+(O439-1)*3),IF(W444,W439,0))))</f>
        <v>48</v>
      </c>
      <c r="Q439" s="1">
        <f ca="1">IF(ISERROR(F426),"",VLOOKUP(B426,INDIRECT($F$8),7+(O439-1)*3))</f>
        <v>49</v>
      </c>
      <c r="R439" s="1">
        <f ca="1">IF(ISERROR(F426),"",SUM(P439:Q439))</f>
        <v>97</v>
      </c>
      <c r="S439" s="1">
        <f ca="1">IF(ISERROR(F426),"",VLOOKUP(A426,INDIRECT($F$8),6+(O439-1)*3))</f>
        <v>50</v>
      </c>
      <c r="T439" s="1">
        <f ca="1">IF(ISERROR(F426),"",VLOOKUP(A426,INDIRECT($F$8),7+(O439-1)*3))</f>
        <v>50</v>
      </c>
      <c r="U439" s="1">
        <f ca="1">IF(ISERROR(F426),"",VLOOKUP(A426,INDIRECT($F$8),8+(O439-1)*3))</f>
        <v>100</v>
      </c>
      <c r="V439" s="1" t="str">
        <f ca="1">IF(ISERROR(F426),"",IF(N439=0,A439,""))</f>
        <v/>
      </c>
      <c r="W439" s="1">
        <f ca="1">IF(ISERROR(F426),"",IF(ISTEXT(VLOOKUP(B426,INDIRECT($F$8),6+(O439-1)*3)),11,IF(VLOOKUP(B426,INDIRECT($F$8),6+(O439-1)*3)&lt;S439*0.3,IF(VLOOKUP(B426,INDIRECT($F$8),8+(O439-1)*3)&lt;U439*0.4,IF(AND(0.4*U439-VLOOKUP(B426,INDIRECT($F$8),8+(O439-1)*3)&lt;=5,0.3*S439-VLOOKUP(B426,INDIRECT($F$8),6+(O439-1)*3)&lt;=5),MAX(0.4*U439-VLOOKUP(B426,INDIRECT($F$8),8+(O439-1)*3),0.3*S439-VLOOKUP(B426,INDIRECT($F$8),6+(O439-1)*3)),11),IF(0.3*S439-VLOOKUP(B426,INDIRECT($F$8),6+(O439-1)*3)&lt;=5,0.3*S439-VLOOKUP(B426,INDIRECT($F$8),6+(O439-1)*3),11)),IF(VLOOKUP(B426,INDIRECT($F$8),8+(O439-1)*3)&lt;U439*0.4,IF(U439*0.4-VLOOKUP(B426,INDIRECT($F$8),8+(O439-1)*3)&lt;=5,U439*0.4-VLOOKUP(B426,INDIRECT($F$8),8+(O439-1)*3),11),0))))</f>
        <v>0</v>
      </c>
      <c r="X439" s="1" t="str">
        <f ca="1">IF(ISERROR(F426),"",IF(W439=0,"",_xlfn.TEXTJOIN("",FALSE," G+",W439," in ",A439)))</f>
        <v/>
      </c>
    </row>
    <row r="440" spans="1:24" ht="11.5" customHeight="1" x14ac:dyDescent="0.2">
      <c r="A440" s="7" t="str">
        <f ca="1">IF(ISERROR(F426),"",VLOOKUP(C426,INDIRECT($F$8),6+(O440-1)*3,0))</f>
        <v>AHP 004</v>
      </c>
      <c r="B440" s="24" t="str">
        <f ca="1">IF(ISERROR(F426),"",VLOOKUP(D426,INDIRECT($F$8),6+(O440-1)*3-Z440,0))</f>
        <v>Emerging Technologies in Engineering Lab</v>
      </c>
      <c r="C440" s="24"/>
      <c r="D440" s="24"/>
      <c r="E440" s="24"/>
      <c r="F440" s="7">
        <f ca="1">IF(ISERROR(F426),"",VLOOKUP(E426,INDIRECT($F$8),6+(O440-1)*3,0))</f>
        <v>1</v>
      </c>
      <c r="G440" s="25" t="str">
        <f ca="1">IF(ISERROR(F426),"",_xlfn.TEXTJOIN("/",FALSE,P440,S440))</f>
        <v>22/25</v>
      </c>
      <c r="H440" s="25"/>
      <c r="I440" s="25" t="str">
        <f ca="1">IF(ISERROR(F426),"",_xlfn.TEXTJOIN("/",FALSE,Q440,T440))</f>
        <v>23/25</v>
      </c>
      <c r="J440" s="25"/>
      <c r="K440" s="25" t="str">
        <f ca="1">IF(ISERROR(F426),"",_xlfn.TEXTJOIN("/",FALSE,R440,U440))</f>
        <v>45/50</v>
      </c>
      <c r="L440" s="25"/>
      <c r="M440" s="7" t="str">
        <f ca="1">IF(ISERROR(F426)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A+</v>
      </c>
      <c r="N440" s="8">
        <f t="shared" ca="1" si="39"/>
        <v>9.5</v>
      </c>
      <c r="O440">
        <f t="shared" ca="1" si="40"/>
        <v>11</v>
      </c>
      <c r="P440" s="1">
        <f ca="1">IF(ISERROR(F426),"",IF(ISTEXT(VLOOKUP(B426,INDIRECT($F$8),6+(O440-1)*3)),(VLOOKUP(B426,INDIRECT($F$8),6+(O440-1)*3)),SUM(VLOOKUP(B426,INDIRECT($F$8),6+(O440-1)*3),IF(W444,W440,0))))</f>
        <v>22</v>
      </c>
      <c r="Q440" s="1">
        <f ca="1">IF(ISERROR(F426),"",VLOOKUP(B426,INDIRECT($F$8),7+(O440-1)*3))</f>
        <v>23</v>
      </c>
      <c r="R440" s="1">
        <f ca="1">IF(ISERROR(F426),"",SUM(P440:Q440))</f>
        <v>45</v>
      </c>
      <c r="S440" s="1">
        <f ca="1">IF(ISERROR(F426),"",VLOOKUP(A426,INDIRECT($F$8),6+(O440-1)*3))</f>
        <v>25</v>
      </c>
      <c r="T440" s="1">
        <f ca="1">IF(ISERROR(F426),"",VLOOKUP(A426,INDIRECT($F$8),7+(O440-1)*3))</f>
        <v>25</v>
      </c>
      <c r="U440" s="1">
        <f ca="1">IF(ISERROR(F426),"",VLOOKUP(A426,INDIRECT($F$8),8+(O440-1)*3))</f>
        <v>50</v>
      </c>
      <c r="V440" s="1" t="str">
        <f ca="1">IF(ISERROR(F426),"",IF(N440=0,A440,""))</f>
        <v/>
      </c>
      <c r="W440" s="1">
        <f ca="1">IF(ISERROR(F426),"",IF(ISTEXT(VLOOKUP(B426,INDIRECT($F$8),6+(O440-1)*3)),11,IF(VLOOKUP(B426,INDIRECT($F$8),6+(O440-1)*3)&lt;S440*0.3,IF(VLOOKUP(B426,INDIRECT($F$8),8+(O440-1)*3)&lt;U440*0.4,IF(AND(0.4*U440-VLOOKUP(B426,INDIRECT($F$8),8+(O440-1)*3)&lt;=5,0.3*S440-VLOOKUP(B426,INDIRECT($F$8),6+(O440-1)*3)&lt;=5),MAX(0.4*U440-VLOOKUP(B426,INDIRECT($F$8),8+(O440-1)*3),0.3*S440-VLOOKUP(B426,INDIRECT($F$8),6+(O440-1)*3)),11),IF(0.3*S440-VLOOKUP(B426,INDIRECT($F$8),6+(O440-1)*3)&lt;=5,0.3*S440-VLOOKUP(B426,INDIRECT($F$8),6+(O440-1)*3),11)),IF(VLOOKUP(B426,INDIRECT($F$8),8+(O440-1)*3)&lt;U440*0.4,IF(U440*0.4-VLOOKUP(B426,INDIRECT($F$8),8+(O440-1)*3)&lt;=5,U440*0.4-VLOOKUP(B426,INDIRECT($F$8),8+(O440-1)*3),11),0))))</f>
        <v>0</v>
      </c>
      <c r="X440" s="1" t="str">
        <f ca="1">IF(ISERROR(F426),"",IF(W440=0,"",_xlfn.TEXTJOIN("",FALSE," G+",W440," in ",A440)))</f>
        <v/>
      </c>
    </row>
    <row r="441" spans="1:24" ht="11.5" customHeight="1" x14ac:dyDescent="0.2">
      <c r="A441" s="7" t="str">
        <f ca="1">IF(ISERROR(F426),"",VLOOKUP(C426,INDIRECT($F$8),6+(O441-1)*3,0))</f>
        <v>CSP 002</v>
      </c>
      <c r="B441" s="24" t="str">
        <f ca="1">IF(ISERROR(F426),"",VLOOKUP(D426,INDIRECT($F$8),6+(O441-1)*3,0))</f>
        <v>Computer Applications and IOT</v>
      </c>
      <c r="C441" s="24"/>
      <c r="D441" s="24"/>
      <c r="E441" s="24"/>
      <c r="F441" s="7">
        <f ca="1">IF(ISERROR(F426),"",VLOOKUP(E426,INDIRECT($F$8),6+(O441-1)*3,0))</f>
        <v>1</v>
      </c>
      <c r="G441" s="25" t="str">
        <f ca="1">IF(ISERROR(F426),"",_xlfn.TEXTJOIN("/",FALSE,P441,S441))</f>
        <v>24/25</v>
      </c>
      <c r="H441" s="25"/>
      <c r="I441" s="25" t="str">
        <f ca="1">IF(ISERROR(F426),"",_xlfn.TEXTJOIN("/",FALSE,Q441,T441))</f>
        <v>24/25</v>
      </c>
      <c r="J441" s="25"/>
      <c r="K441" s="25" t="str">
        <f ca="1">IF(ISERROR(F426),"",_xlfn.TEXTJOIN("/",FALSE,R441,U441))</f>
        <v>48/50</v>
      </c>
      <c r="L441" s="25"/>
      <c r="M441" s="7" t="str">
        <f ca="1">IF(ISERROR(F426)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O</v>
      </c>
      <c r="N441" s="8">
        <f t="shared" ca="1" si="39"/>
        <v>10</v>
      </c>
      <c r="O441">
        <f t="shared" ca="1" si="40"/>
        <v>12</v>
      </c>
      <c r="P441" s="1">
        <f ca="1">IF(ISERROR(F426),"",IF(ISTEXT(VLOOKUP(B426,INDIRECT($F$8),6+(O441-1)*3)),(VLOOKUP(B426,INDIRECT($F$8),6+(O441-1)*3)),SUM(VLOOKUP(B426,INDIRECT($F$8),6+(O441-1)*3),IF(W444,W441,0))))</f>
        <v>24</v>
      </c>
      <c r="Q441" s="1">
        <f ca="1">IF(ISERROR(F426),"",VLOOKUP(B426,INDIRECT($F$8),7+(O441-1)*3))</f>
        <v>24</v>
      </c>
      <c r="R441" s="1">
        <f ca="1">IF(ISERROR(F426),"",SUM(P441:Q441))</f>
        <v>48</v>
      </c>
      <c r="S441" s="1">
        <f ca="1">IF(ISERROR(F426),"",VLOOKUP(A426,INDIRECT($F$8),6+(O441-1)*3))</f>
        <v>25</v>
      </c>
      <c r="T441" s="1">
        <f ca="1">IF(ISERROR(F426),"",VLOOKUP(A426,INDIRECT($F$8),7+(O441-1)*3))</f>
        <v>25</v>
      </c>
      <c r="U441" s="1">
        <f ca="1">IF(ISERROR(F426),"",VLOOKUP(A426,INDIRECT($F$8),8+(O441-1)*3))</f>
        <v>50</v>
      </c>
      <c r="V441" s="1" t="str">
        <f ca="1">IF(ISERROR(F426),"",IF(N441=0,A441,""))</f>
        <v/>
      </c>
      <c r="W441" s="1">
        <f ca="1">IF(ISERROR(F426),"",IF(ISTEXT(VLOOKUP(B426,INDIRECT($F$8),6+(O441-1)*3)),11,IF(VLOOKUP(B426,INDIRECT($F$8),6+(O441-1)*3)&lt;S441*0.3,IF(VLOOKUP(B426,INDIRECT($F$8),8+(O441-1)*3)&lt;U441*0.4,IF(AND(0.4*U441-VLOOKUP(B426,INDIRECT($F$8),8+(O441-1)*3)&lt;=5,0.3*S441-VLOOKUP(B426,INDIRECT($F$8),6+(O441-1)*3)&lt;=5),MAX(0.4*U441-VLOOKUP(B426,INDIRECT($F$8),8+(O441-1)*3),0.3*S441-VLOOKUP(B426,INDIRECT($F$8),6+(O441-1)*3)),11),IF(0.3*S441-VLOOKUP(B426,INDIRECT($F$8),6+(O441-1)*3)&lt;=5,0.3*S441-VLOOKUP(B426,INDIRECT($F$8),6+(O441-1)*3),11)),IF(VLOOKUP(B426,INDIRECT($F$8),8+(O441-1)*3)&lt;U441*0.4,IF(U441*0.4-VLOOKUP(B426,INDIRECT($F$8),8+(O441-1)*3)&lt;=5,U441*0.4-VLOOKUP(B426,INDIRECT($F$8),8+(O441-1)*3),11),0))))</f>
        <v>0</v>
      </c>
      <c r="X441" s="1" t="str">
        <f ca="1">IF(ISERROR(F426),"",IF(W441=0,"",_xlfn.TEXTJOIN("",FALSE," G+",W441," in ",A441)))</f>
        <v/>
      </c>
    </row>
    <row r="442" spans="1:24" ht="11.5" customHeight="1" x14ac:dyDescent="0.2">
      <c r="A442" s="7" t="str">
        <f ca="1">IF(ISERROR(F426),"",VLOOKUP(C426,INDIRECT($F$8),6+(O442-1)*3,0))</f>
        <v>AHP 006</v>
      </c>
      <c r="B442" s="24" t="str">
        <f ca="1">IF(ISERROR(F426),"",VLOOKUP(D426,INDIRECT($F$8),6+(O442-1)*3,0))</f>
        <v>English Language Lab ($)</v>
      </c>
      <c r="C442" s="24"/>
      <c r="D442" s="24"/>
      <c r="E442" s="24"/>
      <c r="F442" s="7">
        <f ca="1">IF(ISERROR(F426),"",VLOOKUP(E426,INDIRECT($F$8),6+(O442-1)*3,0))</f>
        <v>0</v>
      </c>
      <c r="G442" s="25" t="str">
        <f ca="1">IF(ISERROR(F426),"",_xlfn.TEXTJOIN("/",FALSE,P442,S442))</f>
        <v>19/25</v>
      </c>
      <c r="H442" s="25"/>
      <c r="I442" s="25" t="str">
        <f ca="1">IF(ISERROR(F426),"",_xlfn.TEXTJOIN("/",FALSE,Q442,T442))</f>
        <v>33/50</v>
      </c>
      <c r="J442" s="25"/>
      <c r="K442" s="25" t="str">
        <f ca="1">IF(ISERROR(F426),"",_xlfn.TEXTJOIN("/",FALSE,R442,U442))</f>
        <v>52/75</v>
      </c>
      <c r="L442" s="25"/>
      <c r="M442" s="7" t="str">
        <f ca="1">IF(ISERROR(F426)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C</v>
      </c>
      <c r="N442" s="8">
        <f ca="1">INDEX($Z$2:$Z$17,MATCH(M442,$Y$2:$Y$17,0))</f>
        <v>7</v>
      </c>
      <c r="O442">
        <f t="shared" ca="1" si="40"/>
        <v>13</v>
      </c>
      <c r="P442" s="1">
        <f ca="1">IF(ISERROR(F426),"",IF(ISTEXT(VLOOKUP(B426,INDIRECT($F$8),6+(O442-1)*3)),(VLOOKUP(B426,INDIRECT($F$8),6+(O442-1)*3)),SUM(VLOOKUP(B426,INDIRECT($F$8),6+(O442-1)*3),IF(W444,W442,0))))</f>
        <v>19</v>
      </c>
      <c r="Q442" s="1">
        <f ca="1">IF(ISERROR(F426),"",VLOOKUP(B426,INDIRECT($F$8),7+(O442-1)*3))</f>
        <v>33</v>
      </c>
      <c r="R442" s="1">
        <f ca="1">IF(ISERROR(F426),"",SUM(P442:Q442))</f>
        <v>52</v>
      </c>
      <c r="S442" s="1">
        <f ca="1">IF(ISERROR(F426),"",VLOOKUP(A426,INDIRECT($F$8),6+(O442-1)*3))</f>
        <v>25</v>
      </c>
      <c r="T442" s="1">
        <f ca="1">IF(ISERROR(F426),"",VLOOKUP(A426,INDIRECT($F$8),7+(O442-1)*3))</f>
        <v>50</v>
      </c>
      <c r="U442" s="1">
        <f ca="1">IF(ISERROR(F426),"",VLOOKUP(A426,INDIRECT($F$8),8+(O442-1)*3))</f>
        <v>75</v>
      </c>
      <c r="V442" s="1"/>
      <c r="W442" s="1">
        <f ca="1">IF(ISERROR(F426),"",IF(ISTEXT(VLOOKUP(B426,INDIRECT($F$8),6+(O442-1)*3)),11,IF(VLOOKUP(B426,INDIRECT($F$8),6+(O442-1)*3)&lt;S442*0.3,IF(VLOOKUP(B426,INDIRECT($F$8),8+(O442-1)*3)&lt;U442*0.4,IF(AND(0.4*U442-VLOOKUP(B426,INDIRECT($F$8),8+(O442-1)*3)&lt;=5,0.3*S442-VLOOKUP(B426,INDIRECT($F$8),6+(O442-1)*3)&lt;=5),MAX(0.4*U442-VLOOKUP(B426,INDIRECT($F$8),8+(O442-1)*3),0.3*S442-VLOOKUP(B426,INDIRECT($F$8),6+(O442-1)*3)),11),IF(0.3*S442-VLOOKUP(B426,INDIRECT($F$8),6+(O442-1)*3)&lt;=5,0.3*S442-VLOOKUP(B426,INDIRECT($F$8),6+(O442-1)*3),11)),IF(VLOOKUP(B426,INDIRECT($F$8),8+(O442-1)*3)&lt;U442*0.4,IF(U442*0.4-VLOOKUP(B426,INDIRECT($F$8),8+(O442-1)*3)&lt;=5,U442*0.4-VLOOKUP(B426,INDIRECT($F$8),8+(O442-1)*3),11),0))))</f>
        <v>0</v>
      </c>
      <c r="X442" s="1" t="str">
        <f ca="1">IF(ISERROR(F426),"",IF(W442=0,"",_xlfn.TEXTJOIN("",FALSE," G+",W442," in ",A442)))</f>
        <v/>
      </c>
    </row>
    <row r="443" spans="1:24" ht="11.5" customHeight="1" x14ac:dyDescent="0.2">
      <c r="A443" s="7" t="str">
        <f ca="1">IF(ISERROR(F426),"",VLOOKUP(C426,INDIRECT($F$8),6+(O443-1)*3-Y443,0))</f>
        <v>GP 01</v>
      </c>
      <c r="B443" s="24" t="str">
        <f ca="1">IF(ISERROR(F426),"",VLOOKUP(D426,INDIRECT($F$8),6+(O443-1)*3-Z443,0))</f>
        <v>General Proficiency ($)</v>
      </c>
      <c r="C443" s="24"/>
      <c r="D443" s="24"/>
      <c r="E443" s="24"/>
      <c r="F443" s="7">
        <f ca="1">IF(ISERROR(F426),"",VLOOKUP(E426,INDIRECT($F$8),6+(O443-1)*3-AA443,0))</f>
        <v>0</v>
      </c>
      <c r="G443" s="25" t="str">
        <f ca="1">IF(ISERROR(F426),"","-")</f>
        <v>-</v>
      </c>
      <c r="H443" s="25"/>
      <c r="I443" s="25" t="str">
        <f ca="1">IF(ISERROR(F426),"",_xlfn.TEXTJOIN("/",FALSE,Q443,T443))</f>
        <v>47/50</v>
      </c>
      <c r="J443" s="25"/>
      <c r="K443" s="25" t="str">
        <f ca="1">IF(ISERROR(F426),"",_xlfn.TEXTJOIN("/",FALSE,R443,U443))</f>
        <v>47/50</v>
      </c>
      <c r="L443" s="25"/>
      <c r="M443" s="25" t="str">
        <f ca="1">IF(ISBLANK(R443),"",IF(ISTEXT(R443),R443,IF(R443&gt;=0.8*U443,"Excellent",IF(R443&gt;=0.6*U443,"Very Good",IF(R443&gt;=0.4*U443,"Good",IF(R443&gt;=0.2*U443,"Satisfactory","Average"))))))</f>
        <v>Excellent</v>
      </c>
      <c r="N443" s="25"/>
      <c r="O443">
        <f t="shared" ca="1" si="40"/>
        <v>14</v>
      </c>
      <c r="P443" s="1">
        <f ca="1">IF(ISERROR(F426),"",IF(ISTEXT(VLOOKUP(B\28,INDIRECT($F$8),6+(O443-1)*3)),(VLOOKUP(B426,INDIRECT($F$8),6+(O443-1)*3)),SUM(VLOOKUP(B426,INDIRECT($F$8),6+(O443-1)*3),IF(W444,W444,0))))</f>
        <v>0</v>
      </c>
      <c r="Q443" s="1">
        <f ca="1">IF(ISERROR(F426),"",VLOOKUP(B426,INDIRECT($F$8),7+(O443-1)*3))</f>
        <v>47</v>
      </c>
      <c r="R443" s="1">
        <f ca="1">IF(ISERROR(F426),"",SUM(P443:Q443))</f>
        <v>47</v>
      </c>
      <c r="S443" s="1">
        <f ca="1">IF(ISERROR(F426),"",VLOOKUP(A426,INDIRECT($F$8),6+(O443-1)*3))</f>
        <v>0</v>
      </c>
      <c r="T443" s="1">
        <f ca="1">IF(ISERROR(F426),"",VLOOKUP(A426,INDIRECT($F$8),7+(O443-1)*3))</f>
        <v>50</v>
      </c>
      <c r="U443" s="1">
        <f ca="1">IF(ISERROR(F426),"",VLOOKUP(A426,INDIRECT($F$8),8+(O443-1)*3))</f>
        <v>50</v>
      </c>
      <c r="V443" s="1"/>
      <c r="W443" s="1"/>
      <c r="X443" s="1" t="str">
        <f ca="1">IF(ISERROR(F426),"",IF(W443=0,"",_xlfn.TEXTJOIN("",FALSE," G+",W443," in ",A443)))</f>
        <v/>
      </c>
    </row>
    <row r="444" spans="1:24" ht="11.5" customHeight="1" x14ac:dyDescent="0.2">
      <c r="A444" s="26" t="str">
        <f ca="1">IF(ISERROR(F426),"",A422)</f>
        <v>Total Credits/ Marks/ Total Grade Points</v>
      </c>
      <c r="B444" s="26"/>
      <c r="C444" s="26"/>
      <c r="D444" s="26"/>
      <c r="E444" s="26"/>
      <c r="F444" s="10">
        <f ca="1">IF(ISERROR(F426),"",SUM(F431:F442))</f>
        <v>23</v>
      </c>
      <c r="G444" s="27" t="str">
        <f ca="1">IF(ISERROR(F426),"",_xlfn.TEXTJOIN("/",TRUE,SUMIF(F431:F443,"&gt;0",P431:P443),SUMIF(F431:F443,"&gt;0",S431:S443)))</f>
        <v>291/575</v>
      </c>
      <c r="H444" s="27"/>
      <c r="I444" s="27" t="str">
        <f ca="1">IF(ISERROR(F426),"",_xlfn.TEXTJOIN("/",TRUE,SUMIF(F431:F443,"&gt;0",Q431:Q443),SUMIF(F431:F443,"&gt;0",T431:T443)))</f>
        <v>287/375</v>
      </c>
      <c r="J444" s="27"/>
      <c r="K444" s="27" t="str">
        <f ca="1">IF(ISERROR(F426),"",_xlfn.TEXTJOIN("/",TRUE,SUMIF(F431:F443,"&gt;0",R431:R443),SUMIF(F431:F443,"&gt;0",U431:U443)))</f>
        <v>578/950</v>
      </c>
      <c r="L444" s="27"/>
      <c r="M444" s="26">
        <f ca="1">IF(ISERROR(F426),"",SUMPRODUCT(N431:N442,F431:F442))</f>
        <v>133</v>
      </c>
      <c r="N444" s="26"/>
      <c r="V444" s="1" t="str">
        <f ca="1">_xlfn.TEXTJOIN(", ",TRUE,V431:V443)</f>
        <v>AHT 003</v>
      </c>
      <c r="W444" t="b">
        <f ca="1">IF(SUM(W431:W443)&lt;=W430,TRUE,FALSE)</f>
        <v>0</v>
      </c>
      <c r="X444" s="1" t="str">
        <f ca="1">IF(ISERROR(F426),"",_xlfn.TEXTJOIN(",",TRUE,X431:X443))</f>
        <v xml:space="preserve"> G+11 in AHT 003</v>
      </c>
    </row>
    <row r="445" spans="1:24" ht="11.5" customHeight="1" x14ac:dyDescent="0.2">
      <c r="A445" s="26" t="str">
        <f ca="1">IF(ISERROR(F426),"",A423)</f>
        <v>Result:</v>
      </c>
      <c r="B445" s="28" t="str" cm="1">
        <f t="array" aca="1" ref="B445" ca="1">IF(SUM(COUNTIF(M431:M442,{"Ab","Dt"}))=12, "Not Promoted to IInd Semester", IF(V444="", "PASS", "CARRY OVER"))</f>
        <v>CARRY OVER</v>
      </c>
      <c r="C445" s="28"/>
      <c r="D445" s="26" t="str">
        <f ca="1">IF(ISERROR(F426),"",D423)</f>
        <v>Remark:</v>
      </c>
      <c r="E445" s="28" t="str">
        <f ca="1">IF(ISERROR(F426),"",IF(V444="",IF(X444="","",X444),_xlfn.TEXTJOIN(" ",TRUE,"BACK IN",V444)))</f>
        <v>BACK IN AHT 003</v>
      </c>
      <c r="F445" s="28"/>
      <c r="G445" s="26" t="str">
        <f ca="1">IF(ISERROR(F426),"",G423)</f>
        <v>SGPA:</v>
      </c>
      <c r="H445" s="29">
        <f ca="1">IF(ISERROR(F426),"",M444/F444)</f>
        <v>5.7826086956521738</v>
      </c>
      <c r="I445" s="26" t="str">
        <f ca="1">IF(ISERROR(F426),"",I423)</f>
        <v>CGPA:</v>
      </c>
      <c r="J445" s="29">
        <f ca="1">IF(ISERROR(F426),"",VLOOKUP(B426,INDIRECT($F$8),12+(O443-1)*3,0))</f>
        <v>5.7826086956521738</v>
      </c>
      <c r="K445" s="28" t="str">
        <f ca="1">IF(ISERROR(F426),"",K423)</f>
        <v>Earned Credits:</v>
      </c>
      <c r="L445" s="26">
        <f ca="1">IF(ISERROR(F426),"",SUMIF(N431:N442,"&gt;0",F431:F442))</f>
        <v>19</v>
      </c>
      <c r="M445" s="28" t="str">
        <f ca="1">IF(ISERROR(F426),"",M423)</f>
        <v>Cuml. Earned Credits:</v>
      </c>
      <c r="N445" s="26">
        <f ca="1">IF(ISERROR(F426),"",VLOOKUP(B426,INDIRECT($F$8),10+(O443-1)*3,0))</f>
        <v>19</v>
      </c>
    </row>
    <row r="446" spans="1:24" ht="11.5" customHeight="1" x14ac:dyDescent="0.2">
      <c r="A446" s="26"/>
      <c r="B446" s="28"/>
      <c r="C446" s="28"/>
      <c r="D446" s="26"/>
      <c r="E446" s="28"/>
      <c r="F446" s="28"/>
      <c r="G446" s="26"/>
      <c r="H446" s="29"/>
      <c r="I446" s="26"/>
      <c r="J446" s="29"/>
      <c r="K446" s="28"/>
      <c r="L446" s="26"/>
      <c r="M446" s="28"/>
      <c r="N446" s="26"/>
    </row>
    <row r="447" spans="1:24" ht="22" customHeight="1" x14ac:dyDescent="0.2">
      <c r="A447" s="26"/>
      <c r="B447" s="28"/>
      <c r="C447" s="28"/>
      <c r="D447" s="26"/>
      <c r="E447" s="28"/>
      <c r="F447" s="28"/>
      <c r="G447" s="26"/>
      <c r="H447" s="29"/>
      <c r="I447" s="26"/>
      <c r="J447" s="29"/>
      <c r="K447" s="28"/>
      <c r="L447" s="26"/>
      <c r="M447" s="28"/>
      <c r="N447" s="26"/>
    </row>
    <row r="448" spans="1:24" ht="11.5" customHeight="1" x14ac:dyDescent="0.2">
      <c r="A448" s="11" t="str">
        <f>A426</f>
        <v>MM</v>
      </c>
      <c r="B448" s="11">
        <f>B426+1</f>
        <v>21</v>
      </c>
      <c r="C448" s="11" t="str">
        <f>C426</f>
        <v>SC</v>
      </c>
      <c r="D448" s="11" t="str">
        <f>D426</f>
        <v>SN</v>
      </c>
      <c r="E448" s="11" t="str">
        <f>E426</f>
        <v>C</v>
      </c>
      <c r="F448" s="11" t="str">
        <f ca="1">VLOOKUP(B448,INDIRECT($F$8),4,0)</f>
        <v>PRACHI SINGH</v>
      </c>
    </row>
    <row r="449" spans="1:24" ht="11.5" customHeight="1" x14ac:dyDescent="0.2">
      <c r="A449" s="30" t="str">
        <f ca="1">IF(ISERROR(F448),"",A427)</f>
        <v>Name:</v>
      </c>
      <c r="B449" s="30" t="str">
        <f ca="1">IFERROR(VLOOKUP(B448,INDIRECT($F$8),4,0),"")</f>
        <v>PRACHI SINGH</v>
      </c>
      <c r="C449" s="30"/>
      <c r="D449" s="30" t="str">
        <f ca="1">IF(ISERROR(F448),"",D427)</f>
        <v>Father's Name:</v>
      </c>
      <c r="E449" s="30" t="str">
        <f ca="1">IFERROR(VLOOKUP(B448,INDIRECT($F$8),5,0),"")</f>
        <v>SANTOSH KUMAR SINGH</v>
      </c>
      <c r="F449" s="30"/>
      <c r="G449" s="30" t="str">
        <f ca="1">IF(ISERROR(F448),"",G427)</f>
        <v>University Roll No:</v>
      </c>
      <c r="H449" s="30"/>
      <c r="I449" s="31">
        <f ca="1">IFERROR(VLOOKUP(B448,INDIRECT($F$8),2,0),"")</f>
        <v>250090120022</v>
      </c>
      <c r="J449" s="31"/>
      <c r="K449" s="30" t="str">
        <f ca="1">IF(ISERROR(F448),"",K427)</f>
        <v>University Enrol. No:</v>
      </c>
      <c r="L449" s="30"/>
      <c r="M449" s="31" t="str">
        <f ca="1">IFERROR(VLOOKUP(B448,INDIRECT($F$8),3,0),"")</f>
        <v>UTU/2501104231</v>
      </c>
      <c r="N449" s="31"/>
    </row>
    <row r="450" spans="1:24" ht="11.5" customHeight="1" x14ac:dyDescent="0.2">
      <c r="A450" s="30"/>
      <c r="B450" s="30"/>
      <c r="C450" s="30"/>
      <c r="D450" s="30"/>
      <c r="E450" s="30"/>
      <c r="F450" s="30"/>
      <c r="G450" s="30"/>
      <c r="H450" s="30"/>
      <c r="I450" s="31"/>
      <c r="J450" s="31"/>
      <c r="K450" s="30"/>
      <c r="L450" s="30"/>
      <c r="M450" s="31"/>
      <c r="N450" s="31"/>
    </row>
    <row r="451" spans="1:24" ht="11.5" customHeight="1" x14ac:dyDescent="0.2">
      <c r="A451" s="28" t="str">
        <f ca="1">IF(ISERROR(F448),"",A429)</f>
        <v>Subject Code</v>
      </c>
      <c r="B451" s="28" t="str">
        <f ca="1">IF(ISERROR(F448),"",B429)</f>
        <v>Subject Name</v>
      </c>
      <c r="C451" s="28"/>
      <c r="D451" s="28"/>
      <c r="E451" s="28"/>
      <c r="F451" s="28" t="str">
        <f ca="1">IF(ISERROR(F448),"",F429)</f>
        <v>Credits</v>
      </c>
      <c r="G451" s="28" t="str">
        <f ca="1">IF(ISERROR(F448),"",G429)</f>
        <v>External Marks</v>
      </c>
      <c r="H451" s="28"/>
      <c r="I451" s="28" t="str">
        <f ca="1">IF(ISERROR(F448),"",I429)</f>
        <v>Sessional Marks</v>
      </c>
      <c r="J451" s="28"/>
      <c r="K451" s="28" t="str">
        <f ca="1">IF(ISERROR(F448),"",K429)</f>
        <v>Total Marks</v>
      </c>
      <c r="L451" s="28"/>
      <c r="M451" s="28" t="str">
        <f ca="1">IF(ISERROR(F448),"",M429)</f>
        <v>Grade</v>
      </c>
      <c r="N451" s="28" t="str">
        <f ca="1">IF(ISERROR(F448),"",N429)</f>
        <v>Grade Points</v>
      </c>
    </row>
    <row r="452" spans="1:24" ht="11.5" customHeight="1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W452">
        <f ca="1">IF(ISNUMBER(MATCH($F$8,{"I","III","V","VII"},0)),10,10-INDEX(INDIRECT(_xlfn.TEXTJOIN("",TRUE,"SEM_",$G$8,"!",ADDRESS(6,4+$I$8*3+4),":",ADDRESS(5+$H$8,4+$I$8*3+4))),MATCH(INDIRECT(_xlfn.TEXTJOIN("",TRUE,"TC_",$F$8,"!",ADDRESS(ROW(I449),COLUMN(I449)))),INDIRECT(_xlfn.TEXTJOIN("",TRUE,"SEM_",$G$8,"!",ADDRESS(6,2),":",ADDRESS(5+$H$8,2))))))</f>
        <v>10</v>
      </c>
    </row>
    <row r="453" spans="1:24" ht="11.5" customHeight="1" x14ac:dyDescent="0.2">
      <c r="A453" s="7" t="str">
        <f ca="1">IF(ISERROR(F448),"",VLOOKUP(C448,INDIRECT($F$8),6+(O453-1)*3,0))</f>
        <v>AHT 002</v>
      </c>
      <c r="B453" s="24" t="str">
        <f ca="1">IF(ISERROR(F448),"",VLOOKUP(D448,INDIRECT($F$8),6+(O453-1)*3,0))</f>
        <v>Engineering Chemistry</v>
      </c>
      <c r="C453" s="24"/>
      <c r="D453" s="24"/>
      <c r="E453" s="24"/>
      <c r="F453" s="7">
        <f ca="1">IF(ISERROR(F448),"",VLOOKUP(E448,INDIRECT($F$8),6+(O453-1)*3,0))</f>
        <v>4</v>
      </c>
      <c r="G453" s="25" t="str">
        <f ca="1">IF(ISERROR(F448),"",_xlfn.TEXTJOIN("/",FALSE,P453,S453))</f>
        <v>25/100</v>
      </c>
      <c r="H453" s="25"/>
      <c r="I453" s="25" t="str">
        <f ca="1">IF(ISERROR(F448),"",_xlfn.TEXTJOIN("/",FALSE,Q453,T453))</f>
        <v>26/50</v>
      </c>
      <c r="J453" s="25"/>
      <c r="K453" s="25" t="str">
        <f ca="1">IF(ISERROR(F448),"",_xlfn.TEXTJOIN("/",FALSE,R453,U453))</f>
        <v>51/150</v>
      </c>
      <c r="L453" s="25"/>
      <c r="M453" s="7" t="str">
        <f ca="1">IF(ISERROR(F448),"",IF(ISTEXT(P453),IF(P453="A","Ab",IF(P453="D","Dt",IF(P453="UFM","UFM",IF(P453="NA","")))),IF(AND(ISBLANK(P453),ISBLANK(R453)),"",IF(P453&lt;0.3*S453,"F",IF(ISBLANK(R453),"",IF(ISTEXT(R453),R453,IF(R453&gt;=0.95*U453,"O",IF(R453&gt;=0.9*U453,"A+",IF(R453&gt;=0.85*U453,"A",IF(R453&gt;=0.8*U453,"B+",IF(R453&gt;=0.75*U453,"B",IF(R453&gt;=0.7*U453,"C+",IF(R453&gt;=0.65*U453,"C",IF(R453&gt;=0.6*U453,"D+",IF(R453&gt;=0.55*U453,"D",IF(R453&gt;=0.5*U453,"E+",IF(R453&gt;=0.45*U453,"E",IF(R453&gt;=0.4*U453,"P",IF(R453&lt;0.4*U453,"F",R453)))))))))))))))))))</f>
        <v>F</v>
      </c>
      <c r="N453" s="8">
        <f ca="1">INDEX($Z$2:$Z$17,MATCH(M453,$Y$2:$Y$17,0))</f>
        <v>0</v>
      </c>
      <c r="O453">
        <v>1</v>
      </c>
      <c r="P453" s="1">
        <f ca="1">IF(ISERROR(F448),"",IF(ISTEXT(VLOOKUP(B448,INDIRECT($F$8),6+(O453-1)*3)),(VLOOKUP(B448,INDIRECT($F$8),6+(O453-1)*3)),SUM(VLOOKUP(B448,INDIRECT($F$8),6+(O453-1)*3),IF(W466,W453,0))))</f>
        <v>25</v>
      </c>
      <c r="Q453" s="1">
        <f ca="1">IF(ISERROR(F448),"",VLOOKUP(B448,INDIRECT($F$8),7+(O453-1)*3))</f>
        <v>26</v>
      </c>
      <c r="R453" s="1">
        <f ca="1">IF(ISERROR(F448),"",SUM(P453:Q453))</f>
        <v>51</v>
      </c>
      <c r="S453" s="1">
        <f ca="1">IF(ISERROR(F448),"",VLOOKUP(A448,INDIRECT($F$8),6+(O453-1)*3))</f>
        <v>100</v>
      </c>
      <c r="T453" s="1">
        <f ca="1">IF(ISERROR(F448),"",VLOOKUP(A448,INDIRECT($F$8),7+(O453-1)*3))</f>
        <v>50</v>
      </c>
      <c r="U453" s="1">
        <f ca="1">IF(ISERROR(F448),"",VLOOKUP(A448,INDIRECT($F$8),8+(O453-1)*3))</f>
        <v>150</v>
      </c>
      <c r="V453" s="1" t="str">
        <f ca="1">IF(ISERROR(F448),"",IF(N453=0,A453,""))</f>
        <v>AHT 002</v>
      </c>
      <c r="W453" s="1">
        <f ca="1">IF(ISERROR(F448),"",IF(ISTEXT(VLOOKUP(B448,INDIRECT($F$8),6+(O453-1)*3)),11,IF(VLOOKUP(B448,INDIRECT($F$8),6+(O453-1)*3)&lt;S453*0.3,IF(VLOOKUP(B448,INDIRECT($F$8),8+(O453-1)*3)&lt;U453*0.4,IF(AND(0.4*U453-VLOOKUP(B448,INDIRECT($F$8),8+(O453-1)*3)&lt;=5,0.3*S453-VLOOKUP(B448,INDIRECT($F$8),6+(O453-1)*3)&lt;=5),MAX(0.4*U453-VLOOKUP(B448,INDIRECT($F$8),8+(O453-1)*3),0.3*S453-VLOOKUP(B448,INDIRECT($F$8),6+(O453-1)*3)),11),IF(0.3*S453-VLOOKUP(B448,INDIRECT($F$8),6+(O453-1)*3)&lt;=5,0.3*S453-VLOOKUP(B448,INDIRECT($F$8),6+(O453-1)*3),11)),IF(VLOOKUP(B448,INDIRECT($F$8),8+(O453-1)*3)&lt;U453*0.4,IF(U453*0.4-VLOOKUP(B448,INDIRECT($F$8),8+(O453-1)*3)&lt;=5,U453*0.4-VLOOKUP(B448,INDIRECT($F$8),8+(O453-1)*3),11),0))))</f>
        <v>11</v>
      </c>
      <c r="X453" s="1" t="str">
        <f ca="1">IF(ISERROR(F448),"",IF(W453=0,"",_xlfn.TEXTJOIN("",FALSE," G+",W453," in ",A453)))</f>
        <v xml:space="preserve"> G+11 in AHT 002</v>
      </c>
    </row>
    <row r="454" spans="1:24" ht="11.5" customHeight="1" x14ac:dyDescent="0.2">
      <c r="A454" s="7" t="str">
        <f ca="1">IF(ISERROR(F448),"",VLOOKUP(C448,INDIRECT($F$8),6+(O454-1)*3,0))</f>
        <v>AHT 003</v>
      </c>
      <c r="B454" s="24" t="str">
        <f ca="1">IF(ISERROR(F448),"",VLOOKUP(D448,INDIRECT($F$8),6+(O454-1)*3,0))</f>
        <v>Introduction to Engineering Mathematics</v>
      </c>
      <c r="C454" s="24"/>
      <c r="D454" s="24"/>
      <c r="E454" s="24"/>
      <c r="F454" s="7">
        <f ca="1">IF(ISERROR(F448),"",VLOOKUP(E448,INDIRECT($F$8),6+(O454-1)*3,0))</f>
        <v>4</v>
      </c>
      <c r="G454" s="25" t="str">
        <f ca="1">IF(ISERROR(F448),"",_xlfn.TEXTJOIN("/",FALSE,P454,S454))</f>
        <v>12/100</v>
      </c>
      <c r="H454" s="25"/>
      <c r="I454" s="25" t="str">
        <f ca="1">IF(ISERROR(F448),"",_xlfn.TEXTJOIN("/",FALSE,Q454,T454))</f>
        <v>18/50</v>
      </c>
      <c r="J454" s="25"/>
      <c r="K454" s="25" t="str">
        <f ca="1">IF(ISERROR(F448),"",_xlfn.TEXTJOIN("/",FALSE,R454,U454))</f>
        <v>30/150</v>
      </c>
      <c r="L454" s="25"/>
      <c r="M454" s="7" t="str">
        <f ca="1">IF(ISERROR(F448)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F</v>
      </c>
      <c r="N454" s="8">
        <f t="shared" ref="N454:N463" ca="1" si="41">INDEX($Z$2:$Z$17,MATCH(M454,$Y$2:$Y$17,0))</f>
        <v>0</v>
      </c>
      <c r="O454">
        <f>O453+1</f>
        <v>2</v>
      </c>
      <c r="P454" s="1">
        <f ca="1">IF(ISERROR(F448),"",IF(ISTEXT(VLOOKUP(B448,INDIRECT($F$8),6+(O454-1)*3)),(VLOOKUP(B448,INDIRECT($F$8),6+(O454-1)*3)),SUM(VLOOKUP(B448,INDIRECT($F$8),6+(O454-1)*3),IF(W466,W454,0))))</f>
        <v>12</v>
      </c>
      <c r="Q454" s="1">
        <f ca="1">IF(ISERROR(F448),"",VLOOKUP(B448,INDIRECT($F$8),7+(O454-1)*3))</f>
        <v>18</v>
      </c>
      <c r="R454" s="1">
        <f ca="1">IF(ISERROR(F448),"",SUM(P454:Q454))</f>
        <v>30</v>
      </c>
      <c r="S454" s="1">
        <f ca="1">IF(ISERROR(F448),"",VLOOKUP(A448,INDIRECT($F$8),6+(O454-1)*3))</f>
        <v>100</v>
      </c>
      <c r="T454" s="1">
        <f ca="1">IF(ISERROR(F448),"",VLOOKUP(A448,INDIRECT($F$8),7+(O454-1)*3))</f>
        <v>50</v>
      </c>
      <c r="U454" s="1">
        <f ca="1">IF(ISERROR(F448),"",VLOOKUP(A448,INDIRECT($F$8),8+(O454-1)*3))</f>
        <v>150</v>
      </c>
      <c r="V454" s="1" t="str">
        <f ca="1">IF(ISERROR(F448),"",IF(N454=0,A454,""))</f>
        <v>AHT 003</v>
      </c>
      <c r="W454" s="1">
        <f ca="1">IF(ISERROR(F448),"",IF(ISTEXT(VLOOKUP(B448,INDIRECT($F$8),6+(O454-1)*3)),11,IF(VLOOKUP(B448,INDIRECT($F$8),6+(O454-1)*3)&lt;S454*0.3,IF(VLOOKUP(B448,INDIRECT($F$8),8+(O454-1)*3)&lt;U454*0.4,IF(AND(0.4*U454-VLOOKUP(B448,INDIRECT($F$8),8+(O454-1)*3)&lt;=5,0.3*S454-VLOOKUP(B448,INDIRECT($F$8),6+(O454-1)*3)&lt;=5),MAX(0.4*U454-VLOOKUP(B448,INDIRECT($F$8),8+(O454-1)*3),0.3*S454-VLOOKUP(B448,INDIRECT($F$8),6+(O454-1)*3)),11),IF(0.3*S454-VLOOKUP(B448,INDIRECT($F$8),6+(O454-1)*3)&lt;=5,0.3*S454-VLOOKUP(B448,INDIRECT($F$8),6+(O454-1)*3),11)),IF(VLOOKUP(B448,INDIRECT($F$8),8+(O454-1)*3)&lt;U454*0.4,IF(U454*0.4-VLOOKUP(B448,INDIRECT($F$8),8+(O454-1)*3)&lt;=5,U454*0.4-VLOOKUP(B448,INDIRECT($F$8),8+(O454-1)*3),11),0))))</f>
        <v>11</v>
      </c>
      <c r="X454" s="1" t="str">
        <f ca="1">IF(ISERROR(F448),"",IF(W454=0,"",_xlfn.TEXTJOIN("",FALSE," G+",W454," in ",A454)))</f>
        <v xml:space="preserve"> G+11 in AHT 003</v>
      </c>
    </row>
    <row r="455" spans="1:24" ht="11.5" customHeight="1" x14ac:dyDescent="0.2">
      <c r="A455" s="7" t="str">
        <f ca="1">IF(ISERROR(F448),"",VLOOKUP(C448,INDIRECT($F$8),6+(O455-1)*3,0))</f>
        <v>ECT 001</v>
      </c>
      <c r="B455" s="24" t="str">
        <f ca="1">IF(ISERROR(F448),"",VLOOKUP(D448,INDIRECT($F$8),6+(O455-1)*3,0))</f>
        <v>Basic Electronics Engineering</v>
      </c>
      <c r="C455" s="24"/>
      <c r="D455" s="24"/>
      <c r="E455" s="24"/>
      <c r="F455" s="7">
        <f ca="1">IF(ISERROR(F448),"",VLOOKUP(E448,INDIRECT($F$8),6+(O455-1)*3,0))</f>
        <v>4</v>
      </c>
      <c r="G455" s="25" t="str">
        <f ca="1">IF(ISERROR(F448),"",_xlfn.TEXTJOIN("/",FALSE,P455,S455))</f>
        <v>30/100</v>
      </c>
      <c r="H455" s="25"/>
      <c r="I455" s="25" t="str">
        <f ca="1">IF(ISERROR(F448),"",_xlfn.TEXTJOIN("/",FALSE,Q455,T455))</f>
        <v>32/50</v>
      </c>
      <c r="J455" s="25"/>
      <c r="K455" s="25" t="str">
        <f ca="1">IF(ISERROR(F448),"",_xlfn.TEXTJOIN("/",FALSE,R455,U455))</f>
        <v>62/150</v>
      </c>
      <c r="L455" s="25"/>
      <c r="M455" s="7" t="str">
        <f ca="1">IF(ISERROR(F448)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P</v>
      </c>
      <c r="N455" s="8">
        <f t="shared" ca="1" si="41"/>
        <v>4.5</v>
      </c>
      <c r="O455">
        <f>O454+1</f>
        <v>3</v>
      </c>
      <c r="P455" s="1">
        <f ca="1">IF(ISERROR(F448),"",IF(ISTEXT(VLOOKUP(B448,INDIRECT($F$8),6+(O455-1)*3)),(VLOOKUP(B448,INDIRECT($F$8),6+(O455-1)*3)),SUM(VLOOKUP(B448,INDIRECT($F$8),6+(O455-1)*3),IF(W466,W455,0))))</f>
        <v>30</v>
      </c>
      <c r="Q455" s="1">
        <f ca="1">IF(ISERROR(F448),"",VLOOKUP(B448,INDIRECT($F$8),7+(O455-1)*3))</f>
        <v>32</v>
      </c>
      <c r="R455" s="1">
        <f ca="1">IF(ISERROR(F448),"",SUM(P455:Q455))</f>
        <v>62</v>
      </c>
      <c r="S455" s="1">
        <f ca="1">IF(ISERROR(F448),"",VLOOKUP(A448,INDIRECT($F$8),6+(O455-1)*3))</f>
        <v>100</v>
      </c>
      <c r="T455" s="1">
        <f ca="1">IF(ISERROR(F448),"",VLOOKUP(A448,INDIRECT($F$8),7+(O455-1)*3))</f>
        <v>50</v>
      </c>
      <c r="U455" s="1">
        <f ca="1">IF(ISERROR(F448),"",VLOOKUP(A448,INDIRECT($F$8),8+(O455-1)*3))</f>
        <v>150</v>
      </c>
      <c r="V455" s="1" t="str">
        <f ca="1">IF(ISERROR(F448),"",IF(N455=0,A455,""))</f>
        <v/>
      </c>
      <c r="W455" s="1">
        <f ca="1">IF(ISERROR(F448),"",IF(ISTEXT(VLOOKUP(B448,INDIRECT($F$8),6+(O455-1)*3)),11,IF(VLOOKUP(B448,INDIRECT($F$8),6+(O455-1)*3)&lt;S455*0.3,IF(VLOOKUP(B448,INDIRECT($F$8),8+(O455-1)*3)&lt;U455*0.4,IF(AND(0.4*U455-VLOOKUP(B448,INDIRECT($F$8),8+(O455-1)*3)&lt;=5,0.3*S455-VLOOKUP(B448,INDIRECT($F$8),6+(O455-1)*3)&lt;=5),MAX(0.4*U455-VLOOKUP(B448,INDIRECT($F$8),8+(O455-1)*3),0.3*S455-VLOOKUP(B448,INDIRECT($F$8),6+(O455-1)*3)),11),IF(0.3*S455-VLOOKUP(B448,INDIRECT($F$8),6+(O455-1)*3)&lt;=5,0.3*S455-VLOOKUP(B448,INDIRECT($F$8),6+(O455-1)*3),11)),IF(VLOOKUP(B448,INDIRECT($F$8),8+(O455-1)*3)&lt;U455*0.4,IF(U455*0.4-VLOOKUP(B448,INDIRECT($F$8),8+(O455-1)*3)&lt;=5,U455*0.4-VLOOKUP(B448,INDIRECT($F$8),8+(O455-1)*3),11),0))))</f>
        <v>0</v>
      </c>
      <c r="X455" s="1" t="str">
        <f ca="1">IF(ISERROR(F448),"",IF(W455=0,"",_xlfn.TEXTJOIN("",FALSE," G+",W455," in ",A455)))</f>
        <v/>
      </c>
    </row>
    <row r="456" spans="1:24" ht="11.5" customHeight="1" x14ac:dyDescent="0.2">
      <c r="A456" s="7" t="str">
        <f ca="1">IF(ISERROR(F448),"",VLOOKUP(C448,INDIRECT($F$8),6+(O456-1)*3,0))</f>
        <v>MET 001</v>
      </c>
      <c r="B456" s="24" t="str">
        <f ca="1">IF(ISERROR(F448),"",VLOOKUP(D448,INDIRECT($F$8),6+(O456-1)*3,0))</f>
        <v>Basic Mechanical Engineering</v>
      </c>
      <c r="C456" s="24"/>
      <c r="D456" s="24"/>
      <c r="E456" s="24"/>
      <c r="F456" s="7">
        <f ca="1">IF(ISERROR(F448),"",VLOOKUP(E448,INDIRECT($F$8),6+(O456-1)*3,0))</f>
        <v>4</v>
      </c>
      <c r="G456" s="25" t="str">
        <f ca="1">IF(ISERROR(F448),"",_xlfn.TEXTJOIN("/",FALSE,P456,S456))</f>
        <v>35/100</v>
      </c>
      <c r="H456" s="25"/>
      <c r="I456" s="25" t="str">
        <f ca="1">IF(ISERROR(F448),"",_xlfn.TEXTJOIN("/",FALSE,Q456,T456))</f>
        <v>33/50</v>
      </c>
      <c r="J456" s="25"/>
      <c r="K456" s="25" t="str">
        <f ca="1">IF(ISERROR(F448),"",_xlfn.TEXTJOIN("/",FALSE,R456,U456))</f>
        <v>68/150</v>
      </c>
      <c r="L456" s="25"/>
      <c r="M456" s="7" t="str">
        <f ca="1">IF(ISERROR(F448)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E</v>
      </c>
      <c r="N456" s="8">
        <f t="shared" ca="1" si="41"/>
        <v>5</v>
      </c>
      <c r="O456">
        <f>O455+1</f>
        <v>4</v>
      </c>
      <c r="P456" s="1">
        <f ca="1">IF(ISERROR(F448),"",IF(ISTEXT(VLOOKUP(B448,INDIRECT($F$8),6+(O456-1)*3)),(VLOOKUP(B448,INDIRECT($F$8),6+(O456-1)*3)),SUM(VLOOKUP(B448,INDIRECT($F$8),6+(O456-1)*3),IF(W466,W456,0))))</f>
        <v>35</v>
      </c>
      <c r="Q456" s="1">
        <f ca="1">IF(ISERROR(F448),"",VLOOKUP(B448,INDIRECT($F$8),7+(O456-1)*3))</f>
        <v>33</v>
      </c>
      <c r="R456" s="1">
        <f ca="1">IF(ISERROR(F448),"",SUM(P456:Q456))</f>
        <v>68</v>
      </c>
      <c r="S456" s="1">
        <f ca="1">IF(ISERROR(F448),"",VLOOKUP(A448,INDIRECT($F$8),6+(O456-1)*3))</f>
        <v>100</v>
      </c>
      <c r="T456" s="1">
        <f ca="1">IF(ISERROR(F448),"",VLOOKUP(A448,INDIRECT($F$8),7+(O456-1)*3))</f>
        <v>50</v>
      </c>
      <c r="U456" s="1">
        <f ca="1">IF(ISERROR(F448),"",VLOOKUP(A448,INDIRECT($F$8),8+(O456-1)*3))</f>
        <v>150</v>
      </c>
      <c r="V456" s="1" t="str">
        <f ca="1">IF(ISERROR(F448),"",IF(N456=0,A456,""))</f>
        <v/>
      </c>
      <c r="W456" s="1">
        <f ca="1">IF(ISERROR(F448),"",IF(ISTEXT(VLOOKUP(B448,INDIRECT($F$8),6+(O456-1)*3)),11,IF(VLOOKUP(B448,INDIRECT($F$8),6+(O456-1)*3)&lt;S456*0.3,IF(VLOOKUP(B448,INDIRECT($F$8),8+(O456-1)*3)&lt;U456*0.4,IF(AND(0.4*U456-VLOOKUP(B448,INDIRECT($F$8),8+(O456-1)*3)&lt;=5,0.3*S456-VLOOKUP(B448,INDIRECT($F$8),6+(O456-1)*3)&lt;=5),MAX(0.4*U456-VLOOKUP(B448,INDIRECT($F$8),8+(O456-1)*3),0.3*S456-VLOOKUP(B448,INDIRECT($F$8),6+(O456-1)*3)),11),IF(0.3*S456-VLOOKUP(B448,INDIRECT($F$8),6+(O456-1)*3)&lt;=5,0.3*S456-VLOOKUP(B448,INDIRECT($F$8),6+(O456-1)*3),11)),IF(VLOOKUP(B448,INDIRECT($F$8),8+(O456-1)*3)&lt;U456*0.4,IF(U456*0.4-VLOOKUP(B448,INDIRECT($F$8),8+(O456-1)*3)&lt;=5,U456*0.4-VLOOKUP(B448,INDIRECT($F$8),8+(O456-1)*3),11),0))))</f>
        <v>0</v>
      </c>
      <c r="X456" s="1" t="str">
        <f ca="1">IF(ISERROR(F448),"",IF(W456=0,"",_xlfn.TEXTJOIN("",FALSE," G+",W456," in ",A456)))</f>
        <v/>
      </c>
    </row>
    <row r="457" spans="1:24" ht="11.5" customHeight="1" x14ac:dyDescent="0.2">
      <c r="A457" s="7" t="str">
        <f ca="1">IF(ISERROR(F448),"",VLOOKUP(C448,INDIRECT($F$8),6+(O457-1)*3,0))</f>
        <v>BTT 001</v>
      </c>
      <c r="B457" s="24" t="str">
        <f ca="1">IF(ISERROR(F448),"",VLOOKUP(D448,INDIRECT($F$8),6+(O457-1)*3,0))</f>
        <v>Biology for Engineers (Bridge Course) ($)</v>
      </c>
      <c r="C457" s="24"/>
      <c r="D457" s="24"/>
      <c r="E457" s="24"/>
      <c r="F457" s="7">
        <f ca="1">IF(ISERROR(F448),"",VLOOKUP(E448,INDIRECT($F$8),6+(O457-1)*3,0))</f>
        <v>0</v>
      </c>
      <c r="G457" s="25" t="str">
        <f ca="1">IF(ISERROR(F448),"",_xlfn.TEXTJOIN("/",FALSE,P457,S457))</f>
        <v>48/100</v>
      </c>
      <c r="H457" s="25"/>
      <c r="I457" s="25" t="str">
        <f ca="1">IF(ISERROR(F448),"",_xlfn.TEXTJOIN("/",FALSE,Q457,T457))</f>
        <v>33/50</v>
      </c>
      <c r="J457" s="25"/>
      <c r="K457" s="25" t="str">
        <f ca="1">IF(ISERROR(F448),"",_xlfn.TEXTJOIN("/",FALSE,R457,U457))</f>
        <v>81/150</v>
      </c>
      <c r="L457" s="25"/>
      <c r="M457" s="7" t="str">
        <f ca="1">IF(ISERROR(F448)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E+</v>
      </c>
      <c r="N457" s="8">
        <f t="shared" ca="1" si="41"/>
        <v>5.5</v>
      </c>
      <c r="O457" cm="1">
        <f t="array" aca="1" ref="O457" ca="1">IF(NOT(ISBLANK(INDIRECT("SEM_I!R"&amp;INT((ROW(O457)-17)/22)+6))),5,
IF(NOT(ISBLANK(INDIRECT("SEM_I!U"&amp;INT((ROW(O457)-17)/22)+6))),6))</f>
        <v>6</v>
      </c>
      <c r="P457" s="1">
        <f ca="1">IF(ISERROR(F448),"",IF(ISTEXT(VLOOKUP(B448,INDIRECT($F$8),6+(O457-1)*3)),(VLOOKUP(B448,INDIRECT($F$8),6+(O457-1)*3)),SUM(VLOOKUP(B448,INDIRECT($F$8),6+(O457-1)*3),IF(W466,W457,0))))</f>
        <v>48</v>
      </c>
      <c r="Q457" s="1">
        <f ca="1">IF(ISERROR(F448),"",VLOOKUP(B448,INDIRECT($F$8),7+(O457-1)*3))</f>
        <v>33</v>
      </c>
      <c r="R457" s="1">
        <f ca="1">IF(ISERROR(F448),"",SUM(P457:Q457))</f>
        <v>81</v>
      </c>
      <c r="S457" s="1">
        <f ca="1">IF(ISERROR(F448),"",VLOOKUP(A448,INDIRECT($F$8),6+(O457-1)*3))</f>
        <v>100</v>
      </c>
      <c r="T457" s="1">
        <f ca="1">IF(ISERROR(F448),"",VLOOKUP(A448,INDIRECT($F$8),7+(O457-1)*3))</f>
        <v>50</v>
      </c>
      <c r="U457" s="1">
        <f ca="1">IF(ISERROR(F448),"",VLOOKUP(A448,INDIRECT($F$8),8+(O457-1)*3))</f>
        <v>150</v>
      </c>
      <c r="V457" s="1" t="str">
        <f ca="1">IF(ISERROR(F448),"",IF(N457=0,A457,""))</f>
        <v/>
      </c>
      <c r="W457" s="1">
        <f ca="1">IF(ISERROR(F448),"",IF(ISTEXT(VLOOKUP(B448,INDIRECT($F$8),6+(O457-1)*3)),11,IF(VLOOKUP(B448,INDIRECT($F$8),6+(O457-1)*3)&lt;S457*0.3,IF(VLOOKUP(B448,INDIRECT($F$8),8+(O457-1)*3)&lt;U457*0.4,IF(AND(0.4*U457-VLOOKUP(B448,INDIRECT($F$8),8+(O457-1)*3)&lt;=5,0.3*S457-VLOOKUP(B448,INDIRECT($F$8),6+(O457-1)*3)&lt;=5),MAX(0.4*U457-VLOOKUP(B448,INDIRECT($F$8),8+(O457-1)*3),0.3*S457-VLOOKUP(B448,INDIRECT($F$8),6+(O457-1)*3)),11),IF(0.3*S457-VLOOKUP(B448,INDIRECT($F$8),6+(O457-1)*3)&lt;=5,0.3*S457-VLOOKUP(B448,INDIRECT($F$8),6+(O457-1)*3),11)),IF(VLOOKUP(B448,INDIRECT($F$8),8+(O457-1)*3)&lt;U457*0.4,IF(U457*0.4-VLOOKUP(B448,INDIRECT($F$8),8+(O457-1)*3)&lt;=5,U457*0.4-VLOOKUP(B448,INDIRECT($F$8),8+(O457-1)*3),11),0))))</f>
        <v>0</v>
      </c>
      <c r="X457" s="1" t="str">
        <f ca="1">IF(ISERROR(F448),"",IF(W457=0,"",_xlfn.TEXTJOIN("",FALSE," G+",W457," in ",A457)))</f>
        <v/>
      </c>
    </row>
    <row r="458" spans="1:24" ht="11.5" customHeight="1" x14ac:dyDescent="0.2">
      <c r="A458" s="7" t="str">
        <f ca="1">IF(ISERROR(F448),"",VLOOKUP(C448,INDIRECT($F$8),6+(O458-1)*3,0))</f>
        <v>AHP 002</v>
      </c>
      <c r="B458" s="24" t="str">
        <f ca="1">IF(ISERROR(F448),"",VLOOKUP(D448,INDIRECT($F$8),6+(O458-1)*3,0))</f>
        <v>Engineering Chemistry Lab</v>
      </c>
      <c r="C458" s="24"/>
      <c r="D458" s="24"/>
      <c r="E458" s="24"/>
      <c r="F458" s="7">
        <f ca="1">IF(ISERROR(F448),"",VLOOKUP(E448,INDIRECT($F$8),6+(O458-1)*3,0))</f>
        <v>1</v>
      </c>
      <c r="G458" s="25" t="str">
        <f ca="1">IF(ISERROR(F448),"",_xlfn.TEXTJOIN("/",FALSE,P458,S458))</f>
        <v>16/25</v>
      </c>
      <c r="H458" s="25"/>
      <c r="I458" s="25" t="str">
        <f ca="1">IF(ISERROR(F448),"",_xlfn.TEXTJOIN("/",FALSE,Q458,T458))</f>
        <v>14/25</v>
      </c>
      <c r="J458" s="25"/>
      <c r="K458" s="25" t="str">
        <f ca="1">IF(ISERROR(F448),"",_xlfn.TEXTJOIN("/",FALSE,R458,U458))</f>
        <v>30/50</v>
      </c>
      <c r="L458" s="25"/>
      <c r="M458" s="7" t="str">
        <f ca="1">IF(ISERROR(F448)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D+</v>
      </c>
      <c r="N458" s="8">
        <f t="shared" ca="1" si="41"/>
        <v>6.5</v>
      </c>
      <c r="O458">
        <f ca="1">IF(O457&gt;0,7)</f>
        <v>7</v>
      </c>
      <c r="P458" s="1">
        <f ca="1">IF(ISERROR(F448),"",IF(ISTEXT(VLOOKUP(B448,INDIRECT($F$8),6+(O458-1)*3)),(VLOOKUP(B448,INDIRECT($F$8),6+(O458-1)*3)),SUM(VLOOKUP(B448,INDIRECT($F$8),6+(O458-1)*3),IF(W466,W458,0))))</f>
        <v>16</v>
      </c>
      <c r="Q458" s="1">
        <f ca="1">IF(ISERROR(F448),"",VLOOKUP(B448,INDIRECT($F$8),7+(O458-1)*3))</f>
        <v>14</v>
      </c>
      <c r="R458" s="1">
        <f ca="1">IF(ISERROR(F448),"",SUM(P458:Q458))</f>
        <v>30</v>
      </c>
      <c r="S458" s="1">
        <f ca="1">IF(ISERROR(F448),"",VLOOKUP(A448,INDIRECT($F$8),6+(O458-1)*3))</f>
        <v>25</v>
      </c>
      <c r="T458" s="1">
        <f ca="1">IF(ISERROR(F448),"",VLOOKUP(A448,INDIRECT($F$8),7+(O458-1)*3))</f>
        <v>25</v>
      </c>
      <c r="U458" s="1">
        <f ca="1">IF(ISERROR(F448),"",VLOOKUP(A448,INDIRECT($F$8),8+(O458-1)*3))</f>
        <v>50</v>
      </c>
      <c r="V458" s="1" t="str">
        <f ca="1">IF(ISERROR(F448),"",IF(N458=0,A458,""))</f>
        <v/>
      </c>
      <c r="W458" s="1">
        <f ca="1">IF(ISERROR(F448),"",IF(ISTEXT(VLOOKUP(B448,INDIRECT($F$8),6+(O458-1)*3)),11,IF(VLOOKUP(B448,INDIRECT($F$8),6+(O458-1)*3)&lt;S458*0.3,IF(VLOOKUP(B448,INDIRECT($F$8),8+(O458-1)*3)&lt;U458*0.4,IF(AND(0.4*U458-VLOOKUP(B448,INDIRECT($F$8),8+(O458-1)*3)&lt;=5,0.3*S458-VLOOKUP(B448,INDIRECT($F$8),6+(O458-1)*3)&lt;=5),MAX(0.4*U458-VLOOKUP(B448,INDIRECT($F$8),8+(O458-1)*3),0.3*S458-VLOOKUP(B448,INDIRECT($F$8),6+(O458-1)*3)),11),IF(0.3*S458-VLOOKUP(B448,INDIRECT($F$8),6+(O458-1)*3)&lt;=5,0.3*S458-VLOOKUP(B448,INDIRECT($F$8),6+(O458-1)*3),11)),IF(VLOOKUP(B448,INDIRECT($F$8),8+(O458-1)*3)&lt;U458*0.4,IF(U458*0.4-VLOOKUP(B448,INDIRECT($F$8),8+(O458-1)*3)&lt;=5,U458*0.4-VLOOKUP(B448,INDIRECT($F$8),8+(O458-1)*3),11),0))))</f>
        <v>0</v>
      </c>
      <c r="X458" s="1" t="str">
        <f ca="1">IF(ISERROR(F448),"",IF(W458=0,"",_xlfn.TEXTJOIN("",FALSE," G+",W458," in ",A458)))</f>
        <v/>
      </c>
    </row>
    <row r="459" spans="1:24" ht="11.5" customHeight="1" x14ac:dyDescent="0.2">
      <c r="A459" s="7" t="str">
        <f ca="1">IF(ISERROR(F448),"",VLOOKUP(C448,INDIRECT($F$8),6+(O459-1)*3,0))</f>
        <v>ECP 001</v>
      </c>
      <c r="B459" s="24" t="str">
        <f ca="1">IF(ISERROR(F448),"",VLOOKUP(D448,INDIRECT($F$8),6+(O459-1)*3,0))</f>
        <v>Basic Electronics Engineering Lab</v>
      </c>
      <c r="C459" s="24"/>
      <c r="D459" s="24"/>
      <c r="E459" s="24"/>
      <c r="F459" s="7">
        <f ca="1">IF(ISERROR(F448),"",VLOOKUP(E448,INDIRECT($F$8),6+(O459-1)*3,0))</f>
        <v>1</v>
      </c>
      <c r="G459" s="25" t="str">
        <f ca="1">IF(ISERROR(F448),"",_xlfn.TEXTJOIN("/",FALSE,P459,S459))</f>
        <v>14/25</v>
      </c>
      <c r="H459" s="25"/>
      <c r="I459" s="25" t="str">
        <f ca="1">IF(ISERROR(F448),"",_xlfn.TEXTJOIN("/",FALSE,Q459,T459))</f>
        <v>18/25</v>
      </c>
      <c r="J459" s="25"/>
      <c r="K459" s="25" t="str">
        <f ca="1">IF(ISERROR(F448),"",_xlfn.TEXTJOIN("/",FALSE,R459,U459))</f>
        <v>32/50</v>
      </c>
      <c r="L459" s="25"/>
      <c r="M459" s="7" t="str">
        <f ca="1">IF(ISERROR(F448)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D+</v>
      </c>
      <c r="N459" s="8">
        <f t="shared" ca="1" si="41"/>
        <v>6.5</v>
      </c>
      <c r="O459">
        <f t="shared" ref="O459:O465" ca="1" si="42">O458+1</f>
        <v>8</v>
      </c>
      <c r="P459" s="1">
        <f ca="1">IF(ISERROR(F448),"",IF(ISTEXT(VLOOKUP(B448,INDIRECT($F$8),6+(O459-1)*3)),(VLOOKUP(B448,INDIRECT($F$8),6+(O459-1)*3)),SUM(VLOOKUP(B448,INDIRECT($F$8),6+(O459-1)*3),IF(W466,W459,0))))</f>
        <v>14</v>
      </c>
      <c r="Q459" s="1">
        <f ca="1">IF(ISERROR(F448),"",VLOOKUP(B448,INDIRECT($F$8),7+(O459-1)*3))</f>
        <v>18</v>
      </c>
      <c r="R459" s="1">
        <f ca="1">IF(ISERROR(F448),"",SUM(P459:Q459))</f>
        <v>32</v>
      </c>
      <c r="S459" s="1">
        <f ca="1">IF(ISERROR(F448),"",VLOOKUP(A448,INDIRECT($F$8),6+(O459-1)*3))</f>
        <v>25</v>
      </c>
      <c r="T459" s="1">
        <f ca="1">IF(ISERROR(F448),"",VLOOKUP(A448,INDIRECT($F$8),7+(O459-1)*3))</f>
        <v>25</v>
      </c>
      <c r="U459" s="1">
        <f ca="1">IF(ISERROR(F448),"",VLOOKUP(A448,INDIRECT($F$8),8+(O459-1)*3))</f>
        <v>50</v>
      </c>
      <c r="V459" s="1" t="str">
        <f ca="1">IF(ISERROR(F448),"",IF(N459=0,A459,""))</f>
        <v/>
      </c>
      <c r="W459" s="1">
        <f ca="1">IF(ISERROR(F448),"",IF(ISTEXT(VLOOKUP(B448,INDIRECT($F$8),6+(O459-1)*3)),11,IF(VLOOKUP(B448,INDIRECT($F$8),6+(O459-1)*3)&lt;S459*0.3,IF(VLOOKUP(B448,INDIRECT($F$8),8+(O459-1)*3)&lt;U459*0.4,IF(AND(0.4*U459-VLOOKUP(B448,INDIRECT($F$8),8+(O459-1)*3)&lt;=5,0.3*S459-VLOOKUP(B448,INDIRECT($F$8),6+(O459-1)*3)&lt;=5),MAX(0.4*U459-VLOOKUP(B448,INDIRECT($F$8),8+(O459-1)*3),0.3*S459-VLOOKUP(B448,INDIRECT($F$8),6+(O459-1)*3)),11),IF(0.3*S459-VLOOKUP(B448,INDIRECT($F$8),6+(O459-1)*3)&lt;=5,0.3*S459-VLOOKUP(B448,INDIRECT($F$8),6+(O459-1)*3),11)),IF(VLOOKUP(B448,INDIRECT($F$8),8+(O459-1)*3)&lt;U459*0.4,IF(U459*0.4-VLOOKUP(B448,INDIRECT($F$8),8+(O459-1)*3)&lt;=5,U459*0.4-VLOOKUP(B448,INDIRECT($F$8),8+(O459-1)*3),11),0))))</f>
        <v>0</v>
      </c>
      <c r="X459" s="1" t="str">
        <f ca="1">IF(ISERROR(F448),"",IF(W459=0,"",_xlfn.TEXTJOIN("",FALSE," G+",W459," in ",A459)))</f>
        <v/>
      </c>
    </row>
    <row r="460" spans="1:24" ht="11.5" customHeight="1" x14ac:dyDescent="0.2">
      <c r="A460" s="7" t="str">
        <f ca="1">IF(ISERROR(F448),"",VLOOKUP(C448,INDIRECT($F$8),6+(O460-1)*3,0))</f>
        <v>MEP 001</v>
      </c>
      <c r="B460" s="24" t="str">
        <f ca="1">IF(ISERROR(F448),"",VLOOKUP(D448,INDIRECT($F$8),6+(O460-1)*3,0))</f>
        <v>Basic Mechanical Engineering Lab</v>
      </c>
      <c r="C460" s="24"/>
      <c r="D460" s="24"/>
      <c r="E460" s="24"/>
      <c r="F460" s="7">
        <f ca="1">IF(ISERROR(F448),"",VLOOKUP(E448,INDIRECT($F$8),6+(O460-1)*3,0))</f>
        <v>1</v>
      </c>
      <c r="G460" s="25" t="str">
        <f ca="1">IF(ISERROR(F448),"",_xlfn.TEXTJOIN("/",FALSE,P460,S460))</f>
        <v>21/25</v>
      </c>
      <c r="H460" s="25"/>
      <c r="I460" s="25" t="str">
        <f ca="1">IF(ISERROR(F448),"",_xlfn.TEXTJOIN("/",FALSE,Q460,T460))</f>
        <v>21/25</v>
      </c>
      <c r="J460" s="25"/>
      <c r="K460" s="25" t="str">
        <f ca="1">IF(ISERROR(F448),"",_xlfn.TEXTJOIN("/",FALSE,R460,U460))</f>
        <v>42/50</v>
      </c>
      <c r="L460" s="25"/>
      <c r="M460" s="7" t="str">
        <f ca="1">IF(ISERROR(F448)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B+</v>
      </c>
      <c r="N460" s="8">
        <f t="shared" ca="1" si="41"/>
        <v>8.5</v>
      </c>
      <c r="O460">
        <f t="shared" ca="1" si="42"/>
        <v>9</v>
      </c>
      <c r="P460" s="1">
        <f ca="1">IF(ISERROR(F448),"",IF(ISTEXT(VLOOKUP(B448,INDIRECT($F$8),6+(O460-1)*3)),(VLOOKUP(B448,INDIRECT($F$8),6+(O460-1)*3)),SUM(VLOOKUP(B448,INDIRECT($F$8),6+(O460-1)*3),IF(W466,W460,0))))</f>
        <v>21</v>
      </c>
      <c r="Q460" s="1">
        <f ca="1">IF(ISERROR(F448),"",VLOOKUP(B448,INDIRECT($F$8),7+(O460-1)*3))</f>
        <v>21</v>
      </c>
      <c r="R460" s="1">
        <f ca="1">IF(ISERROR(F448),"",SUM(P460:Q460))</f>
        <v>42</v>
      </c>
      <c r="S460" s="1">
        <f ca="1">IF(ISERROR(F448),"",VLOOKUP(A448,INDIRECT($F$8),6+(O460-1)*3))</f>
        <v>25</v>
      </c>
      <c r="T460" s="1">
        <f ca="1">IF(ISERROR(F448),"",VLOOKUP(A448,INDIRECT($F$8),7+(O460-1)*3))</f>
        <v>25</v>
      </c>
      <c r="U460" s="1">
        <f ca="1">IF(ISERROR(F448),"",VLOOKUP(A448,INDIRECT($F$8),8+(O460-1)*3))</f>
        <v>50</v>
      </c>
      <c r="V460" s="1" t="str">
        <f ca="1">IF(ISERROR(F448),"",IF(N460=0,A460,""))</f>
        <v/>
      </c>
      <c r="W460" s="1">
        <f ca="1">IF(ISERROR(F448),"",IF(ISTEXT(VLOOKUP(B448,INDIRECT($F$8),6+(O460-1)*3)),11,IF(VLOOKUP(B448,INDIRECT($F$8),6+(O460-1)*3)&lt;S460*0.3,IF(VLOOKUP(B448,INDIRECT($F$8),8+(O460-1)*3)&lt;U460*0.4,IF(AND(0.4*U460-VLOOKUP(B448,INDIRECT($F$8),8+(O460-1)*3)&lt;=5,0.3*S460-VLOOKUP(B448,INDIRECT($F$8),6+(O460-1)*3)&lt;=5),MAX(0.4*U460-VLOOKUP(B448,INDIRECT($F$8),8+(O460-1)*3),0.3*S460-VLOOKUP(B448,INDIRECT($F$8),6+(O460-1)*3)),11),IF(0.3*S460-VLOOKUP(B448,INDIRECT($F$8),6+(O460-1)*3)&lt;=5,0.3*S460-VLOOKUP(B448,INDIRECT($F$8),6+(O460-1)*3),11)),IF(VLOOKUP(B448,INDIRECT($F$8),8+(O460-1)*3)&lt;U460*0.4,IF(U460*0.4-VLOOKUP(B448,INDIRECT($F$8),8+(O460-1)*3)&lt;=5,U460*0.4-VLOOKUP(B448,INDIRECT($F$8),8+(O460-1)*3),11),0))))</f>
        <v>0</v>
      </c>
      <c r="X460" s="1" t="str">
        <f ca="1">IF(ISERROR(F448),"",IF(W460=0,"",_xlfn.TEXTJOIN("",FALSE," G+",W460," in ",A460)))</f>
        <v/>
      </c>
    </row>
    <row r="461" spans="1:24" ht="11.5" customHeight="1" x14ac:dyDescent="0.2">
      <c r="A461" s="7" t="str">
        <f ca="1">IF(ISERROR(F448),"",VLOOKUP(C448,INDIRECT($F$8),6+(O461-1)*3,0))</f>
        <v>MEP 003</v>
      </c>
      <c r="B461" s="24" t="str">
        <f ca="1">IF(ISERROR(F448),"",VLOOKUP(D448,INDIRECT($F$8),6+(O461-1)*3-Z461,0))</f>
        <v>Workshop Practices Lab</v>
      </c>
      <c r="C461" s="24"/>
      <c r="D461" s="24"/>
      <c r="E461" s="24"/>
      <c r="F461" s="7">
        <f ca="1">IF(ISERROR(F448),"",VLOOKUP(E448,INDIRECT($F$8),6+(O461-1)*3,0))</f>
        <v>2</v>
      </c>
      <c r="G461" s="25" t="str">
        <f ca="1">IF(ISERROR(F448),"",_xlfn.TEXTJOIN("/",FALSE,P461,S461))</f>
        <v>46/50</v>
      </c>
      <c r="H461" s="25"/>
      <c r="I461" s="25" t="str">
        <f ca="1">IF(ISERROR(F448),"",_xlfn.TEXTJOIN("/",FALSE,Q461,T461))</f>
        <v>46/50</v>
      </c>
      <c r="J461" s="25"/>
      <c r="K461" s="25" t="str">
        <f ca="1">IF(ISERROR(F448),"",_xlfn.TEXTJOIN("/",FALSE,R461,U461))</f>
        <v>92/100</v>
      </c>
      <c r="L461" s="25"/>
      <c r="M461" s="7" t="str">
        <f ca="1">IF(ISERROR(F448)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A+</v>
      </c>
      <c r="N461" s="8">
        <f t="shared" ca="1" si="41"/>
        <v>9.5</v>
      </c>
      <c r="O461">
        <f t="shared" ca="1" si="42"/>
        <v>10</v>
      </c>
      <c r="P461" s="1">
        <f ca="1">IF(ISERROR(F448),"",IF(ISTEXT(VLOOKUP(B448,INDIRECT($F$8),6+(O461-1)*3)),(VLOOKUP(B448,INDIRECT($F$8),6+(O461-1)*3)),SUM(VLOOKUP(B448,INDIRECT($F$8),6+(O461-1)*3),IF(W466,W461,0))))</f>
        <v>46</v>
      </c>
      <c r="Q461" s="1">
        <f ca="1">IF(ISERROR(F448),"",VLOOKUP(B448,INDIRECT($F$8),7+(O461-1)*3))</f>
        <v>46</v>
      </c>
      <c r="R461" s="1">
        <f ca="1">IF(ISERROR(F448),"",SUM(P461:Q461))</f>
        <v>92</v>
      </c>
      <c r="S461" s="1">
        <f ca="1">IF(ISERROR(F448),"",VLOOKUP(A448,INDIRECT($F$8),6+(O461-1)*3))</f>
        <v>50</v>
      </c>
      <c r="T461" s="1">
        <f ca="1">IF(ISERROR(F448),"",VLOOKUP(A448,INDIRECT($F$8),7+(O461-1)*3))</f>
        <v>50</v>
      </c>
      <c r="U461" s="1">
        <f ca="1">IF(ISERROR(F448),"",VLOOKUP(A448,INDIRECT($F$8),8+(O461-1)*3))</f>
        <v>100</v>
      </c>
      <c r="V461" s="1" t="str">
        <f ca="1">IF(ISERROR(F448),"",IF(N461=0,A461,""))</f>
        <v/>
      </c>
      <c r="W461" s="1">
        <f ca="1">IF(ISERROR(F448),"",IF(ISTEXT(VLOOKUP(B448,INDIRECT($F$8),6+(O461-1)*3)),11,IF(VLOOKUP(B448,INDIRECT($F$8),6+(O461-1)*3)&lt;S461*0.3,IF(VLOOKUP(B448,INDIRECT($F$8),8+(O461-1)*3)&lt;U461*0.4,IF(AND(0.4*U461-VLOOKUP(B448,INDIRECT($F$8),8+(O461-1)*3)&lt;=5,0.3*S461-VLOOKUP(B448,INDIRECT($F$8),6+(O461-1)*3)&lt;=5),MAX(0.4*U461-VLOOKUP(B448,INDIRECT($F$8),8+(O461-1)*3),0.3*S461-VLOOKUP(B448,INDIRECT($F$8),6+(O461-1)*3)),11),IF(0.3*S461-VLOOKUP(B448,INDIRECT($F$8),6+(O461-1)*3)&lt;=5,0.3*S461-VLOOKUP(B448,INDIRECT($F$8),6+(O461-1)*3),11)),IF(VLOOKUP(B448,INDIRECT($F$8),8+(O461-1)*3)&lt;U461*0.4,IF(U461*0.4-VLOOKUP(B448,INDIRECT($F$8),8+(O461-1)*3)&lt;=5,U461*0.4-VLOOKUP(B448,INDIRECT($F$8),8+(O461-1)*3),11),0))))</f>
        <v>0</v>
      </c>
      <c r="X461" s="1" t="str">
        <f ca="1">IF(ISERROR(F448),"",IF(W461=0,"",_xlfn.TEXTJOIN("",FALSE," G+",W461," in ",A461)))</f>
        <v/>
      </c>
    </row>
    <row r="462" spans="1:24" ht="11.5" customHeight="1" x14ac:dyDescent="0.2">
      <c r="A462" s="7" t="str">
        <f ca="1">IF(ISERROR(F448),"",VLOOKUP(C448,INDIRECT($F$8),6+(O462-1)*3,0))</f>
        <v>AHP 004</v>
      </c>
      <c r="B462" s="24" t="str">
        <f ca="1">IF(ISERROR(F448),"",VLOOKUP(D448,INDIRECT($F$8),6+(O462-1)*3-Z462,0))</f>
        <v>Emerging Technologies in Engineering Lab</v>
      </c>
      <c r="C462" s="24"/>
      <c r="D462" s="24"/>
      <c r="E462" s="24"/>
      <c r="F462" s="7">
        <f ca="1">IF(ISERROR(F448),"",VLOOKUP(E448,INDIRECT($F$8),6+(O462-1)*3,0))</f>
        <v>1</v>
      </c>
      <c r="G462" s="25" t="str">
        <f ca="1">IF(ISERROR(F448),"",_xlfn.TEXTJOIN("/",FALSE,P462,S462))</f>
        <v>23/25</v>
      </c>
      <c r="H462" s="25"/>
      <c r="I462" s="25" t="str">
        <f ca="1">IF(ISERROR(F448),"",_xlfn.TEXTJOIN("/",FALSE,Q462,T462))</f>
        <v>23/25</v>
      </c>
      <c r="J462" s="25"/>
      <c r="K462" s="25" t="str">
        <f ca="1">IF(ISERROR(F448),"",_xlfn.TEXTJOIN("/",FALSE,R462,U462))</f>
        <v>46/50</v>
      </c>
      <c r="L462" s="25"/>
      <c r="M462" s="7" t="str">
        <f ca="1">IF(ISERROR(F448)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A+</v>
      </c>
      <c r="N462" s="8">
        <f t="shared" ca="1" si="41"/>
        <v>9.5</v>
      </c>
      <c r="O462">
        <f t="shared" ca="1" si="42"/>
        <v>11</v>
      </c>
      <c r="P462" s="1">
        <f ca="1">IF(ISERROR(F448),"",IF(ISTEXT(VLOOKUP(B448,INDIRECT($F$8),6+(O462-1)*3)),(VLOOKUP(B448,INDIRECT($F$8),6+(O462-1)*3)),SUM(VLOOKUP(B448,INDIRECT($F$8),6+(O462-1)*3),IF(W466,W462,0))))</f>
        <v>23</v>
      </c>
      <c r="Q462" s="1">
        <f ca="1">IF(ISERROR(F448),"",VLOOKUP(B448,INDIRECT($F$8),7+(O462-1)*3))</f>
        <v>23</v>
      </c>
      <c r="R462" s="1">
        <f ca="1">IF(ISERROR(F448),"",SUM(P462:Q462))</f>
        <v>46</v>
      </c>
      <c r="S462" s="1">
        <f ca="1">IF(ISERROR(F448),"",VLOOKUP(A448,INDIRECT($F$8),6+(O462-1)*3))</f>
        <v>25</v>
      </c>
      <c r="T462" s="1">
        <f ca="1">IF(ISERROR(F448),"",VLOOKUP(A448,INDIRECT($F$8),7+(O462-1)*3))</f>
        <v>25</v>
      </c>
      <c r="U462" s="1">
        <f ca="1">IF(ISERROR(F448),"",VLOOKUP(A448,INDIRECT($F$8),8+(O462-1)*3))</f>
        <v>50</v>
      </c>
      <c r="V462" s="1" t="str">
        <f ca="1">IF(ISERROR(F448),"",IF(N462=0,A462,""))</f>
        <v/>
      </c>
      <c r="W462" s="1">
        <f ca="1">IF(ISERROR(F448),"",IF(ISTEXT(VLOOKUP(B448,INDIRECT($F$8),6+(O462-1)*3)),11,IF(VLOOKUP(B448,INDIRECT($F$8),6+(O462-1)*3)&lt;S462*0.3,IF(VLOOKUP(B448,INDIRECT($F$8),8+(O462-1)*3)&lt;U462*0.4,IF(AND(0.4*U462-VLOOKUP(B448,INDIRECT($F$8),8+(O462-1)*3)&lt;=5,0.3*S462-VLOOKUP(B448,INDIRECT($F$8),6+(O462-1)*3)&lt;=5),MAX(0.4*U462-VLOOKUP(B448,INDIRECT($F$8),8+(O462-1)*3),0.3*S462-VLOOKUP(B448,INDIRECT($F$8),6+(O462-1)*3)),11),IF(0.3*S462-VLOOKUP(B448,INDIRECT($F$8),6+(O462-1)*3)&lt;=5,0.3*S462-VLOOKUP(B448,INDIRECT($F$8),6+(O462-1)*3),11)),IF(VLOOKUP(B448,INDIRECT($F$8),8+(O462-1)*3)&lt;U462*0.4,IF(U462*0.4-VLOOKUP(B448,INDIRECT($F$8),8+(O462-1)*3)&lt;=5,U462*0.4-VLOOKUP(B448,INDIRECT($F$8),8+(O462-1)*3),11),0))))</f>
        <v>0</v>
      </c>
      <c r="X462" s="1" t="str">
        <f ca="1">IF(ISERROR(F448),"",IF(W462=0,"",_xlfn.TEXTJOIN("",FALSE," G+",W462," in ",A462)))</f>
        <v/>
      </c>
    </row>
    <row r="463" spans="1:24" ht="11.5" customHeight="1" x14ac:dyDescent="0.2">
      <c r="A463" s="7" t="str">
        <f ca="1">IF(ISERROR(F448),"",VLOOKUP(C448,INDIRECT($F$8),6+(O463-1)*3,0))</f>
        <v>CSP 002</v>
      </c>
      <c r="B463" s="24" t="str">
        <f ca="1">IF(ISERROR(F448),"",VLOOKUP(D448,INDIRECT($F$8),6+(O463-1)*3,0))</f>
        <v>Computer Applications and IOT</v>
      </c>
      <c r="C463" s="24"/>
      <c r="D463" s="24"/>
      <c r="E463" s="24"/>
      <c r="F463" s="7">
        <f ca="1">IF(ISERROR(F448),"",VLOOKUP(E448,INDIRECT($F$8),6+(O463-1)*3,0))</f>
        <v>1</v>
      </c>
      <c r="G463" s="25" t="str">
        <f ca="1">IF(ISERROR(F448),"",_xlfn.TEXTJOIN("/",FALSE,P463,S463))</f>
        <v>22/25</v>
      </c>
      <c r="H463" s="25"/>
      <c r="I463" s="25" t="str">
        <f ca="1">IF(ISERROR(F448),"",_xlfn.TEXTJOIN("/",FALSE,Q463,T463))</f>
        <v>22/25</v>
      </c>
      <c r="J463" s="25"/>
      <c r="K463" s="25" t="str">
        <f ca="1">IF(ISERROR(F448),"",_xlfn.TEXTJOIN("/",FALSE,R463,U463))</f>
        <v>44/50</v>
      </c>
      <c r="L463" s="25"/>
      <c r="M463" s="7" t="str">
        <f ca="1">IF(ISERROR(F448)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A</v>
      </c>
      <c r="N463" s="8">
        <f t="shared" ca="1" si="41"/>
        <v>9</v>
      </c>
      <c r="O463">
        <f t="shared" ca="1" si="42"/>
        <v>12</v>
      </c>
      <c r="P463" s="1">
        <f ca="1">IF(ISERROR(F448),"",IF(ISTEXT(VLOOKUP(B448,INDIRECT($F$8),6+(O463-1)*3)),(VLOOKUP(B448,INDIRECT($F$8),6+(O463-1)*3)),SUM(VLOOKUP(B448,INDIRECT($F$8),6+(O463-1)*3),IF(W466,W463,0))))</f>
        <v>22</v>
      </c>
      <c r="Q463" s="1">
        <f ca="1">IF(ISERROR(F448),"",VLOOKUP(B448,INDIRECT($F$8),7+(O463-1)*3))</f>
        <v>22</v>
      </c>
      <c r="R463" s="1">
        <f ca="1">IF(ISERROR(F448),"",SUM(P463:Q463))</f>
        <v>44</v>
      </c>
      <c r="S463" s="1">
        <f ca="1">IF(ISERROR(F448),"",VLOOKUP(A448,INDIRECT($F$8),6+(O463-1)*3))</f>
        <v>25</v>
      </c>
      <c r="T463" s="1">
        <f ca="1">IF(ISERROR(F448),"",VLOOKUP(A448,INDIRECT($F$8),7+(O463-1)*3))</f>
        <v>25</v>
      </c>
      <c r="U463" s="1">
        <f ca="1">IF(ISERROR(F448),"",VLOOKUP(A448,INDIRECT($F$8),8+(O463-1)*3))</f>
        <v>50</v>
      </c>
      <c r="V463" s="1" t="str">
        <f ca="1">IF(ISERROR(F448),"",IF(N463=0,A463,""))</f>
        <v/>
      </c>
      <c r="W463" s="1">
        <f ca="1">IF(ISERROR(F448),"",IF(ISTEXT(VLOOKUP(B448,INDIRECT($F$8),6+(O463-1)*3)),11,IF(VLOOKUP(B448,INDIRECT($F$8),6+(O463-1)*3)&lt;S463*0.3,IF(VLOOKUP(B448,INDIRECT($F$8),8+(O463-1)*3)&lt;U463*0.4,IF(AND(0.4*U463-VLOOKUP(B448,INDIRECT($F$8),8+(O463-1)*3)&lt;=5,0.3*S463-VLOOKUP(B448,INDIRECT($F$8),6+(O463-1)*3)&lt;=5),MAX(0.4*U463-VLOOKUP(B448,INDIRECT($F$8),8+(O463-1)*3),0.3*S463-VLOOKUP(B448,INDIRECT($F$8),6+(O463-1)*3)),11),IF(0.3*S463-VLOOKUP(B448,INDIRECT($F$8),6+(O463-1)*3)&lt;=5,0.3*S463-VLOOKUP(B448,INDIRECT($F$8),6+(O463-1)*3),11)),IF(VLOOKUP(B448,INDIRECT($F$8),8+(O463-1)*3)&lt;U463*0.4,IF(U463*0.4-VLOOKUP(B448,INDIRECT($F$8),8+(O463-1)*3)&lt;=5,U463*0.4-VLOOKUP(B448,INDIRECT($F$8),8+(O463-1)*3),11),0))))</f>
        <v>0</v>
      </c>
      <c r="X463" s="1" t="str">
        <f ca="1">IF(ISERROR(F448),"",IF(W463=0,"",_xlfn.TEXTJOIN("",FALSE," G+",W463," in ",A463)))</f>
        <v/>
      </c>
    </row>
    <row r="464" spans="1:24" ht="11.5" customHeight="1" x14ac:dyDescent="0.2">
      <c r="A464" s="7" t="str">
        <f ca="1">IF(ISERROR(F448),"",VLOOKUP(C448,INDIRECT($F$8),6+(O464-1)*3,0))</f>
        <v>AHP 006</v>
      </c>
      <c r="B464" s="24" t="str">
        <f ca="1">IF(ISERROR(F448),"",VLOOKUP(D448,INDIRECT($F$8),6+(O464-1)*3,0))</f>
        <v>English Language Lab ($)</v>
      </c>
      <c r="C464" s="24"/>
      <c r="D464" s="24"/>
      <c r="E464" s="24"/>
      <c r="F464" s="7">
        <f ca="1">IF(ISERROR(F448),"",VLOOKUP(E448,INDIRECT($F$8),6+(O464-1)*3,0))</f>
        <v>0</v>
      </c>
      <c r="G464" s="25" t="str">
        <f ca="1">IF(ISERROR(F448),"",_xlfn.TEXTJOIN("/",FALSE,P464,S464))</f>
        <v>17/25</v>
      </c>
      <c r="H464" s="25"/>
      <c r="I464" s="25" t="str">
        <f ca="1">IF(ISERROR(F448),"",_xlfn.TEXTJOIN("/",FALSE,Q464,T464))</f>
        <v>27/50</v>
      </c>
      <c r="J464" s="25"/>
      <c r="K464" s="25" t="str">
        <f ca="1">IF(ISERROR(F448),"",_xlfn.TEXTJOIN("/",FALSE,R464,U464))</f>
        <v>44/75</v>
      </c>
      <c r="L464" s="25"/>
      <c r="M464" s="7" t="str">
        <f ca="1">IF(ISERROR(F448)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D</v>
      </c>
      <c r="N464" s="8">
        <f ca="1">INDEX($Z$2:$Z$17,MATCH(M464,$Y$2:$Y$17,0))</f>
        <v>6</v>
      </c>
      <c r="O464">
        <f t="shared" ca="1" si="42"/>
        <v>13</v>
      </c>
      <c r="P464" s="1">
        <f ca="1">IF(ISERROR(F448),"",IF(ISTEXT(VLOOKUP(B448,INDIRECT($F$8),6+(O464-1)*3)),(VLOOKUP(B448,INDIRECT($F$8),6+(O464-1)*3)),SUM(VLOOKUP(B448,INDIRECT($F$8),6+(O464-1)*3),IF(W466,W464,0))))</f>
        <v>17</v>
      </c>
      <c r="Q464" s="1">
        <f ca="1">IF(ISERROR(F448),"",VLOOKUP(B448,INDIRECT($F$8),7+(O464-1)*3))</f>
        <v>27</v>
      </c>
      <c r="R464" s="1">
        <f ca="1">IF(ISERROR(F448),"",SUM(P464:Q464))</f>
        <v>44</v>
      </c>
      <c r="S464" s="1">
        <f ca="1">IF(ISERROR(F448),"",VLOOKUP(A448,INDIRECT($F$8),6+(O464-1)*3))</f>
        <v>25</v>
      </c>
      <c r="T464" s="1">
        <f ca="1">IF(ISERROR(F448),"",VLOOKUP(A448,INDIRECT($F$8),7+(O464-1)*3))</f>
        <v>50</v>
      </c>
      <c r="U464" s="1">
        <f ca="1">IF(ISERROR(F448),"",VLOOKUP(A448,INDIRECT($F$8),8+(O464-1)*3))</f>
        <v>75</v>
      </c>
      <c r="V464" s="1"/>
      <c r="W464" s="1">
        <f ca="1">IF(ISERROR(F448),"",IF(ISTEXT(VLOOKUP(B448,INDIRECT($F$8),6+(O464-1)*3)),11,IF(VLOOKUP(B448,INDIRECT($F$8),6+(O464-1)*3)&lt;S464*0.3,IF(VLOOKUP(B448,INDIRECT($F$8),8+(O464-1)*3)&lt;U464*0.4,IF(AND(0.4*U464-VLOOKUP(B448,INDIRECT($F$8),8+(O464-1)*3)&lt;=5,0.3*S464-VLOOKUP(B448,INDIRECT($F$8),6+(O464-1)*3)&lt;=5),MAX(0.4*U464-VLOOKUP(B448,INDIRECT($F$8),8+(O464-1)*3),0.3*S464-VLOOKUP(B448,INDIRECT($F$8),6+(O464-1)*3)),11),IF(0.3*S464-VLOOKUP(B448,INDIRECT($F$8),6+(O464-1)*3)&lt;=5,0.3*S464-VLOOKUP(B448,INDIRECT($F$8),6+(O464-1)*3),11)),IF(VLOOKUP(B448,INDIRECT($F$8),8+(O464-1)*3)&lt;U464*0.4,IF(U464*0.4-VLOOKUP(B448,INDIRECT($F$8),8+(O464-1)*3)&lt;=5,U464*0.4-VLOOKUP(B448,INDIRECT($F$8),8+(O464-1)*3),11),0))))</f>
        <v>0</v>
      </c>
      <c r="X464" s="1" t="str">
        <f ca="1">IF(ISERROR(F448),"",IF(W464=0,"",_xlfn.TEXTJOIN("",FALSE," G+",W464," in ",A464)))</f>
        <v/>
      </c>
    </row>
    <row r="465" spans="1:24" ht="11.5" customHeight="1" x14ac:dyDescent="0.2">
      <c r="A465" s="7" t="str">
        <f ca="1">IF(ISERROR(F448),"",VLOOKUP(C448,INDIRECT($F$8),6+(O465-1)*3-Y465,0))</f>
        <v>GP 01</v>
      </c>
      <c r="B465" s="24" t="str">
        <f ca="1">IF(ISERROR(F448),"",VLOOKUP(D448,INDIRECT($F$8),6+(O465-1)*3-Z465,0))</f>
        <v>General Proficiency ($)</v>
      </c>
      <c r="C465" s="24"/>
      <c r="D465" s="24"/>
      <c r="E465" s="24"/>
      <c r="F465" s="7">
        <f ca="1">IF(ISERROR(F448),"",VLOOKUP(E448,INDIRECT($F$8),6+(O465-1)*3-AA465,0))</f>
        <v>0</v>
      </c>
      <c r="G465" s="25" t="str">
        <f ca="1">IF(ISERROR(F448),"","-")</f>
        <v>-</v>
      </c>
      <c r="H465" s="25"/>
      <c r="I465" s="25" t="str">
        <f ca="1">IF(ISERROR(F448),"",_xlfn.TEXTJOIN("/",FALSE,Q465,T465))</f>
        <v>47/50</v>
      </c>
      <c r="J465" s="25"/>
      <c r="K465" s="25" t="str">
        <f ca="1">IF(ISERROR(F448),"",_xlfn.TEXTJOIN("/",FALSE,R465,U465))</f>
        <v>47/50</v>
      </c>
      <c r="L465" s="25"/>
      <c r="M465" s="25" t="str">
        <f ca="1">IF(ISBLANK(R465),"",IF(ISTEXT(R465),R465,IF(R465&gt;=0.8*U465,"Excellent",IF(R465&gt;=0.6*U465,"Very Good",IF(R465&gt;=0.4*U465,"Good",IF(R465&gt;=0.2*U465,"Satisfactory","Average"))))))</f>
        <v>Excellent</v>
      </c>
      <c r="N465" s="25"/>
      <c r="O465">
        <f t="shared" ca="1" si="42"/>
        <v>14</v>
      </c>
      <c r="P465" s="1">
        <f ca="1">IF(ISERROR(F448),"",IF(ISTEXT(VLOOKUP(B\28,INDIRECT($F$8),6+(O465-1)*3)),(VLOOKUP(B448,INDIRECT($F$8),6+(O465-1)*3)),SUM(VLOOKUP(B448,INDIRECT($F$8),6+(O465-1)*3),IF(W466,W466,0))))</f>
        <v>0</v>
      </c>
      <c r="Q465" s="1">
        <f ca="1">IF(ISERROR(F448),"",VLOOKUP(B448,INDIRECT($F$8),7+(O465-1)*3))</f>
        <v>47</v>
      </c>
      <c r="R465" s="1">
        <f ca="1">IF(ISERROR(F448),"",SUM(P465:Q465))</f>
        <v>47</v>
      </c>
      <c r="S465" s="1">
        <f ca="1">IF(ISERROR(F448),"",VLOOKUP(A448,INDIRECT($F$8),6+(O465-1)*3))</f>
        <v>0</v>
      </c>
      <c r="T465" s="1">
        <f ca="1">IF(ISERROR(F448),"",VLOOKUP(A448,INDIRECT($F$8),7+(O465-1)*3))</f>
        <v>50</v>
      </c>
      <c r="U465" s="1">
        <f ca="1">IF(ISERROR(F448),"",VLOOKUP(A448,INDIRECT($F$8),8+(O465-1)*3))</f>
        <v>50</v>
      </c>
      <c r="V465" s="1"/>
      <c r="W465" s="1"/>
      <c r="X465" s="1" t="str">
        <f ca="1">IF(ISERROR(F448),"",IF(W465=0,"",_xlfn.TEXTJOIN("",FALSE," G+",W465," in ",A465)))</f>
        <v/>
      </c>
    </row>
    <row r="466" spans="1:24" ht="11.5" customHeight="1" x14ac:dyDescent="0.2">
      <c r="A466" s="26" t="str">
        <f ca="1">IF(ISERROR(F448),"",A444)</f>
        <v>Total Credits/ Marks/ Total Grade Points</v>
      </c>
      <c r="B466" s="26"/>
      <c r="C466" s="26"/>
      <c r="D466" s="26"/>
      <c r="E466" s="26"/>
      <c r="F466" s="10">
        <f ca="1">IF(ISERROR(F448),"",SUM(F453:F464))</f>
        <v>23</v>
      </c>
      <c r="G466" s="27" t="str">
        <f ca="1">IF(ISERROR(F448),"",_xlfn.TEXTJOIN("/",TRUE,SUMIF(F453:F465,"&gt;0",P453:P465),SUMIF(F453:F465,"&gt;0",S453:S465)))</f>
        <v>244/575</v>
      </c>
      <c r="H466" s="27"/>
      <c r="I466" s="27" t="str">
        <f ca="1">IF(ISERROR(F448),"",_xlfn.TEXTJOIN("/",TRUE,SUMIF(F453:F465,"&gt;0",Q453:Q465),SUMIF(F453:F465,"&gt;0",T453:T465)))</f>
        <v>253/375</v>
      </c>
      <c r="J466" s="27"/>
      <c r="K466" s="27" t="str">
        <f ca="1">IF(ISERROR(F448),"",_xlfn.TEXTJOIN("/",TRUE,SUMIF(F453:F465,"&gt;0",R453:R465),SUMIF(F453:F465,"&gt;0",U453:U465)))</f>
        <v>497/950</v>
      </c>
      <c r="L466" s="27"/>
      <c r="M466" s="26">
        <f ca="1">IF(ISERROR(F448),"",SUMPRODUCT(N453:N464,F453:F464))</f>
        <v>97</v>
      </c>
      <c r="N466" s="26"/>
      <c r="V466" s="1" t="str">
        <f ca="1">_xlfn.TEXTJOIN(", ",TRUE,V453:V465)</f>
        <v>AHT 002, AHT 003</v>
      </c>
      <c r="W466" t="b">
        <f ca="1">IF(SUM(W453:W465)&lt;=W452,TRUE,FALSE)</f>
        <v>0</v>
      </c>
      <c r="X466" s="1" t="str">
        <f ca="1">IF(ISERROR(F448),"",_xlfn.TEXTJOIN(",",TRUE,X453:X465))</f>
        <v xml:space="preserve"> G+11 in AHT 002, G+11 in AHT 003</v>
      </c>
    </row>
    <row r="467" spans="1:24" ht="11.5" customHeight="1" x14ac:dyDescent="0.2">
      <c r="A467" s="26" t="str">
        <f ca="1">IF(ISERROR(F448),"",A445)</f>
        <v>Result:</v>
      </c>
      <c r="B467" s="28" t="str" cm="1">
        <f t="array" aca="1" ref="B467" ca="1">IF(SUM(COUNTIF(M453:M464,{"Ab","Dt"}))=12, "Not Promoted to IInd Semester", IF(V466="", "PASS", "CARRY OVER"))</f>
        <v>CARRY OVER</v>
      </c>
      <c r="C467" s="28"/>
      <c r="D467" s="26" t="str">
        <f ca="1">IF(ISERROR(F448),"",D445)</f>
        <v>Remark:</v>
      </c>
      <c r="E467" s="28" t="str">
        <f ca="1">IF(ISERROR(F448),"",IF(V466="",IF(X466="","",X466),_xlfn.TEXTJOIN(" ",TRUE,"BACK IN",V466)))</f>
        <v>BACK IN AHT 002, AHT 003</v>
      </c>
      <c r="F467" s="28"/>
      <c r="G467" s="26" t="str">
        <f ca="1">IF(ISERROR(F448),"",G445)</f>
        <v>SGPA:</v>
      </c>
      <c r="H467" s="29">
        <f ca="1">IF(ISERROR(F448),"",M466/F466)</f>
        <v>4.2173913043478262</v>
      </c>
      <c r="I467" s="26" t="str">
        <f ca="1">IF(ISERROR(F448),"",I445)</f>
        <v>CGPA:</v>
      </c>
      <c r="J467" s="29">
        <f ca="1">IF(ISERROR(F448),"",VLOOKUP(B448,INDIRECT($F$8),12+(O465-1)*3,0))</f>
        <v>4.2173913043478262</v>
      </c>
      <c r="K467" s="28" t="str">
        <f ca="1">IF(ISERROR(F448),"",K445)</f>
        <v>Earned Credits:</v>
      </c>
      <c r="L467" s="26">
        <f ca="1">IF(ISERROR(F448),"",SUMIF(N453:N464,"&gt;0",F453:F464))</f>
        <v>15</v>
      </c>
      <c r="M467" s="28" t="str">
        <f ca="1">IF(ISERROR(F448),"",M445)</f>
        <v>Cuml. Earned Credits:</v>
      </c>
      <c r="N467" s="26">
        <f ca="1">IF(ISERROR(F448),"",VLOOKUP(B448,INDIRECT($F$8),10+(O465-1)*3,0))</f>
        <v>15</v>
      </c>
    </row>
    <row r="468" spans="1:24" ht="11.5" customHeight="1" x14ac:dyDescent="0.2">
      <c r="A468" s="26"/>
      <c r="B468" s="28"/>
      <c r="C468" s="28"/>
      <c r="D468" s="26"/>
      <c r="E468" s="28"/>
      <c r="F468" s="28"/>
      <c r="G468" s="26"/>
      <c r="H468" s="29"/>
      <c r="I468" s="26"/>
      <c r="J468" s="29"/>
      <c r="K468" s="28"/>
      <c r="L468" s="26"/>
      <c r="M468" s="28"/>
      <c r="N468" s="26"/>
    </row>
    <row r="469" spans="1:24" ht="11.5" customHeight="1" x14ac:dyDescent="0.2">
      <c r="A469" s="26"/>
      <c r="B469" s="28"/>
      <c r="C469" s="28"/>
      <c r="D469" s="26"/>
      <c r="E469" s="28"/>
      <c r="F469" s="28"/>
      <c r="G469" s="26"/>
      <c r="H469" s="29"/>
      <c r="I469" s="26"/>
      <c r="J469" s="29"/>
      <c r="K469" s="28"/>
      <c r="L469" s="26"/>
      <c r="M469" s="28"/>
      <c r="N469" s="26"/>
    </row>
    <row r="470" spans="1:24" ht="11.5" customHeight="1" x14ac:dyDescent="0.2">
      <c r="A470" s="11" t="str">
        <f>A448</f>
        <v>MM</v>
      </c>
      <c r="B470" s="11">
        <f>B448+1</f>
        <v>22</v>
      </c>
      <c r="C470" s="11" t="str">
        <f>C448</f>
        <v>SC</v>
      </c>
      <c r="D470" s="11" t="str">
        <f>D448</f>
        <v>SN</v>
      </c>
      <c r="E470" s="11" t="str">
        <f>E448</f>
        <v>C</v>
      </c>
      <c r="F470" s="11" t="str">
        <f ca="1">VLOOKUP(B470,INDIRECT($F$8),4,0)</f>
        <v>PRAMOD BISHT</v>
      </c>
    </row>
    <row r="471" spans="1:24" ht="11.5" customHeight="1" x14ac:dyDescent="0.2">
      <c r="A471" s="30" t="str">
        <f ca="1">IF(ISERROR(F470),"",A449)</f>
        <v>Name:</v>
      </c>
      <c r="B471" s="30" t="str">
        <f ca="1">IFERROR(VLOOKUP(B470,INDIRECT($F$8),4,0),"")</f>
        <v>PRAMOD BISHT</v>
      </c>
      <c r="C471" s="30"/>
      <c r="D471" s="30" t="str">
        <f ca="1">IF(ISERROR(F470),"",D449)</f>
        <v>Father's Name:</v>
      </c>
      <c r="E471" s="30" t="str">
        <f ca="1">IFERROR(VLOOKUP(B470,INDIRECT($F$8),5,0),"")</f>
        <v>KESHAR SINGH BISHT</v>
      </c>
      <c r="F471" s="30"/>
      <c r="G471" s="30" t="str">
        <f ca="1">IF(ISERROR(F470),"",G449)</f>
        <v>University Roll No:</v>
      </c>
      <c r="H471" s="30"/>
      <c r="I471" s="31">
        <f ca="1">IFERROR(VLOOKUP(B470,INDIRECT($F$8),2,0),"")</f>
        <v>250090120023</v>
      </c>
      <c r="J471" s="31"/>
      <c r="K471" s="30" t="str">
        <f ca="1">IF(ISERROR(F470),"",K449)</f>
        <v>University Enrol. No:</v>
      </c>
      <c r="L471" s="30"/>
      <c r="M471" s="31" t="str">
        <f ca="1">IFERROR(VLOOKUP(B470,INDIRECT($F$8),3,0),"")</f>
        <v>UTU/2501103587</v>
      </c>
      <c r="N471" s="31"/>
    </row>
    <row r="472" spans="1:24" ht="15" x14ac:dyDescent="0.2">
      <c r="A472" s="30"/>
      <c r="B472" s="30"/>
      <c r="C472" s="30"/>
      <c r="D472" s="30"/>
      <c r="E472" s="30"/>
      <c r="F472" s="30"/>
      <c r="G472" s="30"/>
      <c r="H472" s="30"/>
      <c r="I472" s="31"/>
      <c r="J472" s="31"/>
      <c r="K472" s="30"/>
      <c r="L472" s="30"/>
      <c r="M472" s="31"/>
      <c r="N472" s="31"/>
    </row>
    <row r="473" spans="1:24" ht="11.5" customHeight="1" x14ac:dyDescent="0.2">
      <c r="A473" s="28" t="str">
        <f ca="1">IF(ISERROR(F470),"",A451)</f>
        <v>Subject Code</v>
      </c>
      <c r="B473" s="28" t="str">
        <f ca="1">IF(ISERROR(F470),"",B451)</f>
        <v>Subject Name</v>
      </c>
      <c r="C473" s="28"/>
      <c r="D473" s="28"/>
      <c r="E473" s="28"/>
      <c r="F473" s="28" t="str">
        <f ca="1">IF(ISERROR(F470),"",F451)</f>
        <v>Credits</v>
      </c>
      <c r="G473" s="28" t="str">
        <f ca="1">IF(ISERROR(F470),"",G451)</f>
        <v>External Marks</v>
      </c>
      <c r="H473" s="28"/>
      <c r="I473" s="28" t="str">
        <f ca="1">IF(ISERROR(F470),"",I451)</f>
        <v>Sessional Marks</v>
      </c>
      <c r="J473" s="28"/>
      <c r="K473" s="28" t="str">
        <f ca="1">IF(ISERROR(F470),"",K451)</f>
        <v>Total Marks</v>
      </c>
      <c r="L473" s="28"/>
      <c r="M473" s="28" t="str">
        <f ca="1">IF(ISERROR(F470),"",M451)</f>
        <v>Grade</v>
      </c>
      <c r="N473" s="28" t="str">
        <f ca="1">IF(ISERROR(F470),"",N451)</f>
        <v>Grade Points</v>
      </c>
    </row>
    <row r="474" spans="1:24" ht="11.5" customHeight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1.5" customHeight="1" x14ac:dyDescent="0.2">
      <c r="A475" s="7" t="str">
        <f ca="1">IF(ISERROR(F470),"",VLOOKUP(C470,INDIRECT($F$8),6+(O475-1)*3,0))</f>
        <v>AHT 002</v>
      </c>
      <c r="B475" s="24" t="str">
        <f ca="1">IF(ISERROR(F470),"",VLOOKUP(D470,INDIRECT($F$8),6+(O475-1)*3,0))</f>
        <v>Engineering Chemistry</v>
      </c>
      <c r="C475" s="24"/>
      <c r="D475" s="24"/>
      <c r="E475" s="24"/>
      <c r="F475" s="7">
        <f ca="1">IF(ISERROR(F470),"",VLOOKUP(E470,INDIRECT($F$8),6+(O475-1)*3,0))</f>
        <v>4</v>
      </c>
      <c r="G475" s="25" t="str">
        <f ca="1">IF(ISERROR(F470),"",_xlfn.TEXTJOIN("/",FALSE,P475,S475))</f>
        <v>42/100</v>
      </c>
      <c r="H475" s="25"/>
      <c r="I475" s="25" t="str">
        <f ca="1">IF(ISERROR(F470),"",_xlfn.TEXTJOIN("/",FALSE,Q475,T475))</f>
        <v>31/50</v>
      </c>
      <c r="J475" s="25"/>
      <c r="K475" s="25" t="str">
        <f ca="1">IF(ISERROR(F470),"",_xlfn.TEXTJOIN("/",FALSE,R475,U475))</f>
        <v>73/150</v>
      </c>
      <c r="L475" s="25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E</v>
      </c>
      <c r="N475" s="8">
        <f ca="1">INDEX($Z$2:$Z$17,MATCH(M475,$Y$2:$Y$17,0))</f>
        <v>5</v>
      </c>
      <c r="O475">
        <v>1</v>
      </c>
      <c r="P475" s="1">
        <f ca="1">IF(ISERROR(F470),"",IF(ISTEXT(VLOOKUP(B470,INDIRECT($F$8),6+(O475-1)*3)),(VLOOKUP(B470,INDIRECT($F$8),6+(O475-1)*3)),SUM(VLOOKUP(B470,INDIRECT($F$8),6+(O475-1)*3),IF(W488,W475,0))))</f>
        <v>42</v>
      </c>
      <c r="Q475" s="1">
        <f ca="1">IF(ISERROR(F470),"",VLOOKUP(B470,INDIRECT($F$8),7+(O475-1)*3))</f>
        <v>31</v>
      </c>
      <c r="R475" s="1">
        <f ca="1">IF(ISERROR(F470),"",SUM(P475:Q475))</f>
        <v>73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1.5" customHeight="1" x14ac:dyDescent="0.2">
      <c r="A476" s="7" t="str">
        <f ca="1">IF(ISERROR(F470),"",VLOOKUP(C470,INDIRECT($F$8),6+(O476-1)*3,0))</f>
        <v>AHT 003</v>
      </c>
      <c r="B476" s="24" t="str">
        <f ca="1">IF(ISERROR(F470),"",VLOOKUP(D470,INDIRECT($F$8),6+(O476-1)*3,0))</f>
        <v>Introduction to Engineering Mathematics</v>
      </c>
      <c r="C476" s="24"/>
      <c r="D476" s="24"/>
      <c r="E476" s="24"/>
      <c r="F476" s="7">
        <f ca="1">IF(ISERROR(F470),"",VLOOKUP(E470,INDIRECT($F$8),6+(O476-1)*3,0))</f>
        <v>4</v>
      </c>
      <c r="G476" s="25" t="str">
        <f ca="1">IF(ISERROR(F470),"",_xlfn.TEXTJOIN("/",FALSE,P476,S476))</f>
        <v>15/100</v>
      </c>
      <c r="H476" s="25"/>
      <c r="I476" s="25" t="str">
        <f ca="1">IF(ISERROR(F470),"",_xlfn.TEXTJOIN("/",FALSE,Q476,T476))</f>
        <v>18/50</v>
      </c>
      <c r="J476" s="25"/>
      <c r="K476" s="25" t="str">
        <f ca="1">IF(ISERROR(F470),"",_xlfn.TEXTJOIN("/",FALSE,R476,U476))</f>
        <v>33/150</v>
      </c>
      <c r="L476" s="25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F</v>
      </c>
      <c r="N476" s="8">
        <f t="shared" ref="N476:N485" ca="1" si="43">INDEX($Z$2:$Z$17,MATCH(M476,$Y$2:$Y$17,0))</f>
        <v>0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IF(ISERROR(F470),"",IF(ISTEXT(VLOOKUP(B470,INDIRECT($F$8),6+(O476-1)*3)),(VLOOKUP(B470,INDIRECT($F$8),6+(O476-1)*3)),SUM(VLOOKUP(B470,INDIRECT($F$8),6+(O476-1)*3),IF(W488,W476,0))))</f>
        <v>15</v>
      </c>
      <c r="Q476" s="1">
        <f ca="1">IF(ISERROR(F470),"",VLOOKUP(B470,INDIRECT($F$8),7+(O476-1)*3))</f>
        <v>18</v>
      </c>
      <c r="R476" s="1">
        <f ca="1">IF(ISERROR(F470),"",SUM(P476:Q476))</f>
        <v>33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>AHT 003</v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11</v>
      </c>
      <c r="X476" s="1" t="str">
        <f ca="1">IF(ISERROR(F470),"",IF(W476=0,"",_xlfn.TEXTJOIN("",FALSE," G+",W476," in ",A476)))</f>
        <v xml:space="preserve"> G+11 in AHT 003</v>
      </c>
    </row>
    <row r="477" spans="1:24" ht="11.5" customHeight="1" x14ac:dyDescent="0.2">
      <c r="A477" s="7" t="str">
        <f ca="1">IF(ISERROR(F470),"",VLOOKUP(C470,INDIRECT($F$8),6+(O477-1)*3,0))</f>
        <v>ECT 001</v>
      </c>
      <c r="B477" s="24" t="str">
        <f ca="1">IF(ISERROR(F470),"",VLOOKUP(D470,INDIRECT($F$8),6+(O477-1)*3,0))</f>
        <v>Basic Electronics Engineering</v>
      </c>
      <c r="C477" s="24"/>
      <c r="D477" s="24"/>
      <c r="E477" s="24"/>
      <c r="F477" s="7">
        <f ca="1">IF(ISERROR(F470),"",VLOOKUP(E470,INDIRECT($F$8),6+(O477-1)*3,0))</f>
        <v>4</v>
      </c>
      <c r="G477" s="25" t="str">
        <f ca="1">IF(ISERROR(F470),"",_xlfn.TEXTJOIN("/",FALSE,P477,S477))</f>
        <v>32/100</v>
      </c>
      <c r="H477" s="25"/>
      <c r="I477" s="25" t="str">
        <f ca="1">IF(ISERROR(F470),"",_xlfn.TEXTJOIN("/",FALSE,Q477,T477))</f>
        <v>37/50</v>
      </c>
      <c r="J477" s="25"/>
      <c r="K477" s="25" t="str">
        <f ca="1">IF(ISERROR(F470),"",_xlfn.TEXTJOIN("/",FALSE,R477,U477))</f>
        <v>69/150</v>
      </c>
      <c r="L477" s="25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E</v>
      </c>
      <c r="N477" s="8">
        <f t="shared" ca="1" si="43"/>
        <v>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IF(ISERROR(F470),"",IF(ISTEXT(VLOOKUP(B470,INDIRECT($F$8),6+(O477-1)*3)),(VLOOKUP(B470,INDIRECT($F$8),6+(O477-1)*3)),SUM(VLOOKUP(B470,INDIRECT($F$8),6+(O477-1)*3),IF(W488,W477,0))))</f>
        <v>32</v>
      </c>
      <c r="Q477" s="1">
        <f ca="1">IF(ISERROR(F470),"",VLOOKUP(B470,INDIRECT($F$8),7+(O477-1)*3))</f>
        <v>37</v>
      </c>
      <c r="R477" s="1">
        <f ca="1">IF(ISERROR(F470),"",SUM(P477:Q477))</f>
        <v>69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1.5" customHeight="1" x14ac:dyDescent="0.2">
      <c r="A478" s="7" t="str">
        <f ca="1">IF(ISERROR(F470),"",VLOOKUP(C470,INDIRECT($F$8),6+(O478-1)*3,0))</f>
        <v>MET 001</v>
      </c>
      <c r="B478" s="24" t="str">
        <f ca="1">IF(ISERROR(F470),"",VLOOKUP(D470,INDIRECT($F$8),6+(O478-1)*3,0))</f>
        <v>Basic Mechanical Engineering</v>
      </c>
      <c r="C478" s="24"/>
      <c r="D478" s="24"/>
      <c r="E478" s="24"/>
      <c r="F478" s="7">
        <f ca="1">IF(ISERROR(F470),"",VLOOKUP(E470,INDIRECT($F$8),6+(O478-1)*3,0))</f>
        <v>4</v>
      </c>
      <c r="G478" s="25" t="str">
        <f ca="1">IF(ISERROR(F470),"",_xlfn.TEXTJOIN("/",FALSE,P478,S478))</f>
        <v>48/100</v>
      </c>
      <c r="H478" s="25"/>
      <c r="I478" s="25" t="str">
        <f ca="1">IF(ISERROR(F470),"",_xlfn.TEXTJOIN("/",FALSE,Q478,T478))</f>
        <v>42/50</v>
      </c>
      <c r="J478" s="25"/>
      <c r="K478" s="25" t="str">
        <f ca="1">IF(ISERROR(F470),"",_xlfn.TEXTJOIN("/",FALSE,R478,U478))</f>
        <v>90/150</v>
      </c>
      <c r="L478" s="25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D+</v>
      </c>
      <c r="N478" s="8">
        <f t="shared" ca="1" si="43"/>
        <v>6.5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IF(ISERROR(F470),"",IF(ISTEXT(VLOOKUP(B470,INDIRECT($F$8),6+(O478-1)*3)),(VLOOKUP(B470,INDIRECT($F$8),6+(O478-1)*3)),SUM(VLOOKUP(B470,INDIRECT($F$8),6+(O478-1)*3),IF(W488,W478,0))))</f>
        <v>48</v>
      </c>
      <c r="Q478" s="1">
        <f ca="1">IF(ISERROR(F470),"",VLOOKUP(B470,INDIRECT($F$8),7+(O478-1)*3))</f>
        <v>42</v>
      </c>
      <c r="R478" s="1">
        <f ca="1">IF(ISERROR(F470),"",SUM(P478:Q478))</f>
        <v>90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1.5" customHeight="1" x14ac:dyDescent="0.2">
      <c r="A479" s="7" t="str">
        <f ca="1">IF(ISERROR(F470),"",VLOOKUP(C470,INDIRECT($F$8),6+(O479-1)*3,0))</f>
        <v>AHT 000</v>
      </c>
      <c r="B479" s="24" t="str">
        <f ca="1">IF(ISERROR(F470),"",VLOOKUP(D470,INDIRECT($F$8),6+(O479-1)*3,0))</f>
        <v>Basic Mathematics (Bridge Course) ($)</v>
      </c>
      <c r="C479" s="24"/>
      <c r="D479" s="24"/>
      <c r="E479" s="24"/>
      <c r="F479" s="7">
        <f ca="1">IF(ISERROR(F470),"",VLOOKUP(E470,INDIRECT($F$8),6+(O479-1)*3,0))</f>
        <v>0</v>
      </c>
      <c r="G479" s="25" t="str">
        <f ca="1">IF(ISERROR(F470),"",_xlfn.TEXTJOIN("/",FALSE,P479,S479))</f>
        <v>49/100</v>
      </c>
      <c r="H479" s="25"/>
      <c r="I479" s="25" t="str">
        <f ca="1">IF(ISERROR(F470),"",_xlfn.TEXTJOIN("/",FALSE,Q479,T479))</f>
        <v>29/50</v>
      </c>
      <c r="J479" s="25"/>
      <c r="K479" s="25" t="str">
        <f ca="1">IF(ISERROR(F470),"",_xlfn.TEXTJOIN("/",FALSE,R479,U479))</f>
        <v>78/150</v>
      </c>
      <c r="L479" s="25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E+</v>
      </c>
      <c r="N479" s="8">
        <f t="shared" ca="1" si="43"/>
        <v>5.5</v>
      </c>
      <c r="O479" cm="1">
        <f t="array" aca="1" ref="O479" ca="1">IF(NOT(ISBLANK(INDIRECT("SEM_I!R"&amp;INT((ROW(O479)-17)/22)+6))),5,
IF(NOT(ISBLANK(INDIRECT("SEM_I!U"&amp;INT((ROW(O479)-17)/22)+6))),6))</f>
        <v>5</v>
      </c>
      <c r="P479" s="1">
        <f ca="1">IF(ISERROR(F470),"",IF(ISTEXT(VLOOKUP(B470,INDIRECT($F$8),6+(O479-1)*3)),(VLOOKUP(B470,INDIRECT($F$8),6+(O479-1)*3)),SUM(VLOOKUP(B470,INDIRECT($F$8),6+(O479-1)*3),IF(W488,W479,0))))</f>
        <v>49</v>
      </c>
      <c r="Q479" s="1">
        <f ca="1">IF(ISERROR(F470),"",VLOOKUP(B470,INDIRECT($F$8),7+(O479-1)*3))</f>
        <v>29</v>
      </c>
      <c r="R479" s="1">
        <f ca="1">IF(ISERROR(F470),"",SUM(P479:Q479))</f>
        <v>78</v>
      </c>
      <c r="S479" s="1">
        <f ca="1">IF(ISERROR(F470),"",VLOOKUP(A470,INDIRECT($F$8),6+(O479-1)*3))</f>
        <v>100</v>
      </c>
      <c r="T479" s="1">
        <f ca="1">IF(ISERROR(F470),"",VLOOKUP(A470,INDIRECT($F$8),7+(O479-1)*3))</f>
        <v>50</v>
      </c>
      <c r="U479" s="1">
        <f ca="1">IF(ISERROR(F470),"",VLOOKUP(A470,INDIRECT($F$8),8+(O479-1)*3))</f>
        <v>150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1.5" customHeight="1" x14ac:dyDescent="0.2">
      <c r="A480" s="7" t="str">
        <f ca="1">IF(ISERROR(F470),"",VLOOKUP(C470,INDIRECT($F$8),6+(O480-1)*3,0))</f>
        <v>AHP 002</v>
      </c>
      <c r="B480" s="24" t="str">
        <f ca="1">IF(ISERROR(F470),"",VLOOKUP(D470,INDIRECT($F$8),6+(O480-1)*3,0))</f>
        <v>Engineering Chemistry Lab</v>
      </c>
      <c r="C480" s="24"/>
      <c r="D480" s="24"/>
      <c r="E480" s="24"/>
      <c r="F480" s="7">
        <f ca="1">IF(ISERROR(F470),"",VLOOKUP(E470,INDIRECT($F$8),6+(O480-1)*3,0))</f>
        <v>1</v>
      </c>
      <c r="G480" s="25" t="str">
        <f ca="1">IF(ISERROR(F470),"",_xlfn.TEXTJOIN("/",FALSE,P480,S480))</f>
        <v>19/25</v>
      </c>
      <c r="H480" s="25"/>
      <c r="I480" s="25" t="str">
        <f ca="1">IF(ISERROR(F470),"",_xlfn.TEXTJOIN("/",FALSE,Q480,T480))</f>
        <v>17/25</v>
      </c>
      <c r="J480" s="25"/>
      <c r="K480" s="25" t="str">
        <f ca="1">IF(ISERROR(F470),"",_xlfn.TEXTJOIN("/",FALSE,R480,U480))</f>
        <v>36/50</v>
      </c>
      <c r="L480" s="25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C+</v>
      </c>
      <c r="N480" s="8">
        <f t="shared" ca="1" si="43"/>
        <v>7.5</v>
      </c>
      <c r="O480">
        <f ca="1">IF(O479&gt;0,7)</f>
        <v>7</v>
      </c>
      <c r="P480" s="1">
        <f ca="1">IF(ISERROR(F470),"",IF(ISTEXT(VLOOKUP(B470,INDIRECT($F$8),6+(O480-1)*3)),(VLOOKUP(B470,INDIRECT($F$8),6+(O480-1)*3)),SUM(VLOOKUP(B470,INDIRECT($F$8),6+(O480-1)*3),IF(W488,W480,0))))</f>
        <v>19</v>
      </c>
      <c r="Q480" s="1">
        <f ca="1">IF(ISERROR(F470),"",VLOOKUP(B470,INDIRECT($F$8),7+(O480-1)*3))</f>
        <v>17</v>
      </c>
      <c r="R480" s="1">
        <f ca="1">IF(ISERROR(F470),"",SUM(P480:Q480))</f>
        <v>36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1.5" customHeight="1" x14ac:dyDescent="0.2">
      <c r="A481" s="7" t="str">
        <f ca="1">IF(ISERROR(F470),"",VLOOKUP(C470,INDIRECT($F$8),6+(O481-1)*3,0))</f>
        <v>ECP 001</v>
      </c>
      <c r="B481" s="24" t="str">
        <f ca="1">IF(ISERROR(F470),"",VLOOKUP(D470,INDIRECT($F$8),6+(O481-1)*3,0))</f>
        <v>Basic Electronics Engineering Lab</v>
      </c>
      <c r="C481" s="24"/>
      <c r="D481" s="24"/>
      <c r="E481" s="24"/>
      <c r="F481" s="7">
        <f ca="1">IF(ISERROR(F470),"",VLOOKUP(E470,INDIRECT($F$8),6+(O481-1)*3,0))</f>
        <v>1</v>
      </c>
      <c r="G481" s="25" t="str">
        <f ca="1">IF(ISERROR(F470),"",_xlfn.TEXTJOIN("/",FALSE,P481,S481))</f>
        <v>18/25</v>
      </c>
      <c r="H481" s="25"/>
      <c r="I481" s="25" t="str">
        <f ca="1">IF(ISERROR(F470),"",_xlfn.TEXTJOIN("/",FALSE,Q481,T481))</f>
        <v>19/25</v>
      </c>
      <c r="J481" s="25"/>
      <c r="K481" s="25" t="str">
        <f ca="1">IF(ISERROR(F470),"",_xlfn.TEXTJOIN("/",FALSE,R481,U481))</f>
        <v>37/50</v>
      </c>
      <c r="L481" s="25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C+</v>
      </c>
      <c r="N481" s="8">
        <f t="shared" ca="1" si="43"/>
        <v>7.5</v>
      </c>
      <c r="O481">
        <f t="shared" ref="O481:O487" ca="1" si="44">O480+1</f>
        <v>8</v>
      </c>
      <c r="P481" s="1">
        <f ca="1">IF(ISERROR(F470),"",IF(ISTEXT(VLOOKUP(B470,INDIRECT($F$8),6+(O481-1)*3)),(VLOOKUP(B470,INDIRECT($F$8),6+(O481-1)*3)),SUM(VLOOKUP(B470,INDIRECT($F$8),6+(O481-1)*3),IF(W488,W481,0))))</f>
        <v>18</v>
      </c>
      <c r="Q481" s="1">
        <f ca="1">IF(ISERROR(F470),"",VLOOKUP(B470,INDIRECT($F$8),7+(O481-1)*3))</f>
        <v>19</v>
      </c>
      <c r="R481" s="1">
        <f ca="1">IF(ISERROR(F470),"",SUM(P481:Q481))</f>
        <v>37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1.5" customHeight="1" x14ac:dyDescent="0.2">
      <c r="A482" s="7" t="str">
        <f ca="1">IF(ISERROR(F470),"",VLOOKUP(C470,INDIRECT($F$8),6+(O482-1)*3,0))</f>
        <v>MEP 001</v>
      </c>
      <c r="B482" s="24" t="str">
        <f ca="1">IF(ISERROR(F470),"",VLOOKUP(D470,INDIRECT($F$8),6+(O482-1)*3,0))</f>
        <v>Basic Mechanical Engineering Lab</v>
      </c>
      <c r="C482" s="24"/>
      <c r="D482" s="24"/>
      <c r="E482" s="24"/>
      <c r="F482" s="7">
        <f ca="1">IF(ISERROR(F470),"",VLOOKUP(E470,INDIRECT($F$8),6+(O482-1)*3,0))</f>
        <v>1</v>
      </c>
      <c r="G482" s="25" t="str">
        <f ca="1">IF(ISERROR(F470),"",_xlfn.TEXTJOIN("/",FALSE,P482,S482))</f>
        <v>21/25</v>
      </c>
      <c r="H482" s="25"/>
      <c r="I482" s="25" t="str">
        <f ca="1">IF(ISERROR(F470),"",_xlfn.TEXTJOIN("/",FALSE,Q482,T482))</f>
        <v>22/25</v>
      </c>
      <c r="J482" s="25"/>
      <c r="K482" s="25" t="str">
        <f ca="1">IF(ISERROR(F470),"",_xlfn.TEXTJOIN("/",FALSE,R482,U482))</f>
        <v>43/50</v>
      </c>
      <c r="L482" s="25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A</v>
      </c>
      <c r="N482" s="8">
        <f t="shared" ca="1" si="43"/>
        <v>9</v>
      </c>
      <c r="O482">
        <f t="shared" ca="1" si="44"/>
        <v>9</v>
      </c>
      <c r="P482" s="1">
        <f ca="1">IF(ISERROR(F470),"",IF(ISTEXT(VLOOKUP(B470,INDIRECT($F$8),6+(O482-1)*3)),(VLOOKUP(B470,INDIRECT($F$8),6+(O482-1)*3)),SUM(VLOOKUP(B470,INDIRECT($F$8),6+(O482-1)*3),IF(W488,W482,0))))</f>
        <v>21</v>
      </c>
      <c r="Q482" s="1">
        <f ca="1">IF(ISERROR(F470),"",VLOOKUP(B470,INDIRECT($F$8),7+(O482-1)*3))</f>
        <v>22</v>
      </c>
      <c r="R482" s="1">
        <f ca="1">IF(ISERROR(F470),"",SUM(P482:Q482))</f>
        <v>43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1.5" customHeight="1" x14ac:dyDescent="0.2">
      <c r="A483" s="7" t="str">
        <f ca="1">IF(ISERROR(F470),"",VLOOKUP(C470,INDIRECT($F$8),6+(O483-1)*3,0))</f>
        <v>MEP 003</v>
      </c>
      <c r="B483" s="24" t="str">
        <f ca="1">IF(ISERROR(F470),"",VLOOKUP(D470,INDIRECT($F$8),6+(O483-1)*3-Z483,0))</f>
        <v>Workshop Practices Lab</v>
      </c>
      <c r="C483" s="24"/>
      <c r="D483" s="24"/>
      <c r="E483" s="24"/>
      <c r="F483" s="7">
        <f ca="1">IF(ISERROR(F470),"",VLOOKUP(E470,INDIRECT($F$8),6+(O483-1)*3,0))</f>
        <v>2</v>
      </c>
      <c r="G483" s="25" t="str">
        <f ca="1">IF(ISERROR(F470),"",_xlfn.TEXTJOIN("/",FALSE,P483,S483))</f>
        <v>46/50</v>
      </c>
      <c r="H483" s="25"/>
      <c r="I483" s="25" t="str">
        <f ca="1">IF(ISERROR(F470),"",_xlfn.TEXTJOIN("/",FALSE,Q483,T483))</f>
        <v>45/50</v>
      </c>
      <c r="J483" s="25"/>
      <c r="K483" s="25" t="str">
        <f ca="1">IF(ISERROR(F470),"",_xlfn.TEXTJOIN("/",FALSE,R483,U483))</f>
        <v>91/100</v>
      </c>
      <c r="L483" s="25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A+</v>
      </c>
      <c r="N483" s="8">
        <f t="shared" ca="1" si="43"/>
        <v>9.5</v>
      </c>
      <c r="O483">
        <f t="shared" ca="1" si="44"/>
        <v>10</v>
      </c>
      <c r="P483" s="1">
        <f ca="1">IF(ISERROR(F470),"",IF(ISTEXT(VLOOKUP(B470,INDIRECT($F$8),6+(O483-1)*3)),(VLOOKUP(B470,INDIRECT($F$8),6+(O483-1)*3)),SUM(VLOOKUP(B470,INDIRECT($F$8),6+(O483-1)*3),IF(W488,W483,0))))</f>
        <v>46</v>
      </c>
      <c r="Q483" s="1">
        <f ca="1">IF(ISERROR(F470),"",VLOOKUP(B470,INDIRECT($F$8),7+(O483-1)*3))</f>
        <v>45</v>
      </c>
      <c r="R483" s="1">
        <f ca="1">IF(ISERROR(F470),"",SUM(P483:Q483))</f>
        <v>91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1.5" customHeight="1" x14ac:dyDescent="0.2">
      <c r="A484" s="7" t="str">
        <f ca="1">IF(ISERROR(F470),"",VLOOKUP(C470,INDIRECT($F$8),6+(O484-1)*3,0))</f>
        <v>AHP 004</v>
      </c>
      <c r="B484" s="24" t="str">
        <f ca="1">IF(ISERROR(F470),"",VLOOKUP(D470,INDIRECT($F$8),6+(O484-1)*3-Z484,0))</f>
        <v>Emerging Technologies in Engineering Lab</v>
      </c>
      <c r="C484" s="24"/>
      <c r="D484" s="24"/>
      <c r="E484" s="24"/>
      <c r="F484" s="7">
        <f ca="1">IF(ISERROR(F470),"",VLOOKUP(E470,INDIRECT($F$8),6+(O484-1)*3,0))</f>
        <v>1</v>
      </c>
      <c r="G484" s="25" t="str">
        <f ca="1">IF(ISERROR(F470),"",_xlfn.TEXTJOIN("/",FALSE,P484,S484))</f>
        <v>22/25</v>
      </c>
      <c r="H484" s="25"/>
      <c r="I484" s="25" t="str">
        <f ca="1">IF(ISERROR(F470),"",_xlfn.TEXTJOIN("/",FALSE,Q484,T484))</f>
        <v>23/25</v>
      </c>
      <c r="J484" s="25"/>
      <c r="K484" s="25" t="str">
        <f ca="1">IF(ISERROR(F470),"",_xlfn.TEXTJOIN("/",FALSE,R484,U484))</f>
        <v>45/50</v>
      </c>
      <c r="L484" s="25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A+</v>
      </c>
      <c r="N484" s="8">
        <f t="shared" ca="1" si="43"/>
        <v>9.5</v>
      </c>
      <c r="O484">
        <f t="shared" ca="1" si="44"/>
        <v>11</v>
      </c>
      <c r="P484" s="1">
        <f ca="1">IF(ISERROR(F470),"",IF(ISTEXT(VLOOKUP(B470,INDIRECT($F$8),6+(O484-1)*3)),(VLOOKUP(B470,INDIRECT($F$8),6+(O484-1)*3)),SUM(VLOOKUP(B470,INDIRECT($F$8),6+(O484-1)*3),IF(W488,W484,0))))</f>
        <v>22</v>
      </c>
      <c r="Q484" s="1">
        <f ca="1">IF(ISERROR(F470),"",VLOOKUP(B470,INDIRECT($F$8),7+(O484-1)*3))</f>
        <v>23</v>
      </c>
      <c r="R484" s="1">
        <f ca="1">IF(ISERROR(F470),"",SUM(P484:Q484))</f>
        <v>45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1.5" customHeight="1" x14ac:dyDescent="0.2">
      <c r="A485" s="7" t="str">
        <f ca="1">IF(ISERROR(F470),"",VLOOKUP(C470,INDIRECT($F$8),6+(O485-1)*3,0))</f>
        <v>CSP 002</v>
      </c>
      <c r="B485" s="24" t="str">
        <f ca="1">IF(ISERROR(F470),"",VLOOKUP(D470,INDIRECT($F$8),6+(O485-1)*3,0))</f>
        <v>Computer Applications and IOT</v>
      </c>
      <c r="C485" s="24"/>
      <c r="D485" s="24"/>
      <c r="E485" s="24"/>
      <c r="F485" s="7">
        <f ca="1">IF(ISERROR(F470),"",VLOOKUP(E470,INDIRECT($F$8),6+(O485-1)*3,0))</f>
        <v>1</v>
      </c>
      <c r="G485" s="25" t="str">
        <f ca="1">IF(ISERROR(F470),"",_xlfn.TEXTJOIN("/",FALSE,P485,S485))</f>
        <v>23/25</v>
      </c>
      <c r="H485" s="25"/>
      <c r="I485" s="25" t="str">
        <f ca="1">IF(ISERROR(F470),"",_xlfn.TEXTJOIN("/",FALSE,Q485,T485))</f>
        <v>23/25</v>
      </c>
      <c r="J485" s="25"/>
      <c r="K485" s="25" t="str">
        <f ca="1">IF(ISERROR(F470),"",_xlfn.TEXTJOIN("/",FALSE,R485,U485))</f>
        <v>46/50</v>
      </c>
      <c r="L485" s="25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A+</v>
      </c>
      <c r="N485" s="8">
        <f t="shared" ca="1" si="43"/>
        <v>9.5</v>
      </c>
      <c r="O485">
        <f t="shared" ca="1" si="44"/>
        <v>12</v>
      </c>
      <c r="P485" s="1">
        <f ca="1">IF(ISERROR(F470),"",IF(ISTEXT(VLOOKUP(B470,INDIRECT($F$8),6+(O485-1)*3)),(VLOOKUP(B470,INDIRECT($F$8),6+(O485-1)*3)),SUM(VLOOKUP(B470,INDIRECT($F$8),6+(O485-1)*3),IF(W488,W485,0))))</f>
        <v>23</v>
      </c>
      <c r="Q485" s="1">
        <f ca="1">IF(ISERROR(F470),"",VLOOKUP(B470,INDIRECT($F$8),7+(O485-1)*3))</f>
        <v>23</v>
      </c>
      <c r="R485" s="1">
        <f ca="1">IF(ISERROR(F470),"",SUM(P485:Q485))</f>
        <v>46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1.5" customHeight="1" x14ac:dyDescent="0.2">
      <c r="A486" s="7" t="str">
        <f ca="1">IF(ISERROR(F470),"",VLOOKUP(C470,INDIRECT($F$8),6+(O486-1)*3,0))</f>
        <v>AHP 006</v>
      </c>
      <c r="B486" s="24" t="str">
        <f ca="1">IF(ISERROR(F470),"",VLOOKUP(D470,INDIRECT($F$8),6+(O486-1)*3,0))</f>
        <v>English Language Lab ($)</v>
      </c>
      <c r="C486" s="24"/>
      <c r="D486" s="24"/>
      <c r="E486" s="24"/>
      <c r="F486" s="7">
        <f ca="1">IF(ISERROR(F470),"",VLOOKUP(E470,INDIRECT($F$8),6+(O486-1)*3,0))</f>
        <v>0</v>
      </c>
      <c r="G486" s="25" t="str">
        <f ca="1">IF(ISERROR(F470),"",_xlfn.TEXTJOIN("/",FALSE,P486,S486))</f>
        <v>15/25</v>
      </c>
      <c r="H486" s="25"/>
      <c r="I486" s="25" t="str">
        <f ca="1">IF(ISERROR(F470),"",_xlfn.TEXTJOIN("/",FALSE,Q486,T486))</f>
        <v>34/50</v>
      </c>
      <c r="J486" s="25"/>
      <c r="K486" s="25" t="str">
        <f ca="1">IF(ISERROR(F470),"",_xlfn.TEXTJOIN("/",FALSE,R486,U486))</f>
        <v>49/75</v>
      </c>
      <c r="L486" s="25"/>
      <c r="M486" s="7" t="str">
        <f ca="1">IF(ISERROR(F470),"",IF(ISTEXT(P486),IF(P486="A","Ab",IF(P486="D","Dt",IF(P486="UFM","UFM",IF(P486="NA","")))),IF(AND(ISBLANK(P486),ISBLANK(R486)),"",IF(P486&lt;0.3*S486,"F",IF(ISBLANK(R486),"",IF(ISTEXT(R486),R486,IF(R486&gt;=0.95*U486,"O",IF(R486&gt;=0.9*U486,"A+",IF(R486&gt;=0.85*U486,"A",IF(R486&gt;=0.8*U486,"B+",IF(R486&gt;=0.75*U486,"B",IF(R486&gt;=0.7*U486,"C+",IF(R486&gt;=0.65*U486,"C",IF(R486&gt;=0.6*U486,"D+",IF(R486&gt;=0.55*U486,"D",IF(R486&gt;=0.5*U486,"E+",IF(R486&gt;=0.45*U486,"E",IF(R486&gt;=0.4*U486,"P",IF(R486&lt;0.4*U486,"F",R486)))))))))))))))))))</f>
        <v>C</v>
      </c>
      <c r="N486" s="8">
        <f ca="1">INDEX($Z$2:$Z$17,MATCH(M486,$Y$2:$Y$17,0))</f>
        <v>7</v>
      </c>
      <c r="O486">
        <f t="shared" ca="1" si="44"/>
        <v>13</v>
      </c>
      <c r="P486" s="1">
        <f ca="1">IF(ISERROR(F470),"",IF(ISTEXT(VLOOKUP(B470,INDIRECT($F$8),6+(O486-1)*3)),(VLOOKUP(B470,INDIRECT($F$8),6+(O486-1)*3)),SUM(VLOOKUP(B470,INDIRECT($F$8),6+(O486-1)*3),IF(W488,W486,0))))</f>
        <v>15</v>
      </c>
      <c r="Q486" s="1">
        <f ca="1">IF(ISERROR(F470),"",VLOOKUP(B470,INDIRECT($F$8),7+(O486-1)*3))</f>
        <v>34</v>
      </c>
      <c r="R486" s="1">
        <f ca="1">IF(ISERROR(F470),"",SUM(P486:Q486))</f>
        <v>49</v>
      </c>
      <c r="S486" s="1">
        <f ca="1">IF(ISERROR(F470),"",VLOOKUP(A470,INDIRECT($F$8),6+(O486-1)*3))</f>
        <v>25</v>
      </c>
      <c r="T486" s="1">
        <f ca="1">IF(ISERROR(F470),"",VLOOKUP(A470,INDIRECT($F$8),7+(O486-1)*3))</f>
        <v>50</v>
      </c>
      <c r="U486" s="1">
        <f ca="1">IF(ISERROR(F470),"",VLOOKUP(A470,INDIRECT($F$8),8+(O486-1)*3))</f>
        <v>75</v>
      </c>
      <c r="V486" s="1"/>
      <c r="W486" s="1">
        <f ca="1">IF(ISERROR(F470),"",IF(ISTEXT(VLOOKUP(B470,INDIRECT($F$8),6+(O486-1)*3)),11,IF(VLOOKUP(B470,INDIRECT($F$8),6+(O486-1)*3)&lt;S486*0.3,IF(VLOOKUP(B470,INDIRECT($F$8),8+(O486-1)*3)&lt;U486*0.4,IF(AND(0.4*U486-VLOOKUP(B470,INDIRECT($F$8),8+(O486-1)*3)&lt;=5,0.3*S486-VLOOKUP(B470,INDIRECT($F$8),6+(O486-1)*3)&lt;=5),MAX(0.4*U486-VLOOKUP(B470,INDIRECT($F$8),8+(O486-1)*3),0.3*S486-VLOOKUP(B470,INDIRECT($F$8),6+(O486-1)*3)),11),IF(0.3*S486-VLOOKUP(B470,INDIRECT($F$8),6+(O486-1)*3)&lt;=5,0.3*S486-VLOOKUP(B470,INDIRECT($F$8),6+(O486-1)*3),11)),IF(VLOOKUP(B470,INDIRECT($F$8),8+(O486-1)*3)&lt;U486*0.4,IF(U486*0.4-VLOOKUP(B470,INDIRECT($F$8),8+(O486-1)*3)&lt;=5,U486*0.4-VLOOKUP(B470,INDIRECT($F$8),8+(O486-1)*3),11),0))))</f>
        <v>0</v>
      </c>
      <c r="X486" s="1" t="str">
        <f ca="1">IF(ISERROR(F470),"",IF(W486=0,"",_xlfn.TEXTJOIN("",FALSE," G+",W486," in ",A486)))</f>
        <v/>
      </c>
    </row>
    <row r="487" spans="1:24" ht="11.5" customHeight="1" x14ac:dyDescent="0.2">
      <c r="A487" s="7" t="str">
        <f ca="1">IF(ISERROR(F470),"",VLOOKUP(C470,INDIRECT($F$8),6+(O487-1)*3-Y487,0))</f>
        <v>GP 01</v>
      </c>
      <c r="B487" s="24" t="str">
        <f ca="1">IF(ISERROR(F470),"",VLOOKUP(D470,INDIRECT($F$8),6+(O487-1)*3-Z487,0))</f>
        <v>General Proficiency ($)</v>
      </c>
      <c r="C487" s="24"/>
      <c r="D487" s="24"/>
      <c r="E487" s="24"/>
      <c r="F487" s="7">
        <f ca="1">IF(ISERROR(F470),"",VLOOKUP(E470,INDIRECT($F$8),6+(O487-1)*3-AA487,0))</f>
        <v>0</v>
      </c>
      <c r="G487" s="25" t="str">
        <f ca="1">IF(ISERROR(F470),"","-")</f>
        <v>-</v>
      </c>
      <c r="H487" s="25"/>
      <c r="I487" s="25" t="str">
        <f ca="1">IF(ISERROR(F470),"",_xlfn.TEXTJOIN("/",FALSE,Q487,T487))</f>
        <v>48/50</v>
      </c>
      <c r="J487" s="25"/>
      <c r="K487" s="25" t="str">
        <f ca="1">IF(ISERROR(F470),"",_xlfn.TEXTJOIN("/",FALSE,R487,U487))</f>
        <v>48/50</v>
      </c>
      <c r="L487" s="25"/>
      <c r="M487" s="25" t="str">
        <f ca="1">IF(ISBLANK(R487),"",IF(ISTEXT(R487),R487,IF(R487&gt;=0.8*U487,"Excellent",IF(R487&gt;=0.6*U487,"Very Good",IF(R487&gt;=0.4*U487,"Good",IF(R487&gt;=0.2*U487,"Satisfactory","Average"))))))</f>
        <v>Excellent</v>
      </c>
      <c r="N487" s="25"/>
      <c r="O487">
        <f t="shared" ca="1" si="44"/>
        <v>14</v>
      </c>
      <c r="P487" s="1">
        <f ca="1">IF(ISERROR(F470),"",IF(ISTEXT(VLOOKUP(B\28,INDIRECT($F$8),6+(O487-1)*3)),(VLOOKUP(B470,INDIRECT($F$8),6+(O487-1)*3)),SUM(VLOOKUP(B470,INDIRECT($F$8),6+(O487-1)*3),IF(W488,W488,0))))</f>
        <v>0</v>
      </c>
      <c r="Q487" s="1">
        <f ca="1">IF(ISERROR(F470),"",VLOOKUP(B470,INDIRECT($F$8),7+(O487-1)*3))</f>
        <v>48</v>
      </c>
      <c r="R487" s="1">
        <f ca="1">IF(ISERROR(F470),"",SUM(P487:Q487))</f>
        <v>48</v>
      </c>
      <c r="S487" s="1">
        <f ca="1">IF(ISERROR(F470),"",VLOOKUP(A470,INDIRECT($F$8),6+(O487-1)*3))</f>
        <v>0</v>
      </c>
      <c r="T487" s="1">
        <f ca="1">IF(ISERROR(F470),"",VLOOKUP(A470,INDIRECT($F$8),7+(O487-1)*3))</f>
        <v>50</v>
      </c>
      <c r="U487" s="1">
        <f ca="1">IF(ISERROR(F470),"",VLOOKUP(A470,INDIRECT($F$8),8+(O487-1)*3))</f>
        <v>50</v>
      </c>
      <c r="V487" s="1"/>
      <c r="W487" s="1"/>
      <c r="X487" s="1" t="str">
        <f ca="1">IF(ISERROR(F470),"",IF(W487=0,"",_xlfn.TEXTJOIN("",FALSE," G+",W487," in ",A487)))</f>
        <v/>
      </c>
    </row>
    <row r="488" spans="1:24" ht="11.5" customHeight="1" x14ac:dyDescent="0.2">
      <c r="A488" s="26" t="str">
        <f ca="1">IF(ISERROR(F470),"",A466)</f>
        <v>Total Credits/ Marks/ Total Grade Points</v>
      </c>
      <c r="B488" s="26"/>
      <c r="C488" s="26"/>
      <c r="D488" s="26"/>
      <c r="E488" s="26"/>
      <c r="F488" s="10">
        <f ca="1">IF(ISERROR(F470),"",SUM(F475:F486))</f>
        <v>23</v>
      </c>
      <c r="G488" s="27" t="str">
        <f ca="1">IF(ISERROR(F470),"",_xlfn.TEXTJOIN("/",TRUE,SUMIF(F475:F487,"&gt;0",P475:P487),SUMIF(F475:F487,"&gt;0",S475:S487)))</f>
        <v>286/575</v>
      </c>
      <c r="H488" s="27"/>
      <c r="I488" s="27" t="str">
        <f ca="1">IF(ISERROR(F470),"",_xlfn.TEXTJOIN("/",TRUE,SUMIF(F475:F487,"&gt;0",Q475:Q487),SUMIF(F475:F487,"&gt;0",T475:T487)))</f>
        <v>277/375</v>
      </c>
      <c r="J488" s="27"/>
      <c r="K488" s="27" t="str">
        <f ca="1">IF(ISERROR(F470),"",_xlfn.TEXTJOIN("/",TRUE,SUMIF(F475:F487,"&gt;0",R475:R487),SUMIF(F475:F487,"&gt;0",U475:U487)))</f>
        <v>563/950</v>
      </c>
      <c r="L488" s="27"/>
      <c r="M488" s="26">
        <f ca="1">IF(ISERROR(F470),"",SUMPRODUCT(N475:N486,F475:F486))</f>
        <v>128</v>
      </c>
      <c r="N488" s="26"/>
      <c r="V488" s="1" t="str">
        <f ca="1">_xlfn.TEXTJOIN(", ",TRUE,V475:V487)</f>
        <v>AHT 003</v>
      </c>
      <c r="W488" t="b">
        <f ca="1">IF(SUM(W475:W487)&lt;=W474,TRUE,FALSE)</f>
        <v>0</v>
      </c>
      <c r="X488" s="1" t="str">
        <f ca="1">IF(ISERROR(F470),"",_xlfn.TEXTJOIN(",",TRUE,X475:X487))</f>
        <v xml:space="preserve"> G+11 in AHT 003</v>
      </c>
    </row>
    <row r="489" spans="1:24" ht="11.5" customHeight="1" x14ac:dyDescent="0.2">
      <c r="A489" s="26" t="str">
        <f ca="1">IF(ISERROR(F470),"",A467)</f>
        <v>Result:</v>
      </c>
      <c r="B489" s="28" t="str" cm="1">
        <f t="array" aca="1" ref="B489" ca="1">IF(SUM(COUNTIF(M475:M486,{"Ab","Dt"}))=12, "Not Promoted to IInd Semester", IF(V488="", "PASS", "CARRY OVER"))</f>
        <v>CARRY OVER</v>
      </c>
      <c r="C489" s="28"/>
      <c r="D489" s="26" t="str">
        <f ca="1">IF(ISERROR(F470),"",D467)</f>
        <v>Remark:</v>
      </c>
      <c r="E489" s="28" t="str">
        <f ca="1">IF(ISERROR(F470),"",IF(V488="",IF(X488="","",X488),_xlfn.TEXTJOIN(" ",TRUE,"BACK IN",V488)))</f>
        <v>BACK IN AHT 003</v>
      </c>
      <c r="F489" s="28"/>
      <c r="G489" s="26" t="str">
        <f ca="1">IF(ISERROR(F470),"",G467)</f>
        <v>SGPA:</v>
      </c>
      <c r="H489" s="29">
        <f ca="1">IF(ISERROR(F470),"",M488/F488)</f>
        <v>5.5652173913043477</v>
      </c>
      <c r="I489" s="26" t="str">
        <f ca="1">IF(ISERROR(F470),"",I467)</f>
        <v>CGPA:</v>
      </c>
      <c r="J489" s="29">
        <f ca="1">IF(ISERROR(F470),"",VLOOKUP(B470,INDIRECT($F$8),12+(O487-1)*3,0))</f>
        <v>5.5652173913043477</v>
      </c>
      <c r="K489" s="28" t="str">
        <f ca="1">IF(ISERROR(F470),"",K467)</f>
        <v>Earned Credits:</v>
      </c>
      <c r="L489" s="26">
        <f ca="1">IF(ISERROR(F470),"",SUMIF(N475:N486,"&gt;0",F475:F486))</f>
        <v>19</v>
      </c>
      <c r="M489" s="28" t="str">
        <f ca="1">IF(ISERROR(F470),"",M467)</f>
        <v>Cuml. Earned Credits:</v>
      </c>
      <c r="N489" s="26">
        <f ca="1">IF(ISERROR(F470),"",VLOOKUP(B470,INDIRECT($F$8),10+(O487-1)*3,0))</f>
        <v>19</v>
      </c>
    </row>
    <row r="490" spans="1:24" ht="11.5" customHeight="1" x14ac:dyDescent="0.2">
      <c r="A490" s="26"/>
      <c r="B490" s="28"/>
      <c r="C490" s="28"/>
      <c r="D490" s="26"/>
      <c r="E490" s="28"/>
      <c r="F490" s="28"/>
      <c r="G490" s="26"/>
      <c r="H490" s="29"/>
      <c r="I490" s="26"/>
      <c r="J490" s="29"/>
      <c r="K490" s="28"/>
      <c r="L490" s="26"/>
      <c r="M490" s="28"/>
      <c r="N490" s="26"/>
    </row>
    <row r="491" spans="1:24" ht="11.5" customHeight="1" x14ac:dyDescent="0.2">
      <c r="A491" s="26"/>
      <c r="B491" s="28"/>
      <c r="C491" s="28"/>
      <c r="D491" s="26"/>
      <c r="E491" s="28"/>
      <c r="F491" s="28"/>
      <c r="G491" s="26"/>
      <c r="H491" s="29"/>
      <c r="I491" s="26"/>
      <c r="J491" s="29"/>
      <c r="K491" s="28"/>
      <c r="L491" s="26"/>
      <c r="M491" s="28"/>
      <c r="N491" s="26"/>
    </row>
    <row r="492" spans="1:24" ht="11.5" customHeight="1" x14ac:dyDescent="0.2">
      <c r="A492" s="11" t="str">
        <f>A470</f>
        <v>MM</v>
      </c>
      <c r="B492" s="11">
        <f>B470+1</f>
        <v>23</v>
      </c>
      <c r="C492" s="11" t="str">
        <f>C470</f>
        <v>SC</v>
      </c>
      <c r="D492" s="11" t="str">
        <f>D470</f>
        <v>SN</v>
      </c>
      <c r="E492" s="11" t="str">
        <f>E470</f>
        <v>C</v>
      </c>
      <c r="F492" s="11" t="str">
        <f ca="1">VLOOKUP(B492,INDIRECT($F$8),4,0)</f>
        <v>PRIYANKA JAJARIYA</v>
      </c>
    </row>
    <row r="493" spans="1:24" ht="11.5" customHeight="1" x14ac:dyDescent="0.2">
      <c r="A493" s="30" t="str">
        <f ca="1">IF(ISERROR(F492),"",A471)</f>
        <v>Name:</v>
      </c>
      <c r="B493" s="30" t="str">
        <f ca="1">IFERROR(VLOOKUP(B492,INDIRECT($F$8),4,0),"")</f>
        <v>PRIYANKA JAJARIYA</v>
      </c>
      <c r="C493" s="30"/>
      <c r="D493" s="30" t="str">
        <f ca="1">IF(ISERROR(F492),"",D471)</f>
        <v>Father's Name:</v>
      </c>
      <c r="E493" s="30" t="str">
        <f ca="1">IFERROR(VLOOKUP(B492,INDIRECT($F$8),5,0),"")</f>
        <v>MANOJ KUMAR</v>
      </c>
      <c r="F493" s="30"/>
      <c r="G493" s="30" t="str">
        <f ca="1">IF(ISERROR(F492),"",G471)</f>
        <v>University Roll No:</v>
      </c>
      <c r="H493" s="30"/>
      <c r="I493" s="31">
        <f ca="1">IFERROR(VLOOKUP(B492,INDIRECT($F$8),2,0),"")</f>
        <v>250090120024</v>
      </c>
      <c r="J493" s="31"/>
      <c r="K493" s="30" t="str">
        <f ca="1">IF(ISERROR(F492),"",K471)</f>
        <v>University Enrol. No:</v>
      </c>
      <c r="L493" s="30"/>
      <c r="M493" s="31" t="str">
        <f ca="1">IFERROR(VLOOKUP(B492,INDIRECT($F$8),3,0),"")</f>
        <v>UTU/2501103680</v>
      </c>
      <c r="N493" s="31"/>
    </row>
    <row r="494" spans="1:24" ht="11.5" customHeight="1" x14ac:dyDescent="0.2">
      <c r="A494" s="30"/>
      <c r="B494" s="30"/>
      <c r="C494" s="30"/>
      <c r="D494" s="30"/>
      <c r="E494" s="30"/>
      <c r="F494" s="30"/>
      <c r="G494" s="30"/>
      <c r="H494" s="30"/>
      <c r="I494" s="31"/>
      <c r="J494" s="31"/>
      <c r="K494" s="30"/>
      <c r="L494" s="30"/>
      <c r="M494" s="31"/>
      <c r="N494" s="31"/>
    </row>
    <row r="495" spans="1:24" ht="11.5" customHeight="1" x14ac:dyDescent="0.2">
      <c r="A495" s="28" t="str">
        <f ca="1">IF(ISERROR(F492),"",A473)</f>
        <v>Subject Code</v>
      </c>
      <c r="B495" s="28" t="str">
        <f ca="1">IF(ISERROR(F492),"",B473)</f>
        <v>Subject Name</v>
      </c>
      <c r="C495" s="28"/>
      <c r="D495" s="28"/>
      <c r="E495" s="28"/>
      <c r="F495" s="28" t="str">
        <f ca="1">IF(ISERROR(F492),"",F473)</f>
        <v>Credits</v>
      </c>
      <c r="G495" s="28" t="str">
        <f ca="1">IF(ISERROR(F492),"",G473)</f>
        <v>External Marks</v>
      </c>
      <c r="H495" s="28"/>
      <c r="I495" s="28" t="str">
        <f ca="1">IF(ISERROR(F492),"",I473)</f>
        <v>Sessional Marks</v>
      </c>
      <c r="J495" s="28"/>
      <c r="K495" s="28" t="str">
        <f ca="1">IF(ISERROR(F492),"",K473)</f>
        <v>Total Marks</v>
      </c>
      <c r="L495" s="28"/>
      <c r="M495" s="28" t="str">
        <f ca="1">IF(ISERROR(F492),"",M473)</f>
        <v>Grade</v>
      </c>
      <c r="N495" s="28" t="str">
        <f ca="1">IF(ISERROR(F492),"",N473)</f>
        <v>Grade Points</v>
      </c>
    </row>
    <row r="496" spans="1:24" ht="11.5" customHeight="1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W496">
        <f ca="1">IF(ISNUMBER(MATCH($F$8,{"I","III","V","VII"},0)),10,10-INDEX(INDIRECT(_xlfn.TEXTJOIN("",TRUE,"SEM_",$G$8,"!",ADDRESS(6,4+$I$8*3+4),":",ADDRESS(5+$H$8,4+$I$8*3+4))),MATCH(INDIRECT(_xlfn.TEXTJOIN("",TRUE,"TC_",$F$8,"!",ADDRESS(ROW(I493),COLUMN(I493)))),INDIRECT(_xlfn.TEXTJOIN("",TRUE,"SEM_",$G$8,"!",ADDRESS(6,2),":",ADDRESS(5+$H$8,2))))))</f>
        <v>10</v>
      </c>
    </row>
    <row r="497" spans="1:24" ht="11.5" customHeight="1" x14ac:dyDescent="0.2">
      <c r="A497" s="7" t="str">
        <f ca="1">IF(ISERROR(F492),"",VLOOKUP(C492,INDIRECT($F$8),6+(O497-1)*3,0))</f>
        <v>AHT 002</v>
      </c>
      <c r="B497" s="24" t="str">
        <f ca="1">IF(ISERROR(F492),"",VLOOKUP(D492,INDIRECT($F$8),6+(O497-1)*3,0))</f>
        <v>Engineering Chemistry</v>
      </c>
      <c r="C497" s="24"/>
      <c r="D497" s="24"/>
      <c r="E497" s="24"/>
      <c r="F497" s="7">
        <f ca="1">IF(ISERROR(F492),"",VLOOKUP(E492,INDIRECT($F$8),6+(O497-1)*3,0))</f>
        <v>4</v>
      </c>
      <c r="G497" s="25" t="str">
        <f ca="1">IF(ISERROR(F492),"",_xlfn.TEXTJOIN("/",FALSE,P497,S497))</f>
        <v>52/100</v>
      </c>
      <c r="H497" s="25"/>
      <c r="I497" s="25" t="str">
        <f ca="1">IF(ISERROR(F492),"",_xlfn.TEXTJOIN("/",FALSE,Q497,T497))</f>
        <v>33/50</v>
      </c>
      <c r="J497" s="25"/>
      <c r="K497" s="25" t="str">
        <f ca="1">IF(ISERROR(F492),"",_xlfn.TEXTJOIN("/",FALSE,R497,U497))</f>
        <v>85/150</v>
      </c>
      <c r="L497" s="25"/>
      <c r="M497" s="7" t="str">
        <f ca="1">IF(ISERROR(F492)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D</v>
      </c>
      <c r="N497" s="8">
        <f ca="1">INDEX($Z$2:$Z$17,MATCH(M497,$Y$2:$Y$17,0))</f>
        <v>6</v>
      </c>
      <c r="O497">
        <v>1</v>
      </c>
      <c r="P497" s="1">
        <f ca="1">IF(ISERROR(F492),"",IF(ISTEXT(VLOOKUP(B492,INDIRECT($F$8),6+(O497-1)*3)),(VLOOKUP(B492,INDIRECT($F$8),6+(O497-1)*3)),SUM(VLOOKUP(B492,INDIRECT($F$8),6+(O497-1)*3),IF(W510,W497,0))))</f>
        <v>52</v>
      </c>
      <c r="Q497" s="1">
        <f ca="1">IF(ISERROR(F492),"",VLOOKUP(B492,INDIRECT($F$8),7+(O497-1)*3))</f>
        <v>33</v>
      </c>
      <c r="R497" s="1">
        <f ca="1">IF(ISERROR(F492),"",SUM(P497:Q497))</f>
        <v>85</v>
      </c>
      <c r="S497" s="1">
        <f ca="1">IF(ISERROR(F492),"",VLOOKUP(A492,INDIRECT($F$8),6+(O497-1)*3))</f>
        <v>100</v>
      </c>
      <c r="T497" s="1">
        <f ca="1">IF(ISERROR(F492),"",VLOOKUP(A492,INDIRECT($F$8),7+(O497-1)*3))</f>
        <v>50</v>
      </c>
      <c r="U497" s="1">
        <f ca="1">IF(ISERROR(F492),"",VLOOKUP(A492,INDIRECT($F$8),8+(O497-1)*3))</f>
        <v>150</v>
      </c>
      <c r="V497" s="1" t="str">
        <f ca="1">IF(ISERROR(F492),"",IF(N497=0,A497,""))</f>
        <v/>
      </c>
      <c r="W497" s="1">
        <f ca="1">IF(ISERROR(F492),"",IF(ISTEXT(VLOOKUP(B492,INDIRECT($F$8),6+(O497-1)*3)),11,IF(VLOOKUP(B492,INDIRECT($F$8),6+(O497-1)*3)&lt;S497*0.3,IF(VLOOKUP(B492,INDIRECT($F$8),8+(O497-1)*3)&lt;U497*0.4,IF(AND(0.4*U497-VLOOKUP(B492,INDIRECT($F$8),8+(O497-1)*3)&lt;=5,0.3*S497-VLOOKUP(B492,INDIRECT($F$8),6+(O497-1)*3)&lt;=5),MAX(0.4*U497-VLOOKUP(B492,INDIRECT($F$8),8+(O497-1)*3),0.3*S497-VLOOKUP(B492,INDIRECT($F$8),6+(O497-1)*3)),11),IF(0.3*S497-VLOOKUP(B492,INDIRECT($F$8),6+(O497-1)*3)&lt;=5,0.3*S497-VLOOKUP(B492,INDIRECT($F$8),6+(O497-1)*3),11)),IF(VLOOKUP(B492,INDIRECT($F$8),8+(O497-1)*3)&lt;U497*0.4,IF(U497*0.4-VLOOKUP(B492,INDIRECT($F$8),8+(O497-1)*3)&lt;=5,U497*0.4-VLOOKUP(B492,INDIRECT($F$8),8+(O497-1)*3),11),0))))</f>
        <v>0</v>
      </c>
      <c r="X497" s="1" t="str">
        <f ca="1">IF(ISERROR(F492),"",IF(W497=0,"",_xlfn.TEXTJOIN("",FALSE," G+",W497," in ",A497)))</f>
        <v/>
      </c>
    </row>
    <row r="498" spans="1:24" ht="11.5" customHeight="1" x14ac:dyDescent="0.2">
      <c r="A498" s="7" t="str">
        <f ca="1">IF(ISERROR(F492),"",VLOOKUP(C492,INDIRECT($F$8),6+(O498-1)*3,0))</f>
        <v>AHT 003</v>
      </c>
      <c r="B498" s="24" t="str">
        <f ca="1">IF(ISERROR(F492),"",VLOOKUP(D492,INDIRECT($F$8),6+(O498-1)*3,0))</f>
        <v>Introduction to Engineering Mathematics</v>
      </c>
      <c r="C498" s="24"/>
      <c r="D498" s="24"/>
      <c r="E498" s="24"/>
      <c r="F498" s="7">
        <f ca="1">IF(ISERROR(F492),"",VLOOKUP(E492,INDIRECT($F$8),6+(O498-1)*3,0))</f>
        <v>4</v>
      </c>
      <c r="G498" s="25" t="str">
        <f ca="1">IF(ISERROR(F492),"",_xlfn.TEXTJOIN("/",FALSE,P498,S498))</f>
        <v>13/100</v>
      </c>
      <c r="H498" s="25"/>
      <c r="I498" s="25" t="str">
        <f ca="1">IF(ISERROR(F492),"",_xlfn.TEXTJOIN("/",FALSE,Q498,T498))</f>
        <v>20/50</v>
      </c>
      <c r="J498" s="25"/>
      <c r="K498" s="25" t="str">
        <f ca="1">IF(ISERROR(F492),"",_xlfn.TEXTJOIN("/",FALSE,R498,U498))</f>
        <v>33/150</v>
      </c>
      <c r="L498" s="25"/>
      <c r="M498" s="7" t="str">
        <f ca="1">IF(ISERROR(F492)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F</v>
      </c>
      <c r="N498" s="8">
        <f t="shared" ref="N498:N507" ca="1" si="45">INDEX($Z$2:$Z$17,MATCH(M498,$Y$2:$Y$17,0))</f>
        <v>0</v>
      </c>
      <c r="O498">
        <f>O497+1</f>
        <v>2</v>
      </c>
      <c r="P498" s="1">
        <f ca="1">IF(ISERROR(F492),"",IF(ISTEXT(VLOOKUP(B492,INDIRECT($F$8),6+(O498-1)*3)),(VLOOKUP(B492,INDIRECT($F$8),6+(O498-1)*3)),SUM(VLOOKUP(B492,INDIRECT($F$8),6+(O498-1)*3),IF(W510,W498,0))))</f>
        <v>13</v>
      </c>
      <c r="Q498" s="1">
        <f ca="1">IF(ISERROR(F492),"",VLOOKUP(B492,INDIRECT($F$8),7+(O498-1)*3))</f>
        <v>20</v>
      </c>
      <c r="R498" s="1">
        <f ca="1">IF(ISERROR(F492),"",SUM(P498:Q498))</f>
        <v>33</v>
      </c>
      <c r="S498" s="1">
        <f ca="1">IF(ISERROR(F492),"",VLOOKUP(A492,INDIRECT($F$8),6+(O498-1)*3))</f>
        <v>100</v>
      </c>
      <c r="T498" s="1">
        <f ca="1">IF(ISERROR(F492),"",VLOOKUP(A492,INDIRECT($F$8),7+(O498-1)*3))</f>
        <v>50</v>
      </c>
      <c r="U498" s="1">
        <f ca="1">IF(ISERROR(F492),"",VLOOKUP(A492,INDIRECT($F$8),8+(O498-1)*3))</f>
        <v>150</v>
      </c>
      <c r="V498" s="1" t="str">
        <f ca="1">IF(ISERROR(F492),"",IF(N498=0,A498,""))</f>
        <v>AHT 003</v>
      </c>
      <c r="W498" s="1">
        <f ca="1">IF(ISERROR(F492),"",IF(ISTEXT(VLOOKUP(B492,INDIRECT($F$8),6+(O498-1)*3)),11,IF(VLOOKUP(B492,INDIRECT($F$8),6+(O498-1)*3)&lt;S498*0.3,IF(VLOOKUP(B492,INDIRECT($F$8),8+(O498-1)*3)&lt;U498*0.4,IF(AND(0.4*U498-VLOOKUP(B492,INDIRECT($F$8),8+(O498-1)*3)&lt;=5,0.3*S498-VLOOKUP(B492,INDIRECT($F$8),6+(O498-1)*3)&lt;=5),MAX(0.4*U498-VLOOKUP(B492,INDIRECT($F$8),8+(O498-1)*3),0.3*S498-VLOOKUP(B492,INDIRECT($F$8),6+(O498-1)*3)),11),IF(0.3*S498-VLOOKUP(B492,INDIRECT($F$8),6+(O498-1)*3)&lt;=5,0.3*S498-VLOOKUP(B492,INDIRECT($F$8),6+(O498-1)*3),11)),IF(VLOOKUP(B492,INDIRECT($F$8),8+(O498-1)*3)&lt;U498*0.4,IF(U498*0.4-VLOOKUP(B492,INDIRECT($F$8),8+(O498-1)*3)&lt;=5,U498*0.4-VLOOKUP(B492,INDIRECT($F$8),8+(O498-1)*3),11),0))))</f>
        <v>11</v>
      </c>
      <c r="X498" s="1" t="str">
        <f ca="1">IF(ISERROR(F492),"",IF(W498=0,"",_xlfn.TEXTJOIN("",FALSE," G+",W498," in ",A498)))</f>
        <v xml:space="preserve"> G+11 in AHT 003</v>
      </c>
    </row>
    <row r="499" spans="1:24" ht="11.5" customHeight="1" x14ac:dyDescent="0.2">
      <c r="A499" s="7" t="str">
        <f ca="1">IF(ISERROR(F492),"",VLOOKUP(C492,INDIRECT($F$8),6+(O499-1)*3,0))</f>
        <v>ECT 001</v>
      </c>
      <c r="B499" s="24" t="str">
        <f ca="1">IF(ISERROR(F492),"",VLOOKUP(D492,INDIRECT($F$8),6+(O499-1)*3,0))</f>
        <v>Basic Electronics Engineering</v>
      </c>
      <c r="C499" s="24"/>
      <c r="D499" s="24"/>
      <c r="E499" s="24"/>
      <c r="F499" s="7">
        <f ca="1">IF(ISERROR(F492),"",VLOOKUP(E492,INDIRECT($F$8),6+(O499-1)*3,0))</f>
        <v>4</v>
      </c>
      <c r="G499" s="25" t="str">
        <f ca="1">IF(ISERROR(F492),"",_xlfn.TEXTJOIN("/",FALSE,P499,S499))</f>
        <v>36/100</v>
      </c>
      <c r="H499" s="25"/>
      <c r="I499" s="25" t="str">
        <f ca="1">IF(ISERROR(F492),"",_xlfn.TEXTJOIN("/",FALSE,Q499,T499))</f>
        <v>32/50</v>
      </c>
      <c r="J499" s="25"/>
      <c r="K499" s="25" t="str">
        <f ca="1">IF(ISERROR(F492),"",_xlfn.TEXTJOIN("/",FALSE,R499,U499))</f>
        <v>68/150</v>
      </c>
      <c r="L499" s="25"/>
      <c r="M499" s="7" t="str">
        <f ca="1">IF(ISERROR(F492)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E</v>
      </c>
      <c r="N499" s="8">
        <f t="shared" ca="1" si="45"/>
        <v>5</v>
      </c>
      <c r="O499">
        <f>O498+1</f>
        <v>3</v>
      </c>
      <c r="P499" s="1">
        <f ca="1">IF(ISERROR(F492),"",IF(ISTEXT(VLOOKUP(B492,INDIRECT($F$8),6+(O499-1)*3)),(VLOOKUP(B492,INDIRECT($F$8),6+(O499-1)*3)),SUM(VLOOKUP(B492,INDIRECT($F$8),6+(O499-1)*3),IF(W510,W499,0))))</f>
        <v>36</v>
      </c>
      <c r="Q499" s="1">
        <f ca="1">IF(ISERROR(F492),"",VLOOKUP(B492,INDIRECT($F$8),7+(O499-1)*3))</f>
        <v>32</v>
      </c>
      <c r="R499" s="1">
        <f ca="1">IF(ISERROR(F492),"",SUM(P499:Q499))</f>
        <v>68</v>
      </c>
      <c r="S499" s="1">
        <f ca="1">IF(ISERROR(F492),"",VLOOKUP(A492,INDIRECT($F$8),6+(O499-1)*3))</f>
        <v>100</v>
      </c>
      <c r="T499" s="1">
        <f ca="1">IF(ISERROR(F492),"",VLOOKUP(A492,INDIRECT($F$8),7+(O499-1)*3))</f>
        <v>50</v>
      </c>
      <c r="U499" s="1">
        <f ca="1">IF(ISERROR(F492),"",VLOOKUP(A492,INDIRECT($F$8),8+(O499-1)*3))</f>
        <v>150</v>
      </c>
      <c r="V499" s="1" t="str">
        <f ca="1">IF(ISERROR(F492),"",IF(N499=0,A499,""))</f>
        <v/>
      </c>
      <c r="W499" s="1">
        <f ca="1">IF(ISERROR(F492),"",IF(ISTEXT(VLOOKUP(B492,INDIRECT($F$8),6+(O499-1)*3)),11,IF(VLOOKUP(B492,INDIRECT($F$8),6+(O499-1)*3)&lt;S499*0.3,IF(VLOOKUP(B492,INDIRECT($F$8),8+(O499-1)*3)&lt;U499*0.4,IF(AND(0.4*U499-VLOOKUP(B492,INDIRECT($F$8),8+(O499-1)*3)&lt;=5,0.3*S499-VLOOKUP(B492,INDIRECT($F$8),6+(O499-1)*3)&lt;=5),MAX(0.4*U499-VLOOKUP(B492,INDIRECT($F$8),8+(O499-1)*3),0.3*S499-VLOOKUP(B492,INDIRECT($F$8),6+(O499-1)*3)),11),IF(0.3*S499-VLOOKUP(B492,INDIRECT($F$8),6+(O499-1)*3)&lt;=5,0.3*S499-VLOOKUP(B492,INDIRECT($F$8),6+(O499-1)*3),11)),IF(VLOOKUP(B492,INDIRECT($F$8),8+(O499-1)*3)&lt;U499*0.4,IF(U499*0.4-VLOOKUP(B492,INDIRECT($F$8),8+(O499-1)*3)&lt;=5,U499*0.4-VLOOKUP(B492,INDIRECT($F$8),8+(O499-1)*3),11),0))))</f>
        <v>0</v>
      </c>
      <c r="X499" s="1" t="str">
        <f ca="1">IF(ISERROR(F492),"",IF(W499=0,"",_xlfn.TEXTJOIN("",FALSE," G+",W499," in ",A499)))</f>
        <v/>
      </c>
    </row>
    <row r="500" spans="1:24" ht="11.5" customHeight="1" x14ac:dyDescent="0.2">
      <c r="A500" s="7" t="str">
        <f ca="1">IF(ISERROR(F492),"",VLOOKUP(C492,INDIRECT($F$8),6+(O500-1)*3,0))</f>
        <v>MET 001</v>
      </c>
      <c r="B500" s="24" t="str">
        <f ca="1">IF(ISERROR(F492),"",VLOOKUP(D492,INDIRECT($F$8),6+(O500-1)*3,0))</f>
        <v>Basic Mechanical Engineering</v>
      </c>
      <c r="C500" s="24"/>
      <c r="D500" s="24"/>
      <c r="E500" s="24"/>
      <c r="F500" s="7">
        <f ca="1">IF(ISERROR(F492),"",VLOOKUP(E492,INDIRECT($F$8),6+(O500-1)*3,0))</f>
        <v>4</v>
      </c>
      <c r="G500" s="25" t="str">
        <f ca="1">IF(ISERROR(F492),"",_xlfn.TEXTJOIN("/",FALSE,P500,S500))</f>
        <v>48/100</v>
      </c>
      <c r="H500" s="25"/>
      <c r="I500" s="25" t="str">
        <f ca="1">IF(ISERROR(F492),"",_xlfn.TEXTJOIN("/",FALSE,Q500,T500))</f>
        <v>36/50</v>
      </c>
      <c r="J500" s="25"/>
      <c r="K500" s="25" t="str">
        <f ca="1">IF(ISERROR(F492),"",_xlfn.TEXTJOIN("/",FALSE,R500,U500))</f>
        <v>84/150</v>
      </c>
      <c r="L500" s="25"/>
      <c r="M500" s="7" t="str">
        <f ca="1">IF(ISERROR(F492)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D</v>
      </c>
      <c r="N500" s="8">
        <f t="shared" ca="1" si="45"/>
        <v>6</v>
      </c>
      <c r="O500">
        <f>O499+1</f>
        <v>4</v>
      </c>
      <c r="P500" s="1">
        <f ca="1">IF(ISERROR(F492),"",IF(ISTEXT(VLOOKUP(B492,INDIRECT($F$8),6+(O500-1)*3)),(VLOOKUP(B492,INDIRECT($F$8),6+(O500-1)*3)),SUM(VLOOKUP(B492,INDIRECT($F$8),6+(O500-1)*3),IF(W510,W500,0))))</f>
        <v>48</v>
      </c>
      <c r="Q500" s="1">
        <f ca="1">IF(ISERROR(F492),"",VLOOKUP(B492,INDIRECT($F$8),7+(O500-1)*3))</f>
        <v>36</v>
      </c>
      <c r="R500" s="1">
        <f ca="1">IF(ISERROR(F492),"",SUM(P500:Q500))</f>
        <v>84</v>
      </c>
      <c r="S500" s="1">
        <f ca="1">IF(ISERROR(F492),"",VLOOKUP(A492,INDIRECT($F$8),6+(O500-1)*3))</f>
        <v>100</v>
      </c>
      <c r="T500" s="1">
        <f ca="1">IF(ISERROR(F492),"",VLOOKUP(A492,INDIRECT($F$8),7+(O500-1)*3))</f>
        <v>50</v>
      </c>
      <c r="U500" s="1">
        <f ca="1">IF(ISERROR(F492),"",VLOOKUP(A492,INDIRECT($F$8),8+(O500-1)*3))</f>
        <v>150</v>
      </c>
      <c r="V500" s="1" t="str">
        <f ca="1">IF(ISERROR(F492),"",IF(N500=0,A500,""))</f>
        <v/>
      </c>
      <c r="W500" s="1">
        <f ca="1">IF(ISERROR(F492),"",IF(ISTEXT(VLOOKUP(B492,INDIRECT($F$8),6+(O500-1)*3)),11,IF(VLOOKUP(B492,INDIRECT($F$8),6+(O500-1)*3)&lt;S500*0.3,IF(VLOOKUP(B492,INDIRECT($F$8),8+(O500-1)*3)&lt;U500*0.4,IF(AND(0.4*U500-VLOOKUP(B492,INDIRECT($F$8),8+(O500-1)*3)&lt;=5,0.3*S500-VLOOKUP(B492,INDIRECT($F$8),6+(O500-1)*3)&lt;=5),MAX(0.4*U500-VLOOKUP(B492,INDIRECT($F$8),8+(O500-1)*3),0.3*S500-VLOOKUP(B492,INDIRECT($F$8),6+(O500-1)*3)),11),IF(0.3*S500-VLOOKUP(B492,INDIRECT($F$8),6+(O500-1)*3)&lt;=5,0.3*S500-VLOOKUP(B492,INDIRECT($F$8),6+(O500-1)*3),11)),IF(VLOOKUP(B492,INDIRECT($F$8),8+(O500-1)*3)&lt;U500*0.4,IF(U500*0.4-VLOOKUP(B492,INDIRECT($F$8),8+(O500-1)*3)&lt;=5,U500*0.4-VLOOKUP(B492,INDIRECT($F$8),8+(O500-1)*3),11),0))))</f>
        <v>0</v>
      </c>
      <c r="X500" s="1" t="str">
        <f ca="1">IF(ISERROR(F492),"",IF(W500=0,"",_xlfn.TEXTJOIN("",FALSE," G+",W500," in ",A500)))</f>
        <v/>
      </c>
    </row>
    <row r="501" spans="1:24" ht="11.5" customHeight="1" x14ac:dyDescent="0.2">
      <c r="A501" s="7" t="str">
        <f ca="1">IF(ISERROR(F492),"",VLOOKUP(C492,INDIRECT($F$8),6+(O501-1)*3,0))</f>
        <v>AHT 000</v>
      </c>
      <c r="B501" s="24" t="str">
        <f ca="1">IF(ISERROR(F492),"",VLOOKUP(D492,INDIRECT($F$8),6+(O501-1)*3,0))</f>
        <v>Basic Mathematics (Bridge Course) ($)</v>
      </c>
      <c r="C501" s="24"/>
      <c r="D501" s="24"/>
      <c r="E501" s="24"/>
      <c r="F501" s="7">
        <f ca="1">IF(ISERROR(F492),"",VLOOKUP(E492,INDIRECT($F$8),6+(O501-1)*3,0))</f>
        <v>0</v>
      </c>
      <c r="G501" s="25" t="str">
        <f ca="1">IF(ISERROR(F492),"",_xlfn.TEXTJOIN("/",FALSE,P501,S501))</f>
        <v>52/100</v>
      </c>
      <c r="H501" s="25"/>
      <c r="I501" s="25" t="str">
        <f ca="1">IF(ISERROR(F492),"",_xlfn.TEXTJOIN("/",FALSE,Q501,T501))</f>
        <v>27/50</v>
      </c>
      <c r="J501" s="25"/>
      <c r="K501" s="25" t="str">
        <f ca="1">IF(ISERROR(F492),"",_xlfn.TEXTJOIN("/",FALSE,R501,U501))</f>
        <v>79/150</v>
      </c>
      <c r="L501" s="25"/>
      <c r="M501" s="7" t="str">
        <f ca="1">IF(ISERROR(F492)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E+</v>
      </c>
      <c r="N501" s="8">
        <f t="shared" ca="1" si="45"/>
        <v>5.5</v>
      </c>
      <c r="O501" cm="1">
        <f t="array" aca="1" ref="O501" ca="1">IF(NOT(ISBLANK(INDIRECT("SEM_I!R"&amp;INT((ROW(O501)-17)/22)+6))),5,
IF(NOT(ISBLANK(INDIRECT("SEM_I!U"&amp;INT((ROW(O501)-17)/22)+6))),6))</f>
        <v>5</v>
      </c>
      <c r="P501" s="1">
        <f ca="1">IF(ISERROR(F492),"",IF(ISTEXT(VLOOKUP(B492,INDIRECT($F$8),6+(O501-1)*3)),(VLOOKUP(B492,INDIRECT($F$8),6+(O501-1)*3)),SUM(VLOOKUP(B492,INDIRECT($F$8),6+(O501-1)*3),IF(W510,W501,0))))</f>
        <v>52</v>
      </c>
      <c r="Q501" s="1">
        <f ca="1">IF(ISERROR(F492),"",VLOOKUP(B492,INDIRECT($F$8),7+(O501-1)*3))</f>
        <v>27</v>
      </c>
      <c r="R501" s="1">
        <f ca="1">IF(ISERROR(F492),"",SUM(P501:Q501))</f>
        <v>79</v>
      </c>
      <c r="S501" s="1">
        <f ca="1">IF(ISERROR(F492),"",VLOOKUP(A492,INDIRECT($F$8),6+(O501-1)*3))</f>
        <v>100</v>
      </c>
      <c r="T501" s="1">
        <f ca="1">IF(ISERROR(F492),"",VLOOKUP(A492,INDIRECT($F$8),7+(O501-1)*3))</f>
        <v>50</v>
      </c>
      <c r="U501" s="1">
        <f ca="1">IF(ISERROR(F492),"",VLOOKUP(A492,INDIRECT($F$8),8+(O501-1)*3))</f>
        <v>150</v>
      </c>
      <c r="V501" s="1" t="str">
        <f ca="1">IF(ISERROR(F492),"",IF(N501=0,A501,""))</f>
        <v/>
      </c>
      <c r="W501" s="1">
        <f ca="1">IF(ISERROR(F492),"",IF(ISTEXT(VLOOKUP(B492,INDIRECT($F$8),6+(O501-1)*3)),11,IF(VLOOKUP(B492,INDIRECT($F$8),6+(O501-1)*3)&lt;S501*0.3,IF(VLOOKUP(B492,INDIRECT($F$8),8+(O501-1)*3)&lt;U501*0.4,IF(AND(0.4*U501-VLOOKUP(B492,INDIRECT($F$8),8+(O501-1)*3)&lt;=5,0.3*S501-VLOOKUP(B492,INDIRECT($F$8),6+(O501-1)*3)&lt;=5),MAX(0.4*U501-VLOOKUP(B492,INDIRECT($F$8),8+(O501-1)*3),0.3*S501-VLOOKUP(B492,INDIRECT($F$8),6+(O501-1)*3)),11),IF(0.3*S501-VLOOKUP(B492,INDIRECT($F$8),6+(O501-1)*3)&lt;=5,0.3*S501-VLOOKUP(B492,INDIRECT($F$8),6+(O501-1)*3),11)),IF(VLOOKUP(B492,INDIRECT($F$8),8+(O501-1)*3)&lt;U501*0.4,IF(U501*0.4-VLOOKUP(B492,INDIRECT($F$8),8+(O501-1)*3)&lt;=5,U501*0.4-VLOOKUP(B492,INDIRECT($F$8),8+(O501-1)*3),11),0))))</f>
        <v>0</v>
      </c>
      <c r="X501" s="1" t="str">
        <f ca="1">IF(ISERROR(F492),"",IF(W501=0,"",_xlfn.TEXTJOIN("",FALSE," G+",W501," in ",A501)))</f>
        <v/>
      </c>
    </row>
    <row r="502" spans="1:24" ht="11.5" customHeight="1" x14ac:dyDescent="0.2">
      <c r="A502" s="7" t="str">
        <f ca="1">IF(ISERROR(F492),"",VLOOKUP(C492,INDIRECT($F$8),6+(O502-1)*3,0))</f>
        <v>AHP 002</v>
      </c>
      <c r="B502" s="24" t="str">
        <f ca="1">IF(ISERROR(F492),"",VLOOKUP(D492,INDIRECT($F$8),6+(O502-1)*3,0))</f>
        <v>Engineering Chemistry Lab</v>
      </c>
      <c r="C502" s="24"/>
      <c r="D502" s="24"/>
      <c r="E502" s="24"/>
      <c r="F502" s="7">
        <f ca="1">IF(ISERROR(F492),"",VLOOKUP(E492,INDIRECT($F$8),6+(O502-1)*3,0))</f>
        <v>1</v>
      </c>
      <c r="G502" s="25" t="str">
        <f ca="1">IF(ISERROR(F492),"",_xlfn.TEXTJOIN("/",FALSE,P502,S502))</f>
        <v>15/25</v>
      </c>
      <c r="H502" s="25"/>
      <c r="I502" s="25" t="str">
        <f ca="1">IF(ISERROR(F492),"",_xlfn.TEXTJOIN("/",FALSE,Q502,T502))</f>
        <v>16/25</v>
      </c>
      <c r="J502" s="25"/>
      <c r="K502" s="25" t="str">
        <f ca="1">IF(ISERROR(F492),"",_xlfn.TEXTJOIN("/",FALSE,R502,U502))</f>
        <v>31/50</v>
      </c>
      <c r="L502" s="25"/>
      <c r="M502" s="7" t="str">
        <f ca="1">IF(ISERROR(F492)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D+</v>
      </c>
      <c r="N502" s="8">
        <f t="shared" ca="1" si="45"/>
        <v>6.5</v>
      </c>
      <c r="O502">
        <f ca="1">IF(O501&gt;0,7)</f>
        <v>7</v>
      </c>
      <c r="P502" s="1">
        <f ca="1">IF(ISERROR(F492),"",IF(ISTEXT(VLOOKUP(B492,INDIRECT($F$8),6+(O502-1)*3)),(VLOOKUP(B492,INDIRECT($F$8),6+(O502-1)*3)),SUM(VLOOKUP(B492,INDIRECT($F$8),6+(O502-1)*3),IF(W510,W502,0))))</f>
        <v>15</v>
      </c>
      <c r="Q502" s="1">
        <f ca="1">IF(ISERROR(F492),"",VLOOKUP(B492,INDIRECT($F$8),7+(O502-1)*3))</f>
        <v>16</v>
      </c>
      <c r="R502" s="1">
        <f ca="1">IF(ISERROR(F492),"",SUM(P502:Q502))</f>
        <v>31</v>
      </c>
      <c r="S502" s="1">
        <f ca="1">IF(ISERROR(F492),"",VLOOKUP(A492,INDIRECT($F$8),6+(O502-1)*3))</f>
        <v>25</v>
      </c>
      <c r="T502" s="1">
        <f ca="1">IF(ISERROR(F492),"",VLOOKUP(A492,INDIRECT($F$8),7+(O502-1)*3))</f>
        <v>25</v>
      </c>
      <c r="U502" s="1">
        <f ca="1">IF(ISERROR(F492),"",VLOOKUP(A492,INDIRECT($F$8),8+(O502-1)*3))</f>
        <v>50</v>
      </c>
      <c r="V502" s="1" t="str">
        <f ca="1">IF(ISERROR(F492),"",IF(N502=0,A502,""))</f>
        <v/>
      </c>
      <c r="W502" s="1">
        <f ca="1">IF(ISERROR(F492),"",IF(ISTEXT(VLOOKUP(B492,INDIRECT($F$8),6+(O502-1)*3)),11,IF(VLOOKUP(B492,INDIRECT($F$8),6+(O502-1)*3)&lt;S502*0.3,IF(VLOOKUP(B492,INDIRECT($F$8),8+(O502-1)*3)&lt;U502*0.4,IF(AND(0.4*U502-VLOOKUP(B492,INDIRECT($F$8),8+(O502-1)*3)&lt;=5,0.3*S502-VLOOKUP(B492,INDIRECT($F$8),6+(O502-1)*3)&lt;=5),MAX(0.4*U502-VLOOKUP(B492,INDIRECT($F$8),8+(O502-1)*3),0.3*S502-VLOOKUP(B492,INDIRECT($F$8),6+(O502-1)*3)),11),IF(0.3*S502-VLOOKUP(B492,INDIRECT($F$8),6+(O502-1)*3)&lt;=5,0.3*S502-VLOOKUP(B492,INDIRECT($F$8),6+(O502-1)*3),11)),IF(VLOOKUP(B492,INDIRECT($F$8),8+(O502-1)*3)&lt;U502*0.4,IF(U502*0.4-VLOOKUP(B492,INDIRECT($F$8),8+(O502-1)*3)&lt;=5,U502*0.4-VLOOKUP(B492,INDIRECT($F$8),8+(O502-1)*3),11),0))))</f>
        <v>0</v>
      </c>
      <c r="X502" s="1" t="str">
        <f ca="1">IF(ISERROR(F492),"",IF(W502=0,"",_xlfn.TEXTJOIN("",FALSE," G+",W502," in ",A502)))</f>
        <v/>
      </c>
    </row>
    <row r="503" spans="1:24" ht="11.5" customHeight="1" x14ac:dyDescent="0.2">
      <c r="A503" s="7" t="str">
        <f ca="1">IF(ISERROR(F492),"",VLOOKUP(C492,INDIRECT($F$8),6+(O503-1)*3,0))</f>
        <v>ECP 001</v>
      </c>
      <c r="B503" s="24" t="str">
        <f ca="1">IF(ISERROR(F492),"",VLOOKUP(D492,INDIRECT($F$8),6+(O503-1)*3,0))</f>
        <v>Basic Electronics Engineering Lab</v>
      </c>
      <c r="C503" s="24"/>
      <c r="D503" s="24"/>
      <c r="E503" s="24"/>
      <c r="F503" s="7">
        <f ca="1">IF(ISERROR(F492),"",VLOOKUP(E492,INDIRECT($F$8),6+(O503-1)*3,0))</f>
        <v>1</v>
      </c>
      <c r="G503" s="25" t="str">
        <f ca="1">IF(ISERROR(F492),"",_xlfn.TEXTJOIN("/",FALSE,P503,S503))</f>
        <v>18/25</v>
      </c>
      <c r="H503" s="25"/>
      <c r="I503" s="25" t="str">
        <f ca="1">IF(ISERROR(F492),"",_xlfn.TEXTJOIN("/",FALSE,Q503,T503))</f>
        <v>22/25</v>
      </c>
      <c r="J503" s="25"/>
      <c r="K503" s="25" t="str">
        <f ca="1">IF(ISERROR(F492),"",_xlfn.TEXTJOIN("/",FALSE,R503,U503))</f>
        <v>40/50</v>
      </c>
      <c r="L503" s="25"/>
      <c r="M503" s="7" t="str">
        <f ca="1">IF(ISERROR(F492)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B+</v>
      </c>
      <c r="N503" s="8">
        <f t="shared" ca="1" si="45"/>
        <v>8.5</v>
      </c>
      <c r="O503">
        <f t="shared" ref="O503:O509" ca="1" si="46">O502+1</f>
        <v>8</v>
      </c>
      <c r="P503" s="1">
        <f ca="1">IF(ISERROR(F492),"",IF(ISTEXT(VLOOKUP(B492,INDIRECT($F$8),6+(O503-1)*3)),(VLOOKUP(B492,INDIRECT($F$8),6+(O503-1)*3)),SUM(VLOOKUP(B492,INDIRECT($F$8),6+(O503-1)*3),IF(W510,W503,0))))</f>
        <v>18</v>
      </c>
      <c r="Q503" s="1">
        <f ca="1">IF(ISERROR(F492),"",VLOOKUP(B492,INDIRECT($F$8),7+(O503-1)*3))</f>
        <v>22</v>
      </c>
      <c r="R503" s="1">
        <f ca="1">IF(ISERROR(F492),"",SUM(P503:Q503))</f>
        <v>40</v>
      </c>
      <c r="S503" s="1">
        <f ca="1">IF(ISERROR(F492),"",VLOOKUP(A492,INDIRECT($F$8),6+(O503-1)*3))</f>
        <v>25</v>
      </c>
      <c r="T503" s="1">
        <f ca="1">IF(ISERROR(F492),"",VLOOKUP(A492,INDIRECT($F$8),7+(O503-1)*3))</f>
        <v>25</v>
      </c>
      <c r="U503" s="1">
        <f ca="1">IF(ISERROR(F492),"",VLOOKUP(A492,INDIRECT($F$8),8+(O503-1)*3))</f>
        <v>50</v>
      </c>
      <c r="V503" s="1" t="str">
        <f ca="1">IF(ISERROR(F492),"",IF(N503=0,A503,""))</f>
        <v/>
      </c>
      <c r="W503" s="1">
        <f ca="1">IF(ISERROR(F492),"",IF(ISTEXT(VLOOKUP(B492,INDIRECT($F$8),6+(O503-1)*3)),11,IF(VLOOKUP(B492,INDIRECT($F$8),6+(O503-1)*3)&lt;S503*0.3,IF(VLOOKUP(B492,INDIRECT($F$8),8+(O503-1)*3)&lt;U503*0.4,IF(AND(0.4*U503-VLOOKUP(B492,INDIRECT($F$8),8+(O503-1)*3)&lt;=5,0.3*S503-VLOOKUP(B492,INDIRECT($F$8),6+(O503-1)*3)&lt;=5),MAX(0.4*U503-VLOOKUP(B492,INDIRECT($F$8),8+(O503-1)*3),0.3*S503-VLOOKUP(B492,INDIRECT($F$8),6+(O503-1)*3)),11),IF(0.3*S503-VLOOKUP(B492,INDIRECT($F$8),6+(O503-1)*3)&lt;=5,0.3*S503-VLOOKUP(B492,INDIRECT($F$8),6+(O503-1)*3),11)),IF(VLOOKUP(B492,INDIRECT($F$8),8+(O503-1)*3)&lt;U503*0.4,IF(U503*0.4-VLOOKUP(B492,INDIRECT($F$8),8+(O503-1)*3)&lt;=5,U503*0.4-VLOOKUP(B492,INDIRECT($F$8),8+(O503-1)*3),11),0))))</f>
        <v>0</v>
      </c>
      <c r="X503" s="1" t="str">
        <f ca="1">IF(ISERROR(F492),"",IF(W503=0,"",_xlfn.TEXTJOIN("",FALSE," G+",W503," in ",A503)))</f>
        <v/>
      </c>
    </row>
    <row r="504" spans="1:24" ht="11.5" customHeight="1" x14ac:dyDescent="0.2">
      <c r="A504" s="7" t="str">
        <f ca="1">IF(ISERROR(F492),"",VLOOKUP(C492,INDIRECT($F$8),6+(O504-1)*3,0))</f>
        <v>MEP 001</v>
      </c>
      <c r="B504" s="24" t="str">
        <f ca="1">IF(ISERROR(F492),"",VLOOKUP(D492,INDIRECT($F$8),6+(O504-1)*3,0))</f>
        <v>Basic Mechanical Engineering Lab</v>
      </c>
      <c r="C504" s="24"/>
      <c r="D504" s="24"/>
      <c r="E504" s="24"/>
      <c r="F504" s="7">
        <f ca="1">IF(ISERROR(F492),"",VLOOKUP(E492,INDIRECT($F$8),6+(O504-1)*3,0))</f>
        <v>1</v>
      </c>
      <c r="G504" s="25" t="str">
        <f ca="1">IF(ISERROR(F492),"",_xlfn.TEXTJOIN("/",FALSE,P504,S504))</f>
        <v>22/25</v>
      </c>
      <c r="H504" s="25"/>
      <c r="I504" s="25" t="str">
        <f ca="1">IF(ISERROR(F492),"",_xlfn.TEXTJOIN("/",FALSE,Q504,T504))</f>
        <v>20/25</v>
      </c>
      <c r="J504" s="25"/>
      <c r="K504" s="25" t="str">
        <f ca="1">IF(ISERROR(F492),"",_xlfn.TEXTJOIN("/",FALSE,R504,U504))</f>
        <v>42/50</v>
      </c>
      <c r="L504" s="25"/>
      <c r="M504" s="7" t="str">
        <f ca="1">IF(ISERROR(F492)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B+</v>
      </c>
      <c r="N504" s="8">
        <f t="shared" ca="1" si="45"/>
        <v>8.5</v>
      </c>
      <c r="O504">
        <f t="shared" ca="1" si="46"/>
        <v>9</v>
      </c>
      <c r="P504" s="1">
        <f ca="1">IF(ISERROR(F492),"",IF(ISTEXT(VLOOKUP(B492,INDIRECT($F$8),6+(O504-1)*3)),(VLOOKUP(B492,INDIRECT($F$8),6+(O504-1)*3)),SUM(VLOOKUP(B492,INDIRECT($F$8),6+(O504-1)*3),IF(W510,W504,0))))</f>
        <v>22</v>
      </c>
      <c r="Q504" s="1">
        <f ca="1">IF(ISERROR(F492),"",VLOOKUP(B492,INDIRECT($F$8),7+(O504-1)*3))</f>
        <v>20</v>
      </c>
      <c r="R504" s="1">
        <f ca="1">IF(ISERROR(F492),"",SUM(P504:Q504))</f>
        <v>42</v>
      </c>
      <c r="S504" s="1">
        <f ca="1">IF(ISERROR(F492),"",VLOOKUP(A492,INDIRECT($F$8),6+(O504-1)*3))</f>
        <v>25</v>
      </c>
      <c r="T504" s="1">
        <f ca="1">IF(ISERROR(F492),"",VLOOKUP(A492,INDIRECT($F$8),7+(O504-1)*3))</f>
        <v>25</v>
      </c>
      <c r="U504" s="1">
        <f ca="1">IF(ISERROR(F492),"",VLOOKUP(A492,INDIRECT($F$8),8+(O504-1)*3))</f>
        <v>50</v>
      </c>
      <c r="V504" s="1" t="str">
        <f ca="1">IF(ISERROR(F492),"",IF(N504=0,A504,""))</f>
        <v/>
      </c>
      <c r="W504" s="1">
        <f ca="1">IF(ISERROR(F492),"",IF(ISTEXT(VLOOKUP(B492,INDIRECT($F$8),6+(O504-1)*3)),11,IF(VLOOKUP(B492,INDIRECT($F$8),6+(O504-1)*3)&lt;S504*0.3,IF(VLOOKUP(B492,INDIRECT($F$8),8+(O504-1)*3)&lt;U504*0.4,IF(AND(0.4*U504-VLOOKUP(B492,INDIRECT($F$8),8+(O504-1)*3)&lt;=5,0.3*S504-VLOOKUP(B492,INDIRECT($F$8),6+(O504-1)*3)&lt;=5),MAX(0.4*U504-VLOOKUP(B492,INDIRECT($F$8),8+(O504-1)*3),0.3*S504-VLOOKUP(B492,INDIRECT($F$8),6+(O504-1)*3)),11),IF(0.3*S504-VLOOKUP(B492,INDIRECT($F$8),6+(O504-1)*3)&lt;=5,0.3*S504-VLOOKUP(B492,INDIRECT($F$8),6+(O504-1)*3),11)),IF(VLOOKUP(B492,INDIRECT($F$8),8+(O504-1)*3)&lt;U504*0.4,IF(U504*0.4-VLOOKUP(B492,INDIRECT($F$8),8+(O504-1)*3)&lt;=5,U504*0.4-VLOOKUP(B492,INDIRECT($F$8),8+(O504-1)*3),11),0))))</f>
        <v>0</v>
      </c>
      <c r="X504" s="1" t="str">
        <f ca="1">IF(ISERROR(F492),"",IF(W504=0,"",_xlfn.TEXTJOIN("",FALSE," G+",W504," in ",A504)))</f>
        <v/>
      </c>
    </row>
    <row r="505" spans="1:24" ht="11.5" customHeight="1" x14ac:dyDescent="0.2">
      <c r="A505" s="7" t="str">
        <f ca="1">IF(ISERROR(F492),"",VLOOKUP(C492,INDIRECT($F$8),6+(O505-1)*3,0))</f>
        <v>MEP 003</v>
      </c>
      <c r="B505" s="24" t="str">
        <f ca="1">IF(ISERROR(F492),"",VLOOKUP(D492,INDIRECT($F$8),6+(O505-1)*3-Z505,0))</f>
        <v>Workshop Practices Lab</v>
      </c>
      <c r="C505" s="24"/>
      <c r="D505" s="24"/>
      <c r="E505" s="24"/>
      <c r="F505" s="7">
        <f ca="1">IF(ISERROR(F492),"",VLOOKUP(E492,INDIRECT($F$8),6+(O505-1)*3,0))</f>
        <v>2</v>
      </c>
      <c r="G505" s="25" t="str">
        <f ca="1">IF(ISERROR(F492),"",_xlfn.TEXTJOIN("/",FALSE,P505,S505))</f>
        <v>45/50</v>
      </c>
      <c r="H505" s="25"/>
      <c r="I505" s="25" t="str">
        <f ca="1">IF(ISERROR(F492),"",_xlfn.TEXTJOIN("/",FALSE,Q505,T505))</f>
        <v>43/50</v>
      </c>
      <c r="J505" s="25"/>
      <c r="K505" s="25" t="str">
        <f ca="1">IF(ISERROR(F492),"",_xlfn.TEXTJOIN("/",FALSE,R505,U505))</f>
        <v>88/100</v>
      </c>
      <c r="L505" s="25"/>
      <c r="M505" s="7" t="str">
        <f ca="1">IF(ISERROR(F492)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A</v>
      </c>
      <c r="N505" s="8">
        <f t="shared" ca="1" si="45"/>
        <v>9</v>
      </c>
      <c r="O505">
        <f t="shared" ca="1" si="46"/>
        <v>10</v>
      </c>
      <c r="P505" s="1">
        <f ca="1">IF(ISERROR(F492),"",IF(ISTEXT(VLOOKUP(B492,INDIRECT($F$8),6+(O505-1)*3)),(VLOOKUP(B492,INDIRECT($F$8),6+(O505-1)*3)),SUM(VLOOKUP(B492,INDIRECT($F$8),6+(O505-1)*3),IF(W510,W505,0))))</f>
        <v>45</v>
      </c>
      <c r="Q505" s="1">
        <f ca="1">IF(ISERROR(F492),"",VLOOKUP(B492,INDIRECT($F$8),7+(O505-1)*3))</f>
        <v>43</v>
      </c>
      <c r="R505" s="1">
        <f ca="1">IF(ISERROR(F492),"",SUM(P505:Q505))</f>
        <v>88</v>
      </c>
      <c r="S505" s="1">
        <f ca="1">IF(ISERROR(F492),"",VLOOKUP(A492,INDIRECT($F$8),6+(O505-1)*3))</f>
        <v>50</v>
      </c>
      <c r="T505" s="1">
        <f ca="1">IF(ISERROR(F492),"",VLOOKUP(A492,INDIRECT($F$8),7+(O505-1)*3))</f>
        <v>50</v>
      </c>
      <c r="U505" s="1">
        <f ca="1">IF(ISERROR(F492),"",VLOOKUP(A492,INDIRECT($F$8),8+(O505-1)*3))</f>
        <v>100</v>
      </c>
      <c r="V505" s="1" t="str">
        <f ca="1">IF(ISERROR(F492),"",IF(N505=0,A505,""))</f>
        <v/>
      </c>
      <c r="W505" s="1">
        <f ca="1">IF(ISERROR(F492),"",IF(ISTEXT(VLOOKUP(B492,INDIRECT($F$8),6+(O505-1)*3)),11,IF(VLOOKUP(B492,INDIRECT($F$8),6+(O505-1)*3)&lt;S505*0.3,IF(VLOOKUP(B492,INDIRECT($F$8),8+(O505-1)*3)&lt;U505*0.4,IF(AND(0.4*U505-VLOOKUP(B492,INDIRECT($F$8),8+(O505-1)*3)&lt;=5,0.3*S505-VLOOKUP(B492,INDIRECT($F$8),6+(O505-1)*3)&lt;=5),MAX(0.4*U505-VLOOKUP(B492,INDIRECT($F$8),8+(O505-1)*3),0.3*S505-VLOOKUP(B492,INDIRECT($F$8),6+(O505-1)*3)),11),IF(0.3*S505-VLOOKUP(B492,INDIRECT($F$8),6+(O505-1)*3)&lt;=5,0.3*S505-VLOOKUP(B492,INDIRECT($F$8),6+(O505-1)*3),11)),IF(VLOOKUP(B492,INDIRECT($F$8),8+(O505-1)*3)&lt;U505*0.4,IF(U505*0.4-VLOOKUP(B492,INDIRECT($F$8),8+(O505-1)*3)&lt;=5,U505*0.4-VLOOKUP(B492,INDIRECT($F$8),8+(O505-1)*3),11),0))))</f>
        <v>0</v>
      </c>
      <c r="X505" s="1" t="str">
        <f ca="1">IF(ISERROR(F492),"",IF(W505=0,"",_xlfn.TEXTJOIN("",FALSE," G+",W505," in ",A505)))</f>
        <v/>
      </c>
    </row>
    <row r="506" spans="1:24" ht="11.5" customHeight="1" x14ac:dyDescent="0.2">
      <c r="A506" s="7" t="str">
        <f ca="1">IF(ISERROR(F492),"",VLOOKUP(C492,INDIRECT($F$8),6+(O506-1)*3,0))</f>
        <v>AHP 004</v>
      </c>
      <c r="B506" s="24" t="str">
        <f ca="1">IF(ISERROR(F492),"",VLOOKUP(D492,INDIRECT($F$8),6+(O506-1)*3-Z506,0))</f>
        <v>Emerging Technologies in Engineering Lab</v>
      </c>
      <c r="C506" s="24"/>
      <c r="D506" s="24"/>
      <c r="E506" s="24"/>
      <c r="F506" s="7">
        <f ca="1">IF(ISERROR(F492),"",VLOOKUP(E492,INDIRECT($F$8),6+(O506-1)*3,0))</f>
        <v>1</v>
      </c>
      <c r="G506" s="25" t="str">
        <f ca="1">IF(ISERROR(F492),"",_xlfn.TEXTJOIN("/",FALSE,P506,S506))</f>
        <v>22/25</v>
      </c>
      <c r="H506" s="25"/>
      <c r="I506" s="25" t="str">
        <f ca="1">IF(ISERROR(F492),"",_xlfn.TEXTJOIN("/",FALSE,Q506,T506))</f>
        <v>22/25</v>
      </c>
      <c r="J506" s="25"/>
      <c r="K506" s="25" t="str">
        <f ca="1">IF(ISERROR(F492),"",_xlfn.TEXTJOIN("/",FALSE,R506,U506))</f>
        <v>44/50</v>
      </c>
      <c r="L506" s="25"/>
      <c r="M506" s="7" t="str">
        <f ca="1">IF(ISERROR(F492)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A</v>
      </c>
      <c r="N506" s="8">
        <f t="shared" ca="1" si="45"/>
        <v>9</v>
      </c>
      <c r="O506">
        <f t="shared" ca="1" si="46"/>
        <v>11</v>
      </c>
      <c r="P506" s="1">
        <f ca="1">IF(ISERROR(F492),"",IF(ISTEXT(VLOOKUP(B492,INDIRECT($F$8),6+(O506-1)*3)),(VLOOKUP(B492,INDIRECT($F$8),6+(O506-1)*3)),SUM(VLOOKUP(B492,INDIRECT($F$8),6+(O506-1)*3),IF(W510,W506,0))))</f>
        <v>22</v>
      </c>
      <c r="Q506" s="1">
        <f ca="1">IF(ISERROR(F492),"",VLOOKUP(B492,INDIRECT($F$8),7+(O506-1)*3))</f>
        <v>22</v>
      </c>
      <c r="R506" s="1">
        <f ca="1">IF(ISERROR(F492),"",SUM(P506:Q506))</f>
        <v>44</v>
      </c>
      <c r="S506" s="1">
        <f ca="1">IF(ISERROR(F492),"",VLOOKUP(A492,INDIRECT($F$8),6+(O506-1)*3))</f>
        <v>25</v>
      </c>
      <c r="T506" s="1">
        <f ca="1">IF(ISERROR(F492),"",VLOOKUP(A492,INDIRECT($F$8),7+(O506-1)*3))</f>
        <v>25</v>
      </c>
      <c r="U506" s="1">
        <f ca="1">IF(ISERROR(F492),"",VLOOKUP(A492,INDIRECT($F$8),8+(O506-1)*3))</f>
        <v>50</v>
      </c>
      <c r="V506" s="1" t="str">
        <f ca="1">IF(ISERROR(F492),"",IF(N506=0,A506,""))</f>
        <v/>
      </c>
      <c r="W506" s="1">
        <f ca="1">IF(ISERROR(F492),"",IF(ISTEXT(VLOOKUP(B492,INDIRECT($F$8),6+(O506-1)*3)),11,IF(VLOOKUP(B492,INDIRECT($F$8),6+(O506-1)*3)&lt;S506*0.3,IF(VLOOKUP(B492,INDIRECT($F$8),8+(O506-1)*3)&lt;U506*0.4,IF(AND(0.4*U506-VLOOKUP(B492,INDIRECT($F$8),8+(O506-1)*3)&lt;=5,0.3*S506-VLOOKUP(B492,INDIRECT($F$8),6+(O506-1)*3)&lt;=5),MAX(0.4*U506-VLOOKUP(B492,INDIRECT($F$8),8+(O506-1)*3),0.3*S506-VLOOKUP(B492,INDIRECT($F$8),6+(O506-1)*3)),11),IF(0.3*S506-VLOOKUP(B492,INDIRECT($F$8),6+(O506-1)*3)&lt;=5,0.3*S506-VLOOKUP(B492,INDIRECT($F$8),6+(O506-1)*3),11)),IF(VLOOKUP(B492,INDIRECT($F$8),8+(O506-1)*3)&lt;U506*0.4,IF(U506*0.4-VLOOKUP(B492,INDIRECT($F$8),8+(O506-1)*3)&lt;=5,U506*0.4-VLOOKUP(B492,INDIRECT($F$8),8+(O506-1)*3),11),0))))</f>
        <v>0</v>
      </c>
      <c r="X506" s="1" t="str">
        <f ca="1">IF(ISERROR(F492),"",IF(W506=0,"",_xlfn.TEXTJOIN("",FALSE," G+",W506," in ",A506)))</f>
        <v/>
      </c>
    </row>
    <row r="507" spans="1:24" ht="11.5" customHeight="1" x14ac:dyDescent="0.2">
      <c r="A507" s="7" t="str">
        <f ca="1">IF(ISERROR(F492),"",VLOOKUP(C492,INDIRECT($F$8),6+(O507-1)*3,0))</f>
        <v>CSP 002</v>
      </c>
      <c r="B507" s="24" t="str">
        <f ca="1">IF(ISERROR(F492),"",VLOOKUP(D492,INDIRECT($F$8),6+(O507-1)*3,0))</f>
        <v>Computer Applications and IOT</v>
      </c>
      <c r="C507" s="24"/>
      <c r="D507" s="24"/>
      <c r="E507" s="24"/>
      <c r="F507" s="7">
        <f ca="1">IF(ISERROR(F492),"",VLOOKUP(E492,INDIRECT($F$8),6+(O507-1)*3,0))</f>
        <v>1</v>
      </c>
      <c r="G507" s="25" t="str">
        <f ca="1">IF(ISERROR(F492),"",_xlfn.TEXTJOIN("/",FALSE,P507,S507))</f>
        <v>23/25</v>
      </c>
      <c r="H507" s="25"/>
      <c r="I507" s="25" t="str">
        <f ca="1">IF(ISERROR(F492),"",_xlfn.TEXTJOIN("/",FALSE,Q507,T507))</f>
        <v>23/25</v>
      </c>
      <c r="J507" s="25"/>
      <c r="K507" s="25" t="str">
        <f ca="1">IF(ISERROR(F492),"",_xlfn.TEXTJOIN("/",FALSE,R507,U507))</f>
        <v>46/50</v>
      </c>
      <c r="L507" s="25"/>
      <c r="M507" s="7" t="str">
        <f ca="1">IF(ISERROR(F492),"",IF(ISTEXT(P507),IF(P507="A","Ab",IF(P507="D","Dt",IF(P507="UFM","UFM",IF(P507="NA","")))),IF(AND(ISBLANK(P507),ISBLANK(R507)),"",IF(P507&lt;0.3*S507,"F",IF(ISBLANK(R507),"",IF(ISTEXT(R507),R507,IF(R507&gt;=0.95*U507,"O",IF(R507&gt;=0.9*U507,"A+",IF(R507&gt;=0.85*U507,"A",IF(R507&gt;=0.8*U507,"B+",IF(R507&gt;=0.75*U507,"B",IF(R507&gt;=0.7*U507,"C+",IF(R507&gt;=0.65*U507,"C",IF(R507&gt;=0.6*U507,"D+",IF(R507&gt;=0.55*U507,"D",IF(R507&gt;=0.5*U507,"E+",IF(R507&gt;=0.45*U507,"E",IF(R507&gt;=0.4*U507,"P",IF(R507&lt;0.4*U507,"F",R507)))))))))))))))))))</f>
        <v>A+</v>
      </c>
      <c r="N507" s="8">
        <f t="shared" ca="1" si="45"/>
        <v>9.5</v>
      </c>
      <c r="O507">
        <f t="shared" ca="1" si="46"/>
        <v>12</v>
      </c>
      <c r="P507" s="1">
        <f ca="1">IF(ISERROR(F492),"",IF(ISTEXT(VLOOKUP(B492,INDIRECT($F$8),6+(O507-1)*3)),(VLOOKUP(B492,INDIRECT($F$8),6+(O507-1)*3)),SUM(VLOOKUP(B492,INDIRECT($F$8),6+(O507-1)*3),IF(W510,W507,0))))</f>
        <v>23</v>
      </c>
      <c r="Q507" s="1">
        <f ca="1">IF(ISERROR(F492),"",VLOOKUP(B492,INDIRECT($F$8),7+(O507-1)*3))</f>
        <v>23</v>
      </c>
      <c r="R507" s="1">
        <f ca="1">IF(ISERROR(F492),"",SUM(P507:Q507))</f>
        <v>46</v>
      </c>
      <c r="S507" s="1">
        <f ca="1">IF(ISERROR(F492),"",VLOOKUP(A492,INDIRECT($F$8),6+(O507-1)*3))</f>
        <v>25</v>
      </c>
      <c r="T507" s="1">
        <f ca="1">IF(ISERROR(F492),"",VLOOKUP(A492,INDIRECT($F$8),7+(O507-1)*3))</f>
        <v>25</v>
      </c>
      <c r="U507" s="1">
        <f ca="1">IF(ISERROR(F492),"",VLOOKUP(A492,INDIRECT($F$8),8+(O507-1)*3))</f>
        <v>50</v>
      </c>
      <c r="V507" s="1" t="str">
        <f ca="1">IF(ISERROR(F492),"",IF(N507=0,A507,""))</f>
        <v/>
      </c>
      <c r="W507" s="1">
        <f ca="1">IF(ISERROR(F492),"",IF(ISTEXT(VLOOKUP(B492,INDIRECT($F$8),6+(O507-1)*3)),11,IF(VLOOKUP(B492,INDIRECT($F$8),6+(O507-1)*3)&lt;S507*0.3,IF(VLOOKUP(B492,INDIRECT($F$8),8+(O507-1)*3)&lt;U507*0.4,IF(AND(0.4*U507-VLOOKUP(B492,INDIRECT($F$8),8+(O507-1)*3)&lt;=5,0.3*S507-VLOOKUP(B492,INDIRECT($F$8),6+(O507-1)*3)&lt;=5),MAX(0.4*U507-VLOOKUP(B492,INDIRECT($F$8),8+(O507-1)*3),0.3*S507-VLOOKUP(B492,INDIRECT($F$8),6+(O507-1)*3)),11),IF(0.3*S507-VLOOKUP(B492,INDIRECT($F$8),6+(O507-1)*3)&lt;=5,0.3*S507-VLOOKUP(B492,INDIRECT($F$8),6+(O507-1)*3),11)),IF(VLOOKUP(B492,INDIRECT($F$8),8+(O507-1)*3)&lt;U507*0.4,IF(U507*0.4-VLOOKUP(B492,INDIRECT($F$8),8+(O507-1)*3)&lt;=5,U507*0.4-VLOOKUP(B492,INDIRECT($F$8),8+(O507-1)*3),11),0))))</f>
        <v>0</v>
      </c>
      <c r="X507" s="1" t="str">
        <f ca="1">IF(ISERROR(F492),"",IF(W507=0,"",_xlfn.TEXTJOIN("",FALSE," G+",W507," in ",A507)))</f>
        <v/>
      </c>
    </row>
    <row r="508" spans="1:24" ht="11.5" customHeight="1" x14ac:dyDescent="0.2">
      <c r="A508" s="7" t="str">
        <f ca="1">IF(ISERROR(F492),"",VLOOKUP(C492,INDIRECT($F$8),6+(O508-1)*3,0))</f>
        <v>AHP 006</v>
      </c>
      <c r="B508" s="24" t="str">
        <f ca="1">IF(ISERROR(F492),"",VLOOKUP(D492,INDIRECT($F$8),6+(O508-1)*3,0))</f>
        <v>English Language Lab ($)</v>
      </c>
      <c r="C508" s="24"/>
      <c r="D508" s="24"/>
      <c r="E508" s="24"/>
      <c r="F508" s="7">
        <f ca="1">IF(ISERROR(F492),"",VLOOKUP(E492,INDIRECT($F$8),6+(O508-1)*3,0))</f>
        <v>0</v>
      </c>
      <c r="G508" s="25" t="str">
        <f ca="1">IF(ISERROR(F492),"",_xlfn.TEXTJOIN("/",FALSE,P508,S508))</f>
        <v>18/25</v>
      </c>
      <c r="H508" s="25"/>
      <c r="I508" s="25" t="str">
        <f ca="1">IF(ISERROR(F492),"",_xlfn.TEXTJOIN("/",FALSE,Q508,T508))</f>
        <v>32/50</v>
      </c>
      <c r="J508" s="25"/>
      <c r="K508" s="25" t="str">
        <f ca="1">IF(ISERROR(F492),"",_xlfn.TEXTJOIN("/",FALSE,R508,U508))</f>
        <v>50/75</v>
      </c>
      <c r="L508" s="25"/>
      <c r="M508" s="7" t="str">
        <f ca="1">IF(ISERROR(F492),"",IF(ISTEXT(P508),IF(P508="A","Ab",IF(P508="D","Dt",IF(P508="UFM","UFM",IF(P508="NA","")))),IF(AND(ISBLANK(P508),ISBLANK(R508)),"",IF(P508&lt;0.3*S508,"F",IF(ISBLANK(R508),"",IF(ISTEXT(R508),R508,IF(R508&gt;=0.95*U508,"O",IF(R508&gt;=0.9*U508,"A+",IF(R508&gt;=0.85*U508,"A",IF(R508&gt;=0.8*U508,"B+",IF(R508&gt;=0.75*U508,"B",IF(R508&gt;=0.7*U508,"C+",IF(R508&gt;=0.65*U508,"C",IF(R508&gt;=0.6*U508,"D+",IF(R508&gt;=0.55*U508,"D",IF(R508&gt;=0.5*U508,"E+",IF(R508&gt;=0.45*U508,"E",IF(R508&gt;=0.4*U508,"P",IF(R508&lt;0.4*U508,"F",R508)))))))))))))))))))</f>
        <v>C</v>
      </c>
      <c r="N508" s="8">
        <f ca="1">INDEX($Z$2:$Z$17,MATCH(M508,$Y$2:$Y$17,0))</f>
        <v>7</v>
      </c>
      <c r="O508">
        <f t="shared" ca="1" si="46"/>
        <v>13</v>
      </c>
      <c r="P508" s="1">
        <f ca="1">IF(ISERROR(F492),"",IF(ISTEXT(VLOOKUP(B492,INDIRECT($F$8),6+(O508-1)*3)),(VLOOKUP(B492,INDIRECT($F$8),6+(O508-1)*3)),SUM(VLOOKUP(B492,INDIRECT($F$8),6+(O508-1)*3),IF(W510,W508,0))))</f>
        <v>18</v>
      </c>
      <c r="Q508" s="1">
        <f ca="1">IF(ISERROR(F492),"",VLOOKUP(B492,INDIRECT($F$8),7+(O508-1)*3))</f>
        <v>32</v>
      </c>
      <c r="R508" s="1">
        <f ca="1">IF(ISERROR(F492),"",SUM(P508:Q508))</f>
        <v>50</v>
      </c>
      <c r="S508" s="1">
        <f ca="1">IF(ISERROR(F492),"",VLOOKUP(A492,INDIRECT($F$8),6+(O508-1)*3))</f>
        <v>25</v>
      </c>
      <c r="T508" s="1">
        <f ca="1">IF(ISERROR(F492),"",VLOOKUP(A492,INDIRECT($F$8),7+(O508-1)*3))</f>
        <v>50</v>
      </c>
      <c r="U508" s="1">
        <f ca="1">IF(ISERROR(F492),"",VLOOKUP(A492,INDIRECT($F$8),8+(O508-1)*3))</f>
        <v>75</v>
      </c>
      <c r="V508" s="1"/>
      <c r="W508" s="1">
        <f ca="1">IF(ISERROR(F492),"",IF(ISTEXT(VLOOKUP(B492,INDIRECT($F$8),6+(O508-1)*3)),11,IF(VLOOKUP(B492,INDIRECT($F$8),6+(O508-1)*3)&lt;S508*0.3,IF(VLOOKUP(B492,INDIRECT($F$8),8+(O508-1)*3)&lt;U508*0.4,IF(AND(0.4*U508-VLOOKUP(B492,INDIRECT($F$8),8+(O508-1)*3)&lt;=5,0.3*S508-VLOOKUP(B492,INDIRECT($F$8),6+(O508-1)*3)&lt;=5),MAX(0.4*U508-VLOOKUP(B492,INDIRECT($F$8),8+(O508-1)*3),0.3*S508-VLOOKUP(B492,INDIRECT($F$8),6+(O508-1)*3)),11),IF(0.3*S508-VLOOKUP(B492,INDIRECT($F$8),6+(O508-1)*3)&lt;=5,0.3*S508-VLOOKUP(B492,INDIRECT($F$8),6+(O508-1)*3),11)),IF(VLOOKUP(B492,INDIRECT($F$8),8+(O508-1)*3)&lt;U508*0.4,IF(U508*0.4-VLOOKUP(B492,INDIRECT($F$8),8+(O508-1)*3)&lt;=5,U508*0.4-VLOOKUP(B492,INDIRECT($F$8),8+(O508-1)*3),11),0))))</f>
        <v>0</v>
      </c>
      <c r="X508" s="1" t="str">
        <f ca="1">IF(ISERROR(F492),"",IF(W508=0,"",_xlfn.TEXTJOIN("",FALSE," G+",W508," in ",A508)))</f>
        <v/>
      </c>
    </row>
    <row r="509" spans="1:24" ht="11.5" customHeight="1" x14ac:dyDescent="0.2">
      <c r="A509" s="7" t="str">
        <f ca="1">IF(ISERROR(F492),"",VLOOKUP(C492,INDIRECT($F$8),6+(O509-1)*3-Y509,0))</f>
        <v>GP 01</v>
      </c>
      <c r="B509" s="24" t="str">
        <f ca="1">IF(ISERROR(F492),"",VLOOKUP(D492,INDIRECT($F$8),6+(O509-1)*3-Z509,0))</f>
        <v>General Proficiency ($)</v>
      </c>
      <c r="C509" s="24"/>
      <c r="D509" s="24"/>
      <c r="E509" s="24"/>
      <c r="F509" s="7">
        <f ca="1">IF(ISERROR(F492),"",VLOOKUP(E492,INDIRECT($F$8),6+(O509-1)*3-AA509,0))</f>
        <v>0</v>
      </c>
      <c r="G509" s="25" t="str">
        <f ca="1">IF(ISERROR(F492),"","-")</f>
        <v>-</v>
      </c>
      <c r="H509" s="25"/>
      <c r="I509" s="25" t="str">
        <f ca="1">IF(ISERROR(F492),"",_xlfn.TEXTJOIN("/",FALSE,Q509,T509))</f>
        <v>47/50</v>
      </c>
      <c r="J509" s="25"/>
      <c r="K509" s="25" t="str">
        <f ca="1">IF(ISERROR(F492),"",_xlfn.TEXTJOIN("/",FALSE,R509,U509))</f>
        <v>47/50</v>
      </c>
      <c r="L509" s="25"/>
      <c r="M509" s="25" t="str">
        <f ca="1">IF(ISBLANK(R509),"",IF(ISTEXT(R509),R509,IF(R509&gt;=0.8*U509,"Excellent",IF(R509&gt;=0.6*U509,"Very Good",IF(R509&gt;=0.4*U509,"Good",IF(R509&gt;=0.2*U509,"Satisfactory","Average"))))))</f>
        <v>Excellent</v>
      </c>
      <c r="N509" s="25"/>
      <c r="O509">
        <f t="shared" ca="1" si="46"/>
        <v>14</v>
      </c>
      <c r="P509" s="1">
        <f ca="1">IF(ISERROR(F492),"",IF(ISTEXT(VLOOKUP(B\28,INDIRECT($F$8),6+(O509-1)*3)),(VLOOKUP(B492,INDIRECT($F$8),6+(O509-1)*3)),SUM(VLOOKUP(B492,INDIRECT($F$8),6+(O509-1)*3),IF(W510,W510,0))))</f>
        <v>0</v>
      </c>
      <c r="Q509" s="1">
        <f ca="1">IF(ISERROR(F492),"",VLOOKUP(B492,INDIRECT($F$8),7+(O509-1)*3))</f>
        <v>47</v>
      </c>
      <c r="R509" s="1">
        <f ca="1">IF(ISERROR(F492),"",SUM(P509:Q509))</f>
        <v>47</v>
      </c>
      <c r="S509" s="1">
        <f ca="1">IF(ISERROR(F492),"",VLOOKUP(A492,INDIRECT($F$8),6+(O509-1)*3))</f>
        <v>0</v>
      </c>
      <c r="T509" s="1">
        <f ca="1">IF(ISERROR(F492),"",VLOOKUP(A492,INDIRECT($F$8),7+(O509-1)*3))</f>
        <v>50</v>
      </c>
      <c r="U509" s="1">
        <f ca="1">IF(ISERROR(F492),"",VLOOKUP(A492,INDIRECT($F$8),8+(O509-1)*3))</f>
        <v>50</v>
      </c>
      <c r="V509" s="1"/>
      <c r="W509" s="1"/>
      <c r="X509" s="1" t="str">
        <f ca="1">IF(ISERROR(F492),"",IF(W509=0,"",_xlfn.TEXTJOIN("",FALSE," G+",W509," in ",A509)))</f>
        <v/>
      </c>
    </row>
    <row r="510" spans="1:24" ht="11.5" customHeight="1" x14ac:dyDescent="0.2">
      <c r="A510" s="26" t="str">
        <f ca="1">IF(ISERROR(F492),"",A488)</f>
        <v>Total Credits/ Marks/ Total Grade Points</v>
      </c>
      <c r="B510" s="26"/>
      <c r="C510" s="26"/>
      <c r="D510" s="26"/>
      <c r="E510" s="26"/>
      <c r="F510" s="10">
        <f ca="1">IF(ISERROR(F492),"",SUM(F497:F508))</f>
        <v>23</v>
      </c>
      <c r="G510" s="27" t="str">
        <f ca="1">IF(ISERROR(F492),"",_xlfn.TEXTJOIN("/",TRUE,SUMIF(F497:F509,"&gt;0",P497:P509),SUMIF(F497:F509,"&gt;0",S497:S509)))</f>
        <v>294/575</v>
      </c>
      <c r="H510" s="27"/>
      <c r="I510" s="27" t="str">
        <f ca="1">IF(ISERROR(F492),"",_xlfn.TEXTJOIN("/",TRUE,SUMIF(F497:F509,"&gt;0",Q497:Q509),SUMIF(F497:F509,"&gt;0",T497:T509)))</f>
        <v>267/375</v>
      </c>
      <c r="J510" s="27"/>
      <c r="K510" s="27" t="str">
        <f ca="1">IF(ISERROR(F492),"",_xlfn.TEXTJOIN("/",TRUE,SUMIF(F497:F509,"&gt;0",R497:R509),SUMIF(F497:F509,"&gt;0",U497:U509)))</f>
        <v>561/950</v>
      </c>
      <c r="L510" s="27"/>
      <c r="M510" s="26">
        <f ca="1">IF(ISERROR(F492),"",SUMPRODUCT(N497:N508,F497:F508))</f>
        <v>128</v>
      </c>
      <c r="N510" s="26"/>
      <c r="V510" s="1" t="str">
        <f ca="1">_xlfn.TEXTJOIN(", ",TRUE,V497:V509)</f>
        <v>AHT 003</v>
      </c>
      <c r="W510" t="b">
        <f ca="1">IF(SUM(W497:W509)&lt;=W496,TRUE,FALSE)</f>
        <v>0</v>
      </c>
      <c r="X510" s="1" t="str">
        <f ca="1">IF(ISERROR(F492),"",_xlfn.TEXTJOIN(",",TRUE,X497:X509))</f>
        <v xml:space="preserve"> G+11 in AHT 003</v>
      </c>
    </row>
    <row r="511" spans="1:24" ht="11.5" customHeight="1" x14ac:dyDescent="0.2">
      <c r="A511" s="26" t="str">
        <f ca="1">IF(ISERROR(F492),"",A489)</f>
        <v>Result:</v>
      </c>
      <c r="B511" s="28" t="str" cm="1">
        <f t="array" aca="1" ref="B511" ca="1">IF(SUM(COUNTIF(M497:M508,{"Ab","Dt"}))=12, "Not Promoted to IInd Semester", IF(V510="", "PASS", "CARRY OVER"))</f>
        <v>CARRY OVER</v>
      </c>
      <c r="C511" s="28"/>
      <c r="D511" s="26" t="str">
        <f ca="1">IF(ISERROR(F492),"",D489)</f>
        <v>Remark:</v>
      </c>
      <c r="E511" s="28" t="str">
        <f ca="1">IF(ISERROR(F492),"",IF(V510="",IF(X510="","",X510),_xlfn.TEXTJOIN(" ",TRUE,"BACK IN",V510)))</f>
        <v>BACK IN AHT 003</v>
      </c>
      <c r="F511" s="28"/>
      <c r="G511" s="26" t="str">
        <f ca="1">IF(ISERROR(F492),"",G489)</f>
        <v>SGPA:</v>
      </c>
      <c r="H511" s="29">
        <f ca="1">IF(ISERROR(F492),"",M510/F510)</f>
        <v>5.5652173913043477</v>
      </c>
      <c r="I511" s="26" t="str">
        <f ca="1">IF(ISERROR(F492),"",I489)</f>
        <v>CGPA:</v>
      </c>
      <c r="J511" s="29">
        <f ca="1">IF(ISERROR(F492),"",VLOOKUP(B492,INDIRECT($F$8),12+(O509-1)*3,0))</f>
        <v>5.5652173913043477</v>
      </c>
      <c r="K511" s="28" t="str">
        <f ca="1">IF(ISERROR(F492),"",K489)</f>
        <v>Earned Credits:</v>
      </c>
      <c r="L511" s="26">
        <f ca="1">IF(ISERROR(F492),"",SUMIF(N497:N508,"&gt;0",F497:F508))</f>
        <v>19</v>
      </c>
      <c r="M511" s="28" t="str">
        <f ca="1">IF(ISERROR(F492),"",M489)</f>
        <v>Cuml. Earned Credits:</v>
      </c>
      <c r="N511" s="26">
        <f ca="1">IF(ISERROR(F492),"",VLOOKUP(B492,INDIRECT($F$8),10+(O509-1)*3,0))</f>
        <v>19</v>
      </c>
    </row>
    <row r="512" spans="1:24" ht="11.5" customHeight="1" x14ac:dyDescent="0.2">
      <c r="A512" s="26"/>
      <c r="B512" s="28"/>
      <c r="C512" s="28"/>
      <c r="D512" s="26"/>
      <c r="E512" s="28"/>
      <c r="F512" s="28"/>
      <c r="G512" s="26"/>
      <c r="H512" s="29"/>
      <c r="I512" s="26"/>
      <c r="J512" s="29"/>
      <c r="K512" s="28"/>
      <c r="L512" s="26"/>
      <c r="M512" s="28"/>
      <c r="N512" s="26"/>
    </row>
    <row r="513" spans="1:24" ht="11.5" customHeight="1" x14ac:dyDescent="0.2">
      <c r="A513" s="26"/>
      <c r="B513" s="28"/>
      <c r="C513" s="28"/>
      <c r="D513" s="26"/>
      <c r="E513" s="28"/>
      <c r="F513" s="28"/>
      <c r="G513" s="26"/>
      <c r="H513" s="29"/>
      <c r="I513" s="26"/>
      <c r="J513" s="29"/>
      <c r="K513" s="28"/>
      <c r="L513" s="26"/>
      <c r="M513" s="28"/>
      <c r="N513" s="26"/>
    </row>
    <row r="514" spans="1:24" ht="11.5" customHeight="1" x14ac:dyDescent="0.2">
      <c r="A514" s="11" t="str">
        <f>A492</f>
        <v>MM</v>
      </c>
      <c r="B514" s="11">
        <f>B492+1</f>
        <v>24</v>
      </c>
      <c r="C514" s="11" t="str">
        <f>C492</f>
        <v>SC</v>
      </c>
      <c r="D514" s="11" t="str">
        <f>D492</f>
        <v>SN</v>
      </c>
      <c r="E514" s="11" t="str">
        <f>E492</f>
        <v>C</v>
      </c>
      <c r="F514" s="11" t="str">
        <f ca="1">VLOOKUP(B514,INDIRECT($F$8),4,0)</f>
        <v>PRIYANSHU RAWAT</v>
      </c>
    </row>
    <row r="515" spans="1:24" ht="11.5" customHeight="1" x14ac:dyDescent="0.2">
      <c r="A515" s="30" t="str">
        <f ca="1">IF(ISERROR(F514),"",A493)</f>
        <v>Name:</v>
      </c>
      <c r="B515" s="30" t="str">
        <f ca="1">IFERROR(VLOOKUP(B514,INDIRECT($F$8),4,0),"")</f>
        <v>PRIYANSHU RAWAT</v>
      </c>
      <c r="C515" s="30"/>
      <c r="D515" s="30" t="str">
        <f ca="1">IF(ISERROR(F514),"",D493)</f>
        <v>Father's Name:</v>
      </c>
      <c r="E515" s="30" t="str">
        <f ca="1">IFERROR(VLOOKUP(B514,INDIRECT($F$8),5,0),"")</f>
        <v>TRILOK SINGH</v>
      </c>
      <c r="F515" s="30"/>
      <c r="G515" s="30" t="str">
        <f ca="1">IF(ISERROR(F514),"",G493)</f>
        <v>University Roll No:</v>
      </c>
      <c r="H515" s="30"/>
      <c r="I515" s="31">
        <f ca="1">IFERROR(VLOOKUP(B514,INDIRECT($F$8),2,0),"")</f>
        <v>250090120025</v>
      </c>
      <c r="J515" s="31"/>
      <c r="K515" s="30" t="str">
        <f ca="1">IF(ISERROR(F514),"",K493)</f>
        <v>University Enrol. No:</v>
      </c>
      <c r="L515" s="30"/>
      <c r="M515" s="31" t="str">
        <f ca="1">IFERROR(VLOOKUP(B514,INDIRECT($F$8),3,0),"")</f>
        <v>UTU/2501103625</v>
      </c>
      <c r="N515" s="31"/>
    </row>
    <row r="516" spans="1:24" ht="15" x14ac:dyDescent="0.2">
      <c r="A516" s="30"/>
      <c r="B516" s="30"/>
      <c r="C516" s="30"/>
      <c r="D516" s="30"/>
      <c r="E516" s="30"/>
      <c r="F516" s="30"/>
      <c r="G516" s="30"/>
      <c r="H516" s="30"/>
      <c r="I516" s="31"/>
      <c r="J516" s="31"/>
      <c r="K516" s="30"/>
      <c r="L516" s="30"/>
      <c r="M516" s="31"/>
      <c r="N516" s="31"/>
    </row>
    <row r="517" spans="1:24" ht="11.5" customHeight="1" x14ac:dyDescent="0.2">
      <c r="A517" s="28" t="str">
        <f ca="1">IF(ISERROR(F514),"",A495)</f>
        <v>Subject Code</v>
      </c>
      <c r="B517" s="28" t="str">
        <f ca="1">IF(ISERROR(F514),"",B495)</f>
        <v>Subject Name</v>
      </c>
      <c r="C517" s="28"/>
      <c r="D517" s="28"/>
      <c r="E517" s="28"/>
      <c r="F517" s="28" t="str">
        <f ca="1">IF(ISERROR(F514),"",F495)</f>
        <v>Credits</v>
      </c>
      <c r="G517" s="28" t="str">
        <f ca="1">IF(ISERROR(F514),"",G495)</f>
        <v>External Marks</v>
      </c>
      <c r="H517" s="28"/>
      <c r="I517" s="28" t="str">
        <f ca="1">IF(ISERROR(F514),"",I495)</f>
        <v>Sessional Marks</v>
      </c>
      <c r="J517" s="28"/>
      <c r="K517" s="28" t="str">
        <f ca="1">IF(ISERROR(F514),"",K495)</f>
        <v>Total Marks</v>
      </c>
      <c r="L517" s="28"/>
      <c r="M517" s="28" t="str">
        <f ca="1">IF(ISERROR(F514),"",M495)</f>
        <v>Grade</v>
      </c>
      <c r="N517" s="28" t="str">
        <f ca="1">IF(ISERROR(F514),"",N495)</f>
        <v>Grade Points</v>
      </c>
    </row>
    <row r="518" spans="1:24" ht="11.5" customHeight="1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W518">
        <f ca="1">IF(ISNUMBER(MATCH($F$8,{"I","III","V","VII"},0)),10,10-INDEX(INDIRECT(_xlfn.TEXTJOIN("",TRUE,"SEM_",$G$8,"!",ADDRESS(6,4+$I$8*3+4),":",ADDRESS(5+$H$8,4+$I$8*3+4))),MATCH(INDIRECT(_xlfn.TEXTJOIN("",TRUE,"TC_",$F$8,"!",ADDRESS(ROW(I515),COLUMN(I515)))),INDIRECT(_xlfn.TEXTJOIN("",TRUE,"SEM_",$G$8,"!",ADDRESS(6,2),":",ADDRESS(5+$H$8,2))))))</f>
        <v>10</v>
      </c>
    </row>
    <row r="519" spans="1:24" ht="11.5" customHeight="1" x14ac:dyDescent="0.2">
      <c r="A519" s="7" t="str">
        <f ca="1">IF(ISERROR(F514),"",VLOOKUP(C514,INDIRECT($F$8),6+(O519-1)*3,0))</f>
        <v>AHT 002</v>
      </c>
      <c r="B519" s="24" t="str">
        <f ca="1">IF(ISERROR(F514),"",VLOOKUP(D514,INDIRECT($F$8),6+(O519-1)*3,0))</f>
        <v>Engineering Chemistry</v>
      </c>
      <c r="C519" s="24"/>
      <c r="D519" s="24"/>
      <c r="E519" s="24"/>
      <c r="F519" s="7">
        <f ca="1">IF(ISERROR(F514),"",VLOOKUP(E514,INDIRECT($F$8),6+(O519-1)*3,0))</f>
        <v>4</v>
      </c>
      <c r="G519" s="25" t="str">
        <f ca="1">IF(ISERROR(F514),"",_xlfn.TEXTJOIN("/",FALSE,P519,S519))</f>
        <v>22/100</v>
      </c>
      <c r="H519" s="25"/>
      <c r="I519" s="25" t="str">
        <f ca="1">IF(ISERROR(F514),"",_xlfn.TEXTJOIN("/",FALSE,Q519,T519))</f>
        <v>26/50</v>
      </c>
      <c r="J519" s="25"/>
      <c r="K519" s="25" t="str">
        <f ca="1">IF(ISERROR(F514),"",_xlfn.TEXTJOIN("/",FALSE,R519,U519))</f>
        <v>48/150</v>
      </c>
      <c r="L519" s="25"/>
      <c r="M519" s="7" t="str">
        <f ca="1">IF(ISERROR(F514)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ca="1">INDEX($Z$2:$Z$17,MATCH(M519,$Y$2:$Y$17,0))</f>
        <v>0</v>
      </c>
      <c r="O519">
        <v>1</v>
      </c>
      <c r="P519" s="1">
        <f ca="1">IF(ISERROR(F514),"",IF(ISTEXT(VLOOKUP(B514,INDIRECT($F$8),6+(O519-1)*3)),(VLOOKUP(B514,INDIRECT($F$8),6+(O519-1)*3)),SUM(VLOOKUP(B514,INDIRECT($F$8),6+(O519-1)*3),IF(W532,W519,0))))</f>
        <v>22</v>
      </c>
      <c r="Q519" s="1">
        <f ca="1">IF(ISERROR(F514),"",VLOOKUP(B514,INDIRECT($F$8),7+(O519-1)*3))</f>
        <v>26</v>
      </c>
      <c r="R519" s="1">
        <f ca="1">IF(ISERROR(F514),"",SUM(P519:Q519))</f>
        <v>48</v>
      </c>
      <c r="S519" s="1">
        <f ca="1">IF(ISERROR(F514),"",VLOOKUP(A514,INDIRECT($F$8),6+(O519-1)*3))</f>
        <v>100</v>
      </c>
      <c r="T519" s="1">
        <f ca="1">IF(ISERROR(F514),"",VLOOKUP(A514,INDIRECT($F$8),7+(O519-1)*3))</f>
        <v>50</v>
      </c>
      <c r="U519" s="1">
        <f ca="1">IF(ISERROR(F514),"",VLOOKUP(A514,INDIRECT($F$8),8+(O519-1)*3))</f>
        <v>150</v>
      </c>
      <c r="V519" s="1" t="str">
        <f ca="1">IF(ISERROR(F514),"",IF(N519=0,A519,""))</f>
        <v>AHT 002</v>
      </c>
      <c r="W519" s="1">
        <f ca="1">IF(ISERROR(F514),"",IF(ISTEXT(VLOOKUP(B514,INDIRECT($F$8),6+(O519-1)*3)),11,IF(VLOOKUP(B514,INDIRECT($F$8),6+(O519-1)*3)&lt;S519*0.3,IF(VLOOKUP(B514,INDIRECT($F$8),8+(O519-1)*3)&lt;U519*0.4,IF(AND(0.4*U519-VLOOKUP(B514,INDIRECT($F$8),8+(O519-1)*3)&lt;=5,0.3*S519-VLOOKUP(B514,INDIRECT($F$8),6+(O519-1)*3)&lt;=5),MAX(0.4*U519-VLOOKUP(B514,INDIRECT($F$8),8+(O519-1)*3),0.3*S519-VLOOKUP(B514,INDIRECT($F$8),6+(O519-1)*3)),11),IF(0.3*S519-VLOOKUP(B514,INDIRECT($F$8),6+(O519-1)*3)&lt;=5,0.3*S519-VLOOKUP(B514,INDIRECT($F$8),6+(O519-1)*3),11)),IF(VLOOKUP(B514,INDIRECT($F$8),8+(O519-1)*3)&lt;U519*0.4,IF(U519*0.4-VLOOKUP(B514,INDIRECT($F$8),8+(O519-1)*3)&lt;=5,U519*0.4-VLOOKUP(B514,INDIRECT($F$8),8+(O519-1)*3),11),0))))</f>
        <v>11</v>
      </c>
      <c r="X519" s="1" t="str">
        <f ca="1">IF(ISERROR(F514),"",IF(W519=0,"",_xlfn.TEXTJOIN("",FALSE," G+",W519," in ",A519)))</f>
        <v xml:space="preserve"> G+11 in AHT 002</v>
      </c>
    </row>
    <row r="520" spans="1:24" ht="11.5" customHeight="1" x14ac:dyDescent="0.2">
      <c r="A520" s="7" t="str">
        <f ca="1">IF(ISERROR(F514),"",VLOOKUP(C514,INDIRECT($F$8),6+(O520-1)*3,0))</f>
        <v>AHT 003</v>
      </c>
      <c r="B520" s="24" t="str">
        <f ca="1">IF(ISERROR(F514),"",VLOOKUP(D514,INDIRECT($F$8),6+(O520-1)*3,0))</f>
        <v>Introduction to Engineering Mathematics</v>
      </c>
      <c r="C520" s="24"/>
      <c r="D520" s="24"/>
      <c r="E520" s="24"/>
      <c r="F520" s="7">
        <f ca="1">IF(ISERROR(F514),"",VLOOKUP(E514,INDIRECT($F$8),6+(O520-1)*3,0))</f>
        <v>4</v>
      </c>
      <c r="G520" s="25" t="str">
        <f ca="1">IF(ISERROR(F514),"",_xlfn.TEXTJOIN("/",FALSE,P520,S520))</f>
        <v>13/100</v>
      </c>
      <c r="H520" s="25"/>
      <c r="I520" s="25" t="str">
        <f ca="1">IF(ISERROR(F514),"",_xlfn.TEXTJOIN("/",FALSE,Q520,T520))</f>
        <v>18/50</v>
      </c>
      <c r="J520" s="25"/>
      <c r="K520" s="25" t="str">
        <f ca="1">IF(ISERROR(F514),"",_xlfn.TEXTJOIN("/",FALSE,R520,U520))</f>
        <v>31/150</v>
      </c>
      <c r="L520" s="25"/>
      <c r="M520" s="7" t="str">
        <f ca="1">IF(ISERROR(F514)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F</v>
      </c>
      <c r="N520" s="8">
        <f t="shared" ref="N520:N529" ca="1" si="47">INDEX($Z$2:$Z$17,MATCH(M520,$Y$2:$Y$17,0))</f>
        <v>0</v>
      </c>
      <c r="O520">
        <f>O519+1</f>
        <v>2</v>
      </c>
      <c r="P520" s="1">
        <f ca="1">IF(ISERROR(F514),"",IF(ISTEXT(VLOOKUP(B514,INDIRECT($F$8),6+(O520-1)*3)),(VLOOKUP(B514,INDIRECT($F$8),6+(O520-1)*3)),SUM(VLOOKUP(B514,INDIRECT($F$8),6+(O520-1)*3),IF(W532,W520,0))))</f>
        <v>13</v>
      </c>
      <c r="Q520" s="1">
        <f ca="1">IF(ISERROR(F514),"",VLOOKUP(B514,INDIRECT($F$8),7+(O520-1)*3))</f>
        <v>18</v>
      </c>
      <c r="R520" s="1">
        <f ca="1">IF(ISERROR(F514),"",SUM(P520:Q520))</f>
        <v>31</v>
      </c>
      <c r="S520" s="1">
        <f ca="1">IF(ISERROR(F514),"",VLOOKUP(A514,INDIRECT($F$8),6+(O520-1)*3))</f>
        <v>100</v>
      </c>
      <c r="T520" s="1">
        <f ca="1">IF(ISERROR(F514),"",VLOOKUP(A514,INDIRECT($F$8),7+(O520-1)*3))</f>
        <v>50</v>
      </c>
      <c r="U520" s="1">
        <f ca="1">IF(ISERROR(F514),"",VLOOKUP(A514,INDIRECT($F$8),8+(O520-1)*3))</f>
        <v>150</v>
      </c>
      <c r="V520" s="1" t="str">
        <f ca="1">IF(ISERROR(F514),"",IF(N520=0,A520,""))</f>
        <v>AHT 003</v>
      </c>
      <c r="W520" s="1">
        <f ca="1">IF(ISERROR(F514),"",IF(ISTEXT(VLOOKUP(B514,INDIRECT($F$8),6+(O520-1)*3)),11,IF(VLOOKUP(B514,INDIRECT($F$8),6+(O520-1)*3)&lt;S520*0.3,IF(VLOOKUP(B514,INDIRECT($F$8),8+(O520-1)*3)&lt;U520*0.4,IF(AND(0.4*U520-VLOOKUP(B514,INDIRECT($F$8),8+(O520-1)*3)&lt;=5,0.3*S520-VLOOKUP(B514,INDIRECT($F$8),6+(O520-1)*3)&lt;=5),MAX(0.4*U520-VLOOKUP(B514,INDIRECT($F$8),8+(O520-1)*3),0.3*S520-VLOOKUP(B514,INDIRECT($F$8),6+(O520-1)*3)),11),IF(0.3*S520-VLOOKUP(B514,INDIRECT($F$8),6+(O520-1)*3)&lt;=5,0.3*S520-VLOOKUP(B514,INDIRECT($F$8),6+(O520-1)*3),11)),IF(VLOOKUP(B514,INDIRECT($F$8),8+(O520-1)*3)&lt;U520*0.4,IF(U520*0.4-VLOOKUP(B514,INDIRECT($F$8),8+(O520-1)*3)&lt;=5,U520*0.4-VLOOKUP(B514,INDIRECT($F$8),8+(O520-1)*3),11),0))))</f>
        <v>11</v>
      </c>
      <c r="X520" s="1" t="str">
        <f ca="1">IF(ISERROR(F514),"",IF(W520=0,"",_xlfn.TEXTJOIN("",FALSE," G+",W520," in ",A520)))</f>
        <v xml:space="preserve"> G+11 in AHT 003</v>
      </c>
    </row>
    <row r="521" spans="1:24" ht="11.5" customHeight="1" x14ac:dyDescent="0.2">
      <c r="A521" s="7" t="str">
        <f ca="1">IF(ISERROR(F514),"",VLOOKUP(C514,INDIRECT($F$8),6+(O521-1)*3,0))</f>
        <v>ECT 001</v>
      </c>
      <c r="B521" s="24" t="str">
        <f ca="1">IF(ISERROR(F514),"",VLOOKUP(D514,INDIRECT($F$8),6+(O521-1)*3,0))</f>
        <v>Basic Electronics Engineering</v>
      </c>
      <c r="C521" s="24"/>
      <c r="D521" s="24"/>
      <c r="E521" s="24"/>
      <c r="F521" s="7">
        <f ca="1">IF(ISERROR(F514),"",VLOOKUP(E514,INDIRECT($F$8),6+(O521-1)*3,0))</f>
        <v>4</v>
      </c>
      <c r="G521" s="25" t="str">
        <f ca="1">IF(ISERROR(F514),"",_xlfn.TEXTJOIN("/",FALSE,P521,S521))</f>
        <v>24/100</v>
      </c>
      <c r="H521" s="25"/>
      <c r="I521" s="25" t="str">
        <f ca="1">IF(ISERROR(F514),"",_xlfn.TEXTJOIN("/",FALSE,Q521,T521))</f>
        <v>39/50</v>
      </c>
      <c r="J521" s="25"/>
      <c r="K521" s="25" t="str">
        <f ca="1">IF(ISERROR(F514),"",_xlfn.TEXTJOIN("/",FALSE,R521,U521))</f>
        <v>63/150</v>
      </c>
      <c r="L521" s="25"/>
      <c r="M521" s="7" t="str">
        <f ca="1">IF(ISERROR(F514)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F</v>
      </c>
      <c r="N521" s="8">
        <f t="shared" ca="1" si="47"/>
        <v>0</v>
      </c>
      <c r="O521">
        <f>O520+1</f>
        <v>3</v>
      </c>
      <c r="P521" s="1">
        <f ca="1">IF(ISERROR(F514),"",IF(ISTEXT(VLOOKUP(B514,INDIRECT($F$8),6+(O521-1)*3)),(VLOOKUP(B514,INDIRECT($F$8),6+(O521-1)*3)),SUM(VLOOKUP(B514,INDIRECT($F$8),6+(O521-1)*3),IF(W532,W521,0))))</f>
        <v>24</v>
      </c>
      <c r="Q521" s="1">
        <f ca="1">IF(ISERROR(F514),"",VLOOKUP(B514,INDIRECT($F$8),7+(O521-1)*3))</f>
        <v>39</v>
      </c>
      <c r="R521" s="1">
        <f ca="1">IF(ISERROR(F514),"",SUM(P521:Q521))</f>
        <v>63</v>
      </c>
      <c r="S521" s="1">
        <f ca="1">IF(ISERROR(F514),"",VLOOKUP(A514,INDIRECT($F$8),6+(O521-1)*3))</f>
        <v>100</v>
      </c>
      <c r="T521" s="1">
        <f ca="1">IF(ISERROR(F514),"",VLOOKUP(A514,INDIRECT($F$8),7+(O521-1)*3))</f>
        <v>50</v>
      </c>
      <c r="U521" s="1">
        <f ca="1">IF(ISERROR(F514),"",VLOOKUP(A514,INDIRECT($F$8),8+(O521-1)*3))</f>
        <v>150</v>
      </c>
      <c r="V521" s="1" t="str">
        <f ca="1">IF(ISERROR(F514),"",IF(N521=0,A521,""))</f>
        <v>ECT 001</v>
      </c>
      <c r="W521" s="1">
        <f ca="1">IF(ISERROR(F514),"",IF(ISTEXT(VLOOKUP(B514,INDIRECT($F$8),6+(O521-1)*3)),11,IF(VLOOKUP(B514,INDIRECT($F$8),6+(O521-1)*3)&lt;S521*0.3,IF(VLOOKUP(B514,INDIRECT($F$8),8+(O521-1)*3)&lt;U521*0.4,IF(AND(0.4*U521-VLOOKUP(B514,INDIRECT($F$8),8+(O521-1)*3)&lt;=5,0.3*S521-VLOOKUP(B514,INDIRECT($F$8),6+(O521-1)*3)&lt;=5),MAX(0.4*U521-VLOOKUP(B514,INDIRECT($F$8),8+(O521-1)*3),0.3*S521-VLOOKUP(B514,INDIRECT($F$8),6+(O521-1)*3)),11),IF(0.3*S521-VLOOKUP(B514,INDIRECT($F$8),6+(O521-1)*3)&lt;=5,0.3*S521-VLOOKUP(B514,INDIRECT($F$8),6+(O521-1)*3),11)),IF(VLOOKUP(B514,INDIRECT($F$8),8+(O521-1)*3)&lt;U521*0.4,IF(U521*0.4-VLOOKUP(B514,INDIRECT($F$8),8+(O521-1)*3)&lt;=5,U521*0.4-VLOOKUP(B514,INDIRECT($F$8),8+(O521-1)*3),11),0))))</f>
        <v>11</v>
      </c>
      <c r="X521" s="1" t="str">
        <f ca="1">IF(ISERROR(F514),"",IF(W521=0,"",_xlfn.TEXTJOIN("",FALSE," G+",W521," in ",A521)))</f>
        <v xml:space="preserve"> G+11 in ECT 001</v>
      </c>
    </row>
    <row r="522" spans="1:24" ht="11.5" customHeight="1" x14ac:dyDescent="0.2">
      <c r="A522" s="7" t="str">
        <f ca="1">IF(ISERROR(F514),"",VLOOKUP(C514,INDIRECT($F$8),6+(O522-1)*3,0))</f>
        <v>MET 001</v>
      </c>
      <c r="B522" s="24" t="str">
        <f ca="1">IF(ISERROR(F514),"",VLOOKUP(D514,INDIRECT($F$8),6+(O522-1)*3,0))</f>
        <v>Basic Mechanical Engineering</v>
      </c>
      <c r="C522" s="24"/>
      <c r="D522" s="24"/>
      <c r="E522" s="24"/>
      <c r="F522" s="7">
        <f ca="1">IF(ISERROR(F514),"",VLOOKUP(E514,INDIRECT($F$8),6+(O522-1)*3,0))</f>
        <v>4</v>
      </c>
      <c r="G522" s="25" t="str">
        <f ca="1">IF(ISERROR(F514),"",_xlfn.TEXTJOIN("/",FALSE,P522,S522))</f>
        <v>30/100</v>
      </c>
      <c r="H522" s="25"/>
      <c r="I522" s="25" t="str">
        <f ca="1">IF(ISERROR(F514),"",_xlfn.TEXTJOIN("/",FALSE,Q522,T522))</f>
        <v>30/50</v>
      </c>
      <c r="J522" s="25"/>
      <c r="K522" s="25" t="str">
        <f ca="1">IF(ISERROR(F514),"",_xlfn.TEXTJOIN("/",FALSE,R522,U522))</f>
        <v>60/150</v>
      </c>
      <c r="L522" s="25"/>
      <c r="M522" s="7" t="str">
        <f ca="1">IF(ISERROR(F514)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P</v>
      </c>
      <c r="N522" s="8">
        <f t="shared" ca="1" si="47"/>
        <v>4.5</v>
      </c>
      <c r="O522">
        <f>O521+1</f>
        <v>4</v>
      </c>
      <c r="P522" s="1">
        <f ca="1">IF(ISERROR(F514),"",IF(ISTEXT(VLOOKUP(B514,INDIRECT($F$8),6+(O522-1)*3)),(VLOOKUP(B514,INDIRECT($F$8),6+(O522-1)*3)),SUM(VLOOKUP(B514,INDIRECT($F$8),6+(O522-1)*3),IF(W532,W522,0))))</f>
        <v>30</v>
      </c>
      <c r="Q522" s="1">
        <f ca="1">IF(ISERROR(F514),"",VLOOKUP(B514,INDIRECT($F$8),7+(O522-1)*3))</f>
        <v>30</v>
      </c>
      <c r="R522" s="1">
        <f ca="1">IF(ISERROR(F514),"",SUM(P522:Q522))</f>
        <v>60</v>
      </c>
      <c r="S522" s="1">
        <f ca="1">IF(ISERROR(F514),"",VLOOKUP(A514,INDIRECT($F$8),6+(O522-1)*3))</f>
        <v>100</v>
      </c>
      <c r="T522" s="1">
        <f ca="1">IF(ISERROR(F514),"",VLOOKUP(A514,INDIRECT($F$8),7+(O522-1)*3))</f>
        <v>50</v>
      </c>
      <c r="U522" s="1">
        <f ca="1">IF(ISERROR(F514),"",VLOOKUP(A514,INDIRECT($F$8),8+(O522-1)*3))</f>
        <v>150</v>
      </c>
      <c r="V522" s="1" t="str">
        <f ca="1">IF(ISERROR(F514),"",IF(N522=0,A522,""))</f>
        <v/>
      </c>
      <c r="W522" s="1">
        <f ca="1">IF(ISERROR(F514),"",IF(ISTEXT(VLOOKUP(B514,INDIRECT($F$8),6+(O522-1)*3)),11,IF(VLOOKUP(B514,INDIRECT($F$8),6+(O522-1)*3)&lt;S522*0.3,IF(VLOOKUP(B514,INDIRECT($F$8),8+(O522-1)*3)&lt;U522*0.4,IF(AND(0.4*U522-VLOOKUP(B514,INDIRECT($F$8),8+(O522-1)*3)&lt;=5,0.3*S522-VLOOKUP(B514,INDIRECT($F$8),6+(O522-1)*3)&lt;=5),MAX(0.4*U522-VLOOKUP(B514,INDIRECT($F$8),8+(O522-1)*3),0.3*S522-VLOOKUP(B514,INDIRECT($F$8),6+(O522-1)*3)),11),IF(0.3*S522-VLOOKUP(B514,INDIRECT($F$8),6+(O522-1)*3)&lt;=5,0.3*S522-VLOOKUP(B514,INDIRECT($F$8),6+(O522-1)*3),11)),IF(VLOOKUP(B514,INDIRECT($F$8),8+(O522-1)*3)&lt;U522*0.4,IF(U522*0.4-VLOOKUP(B514,INDIRECT($F$8),8+(O522-1)*3)&lt;=5,U522*0.4-VLOOKUP(B514,INDIRECT($F$8),8+(O522-1)*3),11),0))))</f>
        <v>0</v>
      </c>
      <c r="X522" s="1" t="str">
        <f ca="1">IF(ISERROR(F514),"",IF(W522=0,"",_xlfn.TEXTJOIN("",FALSE," G+",W522," in ",A522)))</f>
        <v/>
      </c>
    </row>
    <row r="523" spans="1:24" ht="11.5" customHeight="1" x14ac:dyDescent="0.2">
      <c r="A523" s="7" t="str">
        <f ca="1">IF(ISERROR(F514),"",VLOOKUP(C514,INDIRECT($F$8),6+(O523-1)*3,0))</f>
        <v>AHT 000</v>
      </c>
      <c r="B523" s="24" t="str">
        <f ca="1">IF(ISERROR(F514),"",VLOOKUP(D514,INDIRECT($F$8),6+(O523-1)*3,0))</f>
        <v>Basic Mathematics (Bridge Course) ($)</v>
      </c>
      <c r="C523" s="24"/>
      <c r="D523" s="24"/>
      <c r="E523" s="24"/>
      <c r="F523" s="7">
        <f ca="1">IF(ISERROR(F514),"",VLOOKUP(E514,INDIRECT($F$8),6+(O523-1)*3,0))</f>
        <v>0</v>
      </c>
      <c r="G523" s="25" t="str">
        <f ca="1">IF(ISERROR(F514),"",_xlfn.TEXTJOIN("/",FALSE,P523,S523))</f>
        <v>15/100</v>
      </c>
      <c r="H523" s="25"/>
      <c r="I523" s="25" t="str">
        <f ca="1">IF(ISERROR(F514),"",_xlfn.TEXTJOIN("/",FALSE,Q523,T523))</f>
        <v>23/50</v>
      </c>
      <c r="J523" s="25"/>
      <c r="K523" s="25" t="str">
        <f ca="1">IF(ISERROR(F514),"",_xlfn.TEXTJOIN("/",FALSE,R523,U523))</f>
        <v>38/150</v>
      </c>
      <c r="L523" s="25"/>
      <c r="M523" s="7" t="str">
        <f ca="1">IF(ISERROR(F514)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F</v>
      </c>
      <c r="N523" s="8">
        <f t="shared" ca="1" si="47"/>
        <v>0</v>
      </c>
      <c r="O523" cm="1">
        <f t="array" aca="1" ref="O523" ca="1">IF(NOT(ISBLANK(INDIRECT("SEM_I!R"&amp;INT((ROW(O523)-17)/22)+6))),5,
IF(NOT(ISBLANK(INDIRECT("SEM_I!U"&amp;INT((ROW(O523)-17)/22)+6))),6))</f>
        <v>5</v>
      </c>
      <c r="P523" s="1">
        <f ca="1">IF(ISERROR(F514),"",IF(ISTEXT(VLOOKUP(B514,INDIRECT($F$8),6+(O523-1)*3)),(VLOOKUP(B514,INDIRECT($F$8),6+(O523-1)*3)),SUM(VLOOKUP(B514,INDIRECT($F$8),6+(O523-1)*3),IF(W532,W523,0))))</f>
        <v>15</v>
      </c>
      <c r="Q523" s="1">
        <f ca="1">IF(ISERROR(F514),"",VLOOKUP(B514,INDIRECT($F$8),7+(O523-1)*3))</f>
        <v>23</v>
      </c>
      <c r="R523" s="1">
        <f ca="1">IF(ISERROR(F514),"",SUM(P523:Q523))</f>
        <v>38</v>
      </c>
      <c r="S523" s="1">
        <f ca="1">IF(ISERROR(F514),"",VLOOKUP(A514,INDIRECT($F$8),6+(O523-1)*3))</f>
        <v>100</v>
      </c>
      <c r="T523" s="1">
        <f ca="1">IF(ISERROR(F514),"",VLOOKUP(A514,INDIRECT($F$8),7+(O523-1)*3))</f>
        <v>50</v>
      </c>
      <c r="U523" s="1">
        <f ca="1">IF(ISERROR(F514),"",VLOOKUP(A514,INDIRECT($F$8),8+(O523-1)*3))</f>
        <v>150</v>
      </c>
      <c r="V523" s="1" t="str">
        <f ca="1">IF(ISERROR(F514),"",IF(N523=0,A523,""))</f>
        <v>AHT 000</v>
      </c>
      <c r="W523" s="1">
        <f ca="1">IF(ISERROR(F514),"",IF(ISTEXT(VLOOKUP(B514,INDIRECT($F$8),6+(O523-1)*3)),11,IF(VLOOKUP(B514,INDIRECT($F$8),6+(O523-1)*3)&lt;S523*0.3,IF(VLOOKUP(B514,INDIRECT($F$8),8+(O523-1)*3)&lt;U523*0.4,IF(AND(0.4*U523-VLOOKUP(B514,INDIRECT($F$8),8+(O523-1)*3)&lt;=5,0.3*S523-VLOOKUP(B514,INDIRECT($F$8),6+(O523-1)*3)&lt;=5),MAX(0.4*U523-VLOOKUP(B514,INDIRECT($F$8),8+(O523-1)*3),0.3*S523-VLOOKUP(B514,INDIRECT($F$8),6+(O523-1)*3)),11),IF(0.3*S523-VLOOKUP(B514,INDIRECT($F$8),6+(O523-1)*3)&lt;=5,0.3*S523-VLOOKUP(B514,INDIRECT($F$8),6+(O523-1)*3),11)),IF(VLOOKUP(B514,INDIRECT($F$8),8+(O523-1)*3)&lt;U523*0.4,IF(U523*0.4-VLOOKUP(B514,INDIRECT($F$8),8+(O523-1)*3)&lt;=5,U523*0.4-VLOOKUP(B514,INDIRECT($F$8),8+(O523-1)*3),11),0))))</f>
        <v>11</v>
      </c>
      <c r="X523" s="1" t="str">
        <f ca="1">IF(ISERROR(F514),"",IF(W523=0,"",_xlfn.TEXTJOIN("",FALSE," G+",W523," in ",A523)))</f>
        <v xml:space="preserve"> G+11 in AHT 000</v>
      </c>
    </row>
    <row r="524" spans="1:24" ht="11.5" customHeight="1" x14ac:dyDescent="0.2">
      <c r="A524" s="7" t="str">
        <f ca="1">IF(ISERROR(F514),"",VLOOKUP(C514,INDIRECT($F$8),6+(O524-1)*3,0))</f>
        <v>AHP 002</v>
      </c>
      <c r="B524" s="24" t="str">
        <f ca="1">IF(ISERROR(F514),"",VLOOKUP(D514,INDIRECT($F$8),6+(O524-1)*3,0))</f>
        <v>Engineering Chemistry Lab</v>
      </c>
      <c r="C524" s="24"/>
      <c r="D524" s="24"/>
      <c r="E524" s="24"/>
      <c r="F524" s="7">
        <f ca="1">IF(ISERROR(F514),"",VLOOKUP(E514,INDIRECT($F$8),6+(O524-1)*3,0))</f>
        <v>1</v>
      </c>
      <c r="G524" s="25" t="str">
        <f ca="1">IF(ISERROR(F514),"",_xlfn.TEXTJOIN("/",FALSE,P524,S524))</f>
        <v>15/25</v>
      </c>
      <c r="H524" s="25"/>
      <c r="I524" s="25" t="str">
        <f ca="1">IF(ISERROR(F514),"",_xlfn.TEXTJOIN("/",FALSE,Q524,T524))</f>
        <v>17/25</v>
      </c>
      <c r="J524" s="25"/>
      <c r="K524" s="25" t="str">
        <f ca="1">IF(ISERROR(F514),"",_xlfn.TEXTJOIN("/",FALSE,R524,U524))</f>
        <v>32/50</v>
      </c>
      <c r="L524" s="25"/>
      <c r="M524" s="7" t="str">
        <f ca="1">IF(ISERROR(F514)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D+</v>
      </c>
      <c r="N524" s="8">
        <f t="shared" ca="1" si="47"/>
        <v>6.5</v>
      </c>
      <c r="O524">
        <f ca="1">IF(O523&gt;0,7)</f>
        <v>7</v>
      </c>
      <c r="P524" s="1">
        <f ca="1">IF(ISERROR(F514),"",IF(ISTEXT(VLOOKUP(B514,INDIRECT($F$8),6+(O524-1)*3)),(VLOOKUP(B514,INDIRECT($F$8),6+(O524-1)*3)),SUM(VLOOKUP(B514,INDIRECT($F$8),6+(O524-1)*3),IF(W532,W524,0))))</f>
        <v>15</v>
      </c>
      <c r="Q524" s="1">
        <f ca="1">IF(ISERROR(F514),"",VLOOKUP(B514,INDIRECT($F$8),7+(O524-1)*3))</f>
        <v>17</v>
      </c>
      <c r="R524" s="1">
        <f ca="1">IF(ISERROR(F514),"",SUM(P524:Q524))</f>
        <v>32</v>
      </c>
      <c r="S524" s="1">
        <f ca="1">IF(ISERROR(F514),"",VLOOKUP(A514,INDIRECT($F$8),6+(O524-1)*3))</f>
        <v>25</v>
      </c>
      <c r="T524" s="1">
        <f ca="1">IF(ISERROR(F514),"",VLOOKUP(A514,INDIRECT($F$8),7+(O524-1)*3))</f>
        <v>25</v>
      </c>
      <c r="U524" s="1">
        <f ca="1">IF(ISERROR(F514),"",VLOOKUP(A514,INDIRECT($F$8),8+(O524-1)*3))</f>
        <v>50</v>
      </c>
      <c r="V524" s="1" t="str">
        <f ca="1">IF(ISERROR(F514),"",IF(N524=0,A524,""))</f>
        <v/>
      </c>
      <c r="W524" s="1">
        <f ca="1">IF(ISERROR(F514),"",IF(ISTEXT(VLOOKUP(B514,INDIRECT($F$8),6+(O524-1)*3)),11,IF(VLOOKUP(B514,INDIRECT($F$8),6+(O524-1)*3)&lt;S524*0.3,IF(VLOOKUP(B514,INDIRECT($F$8),8+(O524-1)*3)&lt;U524*0.4,IF(AND(0.4*U524-VLOOKUP(B514,INDIRECT($F$8),8+(O524-1)*3)&lt;=5,0.3*S524-VLOOKUP(B514,INDIRECT($F$8),6+(O524-1)*3)&lt;=5),MAX(0.4*U524-VLOOKUP(B514,INDIRECT($F$8),8+(O524-1)*3),0.3*S524-VLOOKUP(B514,INDIRECT($F$8),6+(O524-1)*3)),11),IF(0.3*S524-VLOOKUP(B514,INDIRECT($F$8),6+(O524-1)*3)&lt;=5,0.3*S524-VLOOKUP(B514,INDIRECT($F$8),6+(O524-1)*3),11)),IF(VLOOKUP(B514,INDIRECT($F$8),8+(O524-1)*3)&lt;U524*0.4,IF(U524*0.4-VLOOKUP(B514,INDIRECT($F$8),8+(O524-1)*3)&lt;=5,U524*0.4-VLOOKUP(B514,INDIRECT($F$8),8+(O524-1)*3),11),0))))</f>
        <v>0</v>
      </c>
      <c r="X524" s="1" t="str">
        <f ca="1">IF(ISERROR(F514),"",IF(W524=0,"",_xlfn.TEXTJOIN("",FALSE," G+",W524," in ",A524)))</f>
        <v/>
      </c>
    </row>
    <row r="525" spans="1:24" ht="11.5" customHeight="1" x14ac:dyDescent="0.2">
      <c r="A525" s="7" t="str">
        <f ca="1">IF(ISERROR(F514),"",VLOOKUP(C514,INDIRECT($F$8),6+(O525-1)*3,0))</f>
        <v>ECP 001</v>
      </c>
      <c r="B525" s="24" t="str">
        <f ca="1">IF(ISERROR(F514),"",VLOOKUP(D514,INDIRECT($F$8),6+(O525-1)*3,0))</f>
        <v>Basic Electronics Engineering Lab</v>
      </c>
      <c r="C525" s="24"/>
      <c r="D525" s="24"/>
      <c r="E525" s="24"/>
      <c r="F525" s="7">
        <f ca="1">IF(ISERROR(F514),"",VLOOKUP(E514,INDIRECT($F$8),6+(O525-1)*3,0))</f>
        <v>1</v>
      </c>
      <c r="G525" s="25" t="str">
        <f ca="1">IF(ISERROR(F514),"",_xlfn.TEXTJOIN("/",FALSE,P525,S525))</f>
        <v>17/25</v>
      </c>
      <c r="H525" s="25"/>
      <c r="I525" s="25" t="str">
        <f ca="1">IF(ISERROR(F514),"",_xlfn.TEXTJOIN("/",FALSE,Q525,T525))</f>
        <v>17/25</v>
      </c>
      <c r="J525" s="25"/>
      <c r="K525" s="25" t="str">
        <f ca="1">IF(ISERROR(F514),"",_xlfn.TEXTJOIN("/",FALSE,R525,U525))</f>
        <v>34/50</v>
      </c>
      <c r="L525" s="25"/>
      <c r="M525" s="7" t="str">
        <f ca="1">IF(ISERROR(F514)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C</v>
      </c>
      <c r="N525" s="8">
        <f t="shared" ca="1" si="47"/>
        <v>7</v>
      </c>
      <c r="O525">
        <f t="shared" ref="O525:O531" ca="1" si="48">O524+1</f>
        <v>8</v>
      </c>
      <c r="P525" s="1">
        <f ca="1">IF(ISERROR(F514),"",IF(ISTEXT(VLOOKUP(B514,INDIRECT($F$8),6+(O525-1)*3)),(VLOOKUP(B514,INDIRECT($F$8),6+(O525-1)*3)),SUM(VLOOKUP(B514,INDIRECT($F$8),6+(O525-1)*3),IF(W532,W525,0))))</f>
        <v>17</v>
      </c>
      <c r="Q525" s="1">
        <f ca="1">IF(ISERROR(F514),"",VLOOKUP(B514,INDIRECT($F$8),7+(O525-1)*3))</f>
        <v>17</v>
      </c>
      <c r="R525" s="1">
        <f ca="1">IF(ISERROR(F514),"",SUM(P525:Q525))</f>
        <v>34</v>
      </c>
      <c r="S525" s="1">
        <f ca="1">IF(ISERROR(F514),"",VLOOKUP(A514,INDIRECT($F$8),6+(O525-1)*3))</f>
        <v>25</v>
      </c>
      <c r="T525" s="1">
        <f ca="1">IF(ISERROR(F514),"",VLOOKUP(A514,INDIRECT($F$8),7+(O525-1)*3))</f>
        <v>25</v>
      </c>
      <c r="U525" s="1">
        <f ca="1">IF(ISERROR(F514),"",VLOOKUP(A514,INDIRECT($F$8),8+(O525-1)*3))</f>
        <v>50</v>
      </c>
      <c r="V525" s="1" t="str">
        <f ca="1">IF(ISERROR(F514),"",IF(N525=0,A525,""))</f>
        <v/>
      </c>
      <c r="W525" s="1">
        <f ca="1">IF(ISERROR(F514),"",IF(ISTEXT(VLOOKUP(B514,INDIRECT($F$8),6+(O525-1)*3)),11,IF(VLOOKUP(B514,INDIRECT($F$8),6+(O525-1)*3)&lt;S525*0.3,IF(VLOOKUP(B514,INDIRECT($F$8),8+(O525-1)*3)&lt;U525*0.4,IF(AND(0.4*U525-VLOOKUP(B514,INDIRECT($F$8),8+(O525-1)*3)&lt;=5,0.3*S525-VLOOKUP(B514,INDIRECT($F$8),6+(O525-1)*3)&lt;=5),MAX(0.4*U525-VLOOKUP(B514,INDIRECT($F$8),8+(O525-1)*3),0.3*S525-VLOOKUP(B514,INDIRECT($F$8),6+(O525-1)*3)),11),IF(0.3*S525-VLOOKUP(B514,INDIRECT($F$8),6+(O525-1)*3)&lt;=5,0.3*S525-VLOOKUP(B514,INDIRECT($F$8),6+(O525-1)*3),11)),IF(VLOOKUP(B514,INDIRECT($F$8),8+(O525-1)*3)&lt;U525*0.4,IF(U525*0.4-VLOOKUP(B514,INDIRECT($F$8),8+(O525-1)*3)&lt;=5,U525*0.4-VLOOKUP(B514,INDIRECT($F$8),8+(O525-1)*3),11),0))))</f>
        <v>0</v>
      </c>
      <c r="X525" s="1" t="str">
        <f ca="1">IF(ISERROR(F514),"",IF(W525=0,"",_xlfn.TEXTJOIN("",FALSE," G+",W525," in ",A525)))</f>
        <v/>
      </c>
    </row>
    <row r="526" spans="1:24" ht="11.5" customHeight="1" x14ac:dyDescent="0.2">
      <c r="A526" s="7" t="str">
        <f ca="1">IF(ISERROR(F514),"",VLOOKUP(C514,INDIRECT($F$8),6+(O526-1)*3,0))</f>
        <v>MEP 001</v>
      </c>
      <c r="B526" s="24" t="str">
        <f ca="1">IF(ISERROR(F514),"",VLOOKUP(D514,INDIRECT($F$8),6+(O526-1)*3,0))</f>
        <v>Basic Mechanical Engineering Lab</v>
      </c>
      <c r="C526" s="24"/>
      <c r="D526" s="24"/>
      <c r="E526" s="24"/>
      <c r="F526" s="7">
        <f ca="1">IF(ISERROR(F514),"",VLOOKUP(E514,INDIRECT($F$8),6+(O526-1)*3,0))</f>
        <v>1</v>
      </c>
      <c r="G526" s="25" t="str">
        <f ca="1">IF(ISERROR(F514),"",_xlfn.TEXTJOIN("/",FALSE,P526,S526))</f>
        <v>18/25</v>
      </c>
      <c r="H526" s="25"/>
      <c r="I526" s="25" t="str">
        <f ca="1">IF(ISERROR(F514),"",_xlfn.TEXTJOIN("/",FALSE,Q526,T526))</f>
        <v>20/25</v>
      </c>
      <c r="J526" s="25"/>
      <c r="K526" s="25" t="str">
        <f ca="1">IF(ISERROR(F514),"",_xlfn.TEXTJOIN("/",FALSE,R526,U526))</f>
        <v>38/50</v>
      </c>
      <c r="L526" s="25"/>
      <c r="M526" s="7" t="str">
        <f ca="1">IF(ISERROR(F514)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B</v>
      </c>
      <c r="N526" s="8">
        <f t="shared" ca="1" si="47"/>
        <v>8</v>
      </c>
      <c r="O526">
        <f t="shared" ca="1" si="48"/>
        <v>9</v>
      </c>
      <c r="P526" s="1">
        <f ca="1">IF(ISERROR(F514),"",IF(ISTEXT(VLOOKUP(B514,INDIRECT($F$8),6+(O526-1)*3)),(VLOOKUP(B514,INDIRECT($F$8),6+(O526-1)*3)),SUM(VLOOKUP(B514,INDIRECT($F$8),6+(O526-1)*3),IF(W532,W526,0))))</f>
        <v>18</v>
      </c>
      <c r="Q526" s="1">
        <f ca="1">IF(ISERROR(F514),"",VLOOKUP(B514,INDIRECT($F$8),7+(O526-1)*3))</f>
        <v>20</v>
      </c>
      <c r="R526" s="1">
        <f ca="1">IF(ISERROR(F514),"",SUM(P526:Q526))</f>
        <v>38</v>
      </c>
      <c r="S526" s="1">
        <f ca="1">IF(ISERROR(F514),"",VLOOKUP(A514,INDIRECT($F$8),6+(O526-1)*3))</f>
        <v>25</v>
      </c>
      <c r="T526" s="1">
        <f ca="1">IF(ISERROR(F514),"",VLOOKUP(A514,INDIRECT($F$8),7+(O526-1)*3))</f>
        <v>25</v>
      </c>
      <c r="U526" s="1">
        <f ca="1">IF(ISERROR(F514),"",VLOOKUP(A514,INDIRECT($F$8),8+(O526-1)*3))</f>
        <v>50</v>
      </c>
      <c r="V526" s="1" t="str">
        <f ca="1">IF(ISERROR(F514),"",IF(N526=0,A526,""))</f>
        <v/>
      </c>
      <c r="W526" s="1">
        <f ca="1">IF(ISERROR(F514),"",IF(ISTEXT(VLOOKUP(B514,INDIRECT($F$8),6+(O526-1)*3)),11,IF(VLOOKUP(B514,INDIRECT($F$8),6+(O526-1)*3)&lt;S526*0.3,IF(VLOOKUP(B514,INDIRECT($F$8),8+(O526-1)*3)&lt;U526*0.4,IF(AND(0.4*U526-VLOOKUP(B514,INDIRECT($F$8),8+(O526-1)*3)&lt;=5,0.3*S526-VLOOKUP(B514,INDIRECT($F$8),6+(O526-1)*3)&lt;=5),MAX(0.4*U526-VLOOKUP(B514,INDIRECT($F$8),8+(O526-1)*3),0.3*S526-VLOOKUP(B514,INDIRECT($F$8),6+(O526-1)*3)),11),IF(0.3*S526-VLOOKUP(B514,INDIRECT($F$8),6+(O526-1)*3)&lt;=5,0.3*S526-VLOOKUP(B514,INDIRECT($F$8),6+(O526-1)*3),11)),IF(VLOOKUP(B514,INDIRECT($F$8),8+(O526-1)*3)&lt;U526*0.4,IF(U526*0.4-VLOOKUP(B514,INDIRECT($F$8),8+(O526-1)*3)&lt;=5,U526*0.4-VLOOKUP(B514,INDIRECT($F$8),8+(O526-1)*3),11),0))))</f>
        <v>0</v>
      </c>
      <c r="X526" s="1" t="str">
        <f ca="1">IF(ISERROR(F514),"",IF(W526=0,"",_xlfn.TEXTJOIN("",FALSE," G+",W526," in ",A526)))</f>
        <v/>
      </c>
    </row>
    <row r="527" spans="1:24" ht="11.5" customHeight="1" x14ac:dyDescent="0.2">
      <c r="A527" s="7" t="str">
        <f ca="1">IF(ISERROR(F514),"",VLOOKUP(C514,INDIRECT($F$8),6+(O527-1)*3,0))</f>
        <v>MEP 003</v>
      </c>
      <c r="B527" s="24" t="str">
        <f ca="1">IF(ISERROR(F514),"",VLOOKUP(D514,INDIRECT($F$8),6+(O527-1)*3-Z527,0))</f>
        <v>Workshop Practices Lab</v>
      </c>
      <c r="C527" s="24"/>
      <c r="D527" s="24"/>
      <c r="E527" s="24"/>
      <c r="F527" s="7">
        <f ca="1">IF(ISERROR(F514),"",VLOOKUP(E514,INDIRECT($F$8),6+(O527-1)*3,0))</f>
        <v>2</v>
      </c>
      <c r="G527" s="25" t="str">
        <f ca="1">IF(ISERROR(F514),"",_xlfn.TEXTJOIN("/",FALSE,P527,S527))</f>
        <v>44/50</v>
      </c>
      <c r="H527" s="25"/>
      <c r="I527" s="25" t="str">
        <f ca="1">IF(ISERROR(F514),"",_xlfn.TEXTJOIN("/",FALSE,Q527,T527))</f>
        <v>42/50</v>
      </c>
      <c r="J527" s="25"/>
      <c r="K527" s="25" t="str">
        <f ca="1">IF(ISERROR(F514),"",_xlfn.TEXTJOIN("/",FALSE,R527,U527))</f>
        <v>86/100</v>
      </c>
      <c r="L527" s="25"/>
      <c r="M527" s="7" t="str">
        <f ca="1">IF(ISERROR(F514)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A</v>
      </c>
      <c r="N527" s="8">
        <f t="shared" ca="1" si="47"/>
        <v>9</v>
      </c>
      <c r="O527">
        <f t="shared" ca="1" si="48"/>
        <v>10</v>
      </c>
      <c r="P527" s="1">
        <f ca="1">IF(ISERROR(F514),"",IF(ISTEXT(VLOOKUP(B514,INDIRECT($F$8),6+(O527-1)*3)),(VLOOKUP(B514,INDIRECT($F$8),6+(O527-1)*3)),SUM(VLOOKUP(B514,INDIRECT($F$8),6+(O527-1)*3),IF(W532,W527,0))))</f>
        <v>44</v>
      </c>
      <c r="Q527" s="1">
        <f ca="1">IF(ISERROR(F514),"",VLOOKUP(B514,INDIRECT($F$8),7+(O527-1)*3))</f>
        <v>42</v>
      </c>
      <c r="R527" s="1">
        <f ca="1">IF(ISERROR(F514),"",SUM(P527:Q527))</f>
        <v>86</v>
      </c>
      <c r="S527" s="1">
        <f ca="1">IF(ISERROR(F514),"",VLOOKUP(A514,INDIRECT($F$8),6+(O527-1)*3))</f>
        <v>50</v>
      </c>
      <c r="T527" s="1">
        <f ca="1">IF(ISERROR(F514),"",VLOOKUP(A514,INDIRECT($F$8),7+(O527-1)*3))</f>
        <v>50</v>
      </c>
      <c r="U527" s="1">
        <f ca="1">IF(ISERROR(F514),"",VLOOKUP(A514,INDIRECT($F$8),8+(O527-1)*3))</f>
        <v>100</v>
      </c>
      <c r="V527" s="1" t="str">
        <f ca="1">IF(ISERROR(F514),"",IF(N527=0,A527,""))</f>
        <v/>
      </c>
      <c r="W527" s="1">
        <f ca="1">IF(ISERROR(F514),"",IF(ISTEXT(VLOOKUP(B514,INDIRECT($F$8),6+(O527-1)*3)),11,IF(VLOOKUP(B514,INDIRECT($F$8),6+(O527-1)*3)&lt;S527*0.3,IF(VLOOKUP(B514,INDIRECT($F$8),8+(O527-1)*3)&lt;U527*0.4,IF(AND(0.4*U527-VLOOKUP(B514,INDIRECT($F$8),8+(O527-1)*3)&lt;=5,0.3*S527-VLOOKUP(B514,INDIRECT($F$8),6+(O527-1)*3)&lt;=5),MAX(0.4*U527-VLOOKUP(B514,INDIRECT($F$8),8+(O527-1)*3),0.3*S527-VLOOKUP(B514,INDIRECT($F$8),6+(O527-1)*3)),11),IF(0.3*S527-VLOOKUP(B514,INDIRECT($F$8),6+(O527-1)*3)&lt;=5,0.3*S527-VLOOKUP(B514,INDIRECT($F$8),6+(O527-1)*3),11)),IF(VLOOKUP(B514,INDIRECT($F$8),8+(O527-1)*3)&lt;U527*0.4,IF(U527*0.4-VLOOKUP(B514,INDIRECT($F$8),8+(O527-1)*3)&lt;=5,U527*0.4-VLOOKUP(B514,INDIRECT($F$8),8+(O527-1)*3),11),0))))</f>
        <v>0</v>
      </c>
      <c r="X527" s="1" t="str">
        <f ca="1">IF(ISERROR(F514),"",IF(W527=0,"",_xlfn.TEXTJOIN("",FALSE," G+",W527," in ",A527)))</f>
        <v/>
      </c>
    </row>
    <row r="528" spans="1:24" ht="11.5" customHeight="1" x14ac:dyDescent="0.2">
      <c r="A528" s="7" t="str">
        <f ca="1">IF(ISERROR(F514),"",VLOOKUP(C514,INDIRECT($F$8),6+(O528-1)*3,0))</f>
        <v>AHP 004</v>
      </c>
      <c r="B528" s="24" t="str">
        <f ca="1">IF(ISERROR(F514),"",VLOOKUP(D514,INDIRECT($F$8),6+(O528-1)*3-Z528,0))</f>
        <v>Emerging Technologies in Engineering Lab</v>
      </c>
      <c r="C528" s="24"/>
      <c r="D528" s="24"/>
      <c r="E528" s="24"/>
      <c r="F528" s="7">
        <f ca="1">IF(ISERROR(F514),"",VLOOKUP(E514,INDIRECT($F$8),6+(O528-1)*3,0))</f>
        <v>1</v>
      </c>
      <c r="G528" s="25" t="str">
        <f ca="1">IF(ISERROR(F514),"",_xlfn.TEXTJOIN("/",FALSE,P528,S528))</f>
        <v>23/25</v>
      </c>
      <c r="H528" s="25"/>
      <c r="I528" s="25" t="str">
        <f ca="1">IF(ISERROR(F514),"",_xlfn.TEXTJOIN("/",FALSE,Q528,T528))</f>
        <v>23/25</v>
      </c>
      <c r="J528" s="25"/>
      <c r="K528" s="25" t="str">
        <f ca="1">IF(ISERROR(F514),"",_xlfn.TEXTJOIN("/",FALSE,R528,U528))</f>
        <v>46/50</v>
      </c>
      <c r="L528" s="25"/>
      <c r="M528" s="7" t="str">
        <f ca="1">IF(ISERROR(F514),"",IF(ISTEXT(P528),IF(P528="A","Ab",IF(P528="D","Dt",IF(P528="UFM","UFM",IF(P528="NA","")))),IF(AND(ISBLANK(P528),ISBLANK(R528)),"",IF(P528&lt;0.3*S528,"F",IF(ISBLANK(R528),"",IF(ISTEXT(R528),R528,IF(R528&gt;=0.95*U528,"O",IF(R528&gt;=0.9*U528,"A+",IF(R528&gt;=0.85*U528,"A",IF(R528&gt;=0.8*U528,"B+",IF(R528&gt;=0.75*U528,"B",IF(R528&gt;=0.7*U528,"C+",IF(R528&gt;=0.65*U528,"C",IF(R528&gt;=0.6*U528,"D+",IF(R528&gt;=0.55*U528,"D",IF(R528&gt;=0.5*U528,"E+",IF(R528&gt;=0.45*U528,"E",IF(R528&gt;=0.4*U528,"P",IF(R528&lt;0.4*U528,"F",R528)))))))))))))))))))</f>
        <v>A+</v>
      </c>
      <c r="N528" s="8">
        <f t="shared" ca="1" si="47"/>
        <v>9.5</v>
      </c>
      <c r="O528">
        <f t="shared" ca="1" si="48"/>
        <v>11</v>
      </c>
      <c r="P528" s="1">
        <f ca="1">IF(ISERROR(F514),"",IF(ISTEXT(VLOOKUP(B514,INDIRECT($F$8),6+(O528-1)*3)),(VLOOKUP(B514,INDIRECT($F$8),6+(O528-1)*3)),SUM(VLOOKUP(B514,INDIRECT($F$8),6+(O528-1)*3),IF(W532,W528,0))))</f>
        <v>23</v>
      </c>
      <c r="Q528" s="1">
        <f ca="1">IF(ISERROR(F514),"",VLOOKUP(B514,INDIRECT($F$8),7+(O528-1)*3))</f>
        <v>23</v>
      </c>
      <c r="R528" s="1">
        <f ca="1">IF(ISERROR(F514),"",SUM(P528:Q528))</f>
        <v>46</v>
      </c>
      <c r="S528" s="1">
        <f ca="1">IF(ISERROR(F514),"",VLOOKUP(A514,INDIRECT($F$8),6+(O528-1)*3))</f>
        <v>25</v>
      </c>
      <c r="T528" s="1">
        <f ca="1">IF(ISERROR(F514),"",VLOOKUP(A514,INDIRECT($F$8),7+(O528-1)*3))</f>
        <v>25</v>
      </c>
      <c r="U528" s="1">
        <f ca="1">IF(ISERROR(F514),"",VLOOKUP(A514,INDIRECT($F$8),8+(O528-1)*3))</f>
        <v>50</v>
      </c>
      <c r="V528" s="1" t="str">
        <f ca="1">IF(ISERROR(F514),"",IF(N528=0,A528,""))</f>
        <v/>
      </c>
      <c r="W528" s="1">
        <f ca="1">IF(ISERROR(F514),"",IF(ISTEXT(VLOOKUP(B514,INDIRECT($F$8),6+(O528-1)*3)),11,IF(VLOOKUP(B514,INDIRECT($F$8),6+(O528-1)*3)&lt;S528*0.3,IF(VLOOKUP(B514,INDIRECT($F$8),8+(O528-1)*3)&lt;U528*0.4,IF(AND(0.4*U528-VLOOKUP(B514,INDIRECT($F$8),8+(O528-1)*3)&lt;=5,0.3*S528-VLOOKUP(B514,INDIRECT($F$8),6+(O528-1)*3)&lt;=5),MAX(0.4*U528-VLOOKUP(B514,INDIRECT($F$8),8+(O528-1)*3),0.3*S528-VLOOKUP(B514,INDIRECT($F$8),6+(O528-1)*3)),11),IF(0.3*S528-VLOOKUP(B514,INDIRECT($F$8),6+(O528-1)*3)&lt;=5,0.3*S528-VLOOKUP(B514,INDIRECT($F$8),6+(O528-1)*3),11)),IF(VLOOKUP(B514,INDIRECT($F$8),8+(O528-1)*3)&lt;U528*0.4,IF(U528*0.4-VLOOKUP(B514,INDIRECT($F$8),8+(O528-1)*3)&lt;=5,U528*0.4-VLOOKUP(B514,INDIRECT($F$8),8+(O528-1)*3),11),0))))</f>
        <v>0</v>
      </c>
      <c r="X528" s="1" t="str">
        <f ca="1">IF(ISERROR(F514),"",IF(W528=0,"",_xlfn.TEXTJOIN("",FALSE," G+",W528," in ",A528)))</f>
        <v/>
      </c>
    </row>
    <row r="529" spans="1:24" ht="11.5" customHeight="1" x14ac:dyDescent="0.2">
      <c r="A529" s="7" t="str">
        <f ca="1">IF(ISERROR(F514),"",VLOOKUP(C514,INDIRECT($F$8),6+(O529-1)*3,0))</f>
        <v>CSP 002</v>
      </c>
      <c r="B529" s="24" t="str">
        <f ca="1">IF(ISERROR(F514),"",VLOOKUP(D514,INDIRECT($F$8),6+(O529-1)*3,0))</f>
        <v>Computer Applications and IOT</v>
      </c>
      <c r="C529" s="24"/>
      <c r="D529" s="24"/>
      <c r="E529" s="24"/>
      <c r="F529" s="7">
        <f ca="1">IF(ISERROR(F514),"",VLOOKUP(E514,INDIRECT($F$8),6+(O529-1)*3,0))</f>
        <v>1</v>
      </c>
      <c r="G529" s="25" t="str">
        <f ca="1">IF(ISERROR(F514),"",_xlfn.TEXTJOIN("/",FALSE,P529,S529))</f>
        <v>25/25</v>
      </c>
      <c r="H529" s="25"/>
      <c r="I529" s="25" t="str">
        <f ca="1">IF(ISERROR(F514),"",_xlfn.TEXTJOIN("/",FALSE,Q529,T529))</f>
        <v>25/25</v>
      </c>
      <c r="J529" s="25"/>
      <c r="K529" s="25" t="str">
        <f ca="1">IF(ISERROR(F514),"",_xlfn.TEXTJOIN("/",FALSE,R529,U529))</f>
        <v>50/50</v>
      </c>
      <c r="L529" s="25"/>
      <c r="M529" s="7" t="str">
        <f ca="1">IF(ISERROR(F514),"",IF(ISTEXT(P529),IF(P529="A","Ab",IF(P529="D","Dt",IF(P529="UFM","UFM",IF(P529="NA","")))),IF(AND(ISBLANK(P529),ISBLANK(R529)),"",IF(P529&lt;0.3*S529,"F",IF(ISBLANK(R529),"",IF(ISTEXT(R529),R529,IF(R529&gt;=0.95*U529,"O",IF(R529&gt;=0.9*U529,"A+",IF(R529&gt;=0.85*U529,"A",IF(R529&gt;=0.8*U529,"B+",IF(R529&gt;=0.75*U529,"B",IF(R529&gt;=0.7*U529,"C+",IF(R529&gt;=0.65*U529,"C",IF(R529&gt;=0.6*U529,"D+",IF(R529&gt;=0.55*U529,"D",IF(R529&gt;=0.5*U529,"E+",IF(R529&gt;=0.45*U529,"E",IF(R529&gt;=0.4*U529,"P",IF(R529&lt;0.4*U529,"F",R529)))))))))))))))))))</f>
        <v>O</v>
      </c>
      <c r="N529" s="8">
        <f t="shared" ca="1" si="47"/>
        <v>10</v>
      </c>
      <c r="O529">
        <f t="shared" ca="1" si="48"/>
        <v>12</v>
      </c>
      <c r="P529" s="1">
        <f ca="1">IF(ISERROR(F514),"",IF(ISTEXT(VLOOKUP(B514,INDIRECT($F$8),6+(O529-1)*3)),(VLOOKUP(B514,INDIRECT($F$8),6+(O529-1)*3)),SUM(VLOOKUP(B514,INDIRECT($F$8),6+(O529-1)*3),IF(W532,W529,0))))</f>
        <v>25</v>
      </c>
      <c r="Q529" s="1">
        <f ca="1">IF(ISERROR(F514),"",VLOOKUP(B514,INDIRECT($F$8),7+(O529-1)*3))</f>
        <v>25</v>
      </c>
      <c r="R529" s="1">
        <f ca="1">IF(ISERROR(F514),"",SUM(P529:Q529))</f>
        <v>50</v>
      </c>
      <c r="S529" s="1">
        <f ca="1">IF(ISERROR(F514),"",VLOOKUP(A514,INDIRECT($F$8),6+(O529-1)*3))</f>
        <v>25</v>
      </c>
      <c r="T529" s="1">
        <f ca="1">IF(ISERROR(F514),"",VLOOKUP(A514,INDIRECT($F$8),7+(O529-1)*3))</f>
        <v>25</v>
      </c>
      <c r="U529" s="1">
        <f ca="1">IF(ISERROR(F514),"",VLOOKUP(A514,INDIRECT($F$8),8+(O529-1)*3))</f>
        <v>50</v>
      </c>
      <c r="V529" s="1" t="str">
        <f ca="1">IF(ISERROR(F514),"",IF(N529=0,A529,""))</f>
        <v/>
      </c>
      <c r="W529" s="1">
        <f ca="1">IF(ISERROR(F514),"",IF(ISTEXT(VLOOKUP(B514,INDIRECT($F$8),6+(O529-1)*3)),11,IF(VLOOKUP(B514,INDIRECT($F$8),6+(O529-1)*3)&lt;S529*0.3,IF(VLOOKUP(B514,INDIRECT($F$8),8+(O529-1)*3)&lt;U529*0.4,IF(AND(0.4*U529-VLOOKUP(B514,INDIRECT($F$8),8+(O529-1)*3)&lt;=5,0.3*S529-VLOOKUP(B514,INDIRECT($F$8),6+(O529-1)*3)&lt;=5),MAX(0.4*U529-VLOOKUP(B514,INDIRECT($F$8),8+(O529-1)*3),0.3*S529-VLOOKUP(B514,INDIRECT($F$8),6+(O529-1)*3)),11),IF(0.3*S529-VLOOKUP(B514,INDIRECT($F$8),6+(O529-1)*3)&lt;=5,0.3*S529-VLOOKUP(B514,INDIRECT($F$8),6+(O529-1)*3),11)),IF(VLOOKUP(B514,INDIRECT($F$8),8+(O529-1)*3)&lt;U529*0.4,IF(U529*0.4-VLOOKUP(B514,INDIRECT($F$8),8+(O529-1)*3)&lt;=5,U529*0.4-VLOOKUP(B514,INDIRECT($F$8),8+(O529-1)*3),11),0))))</f>
        <v>0</v>
      </c>
      <c r="X529" s="1" t="str">
        <f ca="1">IF(ISERROR(F514),"",IF(W529=0,"",_xlfn.TEXTJOIN("",FALSE," G+",W529," in ",A529)))</f>
        <v/>
      </c>
    </row>
    <row r="530" spans="1:24" ht="11.5" customHeight="1" x14ac:dyDescent="0.2">
      <c r="A530" s="7" t="str">
        <f ca="1">IF(ISERROR(F514),"",VLOOKUP(C514,INDIRECT($F$8),6+(O530-1)*3,0))</f>
        <v>AHP 006</v>
      </c>
      <c r="B530" s="24" t="str">
        <f ca="1">IF(ISERROR(F514),"",VLOOKUP(D514,INDIRECT($F$8),6+(O530-1)*3,0))</f>
        <v>English Language Lab ($)</v>
      </c>
      <c r="C530" s="24"/>
      <c r="D530" s="24"/>
      <c r="E530" s="24"/>
      <c r="F530" s="7">
        <f ca="1">IF(ISERROR(F514),"",VLOOKUP(E514,INDIRECT($F$8),6+(O530-1)*3,0))</f>
        <v>0</v>
      </c>
      <c r="G530" s="25" t="str">
        <f ca="1">IF(ISERROR(F514),"",_xlfn.TEXTJOIN("/",FALSE,P530,S530))</f>
        <v>18/25</v>
      </c>
      <c r="H530" s="25"/>
      <c r="I530" s="25" t="str">
        <f ca="1">IF(ISERROR(F514),"",_xlfn.TEXTJOIN("/",FALSE,Q530,T530))</f>
        <v>28/50</v>
      </c>
      <c r="J530" s="25"/>
      <c r="K530" s="25" t="str">
        <f ca="1">IF(ISERROR(F514),"",_xlfn.TEXTJOIN("/",FALSE,R530,U530))</f>
        <v>46/75</v>
      </c>
      <c r="L530" s="25"/>
      <c r="M530" s="7" t="str">
        <f ca="1">IF(ISERROR(F514),"",IF(ISTEXT(P530),IF(P530="A","Ab",IF(P530="D","Dt",IF(P530="UFM","UFM",IF(P530="NA","")))),IF(AND(ISBLANK(P530),ISBLANK(R530)),"",IF(P530&lt;0.3*S530,"F",IF(ISBLANK(R530),"",IF(ISTEXT(R530),R530,IF(R530&gt;=0.95*U530,"O",IF(R530&gt;=0.9*U530,"A+",IF(R530&gt;=0.85*U530,"A",IF(R530&gt;=0.8*U530,"B+",IF(R530&gt;=0.75*U530,"B",IF(R530&gt;=0.7*U530,"C+",IF(R530&gt;=0.65*U530,"C",IF(R530&gt;=0.6*U530,"D+",IF(R530&gt;=0.55*U530,"D",IF(R530&gt;=0.5*U530,"E+",IF(R530&gt;=0.45*U530,"E",IF(R530&gt;=0.4*U530,"P",IF(R530&lt;0.4*U530,"F",R530)))))))))))))))))))</f>
        <v>D+</v>
      </c>
      <c r="N530" s="8">
        <f ca="1">INDEX($Z$2:$Z$17,MATCH(M530,$Y$2:$Y$17,0))</f>
        <v>6.5</v>
      </c>
      <c r="O530">
        <f t="shared" ca="1" si="48"/>
        <v>13</v>
      </c>
      <c r="P530" s="1">
        <f ca="1">IF(ISERROR(F514),"",IF(ISTEXT(VLOOKUP(B514,INDIRECT($F$8),6+(O530-1)*3)),(VLOOKUP(B514,INDIRECT($F$8),6+(O530-1)*3)),SUM(VLOOKUP(B514,INDIRECT($F$8),6+(O530-1)*3),IF(W532,W530,0))))</f>
        <v>18</v>
      </c>
      <c r="Q530" s="1">
        <f ca="1">IF(ISERROR(F514),"",VLOOKUP(B514,INDIRECT($F$8),7+(O530-1)*3))</f>
        <v>28</v>
      </c>
      <c r="R530" s="1">
        <f ca="1">IF(ISERROR(F514),"",SUM(P530:Q530))</f>
        <v>46</v>
      </c>
      <c r="S530" s="1">
        <f ca="1">IF(ISERROR(F514),"",VLOOKUP(A514,INDIRECT($F$8),6+(O530-1)*3))</f>
        <v>25</v>
      </c>
      <c r="T530" s="1">
        <f ca="1">IF(ISERROR(F514),"",VLOOKUP(A514,INDIRECT($F$8),7+(O530-1)*3))</f>
        <v>50</v>
      </c>
      <c r="U530" s="1">
        <f ca="1">IF(ISERROR(F514),"",VLOOKUP(A514,INDIRECT($F$8),8+(O530-1)*3))</f>
        <v>75</v>
      </c>
      <c r="V530" s="1"/>
      <c r="W530" s="1">
        <f ca="1">IF(ISERROR(F514),"",IF(ISTEXT(VLOOKUP(B514,INDIRECT($F$8),6+(O530-1)*3)),11,IF(VLOOKUP(B514,INDIRECT($F$8),6+(O530-1)*3)&lt;S530*0.3,IF(VLOOKUP(B514,INDIRECT($F$8),8+(O530-1)*3)&lt;U530*0.4,IF(AND(0.4*U530-VLOOKUP(B514,INDIRECT($F$8),8+(O530-1)*3)&lt;=5,0.3*S530-VLOOKUP(B514,INDIRECT($F$8),6+(O530-1)*3)&lt;=5),MAX(0.4*U530-VLOOKUP(B514,INDIRECT($F$8),8+(O530-1)*3),0.3*S530-VLOOKUP(B514,INDIRECT($F$8),6+(O530-1)*3)),11),IF(0.3*S530-VLOOKUP(B514,INDIRECT($F$8),6+(O530-1)*3)&lt;=5,0.3*S530-VLOOKUP(B514,INDIRECT($F$8),6+(O530-1)*3),11)),IF(VLOOKUP(B514,INDIRECT($F$8),8+(O530-1)*3)&lt;U530*0.4,IF(U530*0.4-VLOOKUP(B514,INDIRECT($F$8),8+(O530-1)*3)&lt;=5,U530*0.4-VLOOKUP(B514,INDIRECT($F$8),8+(O530-1)*3),11),0))))</f>
        <v>0</v>
      </c>
      <c r="X530" s="1" t="str">
        <f ca="1">IF(ISERROR(F514),"",IF(W530=0,"",_xlfn.TEXTJOIN("",FALSE," G+",W530," in ",A530)))</f>
        <v/>
      </c>
    </row>
    <row r="531" spans="1:24" ht="11.5" customHeight="1" x14ac:dyDescent="0.2">
      <c r="A531" s="7" t="str">
        <f ca="1">IF(ISERROR(F514),"",VLOOKUP(C514,INDIRECT($F$8),6+(O531-1)*3-Y531,0))</f>
        <v>GP 01</v>
      </c>
      <c r="B531" s="24" t="str">
        <f ca="1">IF(ISERROR(F514),"",VLOOKUP(D514,INDIRECT($F$8),6+(O531-1)*3-Z531,0))</f>
        <v>General Proficiency ($)</v>
      </c>
      <c r="C531" s="24"/>
      <c r="D531" s="24"/>
      <c r="E531" s="24"/>
      <c r="F531" s="7">
        <f ca="1">IF(ISERROR(F514),"",VLOOKUP(E514,INDIRECT($F$8),6+(O531-1)*3-AA531,0))</f>
        <v>0</v>
      </c>
      <c r="G531" s="25" t="str">
        <f ca="1">IF(ISERROR(F514),"","-")</f>
        <v>-</v>
      </c>
      <c r="H531" s="25"/>
      <c r="I531" s="25" t="str">
        <f ca="1">IF(ISERROR(F514),"",_xlfn.TEXTJOIN("/",FALSE,Q531,T531))</f>
        <v>47/50</v>
      </c>
      <c r="J531" s="25"/>
      <c r="K531" s="25" t="str">
        <f ca="1">IF(ISERROR(F514),"",_xlfn.TEXTJOIN("/",FALSE,R531,U531))</f>
        <v>47/50</v>
      </c>
      <c r="L531" s="25"/>
      <c r="M531" s="25" t="str">
        <f ca="1">IF(ISBLANK(R531),"",IF(ISTEXT(R531),R531,IF(R531&gt;=0.8*U531,"Excellent",IF(R531&gt;=0.6*U531,"Very Good",IF(R531&gt;=0.4*U531,"Good",IF(R531&gt;=0.2*U531,"Satisfactory","Average"))))))</f>
        <v>Excellent</v>
      </c>
      <c r="N531" s="25"/>
      <c r="O531">
        <f t="shared" ca="1" si="48"/>
        <v>14</v>
      </c>
      <c r="P531" s="1">
        <f ca="1">IF(ISERROR(F514),"",IF(ISTEXT(VLOOKUP(B\28,INDIRECT($F$8),6+(O531-1)*3)),(VLOOKUP(B514,INDIRECT($F$8),6+(O531-1)*3)),SUM(VLOOKUP(B514,INDIRECT($F$8),6+(O531-1)*3),IF(W532,W532,0))))</f>
        <v>0</v>
      </c>
      <c r="Q531" s="1">
        <f ca="1">IF(ISERROR(F514),"",VLOOKUP(B514,INDIRECT($F$8),7+(O531-1)*3))</f>
        <v>47</v>
      </c>
      <c r="R531" s="1">
        <f ca="1">IF(ISERROR(F514),"",SUM(P531:Q531))</f>
        <v>47</v>
      </c>
      <c r="S531" s="1">
        <f ca="1">IF(ISERROR(F514),"",VLOOKUP(A514,INDIRECT($F$8),6+(O531-1)*3))</f>
        <v>0</v>
      </c>
      <c r="T531" s="1">
        <f ca="1">IF(ISERROR(F514),"",VLOOKUP(A514,INDIRECT($F$8),7+(O531-1)*3))</f>
        <v>50</v>
      </c>
      <c r="U531" s="1">
        <f ca="1">IF(ISERROR(F514),"",VLOOKUP(A514,INDIRECT($F$8),8+(O531-1)*3))</f>
        <v>50</v>
      </c>
      <c r="V531" s="1"/>
      <c r="W531" s="1"/>
      <c r="X531" s="1" t="str">
        <f ca="1">IF(ISERROR(F514),"",IF(W531=0,"",_xlfn.TEXTJOIN("",FALSE," G+",W531," in ",A531)))</f>
        <v/>
      </c>
    </row>
    <row r="532" spans="1:24" ht="11.5" customHeight="1" x14ac:dyDescent="0.2">
      <c r="A532" s="26" t="str">
        <f ca="1">IF(ISERROR(F514),"",A510)</f>
        <v>Total Credits/ Marks/ Total Grade Points</v>
      </c>
      <c r="B532" s="26"/>
      <c r="C532" s="26"/>
      <c r="D532" s="26"/>
      <c r="E532" s="26"/>
      <c r="F532" s="10">
        <f ca="1">IF(ISERROR(F514),"",SUM(F519:F530))</f>
        <v>23</v>
      </c>
      <c r="G532" s="27" t="str">
        <f ca="1">IF(ISERROR(F514),"",_xlfn.TEXTJOIN("/",TRUE,SUMIF(F519:F531,"&gt;0",P519:P531),SUMIF(F519:F531,"&gt;0",S519:S531)))</f>
        <v>231/575</v>
      </c>
      <c r="H532" s="27"/>
      <c r="I532" s="27" t="str">
        <f ca="1">IF(ISERROR(F514),"",_xlfn.TEXTJOIN("/",TRUE,SUMIF(F519:F531,"&gt;0",Q519:Q531),SUMIF(F519:F531,"&gt;0",T519:T531)))</f>
        <v>257/375</v>
      </c>
      <c r="J532" s="27"/>
      <c r="K532" s="27" t="str">
        <f ca="1">IF(ISERROR(F514),"",_xlfn.TEXTJOIN("/",TRUE,SUMIF(F519:F531,"&gt;0",R519:R531),SUMIF(F519:F531,"&gt;0",U519:U531)))</f>
        <v>488/950</v>
      </c>
      <c r="L532" s="27"/>
      <c r="M532" s="26">
        <f ca="1">IF(ISERROR(F514),"",SUMPRODUCT(N519:N530,F519:F530))</f>
        <v>77</v>
      </c>
      <c r="N532" s="26"/>
      <c r="V532" s="1" t="str">
        <f ca="1">_xlfn.TEXTJOIN(", ",TRUE,V519:V531)</f>
        <v>AHT 002, AHT 003, ECT 001, AHT 000</v>
      </c>
      <c r="W532" t="b">
        <f ca="1">IF(SUM(W519:W531)&lt;=W518,TRUE,FALSE)</f>
        <v>0</v>
      </c>
      <c r="X532" s="1" t="str">
        <f ca="1">IF(ISERROR(F514),"",_xlfn.TEXTJOIN(",",TRUE,X519:X531))</f>
        <v xml:space="preserve"> G+11 in AHT 002, G+11 in AHT 003, G+11 in ECT 001, G+11 in AHT 000</v>
      </c>
    </row>
    <row r="533" spans="1:24" ht="11.5" customHeight="1" x14ac:dyDescent="0.2">
      <c r="A533" s="26" t="str">
        <f ca="1">IF(ISERROR(F514),"",A511)</f>
        <v>Result:</v>
      </c>
      <c r="B533" s="28" t="str" cm="1">
        <f t="array" aca="1" ref="B533" ca="1">IF(SUM(COUNTIF(M519:M530,{"Ab","Dt"}))=12, "Not Promoted to IInd Semester", IF(V532="", "PASS", "CARRY OVER"))</f>
        <v>CARRY OVER</v>
      </c>
      <c r="C533" s="28"/>
      <c r="D533" s="26" t="str">
        <f ca="1">IF(ISERROR(F514),"",D511)</f>
        <v>Remark:</v>
      </c>
      <c r="E533" s="28" t="str">
        <f ca="1">IF(ISERROR(F514),"",IF(V532="",IF(X532="","",X532),_xlfn.TEXTJOIN(" ",TRUE,"BACK IN",V532)))</f>
        <v>BACK IN AHT 002, AHT 003, ECT 001, AHT 000</v>
      </c>
      <c r="F533" s="28"/>
      <c r="G533" s="26" t="str">
        <f ca="1">IF(ISERROR(F514),"",G511)</f>
        <v>SGPA:</v>
      </c>
      <c r="H533" s="29">
        <f ca="1">IF(ISERROR(F514),"",M532/F532)</f>
        <v>3.347826086956522</v>
      </c>
      <c r="I533" s="26" t="str">
        <f ca="1">IF(ISERROR(F514),"",I511)</f>
        <v>CGPA:</v>
      </c>
      <c r="J533" s="29">
        <f ca="1">IF(ISERROR(F514),"",VLOOKUP(B514,INDIRECT($F$8),12+(O531-1)*3,0))</f>
        <v>3.347826086956522</v>
      </c>
      <c r="K533" s="28" t="str">
        <f ca="1">IF(ISERROR(F514),"",K511)</f>
        <v>Earned Credits:</v>
      </c>
      <c r="L533" s="26">
        <f ca="1">IF(ISERROR(F514),"",SUMIF(N519:N530,"&gt;0",F519:F530))</f>
        <v>11</v>
      </c>
      <c r="M533" s="28" t="str">
        <f ca="1">IF(ISERROR(F514),"",M511)</f>
        <v>Cuml. Earned Credits:</v>
      </c>
      <c r="N533" s="26">
        <f ca="1">IF(ISERROR(F514),"",VLOOKUP(B514,INDIRECT($F$8),10+(O531-1)*3,0))</f>
        <v>11</v>
      </c>
    </row>
    <row r="534" spans="1:24" ht="11.5" customHeight="1" x14ac:dyDescent="0.2">
      <c r="A534" s="26"/>
      <c r="B534" s="28"/>
      <c r="C534" s="28"/>
      <c r="D534" s="26"/>
      <c r="E534" s="28"/>
      <c r="F534" s="28"/>
      <c r="G534" s="26"/>
      <c r="H534" s="29"/>
      <c r="I534" s="26"/>
      <c r="J534" s="29"/>
      <c r="K534" s="28"/>
      <c r="L534" s="26"/>
      <c r="M534" s="28"/>
      <c r="N534" s="26"/>
    </row>
    <row r="535" spans="1:24" ht="18" customHeight="1" x14ac:dyDescent="0.2">
      <c r="A535" s="26"/>
      <c r="B535" s="28"/>
      <c r="C535" s="28"/>
      <c r="D535" s="26"/>
      <c r="E535" s="28"/>
      <c r="F535" s="28"/>
      <c r="G535" s="26"/>
      <c r="H535" s="29"/>
      <c r="I535" s="26"/>
      <c r="J535" s="29"/>
      <c r="K535" s="28"/>
      <c r="L535" s="26"/>
      <c r="M535" s="28"/>
      <c r="N535" s="26"/>
    </row>
    <row r="536" spans="1:24" ht="11.5" customHeight="1" x14ac:dyDescent="0.2">
      <c r="A536" s="11" t="str">
        <f>A514</f>
        <v>MM</v>
      </c>
      <c r="B536" s="11">
        <f>B514+1</f>
        <v>25</v>
      </c>
      <c r="C536" s="11" t="str">
        <f>C514</f>
        <v>SC</v>
      </c>
      <c r="D536" s="11" t="str">
        <f>D514</f>
        <v>SN</v>
      </c>
      <c r="E536" s="11" t="str">
        <f>E514</f>
        <v>C</v>
      </c>
      <c r="F536" s="11" t="str">
        <f ca="1">VLOOKUP(B536,INDIRECT($F$8),4,0)</f>
        <v>SAKSHI THAPLIYAL</v>
      </c>
    </row>
    <row r="537" spans="1:24" ht="11.5" customHeight="1" x14ac:dyDescent="0.2">
      <c r="A537" s="30" t="str">
        <f ca="1">IF(ISERROR(F536),"",A515)</f>
        <v>Name:</v>
      </c>
      <c r="B537" s="30" t="str">
        <f ca="1">IFERROR(VLOOKUP(B536,INDIRECT($F$8),4,0),"")</f>
        <v>SAKSHI THAPLIYAL</v>
      </c>
      <c r="C537" s="30"/>
      <c r="D537" s="30" t="str">
        <f ca="1">IF(ISERROR(F536),"",D515)</f>
        <v>Father's Name:</v>
      </c>
      <c r="E537" s="30" t="str">
        <f ca="1">IFERROR(VLOOKUP(B536,INDIRECT($F$8),5,0),"")</f>
        <v>SUNIL THAPLIYAL</v>
      </c>
      <c r="F537" s="30"/>
      <c r="G537" s="30" t="str">
        <f ca="1">IF(ISERROR(F536),"",G515)</f>
        <v>University Roll No:</v>
      </c>
      <c r="H537" s="30"/>
      <c r="I537" s="31">
        <f ca="1">IFERROR(VLOOKUP(B536,INDIRECT($F$8),2,0),"")</f>
        <v>250090120026</v>
      </c>
      <c r="J537" s="31"/>
      <c r="K537" s="30" t="str">
        <f ca="1">IF(ISERROR(F536),"",K515)</f>
        <v>University Enrol. No:</v>
      </c>
      <c r="L537" s="30"/>
      <c r="M537" s="31" t="str">
        <f ca="1">IFERROR(VLOOKUP(B536,INDIRECT($F$8),3,0),"")</f>
        <v>UTU/2501103702</v>
      </c>
      <c r="N537" s="31"/>
    </row>
    <row r="538" spans="1:24" ht="11.5" customHeight="1" x14ac:dyDescent="0.2">
      <c r="A538" s="30"/>
      <c r="B538" s="30"/>
      <c r="C538" s="30"/>
      <c r="D538" s="30"/>
      <c r="E538" s="30"/>
      <c r="F538" s="30"/>
      <c r="G538" s="30"/>
      <c r="H538" s="30"/>
      <c r="I538" s="31"/>
      <c r="J538" s="31"/>
      <c r="K538" s="30"/>
      <c r="L538" s="30"/>
      <c r="M538" s="31"/>
      <c r="N538" s="31"/>
    </row>
    <row r="539" spans="1:24" ht="11.5" customHeight="1" x14ac:dyDescent="0.2">
      <c r="A539" s="28" t="str">
        <f ca="1">IF(ISERROR(F536),"",A517)</f>
        <v>Subject Code</v>
      </c>
      <c r="B539" s="28" t="str">
        <f ca="1">IF(ISERROR(F536),"",B517)</f>
        <v>Subject Name</v>
      </c>
      <c r="C539" s="28"/>
      <c r="D539" s="28"/>
      <c r="E539" s="28"/>
      <c r="F539" s="28" t="str">
        <f ca="1">IF(ISERROR(F536),"",F517)</f>
        <v>Credits</v>
      </c>
      <c r="G539" s="28" t="str">
        <f ca="1">IF(ISERROR(F536),"",G517)</f>
        <v>External Marks</v>
      </c>
      <c r="H539" s="28"/>
      <c r="I539" s="28" t="str">
        <f ca="1">IF(ISERROR(F536),"",I517)</f>
        <v>Sessional Marks</v>
      </c>
      <c r="J539" s="28"/>
      <c r="K539" s="28" t="str">
        <f ca="1">IF(ISERROR(F536),"",K517)</f>
        <v>Total Marks</v>
      </c>
      <c r="L539" s="28"/>
      <c r="M539" s="28" t="str">
        <f ca="1">IF(ISERROR(F536),"",M517)</f>
        <v>Grade</v>
      </c>
      <c r="N539" s="28" t="str">
        <f ca="1">IF(ISERROR(F536),"",N517)</f>
        <v>Grade Points</v>
      </c>
    </row>
    <row r="540" spans="1:24" ht="11.5" customHeight="1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W540">
        <f ca="1">IF(ISNUMBER(MATCH($F$8,{"I","III","V","VII"},0)),10,10-INDEX(INDIRECT(_xlfn.TEXTJOIN("",TRUE,"SEM_",$G$8,"!",ADDRESS(6,4+$I$8*3+4),":",ADDRESS(5+$H$8,4+$I$8*3+4))),MATCH(INDIRECT(_xlfn.TEXTJOIN("",TRUE,"TC_",$F$8,"!",ADDRESS(ROW(I537),COLUMN(I537)))),INDIRECT(_xlfn.TEXTJOIN("",TRUE,"SEM_",$G$8,"!",ADDRESS(6,2),":",ADDRESS(5+$H$8,2))))))</f>
        <v>10</v>
      </c>
    </row>
    <row r="541" spans="1:24" ht="11.5" customHeight="1" x14ac:dyDescent="0.2">
      <c r="A541" s="7" t="str">
        <f ca="1">IF(ISERROR(F536),"",VLOOKUP(C536,INDIRECT($F$8),6+(O541-1)*3,0))</f>
        <v>AHT 002</v>
      </c>
      <c r="B541" s="24" t="str">
        <f ca="1">IF(ISERROR(F536),"",VLOOKUP(D536,INDIRECT($F$8),6+(O541-1)*3,0))</f>
        <v>Engineering Chemistry</v>
      </c>
      <c r="C541" s="24"/>
      <c r="D541" s="24"/>
      <c r="E541" s="24"/>
      <c r="F541" s="7">
        <f ca="1">IF(ISERROR(F536),"",VLOOKUP(E536,INDIRECT($F$8),6+(O541-1)*3,0))</f>
        <v>4</v>
      </c>
      <c r="G541" s="25" t="str">
        <f ca="1">IF(ISERROR(F536),"",_xlfn.TEXTJOIN("/",FALSE,P541,S541))</f>
        <v>71/100</v>
      </c>
      <c r="H541" s="25"/>
      <c r="I541" s="25" t="str">
        <f ca="1">IF(ISERROR(F536),"",_xlfn.TEXTJOIN("/",FALSE,Q541,T541))</f>
        <v>44/50</v>
      </c>
      <c r="J541" s="25"/>
      <c r="K541" s="25" t="str">
        <f ca="1">IF(ISERROR(F536),"",_xlfn.TEXTJOIN("/",FALSE,R541,U541))</f>
        <v>115/150</v>
      </c>
      <c r="L541" s="25"/>
      <c r="M541" s="7" t="str">
        <f ca="1">IF(ISERROR(F536)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B</v>
      </c>
      <c r="N541" s="8">
        <f ca="1">INDEX($Z$2:$Z$17,MATCH(M541,$Y$2:$Y$17,0))</f>
        <v>8</v>
      </c>
      <c r="O541">
        <v>1</v>
      </c>
      <c r="P541" s="1">
        <f ca="1">IF(ISERROR(F536),"",IF(ISTEXT(VLOOKUP(B536,INDIRECT($F$8),6+(O541-1)*3)),(VLOOKUP(B536,INDIRECT($F$8),6+(O541-1)*3)),SUM(VLOOKUP(B536,INDIRECT($F$8),6+(O541-1)*3),IF(W554,W541,0))))</f>
        <v>71</v>
      </c>
      <c r="Q541" s="1">
        <f ca="1">IF(ISERROR(F536),"",VLOOKUP(B536,INDIRECT($F$8),7+(O541-1)*3))</f>
        <v>44</v>
      </c>
      <c r="R541" s="1">
        <f ca="1">IF(ISERROR(F536),"",SUM(P541:Q541))</f>
        <v>115</v>
      </c>
      <c r="S541" s="1">
        <f ca="1">IF(ISERROR(F536),"",VLOOKUP(A536,INDIRECT($F$8),6+(O541-1)*3))</f>
        <v>100</v>
      </c>
      <c r="T541" s="1">
        <f ca="1">IF(ISERROR(F536),"",VLOOKUP(A536,INDIRECT($F$8),7+(O541-1)*3))</f>
        <v>50</v>
      </c>
      <c r="U541" s="1">
        <f ca="1">IF(ISERROR(F536),"",VLOOKUP(A536,INDIRECT($F$8),8+(O541-1)*3))</f>
        <v>150</v>
      </c>
      <c r="V541" s="1" t="str">
        <f ca="1">IF(ISERROR(F536),"",IF(N541=0,A541,""))</f>
        <v/>
      </c>
      <c r="W541" s="1">
        <f ca="1">IF(ISERROR(F536),"",IF(ISTEXT(VLOOKUP(B536,INDIRECT($F$8),6+(O541-1)*3)),11,IF(VLOOKUP(B536,INDIRECT($F$8),6+(O541-1)*3)&lt;S541*0.3,IF(VLOOKUP(B536,INDIRECT($F$8),8+(O541-1)*3)&lt;U541*0.4,IF(AND(0.4*U541-VLOOKUP(B536,INDIRECT($F$8),8+(O541-1)*3)&lt;=5,0.3*S541-VLOOKUP(B536,INDIRECT($F$8),6+(O541-1)*3)&lt;=5),MAX(0.4*U541-VLOOKUP(B536,INDIRECT($F$8),8+(O541-1)*3),0.3*S541-VLOOKUP(B536,INDIRECT($F$8),6+(O541-1)*3)),11),IF(0.3*S541-VLOOKUP(B536,INDIRECT($F$8),6+(O541-1)*3)&lt;=5,0.3*S541-VLOOKUP(B536,INDIRECT($F$8),6+(O541-1)*3),11)),IF(VLOOKUP(B536,INDIRECT($F$8),8+(O541-1)*3)&lt;U541*0.4,IF(U541*0.4-VLOOKUP(B536,INDIRECT($F$8),8+(O541-1)*3)&lt;=5,U541*0.4-VLOOKUP(B536,INDIRECT($F$8),8+(O541-1)*3),11),0))))</f>
        <v>0</v>
      </c>
      <c r="X541" s="1" t="str">
        <f ca="1">IF(ISERROR(F536),"",IF(W541=0,"",_xlfn.TEXTJOIN("",FALSE," G+",W541," in ",A541)))</f>
        <v/>
      </c>
    </row>
    <row r="542" spans="1:24" ht="11.5" customHeight="1" x14ac:dyDescent="0.2">
      <c r="A542" s="7" t="str">
        <f ca="1">IF(ISERROR(F536),"",VLOOKUP(C536,INDIRECT($F$8),6+(O542-1)*3,0))</f>
        <v>AHT 003</v>
      </c>
      <c r="B542" s="24" t="str">
        <f ca="1">IF(ISERROR(F536),"",VLOOKUP(D536,INDIRECT($F$8),6+(O542-1)*3,0))</f>
        <v>Introduction to Engineering Mathematics</v>
      </c>
      <c r="C542" s="24"/>
      <c r="D542" s="24"/>
      <c r="E542" s="24"/>
      <c r="F542" s="7">
        <f ca="1">IF(ISERROR(F536),"",VLOOKUP(E536,INDIRECT($F$8),6+(O542-1)*3,0))</f>
        <v>4</v>
      </c>
      <c r="G542" s="25" t="str">
        <f ca="1">IF(ISERROR(F536),"",_xlfn.TEXTJOIN("/",FALSE,P542,S542))</f>
        <v>71/100</v>
      </c>
      <c r="H542" s="25"/>
      <c r="I542" s="25" t="str">
        <f ca="1">IF(ISERROR(F536),"",_xlfn.TEXTJOIN("/",FALSE,Q542,T542))</f>
        <v>39/50</v>
      </c>
      <c r="J542" s="25"/>
      <c r="K542" s="25" t="str">
        <f ca="1">IF(ISERROR(F536),"",_xlfn.TEXTJOIN("/",FALSE,R542,U542))</f>
        <v>110/150</v>
      </c>
      <c r="L542" s="25"/>
      <c r="M542" s="7" t="str">
        <f ca="1">IF(ISERROR(F536)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C+</v>
      </c>
      <c r="N542" s="8">
        <f t="shared" ref="N542:N551" ca="1" si="49">INDEX($Z$2:$Z$17,MATCH(M542,$Y$2:$Y$17,0))</f>
        <v>7.5</v>
      </c>
      <c r="O542">
        <f>O541+1</f>
        <v>2</v>
      </c>
      <c r="P542" s="1">
        <f ca="1">IF(ISERROR(F536),"",IF(ISTEXT(VLOOKUP(B536,INDIRECT($F$8),6+(O542-1)*3)),(VLOOKUP(B536,INDIRECT($F$8),6+(O542-1)*3)),SUM(VLOOKUP(B536,INDIRECT($F$8),6+(O542-1)*3),IF(W554,W542,0))))</f>
        <v>71</v>
      </c>
      <c r="Q542" s="1">
        <f ca="1">IF(ISERROR(F536),"",VLOOKUP(B536,INDIRECT($F$8),7+(O542-1)*3))</f>
        <v>39</v>
      </c>
      <c r="R542" s="1">
        <f ca="1">IF(ISERROR(F536),"",SUM(P542:Q542))</f>
        <v>110</v>
      </c>
      <c r="S542" s="1">
        <f ca="1">IF(ISERROR(F536),"",VLOOKUP(A536,INDIRECT($F$8),6+(O542-1)*3))</f>
        <v>100</v>
      </c>
      <c r="T542" s="1">
        <f ca="1">IF(ISERROR(F536),"",VLOOKUP(A536,INDIRECT($F$8),7+(O542-1)*3))</f>
        <v>50</v>
      </c>
      <c r="U542" s="1">
        <f ca="1">IF(ISERROR(F536),"",VLOOKUP(A536,INDIRECT($F$8),8+(O542-1)*3))</f>
        <v>150</v>
      </c>
      <c r="V542" s="1" t="str">
        <f ca="1">IF(ISERROR(F536),"",IF(N542=0,A542,""))</f>
        <v/>
      </c>
      <c r="W542" s="1">
        <f ca="1">IF(ISERROR(F536),"",IF(ISTEXT(VLOOKUP(B536,INDIRECT($F$8),6+(O542-1)*3)),11,IF(VLOOKUP(B536,INDIRECT($F$8),6+(O542-1)*3)&lt;S542*0.3,IF(VLOOKUP(B536,INDIRECT($F$8),8+(O542-1)*3)&lt;U542*0.4,IF(AND(0.4*U542-VLOOKUP(B536,INDIRECT($F$8),8+(O542-1)*3)&lt;=5,0.3*S542-VLOOKUP(B536,INDIRECT($F$8),6+(O542-1)*3)&lt;=5),MAX(0.4*U542-VLOOKUP(B536,INDIRECT($F$8),8+(O542-1)*3),0.3*S542-VLOOKUP(B536,INDIRECT($F$8),6+(O542-1)*3)),11),IF(0.3*S542-VLOOKUP(B536,INDIRECT($F$8),6+(O542-1)*3)&lt;=5,0.3*S542-VLOOKUP(B536,INDIRECT($F$8),6+(O542-1)*3),11)),IF(VLOOKUP(B536,INDIRECT($F$8),8+(O542-1)*3)&lt;U542*0.4,IF(U542*0.4-VLOOKUP(B536,INDIRECT($F$8),8+(O542-1)*3)&lt;=5,U542*0.4-VLOOKUP(B536,INDIRECT($F$8),8+(O542-1)*3),11),0))))</f>
        <v>0</v>
      </c>
      <c r="X542" s="1" t="str">
        <f ca="1">IF(ISERROR(F536),"",IF(W542=0,"",_xlfn.TEXTJOIN("",FALSE," G+",W542," in ",A542)))</f>
        <v/>
      </c>
    </row>
    <row r="543" spans="1:24" ht="11.5" customHeight="1" x14ac:dyDescent="0.2">
      <c r="A543" s="7" t="str">
        <f ca="1">IF(ISERROR(F536),"",VLOOKUP(C536,INDIRECT($F$8),6+(O543-1)*3,0))</f>
        <v>ECT 001</v>
      </c>
      <c r="B543" s="24" t="str">
        <f ca="1">IF(ISERROR(F536),"",VLOOKUP(D536,INDIRECT($F$8),6+(O543-1)*3,0))</f>
        <v>Basic Electronics Engineering</v>
      </c>
      <c r="C543" s="24"/>
      <c r="D543" s="24"/>
      <c r="E543" s="24"/>
      <c r="F543" s="7">
        <f ca="1">IF(ISERROR(F536),"",VLOOKUP(E536,INDIRECT($F$8),6+(O543-1)*3,0))</f>
        <v>4</v>
      </c>
      <c r="G543" s="25" t="str">
        <f ca="1">IF(ISERROR(F536),"",_xlfn.TEXTJOIN("/",FALSE,P543,S543))</f>
        <v>54/100</v>
      </c>
      <c r="H543" s="25"/>
      <c r="I543" s="25" t="str">
        <f ca="1">IF(ISERROR(F536),"",_xlfn.TEXTJOIN("/",FALSE,Q543,T543))</f>
        <v>38/50</v>
      </c>
      <c r="J543" s="25"/>
      <c r="K543" s="25" t="str">
        <f ca="1">IF(ISERROR(F536),"",_xlfn.TEXTJOIN("/",FALSE,R543,U543))</f>
        <v>92/150</v>
      </c>
      <c r="L543" s="25"/>
      <c r="M543" s="7" t="str">
        <f ca="1">IF(ISERROR(F536)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D+</v>
      </c>
      <c r="N543" s="8">
        <f t="shared" ca="1" si="49"/>
        <v>6.5</v>
      </c>
      <c r="O543">
        <f>O542+1</f>
        <v>3</v>
      </c>
      <c r="P543" s="1">
        <f ca="1">IF(ISERROR(F536),"",IF(ISTEXT(VLOOKUP(B536,INDIRECT($F$8),6+(O543-1)*3)),(VLOOKUP(B536,INDIRECT($F$8),6+(O543-1)*3)),SUM(VLOOKUP(B536,INDIRECT($F$8),6+(O543-1)*3),IF(W554,W543,0))))</f>
        <v>54</v>
      </c>
      <c r="Q543" s="1">
        <f ca="1">IF(ISERROR(F536),"",VLOOKUP(B536,INDIRECT($F$8),7+(O543-1)*3))</f>
        <v>38</v>
      </c>
      <c r="R543" s="1">
        <f ca="1">IF(ISERROR(F536),"",SUM(P543:Q543))</f>
        <v>92</v>
      </c>
      <c r="S543" s="1">
        <f ca="1">IF(ISERROR(F536),"",VLOOKUP(A536,INDIRECT($F$8),6+(O543-1)*3))</f>
        <v>100</v>
      </c>
      <c r="T543" s="1">
        <f ca="1">IF(ISERROR(F536),"",VLOOKUP(A536,INDIRECT($F$8),7+(O543-1)*3))</f>
        <v>50</v>
      </c>
      <c r="U543" s="1">
        <f ca="1">IF(ISERROR(F536),"",VLOOKUP(A536,INDIRECT($F$8),8+(O543-1)*3))</f>
        <v>150</v>
      </c>
      <c r="V543" s="1" t="str">
        <f ca="1">IF(ISERROR(F536),"",IF(N543=0,A543,""))</f>
        <v/>
      </c>
      <c r="W543" s="1">
        <f ca="1">IF(ISERROR(F536),"",IF(ISTEXT(VLOOKUP(B536,INDIRECT($F$8),6+(O543-1)*3)),11,IF(VLOOKUP(B536,INDIRECT($F$8),6+(O543-1)*3)&lt;S543*0.3,IF(VLOOKUP(B536,INDIRECT($F$8),8+(O543-1)*3)&lt;U543*0.4,IF(AND(0.4*U543-VLOOKUP(B536,INDIRECT($F$8),8+(O543-1)*3)&lt;=5,0.3*S543-VLOOKUP(B536,INDIRECT($F$8),6+(O543-1)*3)&lt;=5),MAX(0.4*U543-VLOOKUP(B536,INDIRECT($F$8),8+(O543-1)*3),0.3*S543-VLOOKUP(B536,INDIRECT($F$8),6+(O543-1)*3)),11),IF(0.3*S543-VLOOKUP(B536,INDIRECT($F$8),6+(O543-1)*3)&lt;=5,0.3*S543-VLOOKUP(B536,INDIRECT($F$8),6+(O543-1)*3),11)),IF(VLOOKUP(B536,INDIRECT($F$8),8+(O543-1)*3)&lt;U543*0.4,IF(U543*0.4-VLOOKUP(B536,INDIRECT($F$8),8+(O543-1)*3)&lt;=5,U543*0.4-VLOOKUP(B536,INDIRECT($F$8),8+(O543-1)*3),11),0))))</f>
        <v>0</v>
      </c>
      <c r="X543" s="1" t="str">
        <f ca="1">IF(ISERROR(F536),"",IF(W543=0,"",_xlfn.TEXTJOIN("",FALSE," G+",W543," in ",A543)))</f>
        <v/>
      </c>
    </row>
    <row r="544" spans="1:24" ht="11.5" customHeight="1" x14ac:dyDescent="0.2">
      <c r="A544" s="7" t="str">
        <f ca="1">IF(ISERROR(F536),"",VLOOKUP(C536,INDIRECT($F$8),6+(O544-1)*3,0))</f>
        <v>MET 001</v>
      </c>
      <c r="B544" s="24" t="str">
        <f ca="1">IF(ISERROR(F536),"",VLOOKUP(D536,INDIRECT($F$8),6+(O544-1)*3,0))</f>
        <v>Basic Mechanical Engineering</v>
      </c>
      <c r="C544" s="24"/>
      <c r="D544" s="24"/>
      <c r="E544" s="24"/>
      <c r="F544" s="7">
        <f ca="1">IF(ISERROR(F536),"",VLOOKUP(E536,INDIRECT($F$8),6+(O544-1)*3,0))</f>
        <v>4</v>
      </c>
      <c r="G544" s="25" t="str">
        <f ca="1">IF(ISERROR(F536),"",_xlfn.TEXTJOIN("/",FALSE,P544,S544))</f>
        <v>89/100</v>
      </c>
      <c r="H544" s="25"/>
      <c r="I544" s="25" t="str">
        <f ca="1">IF(ISERROR(F536),"",_xlfn.TEXTJOIN("/",FALSE,Q544,T544))</f>
        <v>50/50</v>
      </c>
      <c r="J544" s="25"/>
      <c r="K544" s="25" t="str">
        <f ca="1">IF(ISERROR(F536),"",_xlfn.TEXTJOIN("/",FALSE,R544,U544))</f>
        <v>139/150</v>
      </c>
      <c r="L544" s="25"/>
      <c r="M544" s="7" t="str">
        <f ca="1">IF(ISERROR(F536)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A+</v>
      </c>
      <c r="N544" s="8">
        <f t="shared" ca="1" si="49"/>
        <v>9.5</v>
      </c>
      <c r="O544">
        <f>O543+1</f>
        <v>4</v>
      </c>
      <c r="P544" s="1">
        <f ca="1">IF(ISERROR(F536),"",IF(ISTEXT(VLOOKUP(B536,INDIRECT($F$8),6+(O544-1)*3)),(VLOOKUP(B536,INDIRECT($F$8),6+(O544-1)*3)),SUM(VLOOKUP(B536,INDIRECT($F$8),6+(O544-1)*3),IF(W554,W544,0))))</f>
        <v>89</v>
      </c>
      <c r="Q544" s="1">
        <f ca="1">IF(ISERROR(F536),"",VLOOKUP(B536,INDIRECT($F$8),7+(O544-1)*3))</f>
        <v>50</v>
      </c>
      <c r="R544" s="1">
        <f ca="1">IF(ISERROR(F536),"",SUM(P544:Q544))</f>
        <v>139</v>
      </c>
      <c r="S544" s="1">
        <f ca="1">IF(ISERROR(F536),"",VLOOKUP(A536,INDIRECT($F$8),6+(O544-1)*3))</f>
        <v>100</v>
      </c>
      <c r="T544" s="1">
        <f ca="1">IF(ISERROR(F536),"",VLOOKUP(A536,INDIRECT($F$8),7+(O544-1)*3))</f>
        <v>50</v>
      </c>
      <c r="U544" s="1">
        <f ca="1">IF(ISERROR(F536),"",VLOOKUP(A536,INDIRECT($F$8),8+(O544-1)*3))</f>
        <v>150</v>
      </c>
      <c r="V544" s="1" t="str">
        <f ca="1">IF(ISERROR(F536),"",IF(N544=0,A544,""))</f>
        <v/>
      </c>
      <c r="W544" s="1">
        <f ca="1">IF(ISERROR(F536),"",IF(ISTEXT(VLOOKUP(B536,INDIRECT($F$8),6+(O544-1)*3)),11,IF(VLOOKUP(B536,INDIRECT($F$8),6+(O544-1)*3)&lt;S544*0.3,IF(VLOOKUP(B536,INDIRECT($F$8),8+(O544-1)*3)&lt;U544*0.4,IF(AND(0.4*U544-VLOOKUP(B536,INDIRECT($F$8),8+(O544-1)*3)&lt;=5,0.3*S544-VLOOKUP(B536,INDIRECT($F$8),6+(O544-1)*3)&lt;=5),MAX(0.4*U544-VLOOKUP(B536,INDIRECT($F$8),8+(O544-1)*3),0.3*S544-VLOOKUP(B536,INDIRECT($F$8),6+(O544-1)*3)),11),IF(0.3*S544-VLOOKUP(B536,INDIRECT($F$8),6+(O544-1)*3)&lt;=5,0.3*S544-VLOOKUP(B536,INDIRECT($F$8),6+(O544-1)*3),11)),IF(VLOOKUP(B536,INDIRECT($F$8),8+(O544-1)*3)&lt;U544*0.4,IF(U544*0.4-VLOOKUP(B536,INDIRECT($F$8),8+(O544-1)*3)&lt;=5,U544*0.4-VLOOKUP(B536,INDIRECT($F$8),8+(O544-1)*3),11),0))))</f>
        <v>0</v>
      </c>
      <c r="X544" s="1" t="str">
        <f ca="1">IF(ISERROR(F536),"",IF(W544=0,"",_xlfn.TEXTJOIN("",FALSE," G+",W544," in ",A544)))</f>
        <v/>
      </c>
    </row>
    <row r="545" spans="1:24" ht="11.5" customHeight="1" x14ac:dyDescent="0.2">
      <c r="A545" s="7" t="str">
        <f ca="1">IF(ISERROR(F536),"",VLOOKUP(C536,INDIRECT($F$8),6+(O545-1)*3,0))</f>
        <v>AHT 000</v>
      </c>
      <c r="B545" s="24" t="str">
        <f ca="1">IF(ISERROR(F536),"",VLOOKUP(D536,INDIRECT($F$8),6+(O545-1)*3,0))</f>
        <v>Basic Mathematics (Bridge Course) ($)</v>
      </c>
      <c r="C545" s="24"/>
      <c r="D545" s="24"/>
      <c r="E545" s="24"/>
      <c r="F545" s="7">
        <f ca="1">IF(ISERROR(F536),"",VLOOKUP(E536,INDIRECT($F$8),6+(O545-1)*3,0))</f>
        <v>0</v>
      </c>
      <c r="G545" s="25" t="str">
        <f ca="1">IF(ISERROR(F536),"",_xlfn.TEXTJOIN("/",FALSE,P545,S545))</f>
        <v>99/100</v>
      </c>
      <c r="H545" s="25"/>
      <c r="I545" s="25" t="str">
        <f ca="1">IF(ISERROR(F536),"",_xlfn.TEXTJOIN("/",FALSE,Q545,T545))</f>
        <v>49/50</v>
      </c>
      <c r="J545" s="25"/>
      <c r="K545" s="25" t="str">
        <f ca="1">IF(ISERROR(F536),"",_xlfn.TEXTJOIN("/",FALSE,R545,U545))</f>
        <v>148/150</v>
      </c>
      <c r="L545" s="25"/>
      <c r="M545" s="7" t="str">
        <f ca="1">IF(ISERROR(F536)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O</v>
      </c>
      <c r="N545" s="8">
        <f t="shared" ca="1" si="49"/>
        <v>10</v>
      </c>
      <c r="O545" cm="1">
        <f t="array" aca="1" ref="O545" ca="1">IF(NOT(ISBLANK(INDIRECT("SEM_I!R"&amp;INT((ROW(O545)-17)/22)+6))),5,
IF(NOT(ISBLANK(INDIRECT("SEM_I!U"&amp;INT((ROW(O545)-17)/22)+6))),6))</f>
        <v>5</v>
      </c>
      <c r="P545" s="1">
        <f ca="1">IF(ISERROR(F536),"",IF(ISTEXT(VLOOKUP(B536,INDIRECT($F$8),6+(O545-1)*3)),(VLOOKUP(B536,INDIRECT($F$8),6+(O545-1)*3)),SUM(VLOOKUP(B536,INDIRECT($F$8),6+(O545-1)*3),IF(W554,W545,0))))</f>
        <v>99</v>
      </c>
      <c r="Q545" s="1">
        <f ca="1">IF(ISERROR(F536),"",VLOOKUP(B536,INDIRECT($F$8),7+(O545-1)*3))</f>
        <v>49</v>
      </c>
      <c r="R545" s="1">
        <f ca="1">IF(ISERROR(F536),"",SUM(P545:Q545))</f>
        <v>148</v>
      </c>
      <c r="S545" s="1">
        <f ca="1">IF(ISERROR(F536),"",VLOOKUP(A536,INDIRECT($F$8),6+(O545-1)*3))</f>
        <v>100</v>
      </c>
      <c r="T545" s="1">
        <f ca="1">IF(ISERROR(F536),"",VLOOKUP(A536,INDIRECT($F$8),7+(O545-1)*3))</f>
        <v>50</v>
      </c>
      <c r="U545" s="1">
        <f ca="1">IF(ISERROR(F536),"",VLOOKUP(A536,INDIRECT($F$8),8+(O545-1)*3))</f>
        <v>150</v>
      </c>
      <c r="V545" s="1" t="str">
        <f ca="1">IF(ISERROR(F536),"",IF(N545=0,A545,""))</f>
        <v/>
      </c>
      <c r="W545" s="1">
        <f ca="1">IF(ISERROR(F536),"",IF(ISTEXT(VLOOKUP(B536,INDIRECT($F$8),6+(O545-1)*3)),11,IF(VLOOKUP(B536,INDIRECT($F$8),6+(O545-1)*3)&lt;S545*0.3,IF(VLOOKUP(B536,INDIRECT($F$8),8+(O545-1)*3)&lt;U545*0.4,IF(AND(0.4*U545-VLOOKUP(B536,INDIRECT($F$8),8+(O545-1)*3)&lt;=5,0.3*S545-VLOOKUP(B536,INDIRECT($F$8),6+(O545-1)*3)&lt;=5),MAX(0.4*U545-VLOOKUP(B536,INDIRECT($F$8),8+(O545-1)*3),0.3*S545-VLOOKUP(B536,INDIRECT($F$8),6+(O545-1)*3)),11),IF(0.3*S545-VLOOKUP(B536,INDIRECT($F$8),6+(O545-1)*3)&lt;=5,0.3*S545-VLOOKUP(B536,INDIRECT($F$8),6+(O545-1)*3),11)),IF(VLOOKUP(B536,INDIRECT($F$8),8+(O545-1)*3)&lt;U545*0.4,IF(U545*0.4-VLOOKUP(B536,INDIRECT($F$8),8+(O545-1)*3)&lt;=5,U545*0.4-VLOOKUP(B536,INDIRECT($F$8),8+(O545-1)*3),11),0))))</f>
        <v>0</v>
      </c>
      <c r="X545" s="1" t="str">
        <f ca="1">IF(ISERROR(F536),"",IF(W545=0,"",_xlfn.TEXTJOIN("",FALSE," G+",W545," in ",A545)))</f>
        <v/>
      </c>
    </row>
    <row r="546" spans="1:24" ht="11.5" customHeight="1" x14ac:dyDescent="0.2">
      <c r="A546" s="7" t="str">
        <f ca="1">IF(ISERROR(F536),"",VLOOKUP(C536,INDIRECT($F$8),6+(O546-1)*3,0))</f>
        <v>AHP 002</v>
      </c>
      <c r="B546" s="24" t="str">
        <f ca="1">IF(ISERROR(F536),"",VLOOKUP(D536,INDIRECT($F$8),6+(O546-1)*3,0))</f>
        <v>Engineering Chemistry Lab</v>
      </c>
      <c r="C546" s="24"/>
      <c r="D546" s="24"/>
      <c r="E546" s="24"/>
      <c r="F546" s="7">
        <f ca="1">IF(ISERROR(F536),"",VLOOKUP(E536,INDIRECT($F$8),6+(O546-1)*3,0))</f>
        <v>1</v>
      </c>
      <c r="G546" s="25" t="str">
        <f ca="1">IF(ISERROR(F536),"",_xlfn.TEXTJOIN("/",FALSE,P546,S546))</f>
        <v>22/25</v>
      </c>
      <c r="H546" s="25"/>
      <c r="I546" s="25" t="str">
        <f ca="1">IF(ISERROR(F536),"",_xlfn.TEXTJOIN("/",FALSE,Q546,T546))</f>
        <v>20/25</v>
      </c>
      <c r="J546" s="25"/>
      <c r="K546" s="25" t="str">
        <f ca="1">IF(ISERROR(F536),"",_xlfn.TEXTJOIN("/",FALSE,R546,U546))</f>
        <v>42/50</v>
      </c>
      <c r="L546" s="25"/>
      <c r="M546" s="7" t="str">
        <f ca="1">IF(ISERROR(F536)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B+</v>
      </c>
      <c r="N546" s="8">
        <f t="shared" ca="1" si="49"/>
        <v>8.5</v>
      </c>
      <c r="O546">
        <f ca="1">IF(O545&gt;0,7)</f>
        <v>7</v>
      </c>
      <c r="P546" s="1">
        <f ca="1">IF(ISERROR(F536),"",IF(ISTEXT(VLOOKUP(B536,INDIRECT($F$8),6+(O546-1)*3)),(VLOOKUP(B536,INDIRECT($F$8),6+(O546-1)*3)),SUM(VLOOKUP(B536,INDIRECT($F$8),6+(O546-1)*3),IF(W554,W546,0))))</f>
        <v>22</v>
      </c>
      <c r="Q546" s="1">
        <f ca="1">IF(ISERROR(F536),"",VLOOKUP(B536,INDIRECT($F$8),7+(O546-1)*3))</f>
        <v>20</v>
      </c>
      <c r="R546" s="1">
        <f ca="1">IF(ISERROR(F536),"",SUM(P546:Q546))</f>
        <v>42</v>
      </c>
      <c r="S546" s="1">
        <f ca="1">IF(ISERROR(F536),"",VLOOKUP(A536,INDIRECT($F$8),6+(O546-1)*3))</f>
        <v>25</v>
      </c>
      <c r="T546" s="1">
        <f ca="1">IF(ISERROR(F536),"",VLOOKUP(A536,INDIRECT($F$8),7+(O546-1)*3))</f>
        <v>25</v>
      </c>
      <c r="U546" s="1">
        <f ca="1">IF(ISERROR(F536),"",VLOOKUP(A536,INDIRECT($F$8),8+(O546-1)*3))</f>
        <v>50</v>
      </c>
      <c r="V546" s="1" t="str">
        <f ca="1">IF(ISERROR(F536),"",IF(N546=0,A546,""))</f>
        <v/>
      </c>
      <c r="W546" s="1">
        <f ca="1">IF(ISERROR(F536),"",IF(ISTEXT(VLOOKUP(B536,INDIRECT($F$8),6+(O546-1)*3)),11,IF(VLOOKUP(B536,INDIRECT($F$8),6+(O546-1)*3)&lt;S546*0.3,IF(VLOOKUP(B536,INDIRECT($F$8),8+(O546-1)*3)&lt;U546*0.4,IF(AND(0.4*U546-VLOOKUP(B536,INDIRECT($F$8),8+(O546-1)*3)&lt;=5,0.3*S546-VLOOKUP(B536,INDIRECT($F$8),6+(O546-1)*3)&lt;=5),MAX(0.4*U546-VLOOKUP(B536,INDIRECT($F$8),8+(O546-1)*3),0.3*S546-VLOOKUP(B536,INDIRECT($F$8),6+(O546-1)*3)),11),IF(0.3*S546-VLOOKUP(B536,INDIRECT($F$8),6+(O546-1)*3)&lt;=5,0.3*S546-VLOOKUP(B536,INDIRECT($F$8),6+(O546-1)*3),11)),IF(VLOOKUP(B536,INDIRECT($F$8),8+(O546-1)*3)&lt;U546*0.4,IF(U546*0.4-VLOOKUP(B536,INDIRECT($F$8),8+(O546-1)*3)&lt;=5,U546*0.4-VLOOKUP(B536,INDIRECT($F$8),8+(O546-1)*3),11),0))))</f>
        <v>0</v>
      </c>
      <c r="X546" s="1" t="str">
        <f ca="1">IF(ISERROR(F536),"",IF(W546=0,"",_xlfn.TEXTJOIN("",FALSE," G+",W546," in ",A546)))</f>
        <v/>
      </c>
    </row>
    <row r="547" spans="1:24" ht="11.5" customHeight="1" x14ac:dyDescent="0.2">
      <c r="A547" s="7" t="str">
        <f ca="1">IF(ISERROR(F536),"",VLOOKUP(C536,INDIRECT($F$8),6+(O547-1)*3,0))</f>
        <v>ECP 001</v>
      </c>
      <c r="B547" s="24" t="str">
        <f ca="1">IF(ISERROR(F536),"",VLOOKUP(D536,INDIRECT($F$8),6+(O547-1)*3,0))</f>
        <v>Basic Electronics Engineering Lab</v>
      </c>
      <c r="C547" s="24"/>
      <c r="D547" s="24"/>
      <c r="E547" s="24"/>
      <c r="F547" s="7">
        <f ca="1">IF(ISERROR(F536),"",VLOOKUP(E536,INDIRECT($F$8),6+(O547-1)*3,0))</f>
        <v>1</v>
      </c>
      <c r="G547" s="25" t="str">
        <f ca="1">IF(ISERROR(F536),"",_xlfn.TEXTJOIN("/",FALSE,P547,S547))</f>
        <v>19/25</v>
      </c>
      <c r="H547" s="25"/>
      <c r="I547" s="25" t="str">
        <f ca="1">IF(ISERROR(F536),"",_xlfn.TEXTJOIN("/",FALSE,Q547,T547))</f>
        <v>21/25</v>
      </c>
      <c r="J547" s="25"/>
      <c r="K547" s="25" t="str">
        <f ca="1">IF(ISERROR(F536),"",_xlfn.TEXTJOIN("/",FALSE,R547,U547))</f>
        <v>40/50</v>
      </c>
      <c r="L547" s="25"/>
      <c r="M547" s="7" t="str">
        <f ca="1">IF(ISERROR(F536)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B+</v>
      </c>
      <c r="N547" s="8">
        <f t="shared" ca="1" si="49"/>
        <v>8.5</v>
      </c>
      <c r="O547">
        <f t="shared" ref="O547:O553" ca="1" si="50">O546+1</f>
        <v>8</v>
      </c>
      <c r="P547" s="1">
        <f ca="1">IF(ISERROR(F536),"",IF(ISTEXT(VLOOKUP(B536,INDIRECT($F$8),6+(O547-1)*3)),(VLOOKUP(B536,INDIRECT($F$8),6+(O547-1)*3)),SUM(VLOOKUP(B536,INDIRECT($F$8),6+(O547-1)*3),IF(W554,W547,0))))</f>
        <v>19</v>
      </c>
      <c r="Q547" s="1">
        <f ca="1">IF(ISERROR(F536),"",VLOOKUP(B536,INDIRECT($F$8),7+(O547-1)*3))</f>
        <v>21</v>
      </c>
      <c r="R547" s="1">
        <f ca="1">IF(ISERROR(F536),"",SUM(P547:Q547))</f>
        <v>40</v>
      </c>
      <c r="S547" s="1">
        <f ca="1">IF(ISERROR(F536),"",VLOOKUP(A536,INDIRECT($F$8),6+(O547-1)*3))</f>
        <v>25</v>
      </c>
      <c r="T547" s="1">
        <f ca="1">IF(ISERROR(F536),"",VLOOKUP(A536,INDIRECT($F$8),7+(O547-1)*3))</f>
        <v>25</v>
      </c>
      <c r="U547" s="1">
        <f ca="1">IF(ISERROR(F536),"",VLOOKUP(A536,INDIRECT($F$8),8+(O547-1)*3))</f>
        <v>50</v>
      </c>
      <c r="V547" s="1" t="str">
        <f ca="1">IF(ISERROR(F536),"",IF(N547=0,A547,""))</f>
        <v/>
      </c>
      <c r="W547" s="1">
        <f ca="1">IF(ISERROR(F536),"",IF(ISTEXT(VLOOKUP(B536,INDIRECT($F$8),6+(O547-1)*3)),11,IF(VLOOKUP(B536,INDIRECT($F$8),6+(O547-1)*3)&lt;S547*0.3,IF(VLOOKUP(B536,INDIRECT($F$8),8+(O547-1)*3)&lt;U547*0.4,IF(AND(0.4*U547-VLOOKUP(B536,INDIRECT($F$8),8+(O547-1)*3)&lt;=5,0.3*S547-VLOOKUP(B536,INDIRECT($F$8),6+(O547-1)*3)&lt;=5),MAX(0.4*U547-VLOOKUP(B536,INDIRECT($F$8),8+(O547-1)*3),0.3*S547-VLOOKUP(B536,INDIRECT($F$8),6+(O547-1)*3)),11),IF(0.3*S547-VLOOKUP(B536,INDIRECT($F$8),6+(O547-1)*3)&lt;=5,0.3*S547-VLOOKUP(B536,INDIRECT($F$8),6+(O547-1)*3),11)),IF(VLOOKUP(B536,INDIRECT($F$8),8+(O547-1)*3)&lt;U547*0.4,IF(U547*0.4-VLOOKUP(B536,INDIRECT($F$8),8+(O547-1)*3)&lt;=5,U547*0.4-VLOOKUP(B536,INDIRECT($F$8),8+(O547-1)*3),11),0))))</f>
        <v>0</v>
      </c>
      <c r="X547" s="1" t="str">
        <f ca="1">IF(ISERROR(F536),"",IF(W547=0,"",_xlfn.TEXTJOIN("",FALSE," G+",W547," in ",A547)))</f>
        <v/>
      </c>
    </row>
    <row r="548" spans="1:24" ht="11.5" customHeight="1" x14ac:dyDescent="0.2">
      <c r="A548" s="7" t="str">
        <f ca="1">IF(ISERROR(F536),"",VLOOKUP(C536,INDIRECT($F$8),6+(O548-1)*3,0))</f>
        <v>MEP 001</v>
      </c>
      <c r="B548" s="24" t="str">
        <f ca="1">IF(ISERROR(F536),"",VLOOKUP(D536,INDIRECT($F$8),6+(O548-1)*3,0))</f>
        <v>Basic Mechanical Engineering Lab</v>
      </c>
      <c r="C548" s="24"/>
      <c r="D548" s="24"/>
      <c r="E548" s="24"/>
      <c r="F548" s="7">
        <f ca="1">IF(ISERROR(F536),"",VLOOKUP(E536,INDIRECT($F$8),6+(O548-1)*3,0))</f>
        <v>1</v>
      </c>
      <c r="G548" s="25" t="str">
        <f ca="1">IF(ISERROR(F536),"",_xlfn.TEXTJOIN("/",FALSE,P548,S548))</f>
        <v>24/25</v>
      </c>
      <c r="H548" s="25"/>
      <c r="I548" s="25" t="str">
        <f ca="1">IF(ISERROR(F536),"",_xlfn.TEXTJOIN("/",FALSE,Q548,T548))</f>
        <v>24/25</v>
      </c>
      <c r="J548" s="25"/>
      <c r="K548" s="25" t="str">
        <f ca="1">IF(ISERROR(F536),"",_xlfn.TEXTJOIN("/",FALSE,R548,U548))</f>
        <v>48/50</v>
      </c>
      <c r="L548" s="25"/>
      <c r="M548" s="7" t="str">
        <f ca="1">IF(ISERROR(F536)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O</v>
      </c>
      <c r="N548" s="8">
        <f t="shared" ca="1" si="49"/>
        <v>10</v>
      </c>
      <c r="O548">
        <f t="shared" ca="1" si="50"/>
        <v>9</v>
      </c>
      <c r="P548" s="1">
        <f ca="1">IF(ISERROR(F536),"",IF(ISTEXT(VLOOKUP(B536,INDIRECT($F$8),6+(O548-1)*3)),(VLOOKUP(B536,INDIRECT($F$8),6+(O548-1)*3)),SUM(VLOOKUP(B536,INDIRECT($F$8),6+(O548-1)*3),IF(W554,W548,0))))</f>
        <v>24</v>
      </c>
      <c r="Q548" s="1">
        <f ca="1">IF(ISERROR(F536),"",VLOOKUP(B536,INDIRECT($F$8),7+(O548-1)*3))</f>
        <v>24</v>
      </c>
      <c r="R548" s="1">
        <f ca="1">IF(ISERROR(F536),"",SUM(P548:Q548))</f>
        <v>48</v>
      </c>
      <c r="S548" s="1">
        <f ca="1">IF(ISERROR(F536),"",VLOOKUP(A536,INDIRECT($F$8),6+(O548-1)*3))</f>
        <v>25</v>
      </c>
      <c r="T548" s="1">
        <f ca="1">IF(ISERROR(F536),"",VLOOKUP(A536,INDIRECT($F$8),7+(O548-1)*3))</f>
        <v>25</v>
      </c>
      <c r="U548" s="1">
        <f ca="1">IF(ISERROR(F536),"",VLOOKUP(A536,INDIRECT($F$8),8+(O548-1)*3))</f>
        <v>50</v>
      </c>
      <c r="V548" s="1" t="str">
        <f ca="1">IF(ISERROR(F536),"",IF(N548=0,A548,""))</f>
        <v/>
      </c>
      <c r="W548" s="1">
        <f ca="1">IF(ISERROR(F536),"",IF(ISTEXT(VLOOKUP(B536,INDIRECT($F$8),6+(O548-1)*3)),11,IF(VLOOKUP(B536,INDIRECT($F$8),6+(O548-1)*3)&lt;S548*0.3,IF(VLOOKUP(B536,INDIRECT($F$8),8+(O548-1)*3)&lt;U548*0.4,IF(AND(0.4*U548-VLOOKUP(B536,INDIRECT($F$8),8+(O548-1)*3)&lt;=5,0.3*S548-VLOOKUP(B536,INDIRECT($F$8),6+(O548-1)*3)&lt;=5),MAX(0.4*U548-VLOOKUP(B536,INDIRECT($F$8),8+(O548-1)*3),0.3*S548-VLOOKUP(B536,INDIRECT($F$8),6+(O548-1)*3)),11),IF(0.3*S548-VLOOKUP(B536,INDIRECT($F$8),6+(O548-1)*3)&lt;=5,0.3*S548-VLOOKUP(B536,INDIRECT($F$8),6+(O548-1)*3),11)),IF(VLOOKUP(B536,INDIRECT($F$8),8+(O548-1)*3)&lt;U548*0.4,IF(U548*0.4-VLOOKUP(B536,INDIRECT($F$8),8+(O548-1)*3)&lt;=5,U548*0.4-VLOOKUP(B536,INDIRECT($F$8),8+(O548-1)*3),11),0))))</f>
        <v>0</v>
      </c>
      <c r="X548" s="1" t="str">
        <f ca="1">IF(ISERROR(F536),"",IF(W548=0,"",_xlfn.TEXTJOIN("",FALSE," G+",W548," in ",A548)))</f>
        <v/>
      </c>
    </row>
    <row r="549" spans="1:24" ht="11.5" customHeight="1" x14ac:dyDescent="0.2">
      <c r="A549" s="7" t="str">
        <f ca="1">IF(ISERROR(F536),"",VLOOKUP(C536,INDIRECT($F$8),6+(O549-1)*3,0))</f>
        <v>MEP 003</v>
      </c>
      <c r="B549" s="24" t="str">
        <f ca="1">IF(ISERROR(F536),"",VLOOKUP(D536,INDIRECT($F$8),6+(O549-1)*3-Z549,0))</f>
        <v>Workshop Practices Lab</v>
      </c>
      <c r="C549" s="24"/>
      <c r="D549" s="24"/>
      <c r="E549" s="24"/>
      <c r="F549" s="7">
        <f ca="1">IF(ISERROR(F536),"",VLOOKUP(E536,INDIRECT($F$8),6+(O549-1)*3,0))</f>
        <v>2</v>
      </c>
      <c r="G549" s="25" t="str">
        <f ca="1">IF(ISERROR(F536),"",_xlfn.TEXTJOIN("/",FALSE,P549,S549))</f>
        <v>43/50</v>
      </c>
      <c r="H549" s="25"/>
      <c r="I549" s="25" t="str">
        <f ca="1">IF(ISERROR(F536),"",_xlfn.TEXTJOIN("/",FALSE,Q549,T549))</f>
        <v>42/50</v>
      </c>
      <c r="J549" s="25"/>
      <c r="K549" s="25" t="str">
        <f ca="1">IF(ISERROR(F536),"",_xlfn.TEXTJOIN("/",FALSE,R549,U549))</f>
        <v>85/100</v>
      </c>
      <c r="L549" s="25"/>
      <c r="M549" s="7" t="str">
        <f ca="1">IF(ISERROR(F536),"",IF(ISTEXT(P549),IF(P549="A","Ab",IF(P549="D","Dt",IF(P549="UFM","UFM",IF(P549="NA","")))),IF(AND(ISBLANK(P549),ISBLANK(R549)),"",IF(P549&lt;0.3*S549,"F",IF(ISBLANK(R549),"",IF(ISTEXT(R549),R549,IF(R549&gt;=0.95*U549,"O",IF(R549&gt;=0.9*U549,"A+",IF(R549&gt;=0.85*U549,"A",IF(R549&gt;=0.8*U549,"B+",IF(R549&gt;=0.75*U549,"B",IF(R549&gt;=0.7*U549,"C+",IF(R549&gt;=0.65*U549,"C",IF(R549&gt;=0.6*U549,"D+",IF(R549&gt;=0.55*U549,"D",IF(R549&gt;=0.5*U549,"E+",IF(R549&gt;=0.45*U549,"E",IF(R549&gt;=0.4*U549,"P",IF(R549&lt;0.4*U549,"F",R549)))))))))))))))))))</f>
        <v>A</v>
      </c>
      <c r="N549" s="8">
        <f t="shared" ca="1" si="49"/>
        <v>9</v>
      </c>
      <c r="O549">
        <f t="shared" ca="1" si="50"/>
        <v>10</v>
      </c>
      <c r="P549" s="1">
        <f ca="1">IF(ISERROR(F536),"",IF(ISTEXT(VLOOKUP(B536,INDIRECT($F$8),6+(O549-1)*3)),(VLOOKUP(B536,INDIRECT($F$8),6+(O549-1)*3)),SUM(VLOOKUP(B536,INDIRECT($F$8),6+(O549-1)*3),IF(W554,W549,0))))</f>
        <v>43</v>
      </c>
      <c r="Q549" s="1">
        <f ca="1">IF(ISERROR(F536),"",VLOOKUP(B536,INDIRECT($F$8),7+(O549-1)*3))</f>
        <v>42</v>
      </c>
      <c r="R549" s="1">
        <f ca="1">IF(ISERROR(F536),"",SUM(P549:Q549))</f>
        <v>85</v>
      </c>
      <c r="S549" s="1">
        <f ca="1">IF(ISERROR(F536),"",VLOOKUP(A536,INDIRECT($F$8),6+(O549-1)*3))</f>
        <v>50</v>
      </c>
      <c r="T549" s="1">
        <f ca="1">IF(ISERROR(F536),"",VLOOKUP(A536,INDIRECT($F$8),7+(O549-1)*3))</f>
        <v>50</v>
      </c>
      <c r="U549" s="1">
        <f ca="1">IF(ISERROR(F536),"",VLOOKUP(A536,INDIRECT($F$8),8+(O549-1)*3))</f>
        <v>100</v>
      </c>
      <c r="V549" s="1" t="str">
        <f ca="1">IF(ISERROR(F536),"",IF(N549=0,A549,""))</f>
        <v/>
      </c>
      <c r="W549" s="1">
        <f ca="1">IF(ISERROR(F536),"",IF(ISTEXT(VLOOKUP(B536,INDIRECT($F$8),6+(O549-1)*3)),11,IF(VLOOKUP(B536,INDIRECT($F$8),6+(O549-1)*3)&lt;S549*0.3,IF(VLOOKUP(B536,INDIRECT($F$8),8+(O549-1)*3)&lt;U549*0.4,IF(AND(0.4*U549-VLOOKUP(B536,INDIRECT($F$8),8+(O549-1)*3)&lt;=5,0.3*S549-VLOOKUP(B536,INDIRECT($F$8),6+(O549-1)*3)&lt;=5),MAX(0.4*U549-VLOOKUP(B536,INDIRECT($F$8),8+(O549-1)*3),0.3*S549-VLOOKUP(B536,INDIRECT($F$8),6+(O549-1)*3)),11),IF(0.3*S549-VLOOKUP(B536,INDIRECT($F$8),6+(O549-1)*3)&lt;=5,0.3*S549-VLOOKUP(B536,INDIRECT($F$8),6+(O549-1)*3),11)),IF(VLOOKUP(B536,INDIRECT($F$8),8+(O549-1)*3)&lt;U549*0.4,IF(U549*0.4-VLOOKUP(B536,INDIRECT($F$8),8+(O549-1)*3)&lt;=5,U549*0.4-VLOOKUP(B536,INDIRECT($F$8),8+(O549-1)*3),11),0))))</f>
        <v>0</v>
      </c>
      <c r="X549" s="1" t="str">
        <f ca="1">IF(ISERROR(F536),"",IF(W549=0,"",_xlfn.TEXTJOIN("",FALSE," G+",W549," in ",A549)))</f>
        <v/>
      </c>
    </row>
    <row r="550" spans="1:24" ht="11.5" customHeight="1" x14ac:dyDescent="0.2">
      <c r="A550" s="7" t="str">
        <f ca="1">IF(ISERROR(F536),"",VLOOKUP(C536,INDIRECT($F$8),6+(O550-1)*3,0))</f>
        <v>AHP 004</v>
      </c>
      <c r="B550" s="24" t="str">
        <f ca="1">IF(ISERROR(F536),"",VLOOKUP(D536,INDIRECT($F$8),6+(O550-1)*3-Z550,0))</f>
        <v>Emerging Technologies in Engineering Lab</v>
      </c>
      <c r="C550" s="24"/>
      <c r="D550" s="24"/>
      <c r="E550" s="24"/>
      <c r="F550" s="7">
        <f ca="1">IF(ISERROR(F536),"",VLOOKUP(E536,INDIRECT($F$8),6+(O550-1)*3,0))</f>
        <v>1</v>
      </c>
      <c r="G550" s="25" t="str">
        <f ca="1">IF(ISERROR(F536),"",_xlfn.TEXTJOIN("/",FALSE,P550,S550))</f>
        <v>23/25</v>
      </c>
      <c r="H550" s="25"/>
      <c r="I550" s="25" t="str">
        <f ca="1">IF(ISERROR(F536),"",_xlfn.TEXTJOIN("/",FALSE,Q550,T550))</f>
        <v>21/25</v>
      </c>
      <c r="J550" s="25"/>
      <c r="K550" s="25" t="str">
        <f ca="1">IF(ISERROR(F536),"",_xlfn.TEXTJOIN("/",FALSE,R550,U550))</f>
        <v>44/50</v>
      </c>
      <c r="L550" s="25"/>
      <c r="M550" s="7" t="str">
        <f ca="1">IF(ISERROR(F536),"",IF(ISTEXT(P550),IF(P550="A","Ab",IF(P550="D","Dt",IF(P550="UFM","UFM",IF(P550="NA","")))),IF(AND(ISBLANK(P550),ISBLANK(R550)),"",IF(P550&lt;0.3*S550,"F",IF(ISBLANK(R550),"",IF(ISTEXT(R550),R550,IF(R550&gt;=0.95*U550,"O",IF(R550&gt;=0.9*U550,"A+",IF(R550&gt;=0.85*U550,"A",IF(R550&gt;=0.8*U550,"B+",IF(R550&gt;=0.75*U550,"B",IF(R550&gt;=0.7*U550,"C+",IF(R550&gt;=0.65*U550,"C",IF(R550&gt;=0.6*U550,"D+",IF(R550&gt;=0.55*U550,"D",IF(R550&gt;=0.5*U550,"E+",IF(R550&gt;=0.45*U550,"E",IF(R550&gt;=0.4*U550,"P",IF(R550&lt;0.4*U550,"F",R550)))))))))))))))))))</f>
        <v>A</v>
      </c>
      <c r="N550" s="8">
        <f t="shared" ca="1" si="49"/>
        <v>9</v>
      </c>
      <c r="O550">
        <f t="shared" ca="1" si="50"/>
        <v>11</v>
      </c>
      <c r="P550" s="1">
        <f ca="1">IF(ISERROR(F536),"",IF(ISTEXT(VLOOKUP(B536,INDIRECT($F$8),6+(O550-1)*3)),(VLOOKUP(B536,INDIRECT($F$8),6+(O550-1)*3)),SUM(VLOOKUP(B536,INDIRECT($F$8),6+(O550-1)*3),IF(W554,W550,0))))</f>
        <v>23</v>
      </c>
      <c r="Q550" s="1">
        <f ca="1">IF(ISERROR(F536),"",VLOOKUP(B536,INDIRECT($F$8),7+(O550-1)*3))</f>
        <v>21</v>
      </c>
      <c r="R550" s="1">
        <f ca="1">IF(ISERROR(F536),"",SUM(P550:Q550))</f>
        <v>44</v>
      </c>
      <c r="S550" s="1">
        <f ca="1">IF(ISERROR(F536),"",VLOOKUP(A536,INDIRECT($F$8),6+(O550-1)*3))</f>
        <v>25</v>
      </c>
      <c r="T550" s="1">
        <f ca="1">IF(ISERROR(F536),"",VLOOKUP(A536,INDIRECT($F$8),7+(O550-1)*3))</f>
        <v>25</v>
      </c>
      <c r="U550" s="1">
        <f ca="1">IF(ISERROR(F536),"",VLOOKUP(A536,INDIRECT($F$8),8+(O550-1)*3))</f>
        <v>50</v>
      </c>
      <c r="V550" s="1" t="str">
        <f ca="1">IF(ISERROR(F536),"",IF(N550=0,A550,""))</f>
        <v/>
      </c>
      <c r="W550" s="1">
        <f ca="1">IF(ISERROR(F536),"",IF(ISTEXT(VLOOKUP(B536,INDIRECT($F$8),6+(O550-1)*3)),11,IF(VLOOKUP(B536,INDIRECT($F$8),6+(O550-1)*3)&lt;S550*0.3,IF(VLOOKUP(B536,INDIRECT($F$8),8+(O550-1)*3)&lt;U550*0.4,IF(AND(0.4*U550-VLOOKUP(B536,INDIRECT($F$8),8+(O550-1)*3)&lt;=5,0.3*S550-VLOOKUP(B536,INDIRECT($F$8),6+(O550-1)*3)&lt;=5),MAX(0.4*U550-VLOOKUP(B536,INDIRECT($F$8),8+(O550-1)*3),0.3*S550-VLOOKUP(B536,INDIRECT($F$8),6+(O550-1)*3)),11),IF(0.3*S550-VLOOKUP(B536,INDIRECT($F$8),6+(O550-1)*3)&lt;=5,0.3*S550-VLOOKUP(B536,INDIRECT($F$8),6+(O550-1)*3),11)),IF(VLOOKUP(B536,INDIRECT($F$8),8+(O550-1)*3)&lt;U550*0.4,IF(U550*0.4-VLOOKUP(B536,INDIRECT($F$8),8+(O550-1)*3)&lt;=5,U550*0.4-VLOOKUP(B536,INDIRECT($F$8),8+(O550-1)*3),11),0))))</f>
        <v>0</v>
      </c>
      <c r="X550" s="1" t="str">
        <f ca="1">IF(ISERROR(F536),"",IF(W550=0,"",_xlfn.TEXTJOIN("",FALSE," G+",W550," in ",A550)))</f>
        <v/>
      </c>
    </row>
    <row r="551" spans="1:24" ht="11.5" customHeight="1" x14ac:dyDescent="0.2">
      <c r="A551" s="7" t="str">
        <f ca="1">IF(ISERROR(F536),"",VLOOKUP(C536,INDIRECT($F$8),6+(O551-1)*3,0))</f>
        <v>CSP 002</v>
      </c>
      <c r="B551" s="24" t="str">
        <f ca="1">IF(ISERROR(F536),"",VLOOKUP(D536,INDIRECT($F$8),6+(O551-1)*3,0))</f>
        <v>Computer Applications and IOT</v>
      </c>
      <c r="C551" s="24"/>
      <c r="D551" s="24"/>
      <c r="E551" s="24"/>
      <c r="F551" s="7">
        <f ca="1">IF(ISERROR(F536),"",VLOOKUP(E536,INDIRECT($F$8),6+(O551-1)*3,0))</f>
        <v>1</v>
      </c>
      <c r="G551" s="25" t="str">
        <f ca="1">IF(ISERROR(F536),"",_xlfn.TEXTJOIN("/",FALSE,P551,S551))</f>
        <v>25/25</v>
      </c>
      <c r="H551" s="25"/>
      <c r="I551" s="25" t="str">
        <f ca="1">IF(ISERROR(F536),"",_xlfn.TEXTJOIN("/",FALSE,Q551,T551))</f>
        <v>25/25</v>
      </c>
      <c r="J551" s="25"/>
      <c r="K551" s="25" t="str">
        <f ca="1">IF(ISERROR(F536),"",_xlfn.TEXTJOIN("/",FALSE,R551,U551))</f>
        <v>50/50</v>
      </c>
      <c r="L551" s="25"/>
      <c r="M551" s="7" t="str">
        <f ca="1">IF(ISERROR(F536),"",IF(ISTEXT(P551),IF(P551="A","Ab",IF(P551="D","Dt",IF(P551="UFM","UFM",IF(P551="NA","")))),IF(AND(ISBLANK(P551),ISBLANK(R551)),"",IF(P551&lt;0.3*S551,"F",IF(ISBLANK(R551),"",IF(ISTEXT(R551),R551,IF(R551&gt;=0.95*U551,"O",IF(R551&gt;=0.9*U551,"A+",IF(R551&gt;=0.85*U551,"A",IF(R551&gt;=0.8*U551,"B+",IF(R551&gt;=0.75*U551,"B",IF(R551&gt;=0.7*U551,"C+",IF(R551&gt;=0.65*U551,"C",IF(R551&gt;=0.6*U551,"D+",IF(R551&gt;=0.55*U551,"D",IF(R551&gt;=0.5*U551,"E+",IF(R551&gt;=0.45*U551,"E",IF(R551&gt;=0.4*U551,"P",IF(R551&lt;0.4*U551,"F",R551)))))))))))))))))))</f>
        <v>O</v>
      </c>
      <c r="N551" s="8">
        <f t="shared" ca="1" si="49"/>
        <v>10</v>
      </c>
      <c r="O551">
        <f t="shared" ca="1" si="50"/>
        <v>12</v>
      </c>
      <c r="P551" s="1">
        <f ca="1">IF(ISERROR(F536),"",IF(ISTEXT(VLOOKUP(B536,INDIRECT($F$8),6+(O551-1)*3)),(VLOOKUP(B536,INDIRECT($F$8),6+(O551-1)*3)),SUM(VLOOKUP(B536,INDIRECT($F$8),6+(O551-1)*3),IF(W554,W551,0))))</f>
        <v>25</v>
      </c>
      <c r="Q551" s="1">
        <f ca="1">IF(ISERROR(F536),"",VLOOKUP(B536,INDIRECT($F$8),7+(O551-1)*3))</f>
        <v>25</v>
      </c>
      <c r="R551" s="1">
        <f ca="1">IF(ISERROR(F536),"",SUM(P551:Q551))</f>
        <v>50</v>
      </c>
      <c r="S551" s="1">
        <f ca="1">IF(ISERROR(F536),"",VLOOKUP(A536,INDIRECT($F$8),6+(O551-1)*3))</f>
        <v>25</v>
      </c>
      <c r="T551" s="1">
        <f ca="1">IF(ISERROR(F536),"",VLOOKUP(A536,INDIRECT($F$8),7+(O551-1)*3))</f>
        <v>25</v>
      </c>
      <c r="U551" s="1">
        <f ca="1">IF(ISERROR(F536),"",VLOOKUP(A536,INDIRECT($F$8),8+(O551-1)*3))</f>
        <v>50</v>
      </c>
      <c r="V551" s="1" t="str">
        <f ca="1">IF(ISERROR(F536),"",IF(N551=0,A551,""))</f>
        <v/>
      </c>
      <c r="W551" s="1">
        <f ca="1">IF(ISERROR(F536),"",IF(ISTEXT(VLOOKUP(B536,INDIRECT($F$8),6+(O551-1)*3)),11,IF(VLOOKUP(B536,INDIRECT($F$8),6+(O551-1)*3)&lt;S551*0.3,IF(VLOOKUP(B536,INDIRECT($F$8),8+(O551-1)*3)&lt;U551*0.4,IF(AND(0.4*U551-VLOOKUP(B536,INDIRECT($F$8),8+(O551-1)*3)&lt;=5,0.3*S551-VLOOKUP(B536,INDIRECT($F$8),6+(O551-1)*3)&lt;=5),MAX(0.4*U551-VLOOKUP(B536,INDIRECT($F$8),8+(O551-1)*3),0.3*S551-VLOOKUP(B536,INDIRECT($F$8),6+(O551-1)*3)),11),IF(0.3*S551-VLOOKUP(B536,INDIRECT($F$8),6+(O551-1)*3)&lt;=5,0.3*S551-VLOOKUP(B536,INDIRECT($F$8),6+(O551-1)*3),11)),IF(VLOOKUP(B536,INDIRECT($F$8),8+(O551-1)*3)&lt;U551*0.4,IF(U551*0.4-VLOOKUP(B536,INDIRECT($F$8),8+(O551-1)*3)&lt;=5,U551*0.4-VLOOKUP(B536,INDIRECT($F$8),8+(O551-1)*3),11),0))))</f>
        <v>0</v>
      </c>
      <c r="X551" s="1" t="str">
        <f ca="1">IF(ISERROR(F536),"",IF(W551=0,"",_xlfn.TEXTJOIN("",FALSE," G+",W551," in ",A551)))</f>
        <v/>
      </c>
    </row>
    <row r="552" spans="1:24" ht="11.5" customHeight="1" x14ac:dyDescent="0.2">
      <c r="A552" s="7" t="str">
        <f ca="1">IF(ISERROR(F536),"",VLOOKUP(C536,INDIRECT($F$8),6+(O552-1)*3,0))</f>
        <v>AHP 006</v>
      </c>
      <c r="B552" s="24" t="str">
        <f ca="1">IF(ISERROR(F536),"",VLOOKUP(D536,INDIRECT($F$8),6+(O552-1)*3,0))</f>
        <v>English Language Lab ($)</v>
      </c>
      <c r="C552" s="24"/>
      <c r="D552" s="24"/>
      <c r="E552" s="24"/>
      <c r="F552" s="7">
        <f ca="1">IF(ISERROR(F536),"",VLOOKUP(E536,INDIRECT($F$8),6+(O552-1)*3,0))</f>
        <v>0</v>
      </c>
      <c r="G552" s="25" t="str">
        <f ca="1">IF(ISERROR(F536),"",_xlfn.TEXTJOIN("/",FALSE,P552,S552))</f>
        <v>19/25</v>
      </c>
      <c r="H552" s="25"/>
      <c r="I552" s="25" t="str">
        <f ca="1">IF(ISERROR(F536),"",_xlfn.TEXTJOIN("/",FALSE,Q552,T552))</f>
        <v>44/50</v>
      </c>
      <c r="J552" s="25"/>
      <c r="K552" s="25" t="str">
        <f ca="1">IF(ISERROR(F536),"",_xlfn.TEXTJOIN("/",FALSE,R552,U552))</f>
        <v>63/75</v>
      </c>
      <c r="L552" s="25"/>
      <c r="M552" s="7" t="str">
        <f ca="1">IF(ISERROR(F536),"",IF(ISTEXT(P552),IF(P552="A","Ab",IF(P552="D","Dt",IF(P552="UFM","UFM",IF(P552="NA","")))),IF(AND(ISBLANK(P552),ISBLANK(R552)),"",IF(P552&lt;0.3*S552,"F",IF(ISBLANK(R552),"",IF(ISTEXT(R552),R552,IF(R552&gt;=0.95*U552,"O",IF(R552&gt;=0.9*U552,"A+",IF(R552&gt;=0.85*U552,"A",IF(R552&gt;=0.8*U552,"B+",IF(R552&gt;=0.75*U552,"B",IF(R552&gt;=0.7*U552,"C+",IF(R552&gt;=0.65*U552,"C",IF(R552&gt;=0.6*U552,"D+",IF(R552&gt;=0.55*U552,"D",IF(R552&gt;=0.5*U552,"E+",IF(R552&gt;=0.45*U552,"E",IF(R552&gt;=0.4*U552,"P",IF(R552&lt;0.4*U552,"F",R552)))))))))))))))))))</f>
        <v>B+</v>
      </c>
      <c r="N552" s="8">
        <f ca="1">INDEX($Z$2:$Z$17,MATCH(M552,$Y$2:$Y$17,0))</f>
        <v>8.5</v>
      </c>
      <c r="O552">
        <f t="shared" ca="1" si="50"/>
        <v>13</v>
      </c>
      <c r="P552" s="1">
        <f ca="1">IF(ISERROR(F536),"",IF(ISTEXT(VLOOKUP(B536,INDIRECT($F$8),6+(O552-1)*3)),(VLOOKUP(B536,INDIRECT($F$8),6+(O552-1)*3)),SUM(VLOOKUP(B536,INDIRECT($F$8),6+(O552-1)*3),IF(W554,W552,0))))</f>
        <v>19</v>
      </c>
      <c r="Q552" s="1">
        <f ca="1">IF(ISERROR(F536),"",VLOOKUP(B536,INDIRECT($F$8),7+(O552-1)*3))</f>
        <v>44</v>
      </c>
      <c r="R552" s="1">
        <f ca="1">IF(ISERROR(F536),"",SUM(P552:Q552))</f>
        <v>63</v>
      </c>
      <c r="S552" s="1">
        <f ca="1">IF(ISERROR(F536),"",VLOOKUP(A536,INDIRECT($F$8),6+(O552-1)*3))</f>
        <v>25</v>
      </c>
      <c r="T552" s="1">
        <f ca="1">IF(ISERROR(F536),"",VLOOKUP(A536,INDIRECT($F$8),7+(O552-1)*3))</f>
        <v>50</v>
      </c>
      <c r="U552" s="1">
        <f ca="1">IF(ISERROR(F536),"",VLOOKUP(A536,INDIRECT($F$8),8+(O552-1)*3))</f>
        <v>75</v>
      </c>
      <c r="V552" s="1"/>
      <c r="W552" s="1">
        <f ca="1">IF(ISERROR(F536),"",IF(ISTEXT(VLOOKUP(B536,INDIRECT($F$8),6+(O552-1)*3)),11,IF(VLOOKUP(B536,INDIRECT($F$8),6+(O552-1)*3)&lt;S552*0.3,IF(VLOOKUP(B536,INDIRECT($F$8),8+(O552-1)*3)&lt;U552*0.4,IF(AND(0.4*U552-VLOOKUP(B536,INDIRECT($F$8),8+(O552-1)*3)&lt;=5,0.3*S552-VLOOKUP(B536,INDIRECT($F$8),6+(O552-1)*3)&lt;=5),MAX(0.4*U552-VLOOKUP(B536,INDIRECT($F$8),8+(O552-1)*3),0.3*S552-VLOOKUP(B536,INDIRECT($F$8),6+(O552-1)*3)),11),IF(0.3*S552-VLOOKUP(B536,INDIRECT($F$8),6+(O552-1)*3)&lt;=5,0.3*S552-VLOOKUP(B536,INDIRECT($F$8),6+(O552-1)*3),11)),IF(VLOOKUP(B536,INDIRECT($F$8),8+(O552-1)*3)&lt;U552*0.4,IF(U552*0.4-VLOOKUP(B536,INDIRECT($F$8),8+(O552-1)*3)&lt;=5,U552*0.4-VLOOKUP(B536,INDIRECT($F$8),8+(O552-1)*3),11),0))))</f>
        <v>0</v>
      </c>
      <c r="X552" s="1" t="str">
        <f ca="1">IF(ISERROR(F536),"",IF(W552=0,"",_xlfn.TEXTJOIN("",FALSE," G+",W552," in ",A552)))</f>
        <v/>
      </c>
    </row>
    <row r="553" spans="1:24" ht="11.5" customHeight="1" x14ac:dyDescent="0.2">
      <c r="A553" s="7" t="str">
        <f ca="1">IF(ISERROR(F536),"",VLOOKUP(C536,INDIRECT($F$8),6+(O553-1)*3-Y553,0))</f>
        <v>GP 01</v>
      </c>
      <c r="B553" s="24" t="str">
        <f ca="1">IF(ISERROR(F536),"",VLOOKUP(D536,INDIRECT($F$8),6+(O553-1)*3-Z553,0))</f>
        <v>General Proficiency ($)</v>
      </c>
      <c r="C553" s="24"/>
      <c r="D553" s="24"/>
      <c r="E553" s="24"/>
      <c r="F553" s="7">
        <f ca="1">IF(ISERROR(F536),"",VLOOKUP(E536,INDIRECT($F$8),6+(O553-1)*3-AA553,0))</f>
        <v>0</v>
      </c>
      <c r="G553" s="25" t="str">
        <f ca="1">IF(ISERROR(F536),"","-")</f>
        <v>-</v>
      </c>
      <c r="H553" s="25"/>
      <c r="I553" s="25" t="str">
        <f ca="1">IF(ISERROR(F536),"",_xlfn.TEXTJOIN("/",FALSE,Q553,T553))</f>
        <v>47/50</v>
      </c>
      <c r="J553" s="25"/>
      <c r="K553" s="25" t="str">
        <f ca="1">IF(ISERROR(F536),"",_xlfn.TEXTJOIN("/",FALSE,R553,U553))</f>
        <v>47/50</v>
      </c>
      <c r="L553" s="25"/>
      <c r="M553" s="25" t="str">
        <f ca="1">IF(ISBLANK(R553),"",IF(ISTEXT(R553),R553,IF(R553&gt;=0.8*U553,"Excellent",IF(R553&gt;=0.6*U553,"Very Good",IF(R553&gt;=0.4*U553,"Good",IF(R553&gt;=0.2*U553,"Satisfactory","Average"))))))</f>
        <v>Excellent</v>
      </c>
      <c r="N553" s="25"/>
      <c r="O553">
        <f t="shared" ca="1" si="50"/>
        <v>14</v>
      </c>
      <c r="P553" s="1">
        <f ca="1">IF(ISERROR(F536),"",IF(ISTEXT(VLOOKUP(B\28,INDIRECT($F$8),6+(O553-1)*3)),(VLOOKUP(B536,INDIRECT($F$8),6+(O553-1)*3)),SUM(VLOOKUP(B536,INDIRECT($F$8),6+(O553-1)*3),IF(W554,W554,0))))</f>
        <v>0</v>
      </c>
      <c r="Q553" s="1">
        <f ca="1">IF(ISERROR(F536),"",VLOOKUP(B536,INDIRECT($F$8),7+(O553-1)*3))</f>
        <v>47</v>
      </c>
      <c r="R553" s="1">
        <f ca="1">IF(ISERROR(F536),"",SUM(P553:Q553))</f>
        <v>47</v>
      </c>
      <c r="S553" s="1">
        <f ca="1">IF(ISERROR(F536),"",VLOOKUP(A536,INDIRECT($F$8),6+(O553-1)*3))</f>
        <v>0</v>
      </c>
      <c r="T553" s="1">
        <f ca="1">IF(ISERROR(F536),"",VLOOKUP(A536,INDIRECT($F$8),7+(O553-1)*3))</f>
        <v>50</v>
      </c>
      <c r="U553" s="1">
        <f ca="1">IF(ISERROR(F536),"",VLOOKUP(A536,INDIRECT($F$8),8+(O553-1)*3))</f>
        <v>50</v>
      </c>
      <c r="V553" s="1"/>
      <c r="W553" s="1"/>
      <c r="X553" s="1" t="str">
        <f ca="1">IF(ISERROR(F536),"",IF(W553=0,"",_xlfn.TEXTJOIN("",FALSE," G+",W553," in ",A553)))</f>
        <v/>
      </c>
    </row>
    <row r="554" spans="1:24" ht="11.5" customHeight="1" x14ac:dyDescent="0.2">
      <c r="A554" s="26" t="str">
        <f ca="1">IF(ISERROR(F536),"",A532)</f>
        <v>Total Credits/ Marks/ Total Grade Points</v>
      </c>
      <c r="B554" s="26"/>
      <c r="C554" s="26"/>
      <c r="D554" s="26"/>
      <c r="E554" s="26"/>
      <c r="F554" s="10">
        <f ca="1">IF(ISERROR(F536),"",SUM(F541:F552))</f>
        <v>23</v>
      </c>
      <c r="G554" s="27" t="str">
        <f ca="1">IF(ISERROR(F536),"",_xlfn.TEXTJOIN("/",TRUE,SUMIF(F541:F553,"&gt;0",P541:P553),SUMIF(F541:F553,"&gt;0",S541:S553)))</f>
        <v>441/575</v>
      </c>
      <c r="H554" s="27"/>
      <c r="I554" s="27" t="str">
        <f ca="1">IF(ISERROR(F536),"",_xlfn.TEXTJOIN("/",TRUE,SUMIF(F541:F553,"&gt;0",Q541:Q553),SUMIF(F541:F553,"&gt;0",T541:T553)))</f>
        <v>324/375</v>
      </c>
      <c r="J554" s="27"/>
      <c r="K554" s="27" t="str">
        <f ca="1">IF(ISERROR(F536),"",_xlfn.TEXTJOIN("/",TRUE,SUMIF(F541:F553,"&gt;0",R541:R553),SUMIF(F541:F553,"&gt;0",U541:U553)))</f>
        <v>765/950</v>
      </c>
      <c r="L554" s="27"/>
      <c r="M554" s="26">
        <f ca="1">IF(ISERROR(F536),"",SUMPRODUCT(N541:N552,F541:F552))</f>
        <v>190</v>
      </c>
      <c r="N554" s="26"/>
      <c r="V554" s="1" t="str">
        <f ca="1">_xlfn.TEXTJOIN(", ",TRUE,V541:V553)</f>
        <v/>
      </c>
      <c r="W554" t="b">
        <f ca="1">IF(SUM(W541:W553)&lt;=W540,TRUE,FALSE)</f>
        <v>1</v>
      </c>
      <c r="X554" s="1" t="str">
        <f ca="1">IF(ISERROR(F536),"",_xlfn.TEXTJOIN(",",TRUE,X541:X553))</f>
        <v/>
      </c>
    </row>
    <row r="555" spans="1:24" ht="11.5" customHeight="1" x14ac:dyDescent="0.2">
      <c r="A555" s="26" t="str">
        <f ca="1">IF(ISERROR(F536),"",A533)</f>
        <v>Result:</v>
      </c>
      <c r="B555" s="28" t="str" cm="1">
        <f t="array" aca="1" ref="B555" ca="1">IF(SUM(COUNTIF(M541:M552,{"Ab","Dt"}))=12, "Not Promoted to IInd Semester", IF(V554="", "PASS", "CARRY OVER"))</f>
        <v>PASS</v>
      </c>
      <c r="C555" s="28"/>
      <c r="D555" s="26" t="str">
        <f ca="1">IF(ISERROR(F536),"",D533)</f>
        <v>Remark:</v>
      </c>
      <c r="E555" s="28" t="str">
        <f ca="1">IF(ISERROR(F536),"",IF(V554="",IF(X554="","",X554),_xlfn.TEXTJOIN(" ",TRUE,"BACK IN",V554)))</f>
        <v/>
      </c>
      <c r="F555" s="28"/>
      <c r="G555" s="26" t="str">
        <f ca="1">IF(ISERROR(F536),"",G533)</f>
        <v>SGPA:</v>
      </c>
      <c r="H555" s="29">
        <f ca="1">IF(ISERROR(F536),"",M554/F554)</f>
        <v>8.2608695652173907</v>
      </c>
      <c r="I555" s="26" t="str">
        <f ca="1">IF(ISERROR(F536),"",I533)</f>
        <v>CGPA:</v>
      </c>
      <c r="J555" s="29">
        <f ca="1">IF(ISERROR(F536),"",VLOOKUP(B536,INDIRECT($F$8),12+(O553-1)*3,0))</f>
        <v>8.2608695652173907</v>
      </c>
      <c r="K555" s="28" t="str">
        <f ca="1">IF(ISERROR(F536),"",K533)</f>
        <v>Earned Credits:</v>
      </c>
      <c r="L555" s="26">
        <f ca="1">IF(ISERROR(F536),"",SUMIF(N541:N552,"&gt;0",F541:F552))</f>
        <v>23</v>
      </c>
      <c r="M555" s="28" t="str">
        <f ca="1">IF(ISERROR(F536),"",M533)</f>
        <v>Cuml. Earned Credits:</v>
      </c>
      <c r="N555" s="26">
        <f ca="1">IF(ISERROR(F536),"",VLOOKUP(B536,INDIRECT($F$8),10+(O553-1)*3,0))</f>
        <v>23</v>
      </c>
    </row>
    <row r="556" spans="1:24" ht="11.5" customHeight="1" x14ac:dyDescent="0.2">
      <c r="A556" s="26"/>
      <c r="B556" s="28"/>
      <c r="C556" s="28"/>
      <c r="D556" s="26"/>
      <c r="E556" s="28"/>
      <c r="F556" s="28"/>
      <c r="G556" s="26"/>
      <c r="H556" s="29"/>
      <c r="I556" s="26"/>
      <c r="J556" s="29"/>
      <c r="K556" s="28"/>
      <c r="L556" s="26"/>
      <c r="M556" s="28"/>
      <c r="N556" s="26"/>
    </row>
    <row r="557" spans="1:24" ht="18" customHeight="1" x14ac:dyDescent="0.2">
      <c r="A557" s="26"/>
      <c r="B557" s="28"/>
      <c r="C557" s="28"/>
      <c r="D557" s="26"/>
      <c r="E557" s="28"/>
      <c r="F557" s="28"/>
      <c r="G557" s="26"/>
      <c r="H557" s="29"/>
      <c r="I557" s="26"/>
      <c r="J557" s="29"/>
      <c r="K557" s="28"/>
      <c r="L557" s="26"/>
      <c r="M557" s="28"/>
      <c r="N557" s="26"/>
    </row>
    <row r="558" spans="1:24" ht="11.5" customHeight="1" x14ac:dyDescent="0.2">
      <c r="A558" s="11" t="str">
        <f>A536</f>
        <v>MM</v>
      </c>
      <c r="B558" s="11">
        <f>B536+1</f>
        <v>26</v>
      </c>
      <c r="C558" s="11" t="str">
        <f>C536</f>
        <v>SC</v>
      </c>
      <c r="D558" s="11" t="str">
        <f>D536</f>
        <v>SN</v>
      </c>
      <c r="E558" s="11" t="str">
        <f>E536</f>
        <v>C</v>
      </c>
      <c r="F558" s="11" t="str">
        <f ca="1">VLOOKUP(B558,INDIRECT($F$8),4,0)</f>
        <v>SANDEEP</v>
      </c>
    </row>
    <row r="559" spans="1:24" ht="11.5" customHeight="1" x14ac:dyDescent="0.2">
      <c r="A559" s="30" t="str">
        <f ca="1">IF(ISERROR(F558),"",A537)</f>
        <v>Name:</v>
      </c>
      <c r="B559" s="30" t="str">
        <f ca="1">IFERROR(VLOOKUP(B558,INDIRECT($F$8),4,0),"")</f>
        <v>SANDEEP</v>
      </c>
      <c r="C559" s="30"/>
      <c r="D559" s="30" t="str">
        <f ca="1">IF(ISERROR(F558),"",D537)</f>
        <v>Father's Name:</v>
      </c>
      <c r="E559" s="30" t="str">
        <f ca="1">IFERROR(VLOOKUP(B558,INDIRECT($F$8),5,0),"")</f>
        <v>SUMAN PRASAD NAUTIYAL</v>
      </c>
      <c r="F559" s="30"/>
      <c r="G559" s="30" t="str">
        <f ca="1">IF(ISERROR(F558),"",G537)</f>
        <v>University Roll No:</v>
      </c>
      <c r="H559" s="30"/>
      <c r="I559" s="31">
        <f ca="1">IFERROR(VLOOKUP(B558,INDIRECT($F$8),2,0),"")</f>
        <v>250090120027</v>
      </c>
      <c r="J559" s="31"/>
      <c r="K559" s="30" t="str">
        <f ca="1">IF(ISERROR(F558),"",K537)</f>
        <v>University Enrol. No:</v>
      </c>
      <c r="L559" s="30"/>
      <c r="M559" s="31" t="str">
        <f ca="1">IFERROR(VLOOKUP(B558,INDIRECT($F$8),3,0),"")</f>
        <v>UTU/2501103593</v>
      </c>
      <c r="N559" s="31"/>
    </row>
    <row r="560" spans="1:24" ht="11.5" customHeight="1" x14ac:dyDescent="0.2">
      <c r="A560" s="30"/>
      <c r="B560" s="30"/>
      <c r="C560" s="30"/>
      <c r="D560" s="30"/>
      <c r="E560" s="30"/>
      <c r="F560" s="30"/>
      <c r="G560" s="30"/>
      <c r="H560" s="30"/>
      <c r="I560" s="31"/>
      <c r="J560" s="31"/>
      <c r="K560" s="30"/>
      <c r="L560" s="30"/>
      <c r="M560" s="31"/>
      <c r="N560" s="31"/>
    </row>
    <row r="561" spans="1:24" ht="11.5" customHeight="1" x14ac:dyDescent="0.2">
      <c r="A561" s="28" t="str">
        <f ca="1">IF(ISERROR(F558),"",A539)</f>
        <v>Subject Code</v>
      </c>
      <c r="B561" s="28" t="str">
        <f ca="1">IF(ISERROR(F558),"",B539)</f>
        <v>Subject Name</v>
      </c>
      <c r="C561" s="28"/>
      <c r="D561" s="28"/>
      <c r="E561" s="28"/>
      <c r="F561" s="28" t="str">
        <f ca="1">IF(ISERROR(F558),"",F539)</f>
        <v>Credits</v>
      </c>
      <c r="G561" s="28" t="str">
        <f ca="1">IF(ISERROR(F558),"",G539)</f>
        <v>External Marks</v>
      </c>
      <c r="H561" s="28"/>
      <c r="I561" s="28" t="str">
        <f ca="1">IF(ISERROR(F558),"",I539)</f>
        <v>Sessional Marks</v>
      </c>
      <c r="J561" s="28"/>
      <c r="K561" s="28" t="str">
        <f ca="1">IF(ISERROR(F558),"",K539)</f>
        <v>Total Marks</v>
      </c>
      <c r="L561" s="28"/>
      <c r="M561" s="28" t="str">
        <f ca="1">IF(ISERROR(F558),"",M539)</f>
        <v>Grade</v>
      </c>
      <c r="N561" s="28" t="str">
        <f ca="1">IF(ISERROR(F558),"",N539)</f>
        <v>Grade Points</v>
      </c>
    </row>
    <row r="562" spans="1:24" ht="11.5" customHeight="1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W562">
        <f ca="1">IF(ISNUMBER(MATCH($F$8,{"I","III","V","VII"},0)),10,10-INDEX(INDIRECT(_xlfn.TEXTJOIN("",TRUE,"SEM_",$G$8,"!",ADDRESS(6,4+$I$8*3+4),":",ADDRESS(5+$H$8,4+$I$8*3+4))),MATCH(INDIRECT(_xlfn.TEXTJOIN("",TRUE,"TC_",$F$8,"!",ADDRESS(ROW(I559),COLUMN(I559)))),INDIRECT(_xlfn.TEXTJOIN("",TRUE,"SEM_",$G$8,"!",ADDRESS(6,2),":",ADDRESS(5+$H$8,2))))))</f>
        <v>10</v>
      </c>
    </row>
    <row r="563" spans="1:24" ht="11.5" customHeight="1" x14ac:dyDescent="0.2">
      <c r="A563" s="7" t="str">
        <f ca="1">IF(ISERROR(F558),"",VLOOKUP(C558,INDIRECT($F$8),6+(O563-1)*3,0))</f>
        <v>AHT 002</v>
      </c>
      <c r="B563" s="24" t="str">
        <f ca="1">IF(ISERROR(F558),"",VLOOKUP(D558,INDIRECT($F$8),6+(O563-1)*3,0))</f>
        <v>Engineering Chemistry</v>
      </c>
      <c r="C563" s="24"/>
      <c r="D563" s="24"/>
      <c r="E563" s="24"/>
      <c r="F563" s="7">
        <f ca="1">IF(ISERROR(F558),"",VLOOKUP(E558,INDIRECT($F$8),6+(O563-1)*3,0))</f>
        <v>4</v>
      </c>
      <c r="G563" s="25" t="str">
        <f ca="1">IF(ISERROR(F558),"",_xlfn.TEXTJOIN("/",FALSE,P563,S563))</f>
        <v>20/100</v>
      </c>
      <c r="H563" s="25"/>
      <c r="I563" s="25" t="str">
        <f ca="1">IF(ISERROR(F558),"",_xlfn.TEXTJOIN("/",FALSE,Q563,T563))</f>
        <v>25/50</v>
      </c>
      <c r="J563" s="25"/>
      <c r="K563" s="25" t="str">
        <f ca="1">IF(ISERROR(F558),"",_xlfn.TEXTJOIN("/",FALSE,R563,U563))</f>
        <v>45/150</v>
      </c>
      <c r="L563" s="25"/>
      <c r="M563" s="7" t="str">
        <f ca="1">IF(ISERROR(F558)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F</v>
      </c>
      <c r="N563" s="8">
        <f ca="1">INDEX($Z$2:$Z$17,MATCH(M563,$Y$2:$Y$17,0))</f>
        <v>0</v>
      </c>
      <c r="O563">
        <v>1</v>
      </c>
      <c r="P563" s="1">
        <f ca="1">IF(ISERROR(F558),"",IF(ISTEXT(VLOOKUP(B558,INDIRECT($F$8),6+(O563-1)*3)),(VLOOKUP(B558,INDIRECT($F$8),6+(O563-1)*3)),SUM(VLOOKUP(B558,INDIRECT($F$8),6+(O563-1)*3),IF(W576,W563,0))))</f>
        <v>20</v>
      </c>
      <c r="Q563" s="1">
        <f ca="1">IF(ISERROR(F558),"",VLOOKUP(B558,INDIRECT($F$8),7+(O563-1)*3))</f>
        <v>25</v>
      </c>
      <c r="R563" s="1">
        <f ca="1">IF(ISERROR(F558),"",SUM(P563:Q563))</f>
        <v>45</v>
      </c>
      <c r="S563" s="1">
        <f ca="1">IF(ISERROR(F558),"",VLOOKUP(A558,INDIRECT($F$8),6+(O563-1)*3))</f>
        <v>100</v>
      </c>
      <c r="T563" s="1">
        <f ca="1">IF(ISERROR(F558),"",VLOOKUP(A558,INDIRECT($F$8),7+(O563-1)*3))</f>
        <v>50</v>
      </c>
      <c r="U563" s="1">
        <f ca="1">IF(ISERROR(F558),"",VLOOKUP(A558,INDIRECT($F$8),8+(O563-1)*3))</f>
        <v>150</v>
      </c>
      <c r="V563" s="1" t="str">
        <f ca="1">IF(ISERROR(F558),"",IF(N563=0,A563,""))</f>
        <v>AHT 002</v>
      </c>
      <c r="W563" s="1">
        <f ca="1">IF(ISERROR(F558),"",IF(ISTEXT(VLOOKUP(B558,INDIRECT($F$8),6+(O563-1)*3)),11,IF(VLOOKUP(B558,INDIRECT($F$8),6+(O563-1)*3)&lt;S563*0.3,IF(VLOOKUP(B558,INDIRECT($F$8),8+(O563-1)*3)&lt;U563*0.4,IF(AND(0.4*U563-VLOOKUP(B558,INDIRECT($F$8),8+(O563-1)*3)&lt;=5,0.3*S563-VLOOKUP(B558,INDIRECT($F$8),6+(O563-1)*3)&lt;=5),MAX(0.4*U563-VLOOKUP(B558,INDIRECT($F$8),8+(O563-1)*3),0.3*S563-VLOOKUP(B558,INDIRECT($F$8),6+(O563-1)*3)),11),IF(0.3*S563-VLOOKUP(B558,INDIRECT($F$8),6+(O563-1)*3)&lt;=5,0.3*S563-VLOOKUP(B558,INDIRECT($F$8),6+(O563-1)*3),11)),IF(VLOOKUP(B558,INDIRECT($F$8),8+(O563-1)*3)&lt;U563*0.4,IF(U563*0.4-VLOOKUP(B558,INDIRECT($F$8),8+(O563-1)*3)&lt;=5,U563*0.4-VLOOKUP(B558,INDIRECT($F$8),8+(O563-1)*3),11),0))))</f>
        <v>11</v>
      </c>
      <c r="X563" s="1" t="str">
        <f ca="1">IF(ISERROR(F558),"",IF(W563=0,"",_xlfn.TEXTJOIN("",FALSE," G+",W563," in ",A563)))</f>
        <v xml:space="preserve"> G+11 in AHT 002</v>
      </c>
    </row>
    <row r="564" spans="1:24" ht="11.5" customHeight="1" x14ac:dyDescent="0.2">
      <c r="A564" s="7" t="str">
        <f ca="1">IF(ISERROR(F558),"",VLOOKUP(C558,INDIRECT($F$8),6+(O564-1)*3,0))</f>
        <v>AHT 003</v>
      </c>
      <c r="B564" s="24" t="str">
        <f ca="1">IF(ISERROR(F558),"",VLOOKUP(D558,INDIRECT($F$8),6+(O564-1)*3,0))</f>
        <v>Introduction to Engineering Mathematics</v>
      </c>
      <c r="C564" s="24"/>
      <c r="D564" s="24"/>
      <c r="E564" s="24"/>
      <c r="F564" s="7">
        <f ca="1">IF(ISERROR(F558),"",VLOOKUP(E558,INDIRECT($F$8),6+(O564-1)*3,0))</f>
        <v>4</v>
      </c>
      <c r="G564" s="25" t="str">
        <f ca="1">IF(ISERROR(F558),"",_xlfn.TEXTJOIN("/",FALSE,P564,S564))</f>
        <v>6/100</v>
      </c>
      <c r="H564" s="25"/>
      <c r="I564" s="25" t="str">
        <f ca="1">IF(ISERROR(F558),"",_xlfn.TEXTJOIN("/",FALSE,Q564,T564))</f>
        <v>11/50</v>
      </c>
      <c r="J564" s="25"/>
      <c r="K564" s="25" t="str">
        <f ca="1">IF(ISERROR(F558),"",_xlfn.TEXTJOIN("/",FALSE,R564,U564))</f>
        <v>17/150</v>
      </c>
      <c r="L564" s="25"/>
      <c r="M564" s="7" t="str">
        <f ca="1">IF(ISERROR(F558)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F</v>
      </c>
      <c r="N564" s="8">
        <f t="shared" ref="N564:N573" ca="1" si="51">INDEX($Z$2:$Z$17,MATCH(M564,$Y$2:$Y$17,0))</f>
        <v>0</v>
      </c>
      <c r="O564">
        <f>O563+1</f>
        <v>2</v>
      </c>
      <c r="P564" s="1">
        <f ca="1">IF(ISERROR(F558),"",IF(ISTEXT(VLOOKUP(B558,INDIRECT($F$8),6+(O564-1)*3)),(VLOOKUP(B558,INDIRECT($F$8),6+(O564-1)*3)),SUM(VLOOKUP(B558,INDIRECT($F$8),6+(O564-1)*3),IF(W576,W564,0))))</f>
        <v>6</v>
      </c>
      <c r="Q564" s="1">
        <f ca="1">IF(ISERROR(F558),"",VLOOKUP(B558,INDIRECT($F$8),7+(O564-1)*3))</f>
        <v>11</v>
      </c>
      <c r="R564" s="1">
        <f ca="1">IF(ISERROR(F558),"",SUM(P564:Q564))</f>
        <v>17</v>
      </c>
      <c r="S564" s="1">
        <f ca="1">IF(ISERROR(F558),"",VLOOKUP(A558,INDIRECT($F$8),6+(O564-1)*3))</f>
        <v>100</v>
      </c>
      <c r="T564" s="1">
        <f ca="1">IF(ISERROR(F558),"",VLOOKUP(A558,INDIRECT($F$8),7+(O564-1)*3))</f>
        <v>50</v>
      </c>
      <c r="U564" s="1">
        <f ca="1">IF(ISERROR(F558),"",VLOOKUP(A558,INDIRECT($F$8),8+(O564-1)*3))</f>
        <v>150</v>
      </c>
      <c r="V564" s="1" t="str">
        <f ca="1">IF(ISERROR(F558),"",IF(N564=0,A564,""))</f>
        <v>AHT 003</v>
      </c>
      <c r="W564" s="1">
        <f ca="1">IF(ISERROR(F558),"",IF(ISTEXT(VLOOKUP(B558,INDIRECT($F$8),6+(O564-1)*3)),11,IF(VLOOKUP(B558,INDIRECT($F$8),6+(O564-1)*3)&lt;S564*0.3,IF(VLOOKUP(B558,INDIRECT($F$8),8+(O564-1)*3)&lt;U564*0.4,IF(AND(0.4*U564-VLOOKUP(B558,INDIRECT($F$8),8+(O564-1)*3)&lt;=5,0.3*S564-VLOOKUP(B558,INDIRECT($F$8),6+(O564-1)*3)&lt;=5),MAX(0.4*U564-VLOOKUP(B558,INDIRECT($F$8),8+(O564-1)*3),0.3*S564-VLOOKUP(B558,INDIRECT($F$8),6+(O564-1)*3)),11),IF(0.3*S564-VLOOKUP(B558,INDIRECT($F$8),6+(O564-1)*3)&lt;=5,0.3*S564-VLOOKUP(B558,INDIRECT($F$8),6+(O564-1)*3),11)),IF(VLOOKUP(B558,INDIRECT($F$8),8+(O564-1)*3)&lt;U564*0.4,IF(U564*0.4-VLOOKUP(B558,INDIRECT($F$8),8+(O564-1)*3)&lt;=5,U564*0.4-VLOOKUP(B558,INDIRECT($F$8),8+(O564-1)*3),11),0))))</f>
        <v>11</v>
      </c>
      <c r="X564" s="1" t="str">
        <f ca="1">IF(ISERROR(F558),"",IF(W564=0,"",_xlfn.TEXTJOIN("",FALSE," G+",W564," in ",A564)))</f>
        <v xml:space="preserve"> G+11 in AHT 003</v>
      </c>
    </row>
    <row r="565" spans="1:24" ht="11.5" customHeight="1" x14ac:dyDescent="0.2">
      <c r="A565" s="7" t="str">
        <f ca="1">IF(ISERROR(F558),"",VLOOKUP(C558,INDIRECT($F$8),6+(O565-1)*3,0))</f>
        <v>ECT 001</v>
      </c>
      <c r="B565" s="24" t="str">
        <f ca="1">IF(ISERROR(F558),"",VLOOKUP(D558,INDIRECT($F$8),6+(O565-1)*3,0))</f>
        <v>Basic Electronics Engineering</v>
      </c>
      <c r="C565" s="24"/>
      <c r="D565" s="24"/>
      <c r="E565" s="24"/>
      <c r="F565" s="7">
        <f ca="1">IF(ISERROR(F558),"",VLOOKUP(E558,INDIRECT($F$8),6+(O565-1)*3,0))</f>
        <v>4</v>
      </c>
      <c r="G565" s="25" t="str">
        <f ca="1">IF(ISERROR(F558),"",_xlfn.TEXTJOIN("/",FALSE,P565,S565))</f>
        <v>17/100</v>
      </c>
      <c r="H565" s="25"/>
      <c r="I565" s="25" t="str">
        <f ca="1">IF(ISERROR(F558),"",_xlfn.TEXTJOIN("/",FALSE,Q565,T565))</f>
        <v>35/50</v>
      </c>
      <c r="J565" s="25"/>
      <c r="K565" s="25" t="str">
        <f ca="1">IF(ISERROR(F558),"",_xlfn.TEXTJOIN("/",FALSE,R565,U565))</f>
        <v>52/150</v>
      </c>
      <c r="L565" s="25"/>
      <c r="M565" s="7" t="str">
        <f ca="1">IF(ISERROR(F558)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F</v>
      </c>
      <c r="N565" s="8">
        <f t="shared" ca="1" si="51"/>
        <v>0</v>
      </c>
      <c r="O565">
        <f>O564+1</f>
        <v>3</v>
      </c>
      <c r="P565" s="1">
        <f ca="1">IF(ISERROR(F558),"",IF(ISTEXT(VLOOKUP(B558,INDIRECT($F$8),6+(O565-1)*3)),(VLOOKUP(B558,INDIRECT($F$8),6+(O565-1)*3)),SUM(VLOOKUP(B558,INDIRECT($F$8),6+(O565-1)*3),IF(W576,W565,0))))</f>
        <v>17</v>
      </c>
      <c r="Q565" s="1">
        <f ca="1">IF(ISERROR(F558),"",VLOOKUP(B558,INDIRECT($F$8),7+(O565-1)*3))</f>
        <v>35</v>
      </c>
      <c r="R565" s="1">
        <f ca="1">IF(ISERROR(F558),"",SUM(P565:Q565))</f>
        <v>52</v>
      </c>
      <c r="S565" s="1">
        <f ca="1">IF(ISERROR(F558),"",VLOOKUP(A558,INDIRECT($F$8),6+(O565-1)*3))</f>
        <v>100</v>
      </c>
      <c r="T565" s="1">
        <f ca="1">IF(ISERROR(F558),"",VLOOKUP(A558,INDIRECT($F$8),7+(O565-1)*3))</f>
        <v>50</v>
      </c>
      <c r="U565" s="1">
        <f ca="1">IF(ISERROR(F558),"",VLOOKUP(A558,INDIRECT($F$8),8+(O565-1)*3))</f>
        <v>150</v>
      </c>
      <c r="V565" s="1" t="str">
        <f ca="1">IF(ISERROR(F558),"",IF(N565=0,A565,""))</f>
        <v>ECT 001</v>
      </c>
      <c r="W565" s="1">
        <f ca="1">IF(ISERROR(F558),"",IF(ISTEXT(VLOOKUP(B558,INDIRECT($F$8),6+(O565-1)*3)),11,IF(VLOOKUP(B558,INDIRECT($F$8),6+(O565-1)*3)&lt;S565*0.3,IF(VLOOKUP(B558,INDIRECT($F$8),8+(O565-1)*3)&lt;U565*0.4,IF(AND(0.4*U565-VLOOKUP(B558,INDIRECT($F$8),8+(O565-1)*3)&lt;=5,0.3*S565-VLOOKUP(B558,INDIRECT($F$8),6+(O565-1)*3)&lt;=5),MAX(0.4*U565-VLOOKUP(B558,INDIRECT($F$8),8+(O565-1)*3),0.3*S565-VLOOKUP(B558,INDIRECT($F$8),6+(O565-1)*3)),11),IF(0.3*S565-VLOOKUP(B558,INDIRECT($F$8),6+(O565-1)*3)&lt;=5,0.3*S565-VLOOKUP(B558,INDIRECT($F$8),6+(O565-1)*3),11)),IF(VLOOKUP(B558,INDIRECT($F$8),8+(O565-1)*3)&lt;U565*0.4,IF(U565*0.4-VLOOKUP(B558,INDIRECT($F$8),8+(O565-1)*3)&lt;=5,U565*0.4-VLOOKUP(B558,INDIRECT($F$8),8+(O565-1)*3),11),0))))</f>
        <v>11</v>
      </c>
      <c r="X565" s="1" t="str">
        <f ca="1">IF(ISERROR(F558),"",IF(W565=0,"",_xlfn.TEXTJOIN("",FALSE," G+",W565," in ",A565)))</f>
        <v xml:space="preserve"> G+11 in ECT 001</v>
      </c>
    </row>
    <row r="566" spans="1:24" ht="11.5" customHeight="1" x14ac:dyDescent="0.2">
      <c r="A566" s="7" t="str">
        <f ca="1">IF(ISERROR(F558),"",VLOOKUP(C558,INDIRECT($F$8),6+(O566-1)*3,0))</f>
        <v>MET 001</v>
      </c>
      <c r="B566" s="24" t="str">
        <f ca="1">IF(ISERROR(F558),"",VLOOKUP(D558,INDIRECT($F$8),6+(O566-1)*3,0))</f>
        <v>Basic Mechanical Engineering</v>
      </c>
      <c r="C566" s="24"/>
      <c r="D566" s="24"/>
      <c r="E566" s="24"/>
      <c r="F566" s="7">
        <f ca="1">IF(ISERROR(F558),"",VLOOKUP(E558,INDIRECT($F$8),6+(O566-1)*3,0))</f>
        <v>4</v>
      </c>
      <c r="G566" s="25" t="str">
        <f ca="1">IF(ISERROR(F558),"",_xlfn.TEXTJOIN("/",FALSE,P566,S566))</f>
        <v>38/100</v>
      </c>
      <c r="H566" s="25"/>
      <c r="I566" s="25" t="str">
        <f ca="1">IF(ISERROR(F558),"",_xlfn.TEXTJOIN("/",FALSE,Q566,T566))</f>
        <v>27/50</v>
      </c>
      <c r="J566" s="25"/>
      <c r="K566" s="25" t="str">
        <f ca="1">IF(ISERROR(F558),"",_xlfn.TEXTJOIN("/",FALSE,R566,U566))</f>
        <v>65/150</v>
      </c>
      <c r="L566" s="25"/>
      <c r="M566" s="7" t="str">
        <f ca="1">IF(ISERROR(F558)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P</v>
      </c>
      <c r="N566" s="8">
        <f t="shared" ca="1" si="51"/>
        <v>4.5</v>
      </c>
      <c r="O566">
        <f>O565+1</f>
        <v>4</v>
      </c>
      <c r="P566" s="1">
        <f ca="1">IF(ISERROR(F558),"",IF(ISTEXT(VLOOKUP(B558,INDIRECT($F$8),6+(O566-1)*3)),(VLOOKUP(B558,INDIRECT($F$8),6+(O566-1)*3)),SUM(VLOOKUP(B558,INDIRECT($F$8),6+(O566-1)*3),IF(W576,W566,0))))</f>
        <v>38</v>
      </c>
      <c r="Q566" s="1">
        <f ca="1">IF(ISERROR(F558),"",VLOOKUP(B558,INDIRECT($F$8),7+(O566-1)*3))</f>
        <v>27</v>
      </c>
      <c r="R566" s="1">
        <f ca="1">IF(ISERROR(F558),"",SUM(P566:Q566))</f>
        <v>65</v>
      </c>
      <c r="S566" s="1">
        <f ca="1">IF(ISERROR(F558),"",VLOOKUP(A558,INDIRECT($F$8),6+(O566-1)*3))</f>
        <v>100</v>
      </c>
      <c r="T566" s="1">
        <f ca="1">IF(ISERROR(F558),"",VLOOKUP(A558,INDIRECT($F$8),7+(O566-1)*3))</f>
        <v>50</v>
      </c>
      <c r="U566" s="1">
        <f ca="1">IF(ISERROR(F558),"",VLOOKUP(A558,INDIRECT($F$8),8+(O566-1)*3))</f>
        <v>150</v>
      </c>
      <c r="V566" s="1" t="str">
        <f ca="1">IF(ISERROR(F558),"",IF(N566=0,A566,""))</f>
        <v/>
      </c>
      <c r="W566" s="1">
        <f ca="1">IF(ISERROR(F558),"",IF(ISTEXT(VLOOKUP(B558,INDIRECT($F$8),6+(O566-1)*3)),11,IF(VLOOKUP(B558,INDIRECT($F$8),6+(O566-1)*3)&lt;S566*0.3,IF(VLOOKUP(B558,INDIRECT($F$8),8+(O566-1)*3)&lt;U566*0.4,IF(AND(0.4*U566-VLOOKUP(B558,INDIRECT($F$8),8+(O566-1)*3)&lt;=5,0.3*S566-VLOOKUP(B558,INDIRECT($F$8),6+(O566-1)*3)&lt;=5),MAX(0.4*U566-VLOOKUP(B558,INDIRECT($F$8),8+(O566-1)*3),0.3*S566-VLOOKUP(B558,INDIRECT($F$8),6+(O566-1)*3)),11),IF(0.3*S566-VLOOKUP(B558,INDIRECT($F$8),6+(O566-1)*3)&lt;=5,0.3*S566-VLOOKUP(B558,INDIRECT($F$8),6+(O566-1)*3),11)),IF(VLOOKUP(B558,INDIRECT($F$8),8+(O566-1)*3)&lt;U566*0.4,IF(U566*0.4-VLOOKUP(B558,INDIRECT($F$8),8+(O566-1)*3)&lt;=5,U566*0.4-VLOOKUP(B558,INDIRECT($F$8),8+(O566-1)*3),11),0))))</f>
        <v>0</v>
      </c>
      <c r="X566" s="1" t="str">
        <f ca="1">IF(ISERROR(F558),"",IF(W566=0,"",_xlfn.TEXTJOIN("",FALSE," G+",W566," in ",A566)))</f>
        <v/>
      </c>
    </row>
    <row r="567" spans="1:24" ht="11.5" customHeight="1" x14ac:dyDescent="0.2">
      <c r="A567" s="7" t="str">
        <f ca="1">IF(ISERROR(F558),"",VLOOKUP(C558,INDIRECT($F$8),6+(O567-1)*3,0))</f>
        <v>AHT 000</v>
      </c>
      <c r="B567" s="24" t="str">
        <f ca="1">IF(ISERROR(F558),"",VLOOKUP(D558,INDIRECT($F$8),6+(O567-1)*3,0))</f>
        <v>Basic Mathematics (Bridge Course) ($)</v>
      </c>
      <c r="C567" s="24"/>
      <c r="D567" s="24"/>
      <c r="E567" s="24"/>
      <c r="F567" s="7">
        <f ca="1">IF(ISERROR(F558),"",VLOOKUP(E558,INDIRECT($F$8),6+(O567-1)*3,0))</f>
        <v>0</v>
      </c>
      <c r="G567" s="25" t="str">
        <f ca="1">IF(ISERROR(F558),"",_xlfn.TEXTJOIN("/",FALSE,P567,S567))</f>
        <v>39/100</v>
      </c>
      <c r="H567" s="25"/>
      <c r="I567" s="25" t="str">
        <f ca="1">IF(ISERROR(F558),"",_xlfn.TEXTJOIN("/",FALSE,Q567,T567))</f>
        <v>21/50</v>
      </c>
      <c r="J567" s="25"/>
      <c r="K567" s="25" t="str">
        <f ca="1">IF(ISERROR(F558),"",_xlfn.TEXTJOIN("/",FALSE,R567,U567))</f>
        <v>60/150</v>
      </c>
      <c r="L567" s="25"/>
      <c r="M567" s="7" t="str">
        <f ca="1">IF(ISERROR(F558)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P</v>
      </c>
      <c r="N567" s="8">
        <f t="shared" ca="1" si="51"/>
        <v>4.5</v>
      </c>
      <c r="O567" cm="1">
        <f t="array" aca="1" ref="O567" ca="1">IF(NOT(ISBLANK(INDIRECT("SEM_I!R"&amp;INT((ROW(O567)-17)/22)+6))),5,
IF(NOT(ISBLANK(INDIRECT("SEM_I!U"&amp;INT((ROW(O567)-17)/22)+6))),6))</f>
        <v>5</v>
      </c>
      <c r="P567" s="1">
        <f ca="1">IF(ISERROR(F558),"",IF(ISTEXT(VLOOKUP(B558,INDIRECT($F$8),6+(O567-1)*3)),(VLOOKUP(B558,INDIRECT($F$8),6+(O567-1)*3)),SUM(VLOOKUP(B558,INDIRECT($F$8),6+(O567-1)*3),IF(W576,W567,0))))</f>
        <v>39</v>
      </c>
      <c r="Q567" s="1">
        <f ca="1">IF(ISERROR(F558),"",VLOOKUP(B558,INDIRECT($F$8),7+(O567-1)*3))</f>
        <v>21</v>
      </c>
      <c r="R567" s="1">
        <f ca="1">IF(ISERROR(F558),"",SUM(P567:Q567))</f>
        <v>60</v>
      </c>
      <c r="S567" s="1">
        <f ca="1">IF(ISERROR(F558),"",VLOOKUP(A558,INDIRECT($F$8),6+(O567-1)*3))</f>
        <v>100</v>
      </c>
      <c r="T567" s="1">
        <f ca="1">IF(ISERROR(F558),"",VLOOKUP(A558,INDIRECT($F$8),7+(O567-1)*3))</f>
        <v>50</v>
      </c>
      <c r="U567" s="1">
        <f ca="1">IF(ISERROR(F558),"",VLOOKUP(A558,INDIRECT($F$8),8+(O567-1)*3))</f>
        <v>150</v>
      </c>
      <c r="V567" s="1" t="str">
        <f ca="1">IF(ISERROR(F558),"",IF(N567=0,A567,""))</f>
        <v/>
      </c>
      <c r="W567" s="1">
        <f ca="1">IF(ISERROR(F558),"",IF(ISTEXT(VLOOKUP(B558,INDIRECT($F$8),6+(O567-1)*3)),11,IF(VLOOKUP(B558,INDIRECT($F$8),6+(O567-1)*3)&lt;S567*0.3,IF(VLOOKUP(B558,INDIRECT($F$8),8+(O567-1)*3)&lt;U567*0.4,IF(AND(0.4*U567-VLOOKUP(B558,INDIRECT($F$8),8+(O567-1)*3)&lt;=5,0.3*S567-VLOOKUP(B558,INDIRECT($F$8),6+(O567-1)*3)&lt;=5),MAX(0.4*U567-VLOOKUP(B558,INDIRECT($F$8),8+(O567-1)*3),0.3*S567-VLOOKUP(B558,INDIRECT($F$8),6+(O567-1)*3)),11),IF(0.3*S567-VLOOKUP(B558,INDIRECT($F$8),6+(O567-1)*3)&lt;=5,0.3*S567-VLOOKUP(B558,INDIRECT($F$8),6+(O567-1)*3),11)),IF(VLOOKUP(B558,INDIRECT($F$8),8+(O567-1)*3)&lt;U567*0.4,IF(U567*0.4-VLOOKUP(B558,INDIRECT($F$8),8+(O567-1)*3)&lt;=5,U567*0.4-VLOOKUP(B558,INDIRECT($F$8),8+(O567-1)*3),11),0))))</f>
        <v>0</v>
      </c>
      <c r="X567" s="1" t="str">
        <f ca="1">IF(ISERROR(F558),"",IF(W567=0,"",_xlfn.TEXTJOIN("",FALSE," G+",W567," in ",A567)))</f>
        <v/>
      </c>
    </row>
    <row r="568" spans="1:24" ht="11.5" customHeight="1" x14ac:dyDescent="0.2">
      <c r="A568" s="7" t="str">
        <f ca="1">IF(ISERROR(F558),"",VLOOKUP(C558,INDIRECT($F$8),6+(O568-1)*3,0))</f>
        <v>AHP 002</v>
      </c>
      <c r="B568" s="24" t="str">
        <f ca="1">IF(ISERROR(F558),"",VLOOKUP(D558,INDIRECT($F$8),6+(O568-1)*3,0))</f>
        <v>Engineering Chemistry Lab</v>
      </c>
      <c r="C568" s="24"/>
      <c r="D568" s="24"/>
      <c r="E568" s="24"/>
      <c r="F568" s="7">
        <f ca="1">IF(ISERROR(F558),"",VLOOKUP(E558,INDIRECT($F$8),6+(O568-1)*3,0))</f>
        <v>1</v>
      </c>
      <c r="G568" s="25" t="str">
        <f ca="1">IF(ISERROR(F558),"",_xlfn.TEXTJOIN("/",FALSE,P568,S568))</f>
        <v>15/25</v>
      </c>
      <c r="H568" s="25"/>
      <c r="I568" s="25" t="str">
        <f ca="1">IF(ISERROR(F558),"",_xlfn.TEXTJOIN("/",FALSE,Q568,T568))</f>
        <v>15/25</v>
      </c>
      <c r="J568" s="25"/>
      <c r="K568" s="25" t="str">
        <f ca="1">IF(ISERROR(F558),"",_xlfn.TEXTJOIN("/",FALSE,R568,U568))</f>
        <v>30/50</v>
      </c>
      <c r="L568" s="25"/>
      <c r="M568" s="7" t="str">
        <f ca="1">IF(ISERROR(F558)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D+</v>
      </c>
      <c r="N568" s="8">
        <f t="shared" ca="1" si="51"/>
        <v>6.5</v>
      </c>
      <c r="O568">
        <f ca="1">IF(O567&gt;0,7)</f>
        <v>7</v>
      </c>
      <c r="P568" s="1">
        <f ca="1">IF(ISERROR(F558),"",IF(ISTEXT(VLOOKUP(B558,INDIRECT($F$8),6+(O568-1)*3)),(VLOOKUP(B558,INDIRECT($F$8),6+(O568-1)*3)),SUM(VLOOKUP(B558,INDIRECT($F$8),6+(O568-1)*3),IF(W576,W568,0))))</f>
        <v>15</v>
      </c>
      <c r="Q568" s="1">
        <f ca="1">IF(ISERROR(F558),"",VLOOKUP(B558,INDIRECT($F$8),7+(O568-1)*3))</f>
        <v>15</v>
      </c>
      <c r="R568" s="1">
        <f ca="1">IF(ISERROR(F558),"",SUM(P568:Q568))</f>
        <v>30</v>
      </c>
      <c r="S568" s="1">
        <f ca="1">IF(ISERROR(F558),"",VLOOKUP(A558,INDIRECT($F$8),6+(O568-1)*3))</f>
        <v>25</v>
      </c>
      <c r="T568" s="1">
        <f ca="1">IF(ISERROR(F558),"",VLOOKUP(A558,INDIRECT($F$8),7+(O568-1)*3))</f>
        <v>25</v>
      </c>
      <c r="U568" s="1">
        <f ca="1">IF(ISERROR(F558),"",VLOOKUP(A558,INDIRECT($F$8),8+(O568-1)*3))</f>
        <v>50</v>
      </c>
      <c r="V568" s="1" t="str">
        <f ca="1">IF(ISERROR(F558),"",IF(N568=0,A568,""))</f>
        <v/>
      </c>
      <c r="W568" s="1">
        <f ca="1">IF(ISERROR(F558),"",IF(ISTEXT(VLOOKUP(B558,INDIRECT($F$8),6+(O568-1)*3)),11,IF(VLOOKUP(B558,INDIRECT($F$8),6+(O568-1)*3)&lt;S568*0.3,IF(VLOOKUP(B558,INDIRECT($F$8),8+(O568-1)*3)&lt;U568*0.4,IF(AND(0.4*U568-VLOOKUP(B558,INDIRECT($F$8),8+(O568-1)*3)&lt;=5,0.3*S568-VLOOKUP(B558,INDIRECT($F$8),6+(O568-1)*3)&lt;=5),MAX(0.4*U568-VLOOKUP(B558,INDIRECT($F$8),8+(O568-1)*3),0.3*S568-VLOOKUP(B558,INDIRECT($F$8),6+(O568-1)*3)),11),IF(0.3*S568-VLOOKUP(B558,INDIRECT($F$8),6+(O568-1)*3)&lt;=5,0.3*S568-VLOOKUP(B558,INDIRECT($F$8),6+(O568-1)*3),11)),IF(VLOOKUP(B558,INDIRECT($F$8),8+(O568-1)*3)&lt;U568*0.4,IF(U568*0.4-VLOOKUP(B558,INDIRECT($F$8),8+(O568-1)*3)&lt;=5,U568*0.4-VLOOKUP(B558,INDIRECT($F$8),8+(O568-1)*3),11),0))))</f>
        <v>0</v>
      </c>
      <c r="X568" s="1" t="str">
        <f ca="1">IF(ISERROR(F558),"",IF(W568=0,"",_xlfn.TEXTJOIN("",FALSE," G+",W568," in ",A568)))</f>
        <v/>
      </c>
    </row>
    <row r="569" spans="1:24" ht="11.5" customHeight="1" x14ac:dyDescent="0.2">
      <c r="A569" s="7" t="str">
        <f ca="1">IF(ISERROR(F558),"",VLOOKUP(C558,INDIRECT($F$8),6+(O569-1)*3,0))</f>
        <v>ECP 001</v>
      </c>
      <c r="B569" s="24" t="str">
        <f ca="1">IF(ISERROR(F558),"",VLOOKUP(D558,INDIRECT($F$8),6+(O569-1)*3,0))</f>
        <v>Basic Electronics Engineering Lab</v>
      </c>
      <c r="C569" s="24"/>
      <c r="D569" s="24"/>
      <c r="E569" s="24"/>
      <c r="F569" s="7">
        <f ca="1">IF(ISERROR(F558),"",VLOOKUP(E558,INDIRECT($F$8),6+(O569-1)*3,0))</f>
        <v>1</v>
      </c>
      <c r="G569" s="25" t="str">
        <f ca="1">IF(ISERROR(F558),"",_xlfn.TEXTJOIN("/",FALSE,P569,S569))</f>
        <v>15/25</v>
      </c>
      <c r="H569" s="25"/>
      <c r="I569" s="25" t="str">
        <f ca="1">IF(ISERROR(F558),"",_xlfn.TEXTJOIN("/",FALSE,Q569,T569))</f>
        <v>17/25</v>
      </c>
      <c r="J569" s="25"/>
      <c r="K569" s="25" t="str">
        <f ca="1">IF(ISERROR(F558),"",_xlfn.TEXTJOIN("/",FALSE,R569,U569))</f>
        <v>32/50</v>
      </c>
      <c r="L569" s="25"/>
      <c r="M569" s="7" t="str">
        <f ca="1">IF(ISERROR(F558)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D+</v>
      </c>
      <c r="N569" s="8">
        <f t="shared" ca="1" si="51"/>
        <v>6.5</v>
      </c>
      <c r="O569">
        <f t="shared" ref="O569:O575" ca="1" si="52">O568+1</f>
        <v>8</v>
      </c>
      <c r="P569" s="1">
        <f ca="1">IF(ISERROR(F558),"",IF(ISTEXT(VLOOKUP(B558,INDIRECT($F$8),6+(O569-1)*3)),(VLOOKUP(B558,INDIRECT($F$8),6+(O569-1)*3)),SUM(VLOOKUP(B558,INDIRECT($F$8),6+(O569-1)*3),IF(W576,W569,0))))</f>
        <v>15</v>
      </c>
      <c r="Q569" s="1">
        <f ca="1">IF(ISERROR(F558),"",VLOOKUP(B558,INDIRECT($F$8),7+(O569-1)*3))</f>
        <v>17</v>
      </c>
      <c r="R569" s="1">
        <f ca="1">IF(ISERROR(F558),"",SUM(P569:Q569))</f>
        <v>32</v>
      </c>
      <c r="S569" s="1">
        <f ca="1">IF(ISERROR(F558),"",VLOOKUP(A558,INDIRECT($F$8),6+(O569-1)*3))</f>
        <v>25</v>
      </c>
      <c r="T569" s="1">
        <f ca="1">IF(ISERROR(F558),"",VLOOKUP(A558,INDIRECT($F$8),7+(O569-1)*3))</f>
        <v>25</v>
      </c>
      <c r="U569" s="1">
        <f ca="1">IF(ISERROR(F558),"",VLOOKUP(A558,INDIRECT($F$8),8+(O569-1)*3))</f>
        <v>50</v>
      </c>
      <c r="V569" s="1" t="str">
        <f ca="1">IF(ISERROR(F558),"",IF(N569=0,A569,""))</f>
        <v/>
      </c>
      <c r="W569" s="1">
        <f ca="1">IF(ISERROR(F558),"",IF(ISTEXT(VLOOKUP(B558,INDIRECT($F$8),6+(O569-1)*3)),11,IF(VLOOKUP(B558,INDIRECT($F$8),6+(O569-1)*3)&lt;S569*0.3,IF(VLOOKUP(B558,INDIRECT($F$8),8+(O569-1)*3)&lt;U569*0.4,IF(AND(0.4*U569-VLOOKUP(B558,INDIRECT($F$8),8+(O569-1)*3)&lt;=5,0.3*S569-VLOOKUP(B558,INDIRECT($F$8),6+(O569-1)*3)&lt;=5),MAX(0.4*U569-VLOOKUP(B558,INDIRECT($F$8),8+(O569-1)*3),0.3*S569-VLOOKUP(B558,INDIRECT($F$8),6+(O569-1)*3)),11),IF(0.3*S569-VLOOKUP(B558,INDIRECT($F$8),6+(O569-1)*3)&lt;=5,0.3*S569-VLOOKUP(B558,INDIRECT($F$8),6+(O569-1)*3),11)),IF(VLOOKUP(B558,INDIRECT($F$8),8+(O569-1)*3)&lt;U569*0.4,IF(U569*0.4-VLOOKUP(B558,INDIRECT($F$8),8+(O569-1)*3)&lt;=5,U569*0.4-VLOOKUP(B558,INDIRECT($F$8),8+(O569-1)*3),11),0))))</f>
        <v>0</v>
      </c>
      <c r="X569" s="1" t="str">
        <f ca="1">IF(ISERROR(F558),"",IF(W569=0,"",_xlfn.TEXTJOIN("",FALSE," G+",W569," in ",A569)))</f>
        <v/>
      </c>
    </row>
    <row r="570" spans="1:24" ht="11.5" customHeight="1" x14ac:dyDescent="0.2">
      <c r="A570" s="7" t="str">
        <f ca="1">IF(ISERROR(F558),"",VLOOKUP(C558,INDIRECT($F$8),6+(O570-1)*3,0))</f>
        <v>MEP 001</v>
      </c>
      <c r="B570" s="24" t="str">
        <f ca="1">IF(ISERROR(F558),"",VLOOKUP(D558,INDIRECT($F$8),6+(O570-1)*3,0))</f>
        <v>Basic Mechanical Engineering Lab</v>
      </c>
      <c r="C570" s="24"/>
      <c r="D570" s="24"/>
      <c r="E570" s="24"/>
      <c r="F570" s="7">
        <f ca="1">IF(ISERROR(F558),"",VLOOKUP(E558,INDIRECT($F$8),6+(O570-1)*3,0))</f>
        <v>1</v>
      </c>
      <c r="G570" s="25" t="str">
        <f ca="1">IF(ISERROR(F558),"",_xlfn.TEXTJOIN("/",FALSE,P570,S570))</f>
        <v>20/25</v>
      </c>
      <c r="H570" s="25"/>
      <c r="I570" s="25" t="str">
        <f ca="1">IF(ISERROR(F558),"",_xlfn.TEXTJOIN("/",FALSE,Q570,T570))</f>
        <v>21/25</v>
      </c>
      <c r="J570" s="25"/>
      <c r="K570" s="25" t="str">
        <f ca="1">IF(ISERROR(F558),"",_xlfn.TEXTJOIN("/",FALSE,R570,U570))</f>
        <v>41/50</v>
      </c>
      <c r="L570" s="25"/>
      <c r="M570" s="7" t="str">
        <f ca="1">IF(ISERROR(F558),"",IF(ISTEXT(P570),IF(P570="A","Ab",IF(P570="D","Dt",IF(P570="UFM","UFM",IF(P570="NA","")))),IF(AND(ISBLANK(P570),ISBLANK(R570)),"",IF(P570&lt;0.3*S570,"F",IF(ISBLANK(R570),"",IF(ISTEXT(R570),R570,IF(R570&gt;=0.95*U570,"O",IF(R570&gt;=0.9*U570,"A+",IF(R570&gt;=0.85*U570,"A",IF(R570&gt;=0.8*U570,"B+",IF(R570&gt;=0.75*U570,"B",IF(R570&gt;=0.7*U570,"C+",IF(R570&gt;=0.65*U570,"C",IF(R570&gt;=0.6*U570,"D+",IF(R570&gt;=0.55*U570,"D",IF(R570&gt;=0.5*U570,"E+",IF(R570&gt;=0.45*U570,"E",IF(R570&gt;=0.4*U570,"P",IF(R570&lt;0.4*U570,"F",R570)))))))))))))))))))</f>
        <v>B+</v>
      </c>
      <c r="N570" s="8">
        <f t="shared" ca="1" si="51"/>
        <v>8.5</v>
      </c>
      <c r="O570">
        <f t="shared" ca="1" si="52"/>
        <v>9</v>
      </c>
      <c r="P570" s="1">
        <f ca="1">IF(ISERROR(F558),"",IF(ISTEXT(VLOOKUP(B558,INDIRECT($F$8),6+(O570-1)*3)),(VLOOKUP(B558,INDIRECT($F$8),6+(O570-1)*3)),SUM(VLOOKUP(B558,INDIRECT($F$8),6+(O570-1)*3),IF(W576,W570,0))))</f>
        <v>20</v>
      </c>
      <c r="Q570" s="1">
        <f ca="1">IF(ISERROR(F558),"",VLOOKUP(B558,INDIRECT($F$8),7+(O570-1)*3))</f>
        <v>21</v>
      </c>
      <c r="R570" s="1">
        <f ca="1">IF(ISERROR(F558),"",SUM(P570:Q570))</f>
        <v>41</v>
      </c>
      <c r="S570" s="1">
        <f ca="1">IF(ISERROR(F558),"",VLOOKUP(A558,INDIRECT($F$8),6+(O570-1)*3))</f>
        <v>25</v>
      </c>
      <c r="T570" s="1">
        <f ca="1">IF(ISERROR(F558),"",VLOOKUP(A558,INDIRECT($F$8),7+(O570-1)*3))</f>
        <v>25</v>
      </c>
      <c r="U570" s="1">
        <f ca="1">IF(ISERROR(F558),"",VLOOKUP(A558,INDIRECT($F$8),8+(O570-1)*3))</f>
        <v>50</v>
      </c>
      <c r="V570" s="1" t="str">
        <f ca="1">IF(ISERROR(F558),"",IF(N570=0,A570,""))</f>
        <v/>
      </c>
      <c r="W570" s="1">
        <f ca="1">IF(ISERROR(F558),"",IF(ISTEXT(VLOOKUP(B558,INDIRECT($F$8),6+(O570-1)*3)),11,IF(VLOOKUP(B558,INDIRECT($F$8),6+(O570-1)*3)&lt;S570*0.3,IF(VLOOKUP(B558,INDIRECT($F$8),8+(O570-1)*3)&lt;U570*0.4,IF(AND(0.4*U570-VLOOKUP(B558,INDIRECT($F$8),8+(O570-1)*3)&lt;=5,0.3*S570-VLOOKUP(B558,INDIRECT($F$8),6+(O570-1)*3)&lt;=5),MAX(0.4*U570-VLOOKUP(B558,INDIRECT($F$8),8+(O570-1)*3),0.3*S570-VLOOKUP(B558,INDIRECT($F$8),6+(O570-1)*3)),11),IF(0.3*S570-VLOOKUP(B558,INDIRECT($F$8),6+(O570-1)*3)&lt;=5,0.3*S570-VLOOKUP(B558,INDIRECT($F$8),6+(O570-1)*3),11)),IF(VLOOKUP(B558,INDIRECT($F$8),8+(O570-1)*3)&lt;U570*0.4,IF(U570*0.4-VLOOKUP(B558,INDIRECT($F$8),8+(O570-1)*3)&lt;=5,U570*0.4-VLOOKUP(B558,INDIRECT($F$8),8+(O570-1)*3),11),0))))</f>
        <v>0</v>
      </c>
      <c r="X570" s="1" t="str">
        <f ca="1">IF(ISERROR(F558),"",IF(W570=0,"",_xlfn.TEXTJOIN("",FALSE," G+",W570," in ",A570)))</f>
        <v/>
      </c>
    </row>
    <row r="571" spans="1:24" ht="11.5" customHeight="1" x14ac:dyDescent="0.2">
      <c r="A571" s="7" t="str">
        <f ca="1">IF(ISERROR(F558),"",VLOOKUP(C558,INDIRECT($F$8),6+(O571-1)*3,0))</f>
        <v>MEP 003</v>
      </c>
      <c r="B571" s="24" t="str">
        <f ca="1">IF(ISERROR(F558),"",VLOOKUP(D558,INDIRECT($F$8),6+(O571-1)*3-Z571,0))</f>
        <v>Workshop Practices Lab</v>
      </c>
      <c r="C571" s="24"/>
      <c r="D571" s="24"/>
      <c r="E571" s="24"/>
      <c r="F571" s="7">
        <f ca="1">IF(ISERROR(F558),"",VLOOKUP(E558,INDIRECT($F$8),6+(O571-1)*3,0))</f>
        <v>2</v>
      </c>
      <c r="G571" s="25" t="str">
        <f ca="1">IF(ISERROR(F558),"",_xlfn.TEXTJOIN("/",FALSE,P571,S571))</f>
        <v>42/50</v>
      </c>
      <c r="H571" s="25"/>
      <c r="I571" s="25" t="str">
        <f ca="1">IF(ISERROR(F558),"",_xlfn.TEXTJOIN("/",FALSE,Q571,T571))</f>
        <v>41/50</v>
      </c>
      <c r="J571" s="25"/>
      <c r="K571" s="25" t="str">
        <f ca="1">IF(ISERROR(F558),"",_xlfn.TEXTJOIN("/",FALSE,R571,U571))</f>
        <v>83/100</v>
      </c>
      <c r="L571" s="25"/>
      <c r="M571" s="7" t="str">
        <f ca="1">IF(ISERROR(F558),"",IF(ISTEXT(P571),IF(P571="A","Ab",IF(P571="D","Dt",IF(P571="UFM","UFM",IF(P571="NA","")))),IF(AND(ISBLANK(P571),ISBLANK(R571)),"",IF(P571&lt;0.3*S571,"F",IF(ISBLANK(R571),"",IF(ISTEXT(R571),R571,IF(R571&gt;=0.95*U571,"O",IF(R571&gt;=0.9*U571,"A+",IF(R571&gt;=0.85*U571,"A",IF(R571&gt;=0.8*U571,"B+",IF(R571&gt;=0.75*U571,"B",IF(R571&gt;=0.7*U571,"C+",IF(R571&gt;=0.65*U571,"C",IF(R571&gt;=0.6*U571,"D+",IF(R571&gt;=0.55*U571,"D",IF(R571&gt;=0.5*U571,"E+",IF(R571&gt;=0.45*U571,"E",IF(R571&gt;=0.4*U571,"P",IF(R571&lt;0.4*U571,"F",R571)))))))))))))))))))</f>
        <v>B+</v>
      </c>
      <c r="N571" s="8">
        <f t="shared" ca="1" si="51"/>
        <v>8.5</v>
      </c>
      <c r="O571">
        <f t="shared" ca="1" si="52"/>
        <v>10</v>
      </c>
      <c r="P571" s="1">
        <f ca="1">IF(ISERROR(F558),"",IF(ISTEXT(VLOOKUP(B558,INDIRECT($F$8),6+(O571-1)*3)),(VLOOKUP(B558,INDIRECT($F$8),6+(O571-1)*3)),SUM(VLOOKUP(B558,INDIRECT($F$8),6+(O571-1)*3),IF(W576,W571,0))))</f>
        <v>42</v>
      </c>
      <c r="Q571" s="1">
        <f ca="1">IF(ISERROR(F558),"",VLOOKUP(B558,INDIRECT($F$8),7+(O571-1)*3))</f>
        <v>41</v>
      </c>
      <c r="R571" s="1">
        <f ca="1">IF(ISERROR(F558),"",SUM(P571:Q571))</f>
        <v>83</v>
      </c>
      <c r="S571" s="1">
        <f ca="1">IF(ISERROR(F558),"",VLOOKUP(A558,INDIRECT($F$8),6+(O571-1)*3))</f>
        <v>50</v>
      </c>
      <c r="T571" s="1">
        <f ca="1">IF(ISERROR(F558),"",VLOOKUP(A558,INDIRECT($F$8),7+(O571-1)*3))</f>
        <v>50</v>
      </c>
      <c r="U571" s="1">
        <f ca="1">IF(ISERROR(F558),"",VLOOKUP(A558,INDIRECT($F$8),8+(O571-1)*3))</f>
        <v>100</v>
      </c>
      <c r="V571" s="1" t="str">
        <f ca="1">IF(ISERROR(F558),"",IF(N571=0,A571,""))</f>
        <v/>
      </c>
      <c r="W571" s="1">
        <f ca="1">IF(ISERROR(F558),"",IF(ISTEXT(VLOOKUP(B558,INDIRECT($F$8),6+(O571-1)*3)),11,IF(VLOOKUP(B558,INDIRECT($F$8),6+(O571-1)*3)&lt;S571*0.3,IF(VLOOKUP(B558,INDIRECT($F$8),8+(O571-1)*3)&lt;U571*0.4,IF(AND(0.4*U571-VLOOKUP(B558,INDIRECT($F$8),8+(O571-1)*3)&lt;=5,0.3*S571-VLOOKUP(B558,INDIRECT($F$8),6+(O571-1)*3)&lt;=5),MAX(0.4*U571-VLOOKUP(B558,INDIRECT($F$8),8+(O571-1)*3),0.3*S571-VLOOKUP(B558,INDIRECT($F$8),6+(O571-1)*3)),11),IF(0.3*S571-VLOOKUP(B558,INDIRECT($F$8),6+(O571-1)*3)&lt;=5,0.3*S571-VLOOKUP(B558,INDIRECT($F$8),6+(O571-1)*3),11)),IF(VLOOKUP(B558,INDIRECT($F$8),8+(O571-1)*3)&lt;U571*0.4,IF(U571*0.4-VLOOKUP(B558,INDIRECT($F$8),8+(O571-1)*3)&lt;=5,U571*0.4-VLOOKUP(B558,INDIRECT($F$8),8+(O571-1)*3),11),0))))</f>
        <v>0</v>
      </c>
      <c r="X571" s="1" t="str">
        <f ca="1">IF(ISERROR(F558),"",IF(W571=0,"",_xlfn.TEXTJOIN("",FALSE," G+",W571," in ",A571)))</f>
        <v/>
      </c>
    </row>
    <row r="572" spans="1:24" ht="11.5" customHeight="1" x14ac:dyDescent="0.2">
      <c r="A572" s="7" t="str">
        <f ca="1">IF(ISERROR(F558),"",VLOOKUP(C558,INDIRECT($F$8),6+(O572-1)*3,0))</f>
        <v>AHP 004</v>
      </c>
      <c r="B572" s="24" t="str">
        <f ca="1">IF(ISERROR(F558),"",VLOOKUP(D558,INDIRECT($F$8),6+(O572-1)*3-Z572,0))</f>
        <v>Emerging Technologies in Engineering Lab</v>
      </c>
      <c r="C572" s="24"/>
      <c r="D572" s="24"/>
      <c r="E572" s="24"/>
      <c r="F572" s="7">
        <f ca="1">IF(ISERROR(F558),"",VLOOKUP(E558,INDIRECT($F$8),6+(O572-1)*3,0))</f>
        <v>1</v>
      </c>
      <c r="G572" s="25" t="str">
        <f ca="1">IF(ISERROR(F558),"",_xlfn.TEXTJOIN("/",FALSE,P572,S572))</f>
        <v>17/25</v>
      </c>
      <c r="H572" s="25"/>
      <c r="I572" s="25" t="str">
        <f ca="1">IF(ISERROR(F558),"",_xlfn.TEXTJOIN("/",FALSE,Q572,T572))</f>
        <v>18/25</v>
      </c>
      <c r="J572" s="25"/>
      <c r="K572" s="25" t="str">
        <f ca="1">IF(ISERROR(F558),"",_xlfn.TEXTJOIN("/",FALSE,R572,U572))</f>
        <v>35/50</v>
      </c>
      <c r="L572" s="25"/>
      <c r="M572" s="7" t="str">
        <f ca="1">IF(ISERROR(F558),"",IF(ISTEXT(P572),IF(P572="A","Ab",IF(P572="D","Dt",IF(P572="UFM","UFM",IF(P572="NA","")))),IF(AND(ISBLANK(P572),ISBLANK(R572)),"",IF(P572&lt;0.3*S572,"F",IF(ISBLANK(R572),"",IF(ISTEXT(R572),R572,IF(R572&gt;=0.95*U572,"O",IF(R572&gt;=0.9*U572,"A+",IF(R572&gt;=0.85*U572,"A",IF(R572&gt;=0.8*U572,"B+",IF(R572&gt;=0.75*U572,"B",IF(R572&gt;=0.7*U572,"C+",IF(R572&gt;=0.65*U572,"C",IF(R572&gt;=0.6*U572,"D+",IF(R572&gt;=0.55*U572,"D",IF(R572&gt;=0.5*U572,"E+",IF(R572&gt;=0.45*U572,"E",IF(R572&gt;=0.4*U572,"P",IF(R572&lt;0.4*U572,"F",R572)))))))))))))))))))</f>
        <v>C+</v>
      </c>
      <c r="N572" s="8">
        <f t="shared" ca="1" si="51"/>
        <v>7.5</v>
      </c>
      <c r="O572">
        <f t="shared" ca="1" si="52"/>
        <v>11</v>
      </c>
      <c r="P572" s="1">
        <f ca="1">IF(ISERROR(F558),"",IF(ISTEXT(VLOOKUP(B558,INDIRECT($F$8),6+(O572-1)*3)),(VLOOKUP(B558,INDIRECT($F$8),6+(O572-1)*3)),SUM(VLOOKUP(B558,INDIRECT($F$8),6+(O572-1)*3),IF(W576,W572,0))))</f>
        <v>17</v>
      </c>
      <c r="Q572" s="1">
        <f ca="1">IF(ISERROR(F558),"",VLOOKUP(B558,INDIRECT($F$8),7+(O572-1)*3))</f>
        <v>18</v>
      </c>
      <c r="R572" s="1">
        <f ca="1">IF(ISERROR(F558),"",SUM(P572:Q572))</f>
        <v>35</v>
      </c>
      <c r="S572" s="1">
        <f ca="1">IF(ISERROR(F558),"",VLOOKUP(A558,INDIRECT($F$8),6+(O572-1)*3))</f>
        <v>25</v>
      </c>
      <c r="T572" s="1">
        <f ca="1">IF(ISERROR(F558),"",VLOOKUP(A558,INDIRECT($F$8),7+(O572-1)*3))</f>
        <v>25</v>
      </c>
      <c r="U572" s="1">
        <f ca="1">IF(ISERROR(F558),"",VLOOKUP(A558,INDIRECT($F$8),8+(O572-1)*3))</f>
        <v>50</v>
      </c>
      <c r="V572" s="1" t="str">
        <f ca="1">IF(ISERROR(F558),"",IF(N572=0,A572,""))</f>
        <v/>
      </c>
      <c r="W572" s="1">
        <f ca="1">IF(ISERROR(F558),"",IF(ISTEXT(VLOOKUP(B558,INDIRECT($F$8),6+(O572-1)*3)),11,IF(VLOOKUP(B558,INDIRECT($F$8),6+(O572-1)*3)&lt;S572*0.3,IF(VLOOKUP(B558,INDIRECT($F$8),8+(O572-1)*3)&lt;U572*0.4,IF(AND(0.4*U572-VLOOKUP(B558,INDIRECT($F$8),8+(O572-1)*3)&lt;=5,0.3*S572-VLOOKUP(B558,INDIRECT($F$8),6+(O572-1)*3)&lt;=5),MAX(0.4*U572-VLOOKUP(B558,INDIRECT($F$8),8+(O572-1)*3),0.3*S572-VLOOKUP(B558,INDIRECT($F$8),6+(O572-1)*3)),11),IF(0.3*S572-VLOOKUP(B558,INDIRECT($F$8),6+(O572-1)*3)&lt;=5,0.3*S572-VLOOKUP(B558,INDIRECT($F$8),6+(O572-1)*3),11)),IF(VLOOKUP(B558,INDIRECT($F$8),8+(O572-1)*3)&lt;U572*0.4,IF(U572*0.4-VLOOKUP(B558,INDIRECT($F$8),8+(O572-1)*3)&lt;=5,U572*0.4-VLOOKUP(B558,INDIRECT($F$8),8+(O572-1)*3),11),0))))</f>
        <v>0</v>
      </c>
      <c r="X572" s="1" t="str">
        <f ca="1">IF(ISERROR(F558),"",IF(W572=0,"",_xlfn.TEXTJOIN("",FALSE," G+",W572," in ",A572)))</f>
        <v/>
      </c>
    </row>
    <row r="573" spans="1:24" ht="11.5" customHeight="1" x14ac:dyDescent="0.2">
      <c r="A573" s="7" t="str">
        <f ca="1">IF(ISERROR(F558),"",VLOOKUP(C558,INDIRECT($F$8),6+(O573-1)*3,0))</f>
        <v>CSP 002</v>
      </c>
      <c r="B573" s="24" t="str">
        <f ca="1">IF(ISERROR(F558),"",VLOOKUP(D558,INDIRECT($F$8),6+(O573-1)*3,0))</f>
        <v>Computer Applications and IOT</v>
      </c>
      <c r="C573" s="24"/>
      <c r="D573" s="24"/>
      <c r="E573" s="24"/>
      <c r="F573" s="7">
        <f ca="1">IF(ISERROR(F558),"",VLOOKUP(E558,INDIRECT($F$8),6+(O573-1)*3,0))</f>
        <v>1</v>
      </c>
      <c r="G573" s="25" t="str">
        <f ca="1">IF(ISERROR(F558),"",_xlfn.TEXTJOIN("/",FALSE,P573,S573))</f>
        <v>24/25</v>
      </c>
      <c r="H573" s="25"/>
      <c r="I573" s="25" t="str">
        <f ca="1">IF(ISERROR(F558),"",_xlfn.TEXTJOIN("/",FALSE,Q573,T573))</f>
        <v>24/25</v>
      </c>
      <c r="J573" s="25"/>
      <c r="K573" s="25" t="str">
        <f ca="1">IF(ISERROR(F558),"",_xlfn.TEXTJOIN("/",FALSE,R573,U573))</f>
        <v>48/50</v>
      </c>
      <c r="L573" s="25"/>
      <c r="M573" s="7" t="str">
        <f ca="1">IF(ISERROR(F558),"",IF(ISTEXT(P573),IF(P573="A","Ab",IF(P573="D","Dt",IF(P573="UFM","UFM",IF(P573="NA","")))),IF(AND(ISBLANK(P573),ISBLANK(R573)),"",IF(P573&lt;0.3*S573,"F",IF(ISBLANK(R573),"",IF(ISTEXT(R573),R573,IF(R573&gt;=0.95*U573,"O",IF(R573&gt;=0.9*U573,"A+",IF(R573&gt;=0.85*U573,"A",IF(R573&gt;=0.8*U573,"B+",IF(R573&gt;=0.75*U573,"B",IF(R573&gt;=0.7*U573,"C+",IF(R573&gt;=0.65*U573,"C",IF(R573&gt;=0.6*U573,"D+",IF(R573&gt;=0.55*U573,"D",IF(R573&gt;=0.5*U573,"E+",IF(R573&gt;=0.45*U573,"E",IF(R573&gt;=0.4*U573,"P",IF(R573&lt;0.4*U573,"F",R573)))))))))))))))))))</f>
        <v>O</v>
      </c>
      <c r="N573" s="8">
        <f t="shared" ca="1" si="51"/>
        <v>10</v>
      </c>
      <c r="O573">
        <f t="shared" ca="1" si="52"/>
        <v>12</v>
      </c>
      <c r="P573" s="1">
        <f ca="1">IF(ISERROR(F558),"",IF(ISTEXT(VLOOKUP(B558,INDIRECT($F$8),6+(O573-1)*3)),(VLOOKUP(B558,INDIRECT($F$8),6+(O573-1)*3)),SUM(VLOOKUP(B558,INDIRECT($F$8),6+(O573-1)*3),IF(W576,W573,0))))</f>
        <v>24</v>
      </c>
      <c r="Q573" s="1">
        <f ca="1">IF(ISERROR(F558),"",VLOOKUP(B558,INDIRECT($F$8),7+(O573-1)*3))</f>
        <v>24</v>
      </c>
      <c r="R573" s="1">
        <f ca="1">IF(ISERROR(F558),"",SUM(P573:Q573))</f>
        <v>48</v>
      </c>
      <c r="S573" s="1">
        <f ca="1">IF(ISERROR(F558),"",VLOOKUP(A558,INDIRECT($F$8),6+(O573-1)*3))</f>
        <v>25</v>
      </c>
      <c r="T573" s="1">
        <f ca="1">IF(ISERROR(F558),"",VLOOKUP(A558,INDIRECT($F$8),7+(O573-1)*3))</f>
        <v>25</v>
      </c>
      <c r="U573" s="1">
        <f ca="1">IF(ISERROR(F558),"",VLOOKUP(A558,INDIRECT($F$8),8+(O573-1)*3))</f>
        <v>50</v>
      </c>
      <c r="V573" s="1" t="str">
        <f ca="1">IF(ISERROR(F558),"",IF(N573=0,A573,""))</f>
        <v/>
      </c>
      <c r="W573" s="1">
        <f ca="1">IF(ISERROR(F558),"",IF(ISTEXT(VLOOKUP(B558,INDIRECT($F$8),6+(O573-1)*3)),11,IF(VLOOKUP(B558,INDIRECT($F$8),6+(O573-1)*3)&lt;S573*0.3,IF(VLOOKUP(B558,INDIRECT($F$8),8+(O573-1)*3)&lt;U573*0.4,IF(AND(0.4*U573-VLOOKUP(B558,INDIRECT($F$8),8+(O573-1)*3)&lt;=5,0.3*S573-VLOOKUP(B558,INDIRECT($F$8),6+(O573-1)*3)&lt;=5),MAX(0.4*U573-VLOOKUP(B558,INDIRECT($F$8),8+(O573-1)*3),0.3*S573-VLOOKUP(B558,INDIRECT($F$8),6+(O573-1)*3)),11),IF(0.3*S573-VLOOKUP(B558,INDIRECT($F$8),6+(O573-1)*3)&lt;=5,0.3*S573-VLOOKUP(B558,INDIRECT($F$8),6+(O573-1)*3),11)),IF(VLOOKUP(B558,INDIRECT($F$8),8+(O573-1)*3)&lt;U573*0.4,IF(U573*0.4-VLOOKUP(B558,INDIRECT($F$8),8+(O573-1)*3)&lt;=5,U573*0.4-VLOOKUP(B558,INDIRECT($F$8),8+(O573-1)*3),11),0))))</f>
        <v>0</v>
      </c>
      <c r="X573" s="1" t="str">
        <f ca="1">IF(ISERROR(F558),"",IF(W573=0,"",_xlfn.TEXTJOIN("",FALSE," G+",W573," in ",A573)))</f>
        <v/>
      </c>
    </row>
    <row r="574" spans="1:24" ht="11.5" customHeight="1" x14ac:dyDescent="0.2">
      <c r="A574" s="7" t="str">
        <f ca="1">IF(ISERROR(F558),"",VLOOKUP(C558,INDIRECT($F$8),6+(O574-1)*3,0))</f>
        <v>AHP 006</v>
      </c>
      <c r="B574" s="24" t="str">
        <f ca="1">IF(ISERROR(F558),"",VLOOKUP(D558,INDIRECT($F$8),6+(O574-1)*3,0))</f>
        <v>English Language Lab ($)</v>
      </c>
      <c r="C574" s="24"/>
      <c r="D574" s="24"/>
      <c r="E574" s="24"/>
      <c r="F574" s="7">
        <f ca="1">IF(ISERROR(F558),"",VLOOKUP(E558,INDIRECT($F$8),6+(O574-1)*3,0))</f>
        <v>0</v>
      </c>
      <c r="G574" s="25" t="str">
        <f ca="1">IF(ISERROR(F558),"",_xlfn.TEXTJOIN("/",FALSE,P574,S574))</f>
        <v>18/25</v>
      </c>
      <c r="H574" s="25"/>
      <c r="I574" s="25" t="str">
        <f ca="1">IF(ISERROR(F558),"",_xlfn.TEXTJOIN("/",FALSE,Q574,T574))</f>
        <v>30/50</v>
      </c>
      <c r="J574" s="25"/>
      <c r="K574" s="25" t="str">
        <f ca="1">IF(ISERROR(F558),"",_xlfn.TEXTJOIN("/",FALSE,R574,U574))</f>
        <v>48/75</v>
      </c>
      <c r="L574" s="25"/>
      <c r="M574" s="7" t="str">
        <f ca="1">IF(ISERROR(F558),"",IF(ISTEXT(P574),IF(P574="A","Ab",IF(P574="D","Dt",IF(P574="UFM","UFM",IF(P574="NA","")))),IF(AND(ISBLANK(P574),ISBLANK(R574)),"",IF(P574&lt;0.3*S574,"F",IF(ISBLANK(R574),"",IF(ISTEXT(R574),R574,IF(R574&gt;=0.95*U574,"O",IF(R574&gt;=0.9*U574,"A+",IF(R574&gt;=0.85*U574,"A",IF(R574&gt;=0.8*U574,"B+",IF(R574&gt;=0.75*U574,"B",IF(R574&gt;=0.7*U574,"C+",IF(R574&gt;=0.65*U574,"C",IF(R574&gt;=0.6*U574,"D+",IF(R574&gt;=0.55*U574,"D",IF(R574&gt;=0.5*U574,"E+",IF(R574&gt;=0.45*U574,"E",IF(R574&gt;=0.4*U574,"P",IF(R574&lt;0.4*U574,"F",R574)))))))))))))))))))</f>
        <v>D+</v>
      </c>
      <c r="N574" s="8">
        <f ca="1">INDEX($Z$2:$Z$17,MATCH(M574,$Y$2:$Y$17,0))</f>
        <v>6.5</v>
      </c>
      <c r="O574">
        <f t="shared" ca="1" si="52"/>
        <v>13</v>
      </c>
      <c r="P574" s="1">
        <f ca="1">IF(ISERROR(F558),"",IF(ISTEXT(VLOOKUP(B558,INDIRECT($F$8),6+(O574-1)*3)),(VLOOKUP(B558,INDIRECT($F$8),6+(O574-1)*3)),SUM(VLOOKUP(B558,INDIRECT($F$8),6+(O574-1)*3),IF(W576,W574,0))))</f>
        <v>18</v>
      </c>
      <c r="Q574" s="1">
        <f ca="1">IF(ISERROR(F558),"",VLOOKUP(B558,INDIRECT($F$8),7+(O574-1)*3))</f>
        <v>30</v>
      </c>
      <c r="R574" s="1">
        <f ca="1">IF(ISERROR(F558),"",SUM(P574:Q574))</f>
        <v>48</v>
      </c>
      <c r="S574" s="1">
        <f ca="1">IF(ISERROR(F558),"",VLOOKUP(A558,INDIRECT($F$8),6+(O574-1)*3))</f>
        <v>25</v>
      </c>
      <c r="T574" s="1">
        <f ca="1">IF(ISERROR(F558),"",VLOOKUP(A558,INDIRECT($F$8),7+(O574-1)*3))</f>
        <v>50</v>
      </c>
      <c r="U574" s="1">
        <f ca="1">IF(ISERROR(F558),"",VLOOKUP(A558,INDIRECT($F$8),8+(O574-1)*3))</f>
        <v>75</v>
      </c>
      <c r="V574" s="1"/>
      <c r="W574" s="1">
        <f ca="1">IF(ISERROR(F558),"",IF(ISTEXT(VLOOKUP(B558,INDIRECT($F$8),6+(O574-1)*3)),11,IF(VLOOKUP(B558,INDIRECT($F$8),6+(O574-1)*3)&lt;S574*0.3,IF(VLOOKUP(B558,INDIRECT($F$8),8+(O574-1)*3)&lt;U574*0.4,IF(AND(0.4*U574-VLOOKUP(B558,INDIRECT($F$8),8+(O574-1)*3)&lt;=5,0.3*S574-VLOOKUP(B558,INDIRECT($F$8),6+(O574-1)*3)&lt;=5),MAX(0.4*U574-VLOOKUP(B558,INDIRECT($F$8),8+(O574-1)*3),0.3*S574-VLOOKUP(B558,INDIRECT($F$8),6+(O574-1)*3)),11),IF(0.3*S574-VLOOKUP(B558,INDIRECT($F$8),6+(O574-1)*3)&lt;=5,0.3*S574-VLOOKUP(B558,INDIRECT($F$8),6+(O574-1)*3),11)),IF(VLOOKUP(B558,INDIRECT($F$8),8+(O574-1)*3)&lt;U574*0.4,IF(U574*0.4-VLOOKUP(B558,INDIRECT($F$8),8+(O574-1)*3)&lt;=5,U574*0.4-VLOOKUP(B558,INDIRECT($F$8),8+(O574-1)*3),11),0))))</f>
        <v>0</v>
      </c>
      <c r="X574" s="1" t="str">
        <f ca="1">IF(ISERROR(F558),"",IF(W574=0,"",_xlfn.TEXTJOIN("",FALSE," G+",W574," in ",A574)))</f>
        <v/>
      </c>
    </row>
    <row r="575" spans="1:24" ht="11.5" customHeight="1" x14ac:dyDescent="0.2">
      <c r="A575" s="7" t="str">
        <f ca="1">IF(ISERROR(F558),"",VLOOKUP(C558,INDIRECT($F$8),6+(O575-1)*3-Y575,0))</f>
        <v>GP 01</v>
      </c>
      <c r="B575" s="24" t="str">
        <f ca="1">IF(ISERROR(F558),"",VLOOKUP(D558,INDIRECT($F$8),6+(O575-1)*3-Z575,0))</f>
        <v>General Proficiency ($)</v>
      </c>
      <c r="C575" s="24"/>
      <c r="D575" s="24"/>
      <c r="E575" s="24"/>
      <c r="F575" s="7">
        <f ca="1">IF(ISERROR(F558),"",VLOOKUP(E558,INDIRECT($F$8),6+(O575-1)*3-AA575,0))</f>
        <v>0</v>
      </c>
      <c r="G575" s="25" t="str">
        <f ca="1">IF(ISERROR(F558),"","-")</f>
        <v>-</v>
      </c>
      <c r="H575" s="25"/>
      <c r="I575" s="25" t="str">
        <f ca="1">IF(ISERROR(F558),"",_xlfn.TEXTJOIN("/",FALSE,Q575,T575))</f>
        <v>47/50</v>
      </c>
      <c r="J575" s="25"/>
      <c r="K575" s="25" t="str">
        <f ca="1">IF(ISERROR(F558),"",_xlfn.TEXTJOIN("/",FALSE,R575,U575))</f>
        <v>47/50</v>
      </c>
      <c r="L575" s="25"/>
      <c r="M575" s="25" t="str">
        <f ca="1">IF(ISBLANK(R575),"",IF(ISTEXT(R575),R575,IF(R575&gt;=0.8*U575,"Excellent",IF(R575&gt;=0.6*U575,"Very Good",IF(R575&gt;=0.4*U575,"Good",IF(R575&gt;=0.2*U575,"Satisfactory","Average"))))))</f>
        <v>Excellent</v>
      </c>
      <c r="N575" s="25"/>
      <c r="O575">
        <f t="shared" ca="1" si="52"/>
        <v>14</v>
      </c>
      <c r="P575" s="1">
        <f ca="1">IF(ISERROR(F558),"",IF(ISTEXT(VLOOKUP(B\28,INDIRECT($F$8),6+(O575-1)*3)),(VLOOKUP(B558,INDIRECT($F$8),6+(O575-1)*3)),SUM(VLOOKUP(B558,INDIRECT($F$8),6+(O575-1)*3),IF(W576,W576,0))))</f>
        <v>0</v>
      </c>
      <c r="Q575" s="1">
        <f ca="1">IF(ISERROR(F558),"",VLOOKUP(B558,INDIRECT($F$8),7+(O575-1)*3))</f>
        <v>47</v>
      </c>
      <c r="R575" s="1">
        <f ca="1">IF(ISERROR(F558),"",SUM(P575:Q575))</f>
        <v>47</v>
      </c>
      <c r="S575" s="1">
        <f ca="1">IF(ISERROR(F558),"",VLOOKUP(A558,INDIRECT($F$8),6+(O575-1)*3))</f>
        <v>0</v>
      </c>
      <c r="T575" s="1">
        <f ca="1">IF(ISERROR(F558),"",VLOOKUP(A558,INDIRECT($F$8),7+(O575-1)*3))</f>
        <v>50</v>
      </c>
      <c r="U575" s="1">
        <f ca="1">IF(ISERROR(F558),"",VLOOKUP(A558,INDIRECT($F$8),8+(O575-1)*3))</f>
        <v>50</v>
      </c>
      <c r="V575" s="1"/>
      <c r="W575" s="1"/>
      <c r="X575" s="1" t="str">
        <f ca="1">IF(ISERROR(F558),"",IF(W575=0,"",_xlfn.TEXTJOIN("",FALSE," G+",W575," in ",A575)))</f>
        <v/>
      </c>
    </row>
    <row r="576" spans="1:24" ht="11.5" customHeight="1" x14ac:dyDescent="0.2">
      <c r="A576" s="26" t="str">
        <f ca="1">IF(ISERROR(F558),"",A554)</f>
        <v>Total Credits/ Marks/ Total Grade Points</v>
      </c>
      <c r="B576" s="26"/>
      <c r="C576" s="26"/>
      <c r="D576" s="26"/>
      <c r="E576" s="26"/>
      <c r="F576" s="10">
        <f ca="1">IF(ISERROR(F558),"",SUM(F563:F574))</f>
        <v>23</v>
      </c>
      <c r="G576" s="27" t="str">
        <f ca="1">IF(ISERROR(F558),"",_xlfn.TEXTJOIN("/",TRUE,SUMIF(F563:F575,"&gt;0",P563:P575),SUMIF(F563:F575,"&gt;0",S563:S575)))</f>
        <v>214/575</v>
      </c>
      <c r="H576" s="27"/>
      <c r="I576" s="27" t="str">
        <f ca="1">IF(ISERROR(F558),"",_xlfn.TEXTJOIN("/",TRUE,SUMIF(F563:F575,"&gt;0",Q563:Q575),SUMIF(F563:F575,"&gt;0",T563:T575)))</f>
        <v>234/375</v>
      </c>
      <c r="J576" s="27"/>
      <c r="K576" s="27" t="str">
        <f ca="1">IF(ISERROR(F558),"",_xlfn.TEXTJOIN("/",TRUE,SUMIF(F563:F575,"&gt;0",R563:R575),SUMIF(F563:F575,"&gt;0",U563:U575)))</f>
        <v>448/950</v>
      </c>
      <c r="L576" s="27"/>
      <c r="M576" s="26">
        <f ca="1">IF(ISERROR(F558),"",SUMPRODUCT(N563:N574,F563:F574))</f>
        <v>74</v>
      </c>
      <c r="N576" s="26"/>
      <c r="V576" s="1" t="str">
        <f ca="1">IF(ISERROR(F558),"",_xlfn.TEXTJOIN(", ",TRUE,V563:V575))</f>
        <v>AHT 002, AHT 003, ECT 001</v>
      </c>
      <c r="W576" t="b">
        <f ca="1">IF(ISERROR(F558),"",IF(SUM(W563:W575)&lt;=W562,TRUE,FALSE))</f>
        <v>0</v>
      </c>
      <c r="X576" s="1" t="str">
        <f ca="1">IF(ISERROR(F558),"",_xlfn.TEXTJOIN(",",TRUE,X563:X575))</f>
        <v xml:space="preserve"> G+11 in AHT 002, G+11 in AHT 003, G+11 in ECT 001</v>
      </c>
    </row>
    <row r="577" spans="1:24" ht="11.5" customHeight="1" x14ac:dyDescent="0.2">
      <c r="A577" s="26" t="str">
        <f ca="1">IF(ISERROR(F558),"",A555)</f>
        <v>Result:</v>
      </c>
      <c r="B577" s="28" t="str" cm="1">
        <f t="array" aca="1" ref="B577" ca="1">IF(SUM(COUNTIF(M563:M574,{"Ab","Dt"}))=12, "Not Promoted to IInd Semester", IF(V576="", "PASS", "CARRY OVER"))</f>
        <v>CARRY OVER</v>
      </c>
      <c r="C577" s="28"/>
      <c r="D577" s="26" t="str">
        <f ca="1">IF(ISERROR(F558),"",D555)</f>
        <v>Remark:</v>
      </c>
      <c r="E577" s="28" t="str">
        <f ca="1">IF(ISERROR(F558),"",IF(V576="",IF(X576="","",X576),_xlfn.TEXTJOIN(" ",TRUE,"BACK IN",V576)))</f>
        <v>BACK IN AHT 002, AHT 003, ECT 001</v>
      </c>
      <c r="F577" s="28"/>
      <c r="G577" s="26" t="str">
        <f ca="1">IF(ISERROR(F558),"",G555)</f>
        <v>SGPA:</v>
      </c>
      <c r="H577" s="29">
        <f ca="1">IF(ISERROR(F558),"",M576/F576)</f>
        <v>3.2173913043478262</v>
      </c>
      <c r="I577" s="26" t="str">
        <f ca="1">IF(ISERROR(F558),"",I555)</f>
        <v>CGPA:</v>
      </c>
      <c r="J577" s="29">
        <f ca="1">IF(ISERROR(F558),"",VLOOKUP(B558,INDIRECT($F$8),12+(O575-1)*3,0))</f>
        <v>3.2173913043478262</v>
      </c>
      <c r="K577" s="28" t="str">
        <f ca="1">IF(ISERROR(F558),"",K555)</f>
        <v>Earned Credits:</v>
      </c>
      <c r="L577" s="26">
        <f ca="1">IF(ISERROR(F558),"",SUMIF(N563:N574,"&gt;0",F563:F574))</f>
        <v>11</v>
      </c>
      <c r="M577" s="28" t="str">
        <f ca="1">IF(ISERROR(F558),"",M555)</f>
        <v>Cuml. Earned Credits:</v>
      </c>
      <c r="N577" s="26">
        <f ca="1">IF(ISERROR(F558),"",VLOOKUP(B558,INDIRECT($F$8),10+(O575-1)*3,0))</f>
        <v>11</v>
      </c>
    </row>
    <row r="578" spans="1:24" ht="11.5" customHeight="1" x14ac:dyDescent="0.2">
      <c r="A578" s="26"/>
      <c r="B578" s="28"/>
      <c r="C578" s="28"/>
      <c r="D578" s="26"/>
      <c r="E578" s="28"/>
      <c r="F578" s="28"/>
      <c r="G578" s="26"/>
      <c r="H578" s="29"/>
      <c r="I578" s="26"/>
      <c r="J578" s="29"/>
      <c r="K578" s="28"/>
      <c r="L578" s="26"/>
      <c r="M578" s="28"/>
      <c r="N578" s="26"/>
    </row>
    <row r="579" spans="1:24" ht="11.5" customHeight="1" x14ac:dyDescent="0.2">
      <c r="A579" s="26"/>
      <c r="B579" s="28"/>
      <c r="C579" s="28"/>
      <c r="D579" s="26"/>
      <c r="E579" s="28"/>
      <c r="F579" s="28"/>
      <c r="G579" s="26"/>
      <c r="H579" s="29"/>
      <c r="I579" s="26"/>
      <c r="J579" s="29"/>
      <c r="K579" s="28"/>
      <c r="L579" s="26"/>
      <c r="M579" s="28"/>
      <c r="N579" s="26"/>
    </row>
    <row r="580" spans="1:24" ht="11.5" customHeight="1" x14ac:dyDescent="0.2">
      <c r="A580" s="11" t="str">
        <f>A558</f>
        <v>MM</v>
      </c>
      <c r="B580" s="11">
        <f>B558+1</f>
        <v>27</v>
      </c>
      <c r="C580" s="11" t="str">
        <f>C558</f>
        <v>SC</v>
      </c>
      <c r="D580" s="11" t="str">
        <f>D558</f>
        <v>SN</v>
      </c>
      <c r="E580" s="11" t="str">
        <f>E558</f>
        <v>C</v>
      </c>
      <c r="F580" s="11" t="str">
        <f ca="1">VLOOKUP(B580,INDIRECT($F$8),4,0)</f>
        <v>SARGAM KUMARI</v>
      </c>
    </row>
    <row r="581" spans="1:24" ht="11.5" customHeight="1" x14ac:dyDescent="0.2">
      <c r="A581" s="30" t="str">
        <f ca="1">IF(ISERROR(F580),"",A559)</f>
        <v>Name:</v>
      </c>
      <c r="B581" s="30" t="str">
        <f ca="1">IFERROR(VLOOKUP(B580,INDIRECT($F$8),4,0),"")</f>
        <v>SARGAM KUMARI</v>
      </c>
      <c r="C581" s="30"/>
      <c r="D581" s="30" t="str">
        <f ca="1">IF(ISERROR(F580),"",D559)</f>
        <v>Father's Name:</v>
      </c>
      <c r="E581" s="30" t="str">
        <f ca="1">IFERROR(VLOOKUP(B580,INDIRECT($F$8),5,0),"")</f>
        <v>RAJ NARAYAN KUMAR</v>
      </c>
      <c r="F581" s="30"/>
      <c r="G581" s="30" t="str">
        <f ca="1">IF(ISERROR(F580),"",G559)</f>
        <v>University Roll No:</v>
      </c>
      <c r="H581" s="30"/>
      <c r="I581" s="31">
        <f ca="1">IFERROR(VLOOKUP(B580,INDIRECT($F$8),2,0),"")</f>
        <v>250090120028</v>
      </c>
      <c r="J581" s="31"/>
      <c r="K581" s="30" t="str">
        <f ca="1">IF(ISERROR(F580),"",K559)</f>
        <v>University Enrol. No:</v>
      </c>
      <c r="L581" s="30"/>
      <c r="M581" s="31" t="str">
        <f ca="1">IFERROR(VLOOKUP(B580,INDIRECT($F$8),3,0),"")</f>
        <v>UTU/2501103726</v>
      </c>
      <c r="N581" s="31"/>
    </row>
    <row r="582" spans="1:24" ht="11.5" customHeight="1" x14ac:dyDescent="0.2">
      <c r="A582" s="30"/>
      <c r="B582" s="30"/>
      <c r="C582" s="30"/>
      <c r="D582" s="30"/>
      <c r="E582" s="30"/>
      <c r="F582" s="30"/>
      <c r="G582" s="30"/>
      <c r="H582" s="30"/>
      <c r="I582" s="31"/>
      <c r="J582" s="31"/>
      <c r="K582" s="30"/>
      <c r="L582" s="30"/>
      <c r="M582" s="31"/>
      <c r="N582" s="31"/>
    </row>
    <row r="583" spans="1:24" ht="11.5" customHeight="1" x14ac:dyDescent="0.2">
      <c r="A583" s="28" t="str">
        <f ca="1">IF(ISERROR(F580),"",A561)</f>
        <v>Subject Code</v>
      </c>
      <c r="B583" s="28" t="str">
        <f ca="1">IF(ISERROR(F580),"",B561)</f>
        <v>Subject Name</v>
      </c>
      <c r="C583" s="28"/>
      <c r="D583" s="28"/>
      <c r="E583" s="28"/>
      <c r="F583" s="28" t="str">
        <f ca="1">IF(ISERROR(F580),"",F561)</f>
        <v>Credits</v>
      </c>
      <c r="G583" s="28" t="str">
        <f ca="1">IF(ISERROR(F580),"",G561)</f>
        <v>External Marks</v>
      </c>
      <c r="H583" s="28"/>
      <c r="I583" s="28" t="str">
        <f ca="1">IF(ISERROR(F580),"",I561)</f>
        <v>Sessional Marks</v>
      </c>
      <c r="J583" s="28"/>
      <c r="K583" s="28" t="str">
        <f ca="1">IF(ISERROR(F580),"",K561)</f>
        <v>Total Marks</v>
      </c>
      <c r="L583" s="28"/>
      <c r="M583" s="28" t="str">
        <f ca="1">IF(ISERROR(F580),"",M561)</f>
        <v>Grade</v>
      </c>
      <c r="N583" s="28" t="str">
        <f ca="1">IF(ISERROR(F580),"",N561)</f>
        <v>Grade Points</v>
      </c>
    </row>
    <row r="584" spans="1:24" ht="11.5" customHeight="1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W584">
        <f ca="1">IF(ISNUMBER(MATCH($F$8,{"I","III","V","VII"},0)),10,10-INDEX(INDIRECT(_xlfn.TEXTJOIN("",TRUE,"SEM_",$G$8,"!",ADDRESS(6,4+$I$8*3+4),":",ADDRESS(5+$H$8,4+$I$8*3+4))),MATCH(INDIRECT(_xlfn.TEXTJOIN("",TRUE,"TC_",$F$8,"!",ADDRESS(ROW(I581),COLUMN(I581)))),INDIRECT(_xlfn.TEXTJOIN("",TRUE,"SEM_",$G$8,"!",ADDRESS(6,2),":",ADDRESS(5+$H$8,2))))))</f>
        <v>10</v>
      </c>
    </row>
    <row r="585" spans="1:24" ht="11.5" customHeight="1" x14ac:dyDescent="0.2">
      <c r="A585" s="7" t="str">
        <f ca="1">IF(ISERROR(F580),"",VLOOKUP(C580,INDIRECT($F$8),6+(O585-1)*3,0))</f>
        <v>AHT 002</v>
      </c>
      <c r="B585" s="24" t="str">
        <f ca="1">IF(ISERROR(F580),"",VLOOKUP(D580,INDIRECT($F$8),6+(O585-1)*3,0))</f>
        <v>Engineering Chemistry</v>
      </c>
      <c r="C585" s="24"/>
      <c r="D585" s="24"/>
      <c r="E585" s="24"/>
      <c r="F585" s="7">
        <f ca="1">IF(ISERROR(F580),"",VLOOKUP(E580,INDIRECT($F$8),6+(O585-1)*3,0))</f>
        <v>4</v>
      </c>
      <c r="G585" s="25" t="str">
        <f ca="1">IF(ISERROR(F580),"",_xlfn.TEXTJOIN("/",FALSE,P585,S585))</f>
        <v>30/100</v>
      </c>
      <c r="H585" s="25"/>
      <c r="I585" s="25" t="str">
        <f ca="1">IF(ISERROR(F580),"",_xlfn.TEXTJOIN("/",FALSE,Q585,T585))</f>
        <v>35/50</v>
      </c>
      <c r="J585" s="25"/>
      <c r="K585" s="25" t="str">
        <f ca="1">IF(ISERROR(F580),"",_xlfn.TEXTJOIN("/",FALSE,R585,U585))</f>
        <v>65/150</v>
      </c>
      <c r="L585" s="25"/>
      <c r="M585" s="7" t="str">
        <f ca="1">IF(ISERROR(F580)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P</v>
      </c>
      <c r="N585" s="8">
        <f ca="1">INDEX($Z$2:$Z$17,MATCH(M585,$Y$2:$Y$17,0))</f>
        <v>4.5</v>
      </c>
      <c r="O585">
        <v>1</v>
      </c>
      <c r="P585" s="1">
        <f ca="1">IF(ISERROR(F580),"",IF(ISTEXT(VLOOKUP(B580,INDIRECT($F$8),6+(O585-1)*3)),(VLOOKUP(B580,INDIRECT($F$8),6+(O585-1)*3)),SUM(VLOOKUP(B580,INDIRECT($F$8),6+(O585-1)*3),IF(W598,W585,0))))</f>
        <v>30</v>
      </c>
      <c r="Q585" s="1">
        <f ca="1">IF(ISERROR(F580),"",VLOOKUP(B580,INDIRECT($F$8),7+(O585-1)*3))</f>
        <v>35</v>
      </c>
      <c r="R585" s="1">
        <f ca="1">IF(ISERROR(F580),"",SUM(P585:Q585))</f>
        <v>65</v>
      </c>
      <c r="S585" s="1">
        <f ca="1">IF(ISERROR(F580),"",VLOOKUP(A580,INDIRECT($F$8),6+(O585-1)*3))</f>
        <v>100</v>
      </c>
      <c r="T585" s="1">
        <f ca="1">IF(ISERROR(F580),"",VLOOKUP(A580,INDIRECT($F$8),7+(O585-1)*3))</f>
        <v>50</v>
      </c>
      <c r="U585" s="1">
        <f ca="1">IF(ISERROR(F580),"",VLOOKUP(A580,INDIRECT($F$8),8+(O585-1)*3))</f>
        <v>150</v>
      </c>
      <c r="V585" s="1" t="str">
        <f ca="1">IF(ISERROR(F580),"",IF(N585=0,A585,""))</f>
        <v/>
      </c>
      <c r="W585" s="1">
        <f ca="1">IF(ISERROR(F580),"",IF(ISTEXT(VLOOKUP(B580,INDIRECT($F$8),6+(O585-1)*3)),11,IF(VLOOKUP(B580,INDIRECT($F$8),6+(O585-1)*3)&lt;S585*0.3,IF(VLOOKUP(B580,INDIRECT($F$8),8+(O585-1)*3)&lt;U585*0.4,IF(AND(0.4*U585-VLOOKUP(B580,INDIRECT($F$8),8+(O585-1)*3)&lt;=5,0.3*S585-VLOOKUP(B580,INDIRECT($F$8),6+(O585-1)*3)&lt;=5),MAX(0.4*U585-VLOOKUP(B580,INDIRECT($F$8),8+(O585-1)*3),0.3*S585-VLOOKUP(B580,INDIRECT($F$8),6+(O585-1)*3)),11),IF(0.3*S585-VLOOKUP(B580,INDIRECT($F$8),6+(O585-1)*3)&lt;=5,0.3*S585-VLOOKUP(B580,INDIRECT($F$8),6+(O585-1)*3),11)),IF(VLOOKUP(B580,INDIRECT($F$8),8+(O585-1)*3)&lt;U585*0.4,IF(U585*0.4-VLOOKUP(B580,INDIRECT($F$8),8+(O585-1)*3)&lt;=5,U585*0.4-VLOOKUP(B580,INDIRECT($F$8),8+(O585-1)*3),11),0))))</f>
        <v>0</v>
      </c>
      <c r="X585" s="1" t="str">
        <f ca="1">IF(ISERROR(F580),"",IF(W585=0,"",_xlfn.TEXTJOIN("",FALSE," G+",W585," in ",A585)))</f>
        <v/>
      </c>
    </row>
    <row r="586" spans="1:24" ht="11.5" customHeight="1" x14ac:dyDescent="0.2">
      <c r="A586" s="7" t="str">
        <f ca="1">IF(ISERROR(F580),"",VLOOKUP(C580,INDIRECT($F$8),6+(O586-1)*3,0))</f>
        <v>AHT 003</v>
      </c>
      <c r="B586" s="24" t="str">
        <f ca="1">IF(ISERROR(F580),"",VLOOKUP(D580,INDIRECT($F$8),6+(O586-1)*3,0))</f>
        <v>Introduction to Engineering Mathematics</v>
      </c>
      <c r="C586" s="24"/>
      <c r="D586" s="24"/>
      <c r="E586" s="24"/>
      <c r="F586" s="7">
        <f ca="1">IF(ISERROR(F580),"",VLOOKUP(E580,INDIRECT($F$8),6+(O586-1)*3,0))</f>
        <v>4</v>
      </c>
      <c r="G586" s="25" t="str">
        <f ca="1">IF(ISERROR(F580),"",_xlfn.TEXTJOIN("/",FALSE,P586,S586))</f>
        <v>19/100</v>
      </c>
      <c r="H586" s="25"/>
      <c r="I586" s="25" t="str">
        <f ca="1">IF(ISERROR(F580),"",_xlfn.TEXTJOIN("/",FALSE,Q586,T586))</f>
        <v>24/50</v>
      </c>
      <c r="J586" s="25"/>
      <c r="K586" s="25" t="str">
        <f ca="1">IF(ISERROR(F580),"",_xlfn.TEXTJOIN("/",FALSE,R586,U586))</f>
        <v>43/150</v>
      </c>
      <c r="L586" s="25"/>
      <c r="M586" s="7" t="str">
        <f ca="1">IF(ISERROR(F580)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F</v>
      </c>
      <c r="N586" s="8">
        <f t="shared" ref="N586:N595" ca="1" si="53">INDEX($Z$2:$Z$17,MATCH(M586,$Y$2:$Y$17,0))</f>
        <v>0</v>
      </c>
      <c r="O586">
        <f>O585+1</f>
        <v>2</v>
      </c>
      <c r="P586" s="1">
        <f ca="1">IF(ISERROR(F580),"",IF(ISTEXT(VLOOKUP(B580,INDIRECT($F$8),6+(O586-1)*3)),(VLOOKUP(B580,INDIRECT($F$8),6+(O586-1)*3)),SUM(VLOOKUP(B580,INDIRECT($F$8),6+(O586-1)*3),IF(W598,W586,0))))</f>
        <v>19</v>
      </c>
      <c r="Q586" s="1">
        <f ca="1">IF(ISERROR(F580),"",VLOOKUP(B580,INDIRECT($F$8),7+(O586-1)*3))</f>
        <v>24</v>
      </c>
      <c r="R586" s="1">
        <f ca="1">IF(ISERROR(F580),"",SUM(P586:Q586))</f>
        <v>43</v>
      </c>
      <c r="S586" s="1">
        <f ca="1">IF(ISERROR(F580),"",VLOOKUP(A580,INDIRECT($F$8),6+(O586-1)*3))</f>
        <v>100</v>
      </c>
      <c r="T586" s="1">
        <f ca="1">IF(ISERROR(F580),"",VLOOKUP(A580,INDIRECT($F$8),7+(O586-1)*3))</f>
        <v>50</v>
      </c>
      <c r="U586" s="1">
        <f ca="1">IF(ISERROR(F580),"",VLOOKUP(A580,INDIRECT($F$8),8+(O586-1)*3))</f>
        <v>150</v>
      </c>
      <c r="V586" s="1" t="str">
        <f ca="1">IF(ISERROR(F580),"",IF(N586=0,A586,""))</f>
        <v>AHT 003</v>
      </c>
      <c r="W586" s="1">
        <f ca="1">IF(ISERROR(F580),"",IF(ISTEXT(VLOOKUP(B580,INDIRECT($F$8),6+(O586-1)*3)),11,IF(VLOOKUP(B580,INDIRECT($F$8),6+(O586-1)*3)&lt;S586*0.3,IF(VLOOKUP(B580,INDIRECT($F$8),8+(O586-1)*3)&lt;U586*0.4,IF(AND(0.4*U586-VLOOKUP(B580,INDIRECT($F$8),8+(O586-1)*3)&lt;=5,0.3*S586-VLOOKUP(B580,INDIRECT($F$8),6+(O586-1)*3)&lt;=5),MAX(0.4*U586-VLOOKUP(B580,INDIRECT($F$8),8+(O586-1)*3),0.3*S586-VLOOKUP(B580,INDIRECT($F$8),6+(O586-1)*3)),11),IF(0.3*S586-VLOOKUP(B580,INDIRECT($F$8),6+(O586-1)*3)&lt;=5,0.3*S586-VLOOKUP(B580,INDIRECT($F$8),6+(O586-1)*3),11)),IF(VLOOKUP(B580,INDIRECT($F$8),8+(O586-1)*3)&lt;U586*0.4,IF(U586*0.4-VLOOKUP(B580,INDIRECT($F$8),8+(O586-1)*3)&lt;=5,U586*0.4-VLOOKUP(B580,INDIRECT($F$8),8+(O586-1)*3),11),0))))</f>
        <v>11</v>
      </c>
      <c r="X586" s="1" t="str">
        <f ca="1">IF(ISERROR(F580),"",IF(W586=0,"",_xlfn.TEXTJOIN("",FALSE," G+",W586," in ",A586)))</f>
        <v xml:space="preserve"> G+11 in AHT 003</v>
      </c>
    </row>
    <row r="587" spans="1:24" ht="11.5" customHeight="1" x14ac:dyDescent="0.2">
      <c r="A587" s="7" t="str">
        <f ca="1">IF(ISERROR(F580),"",VLOOKUP(C580,INDIRECT($F$8),6+(O587-1)*3,0))</f>
        <v>ECT 001</v>
      </c>
      <c r="B587" s="24" t="str">
        <f ca="1">IF(ISERROR(F580),"",VLOOKUP(D580,INDIRECT($F$8),6+(O587-1)*3,0))</f>
        <v>Basic Electronics Engineering</v>
      </c>
      <c r="C587" s="24"/>
      <c r="D587" s="24"/>
      <c r="E587" s="24"/>
      <c r="F587" s="7">
        <f ca="1">IF(ISERROR(F580),"",VLOOKUP(E580,INDIRECT($F$8),6+(O587-1)*3,0))</f>
        <v>4</v>
      </c>
      <c r="G587" s="25" t="str">
        <f ca="1">IF(ISERROR(F580),"",_xlfn.TEXTJOIN("/",FALSE,P587,S587))</f>
        <v>54/100</v>
      </c>
      <c r="H587" s="25"/>
      <c r="I587" s="25" t="str">
        <f ca="1">IF(ISERROR(F580),"",_xlfn.TEXTJOIN("/",FALSE,Q587,T587))</f>
        <v>37/50</v>
      </c>
      <c r="J587" s="25"/>
      <c r="K587" s="25" t="str">
        <f ca="1">IF(ISERROR(F580),"",_xlfn.TEXTJOIN("/",FALSE,R587,U587))</f>
        <v>91/150</v>
      </c>
      <c r="L587" s="25"/>
      <c r="M587" s="7" t="str">
        <f ca="1">IF(ISERROR(F580)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D+</v>
      </c>
      <c r="N587" s="8">
        <f t="shared" ca="1" si="53"/>
        <v>6.5</v>
      </c>
      <c r="O587">
        <f>O586+1</f>
        <v>3</v>
      </c>
      <c r="P587" s="1">
        <f ca="1">IF(ISERROR(F580),"",IF(ISTEXT(VLOOKUP(B580,INDIRECT($F$8),6+(O587-1)*3)),(VLOOKUP(B580,INDIRECT($F$8),6+(O587-1)*3)),SUM(VLOOKUP(B580,INDIRECT($F$8),6+(O587-1)*3),IF(W598,W587,0))))</f>
        <v>54</v>
      </c>
      <c r="Q587" s="1">
        <f ca="1">IF(ISERROR(F580),"",VLOOKUP(B580,INDIRECT($F$8),7+(O587-1)*3))</f>
        <v>37</v>
      </c>
      <c r="R587" s="1">
        <f ca="1">IF(ISERROR(F580),"",SUM(P587:Q587))</f>
        <v>91</v>
      </c>
      <c r="S587" s="1">
        <f ca="1">IF(ISERROR(F580),"",VLOOKUP(A580,INDIRECT($F$8),6+(O587-1)*3))</f>
        <v>100</v>
      </c>
      <c r="T587" s="1">
        <f ca="1">IF(ISERROR(F580),"",VLOOKUP(A580,INDIRECT($F$8),7+(O587-1)*3))</f>
        <v>50</v>
      </c>
      <c r="U587" s="1">
        <f ca="1">IF(ISERROR(F580),"",VLOOKUP(A580,INDIRECT($F$8),8+(O587-1)*3))</f>
        <v>150</v>
      </c>
      <c r="V587" s="1" t="str">
        <f ca="1">IF(ISERROR(F580),"",IF(N587=0,A587,""))</f>
        <v/>
      </c>
      <c r="W587" s="1">
        <f ca="1">IF(ISERROR(F580),"",IF(ISTEXT(VLOOKUP(B580,INDIRECT($F$8),6+(O587-1)*3)),11,IF(VLOOKUP(B580,INDIRECT($F$8),6+(O587-1)*3)&lt;S587*0.3,IF(VLOOKUP(B580,INDIRECT($F$8),8+(O587-1)*3)&lt;U587*0.4,IF(AND(0.4*U587-VLOOKUP(B580,INDIRECT($F$8),8+(O587-1)*3)&lt;=5,0.3*S587-VLOOKUP(B580,INDIRECT($F$8),6+(O587-1)*3)&lt;=5),MAX(0.4*U587-VLOOKUP(B580,INDIRECT($F$8),8+(O587-1)*3),0.3*S587-VLOOKUP(B580,INDIRECT($F$8),6+(O587-1)*3)),11),IF(0.3*S587-VLOOKUP(B580,INDIRECT($F$8),6+(O587-1)*3)&lt;=5,0.3*S587-VLOOKUP(B580,INDIRECT($F$8),6+(O587-1)*3),11)),IF(VLOOKUP(B580,INDIRECT($F$8),8+(O587-1)*3)&lt;U587*0.4,IF(U587*0.4-VLOOKUP(B580,INDIRECT($F$8),8+(O587-1)*3)&lt;=5,U587*0.4-VLOOKUP(B580,INDIRECT($F$8),8+(O587-1)*3),11),0))))</f>
        <v>0</v>
      </c>
      <c r="X587" s="1" t="str">
        <f ca="1">IF(ISERROR(F580),"",IF(W587=0,"",_xlfn.TEXTJOIN("",FALSE," G+",W587," in ",A587)))</f>
        <v/>
      </c>
    </row>
    <row r="588" spans="1:24" ht="11.5" customHeight="1" x14ac:dyDescent="0.2">
      <c r="A588" s="7" t="str">
        <f ca="1">IF(ISERROR(F580),"",VLOOKUP(C580,INDIRECT($F$8),6+(O588-1)*3,0))</f>
        <v>MET 001</v>
      </c>
      <c r="B588" s="24" t="str">
        <f ca="1">IF(ISERROR(F580),"",VLOOKUP(D580,INDIRECT($F$8),6+(O588-1)*3,0))</f>
        <v>Basic Mechanical Engineering</v>
      </c>
      <c r="C588" s="24"/>
      <c r="D588" s="24"/>
      <c r="E588" s="24"/>
      <c r="F588" s="7">
        <f ca="1">IF(ISERROR(F580),"",VLOOKUP(E580,INDIRECT($F$8),6+(O588-1)*3,0))</f>
        <v>4</v>
      </c>
      <c r="G588" s="25" t="str">
        <f ca="1">IF(ISERROR(F580),"",_xlfn.TEXTJOIN("/",FALSE,P588,S588))</f>
        <v>49/100</v>
      </c>
      <c r="H588" s="25"/>
      <c r="I588" s="25" t="str">
        <f ca="1">IF(ISERROR(F580),"",_xlfn.TEXTJOIN("/",FALSE,Q588,T588))</f>
        <v>43/50</v>
      </c>
      <c r="J588" s="25"/>
      <c r="K588" s="25" t="str">
        <f ca="1">IF(ISERROR(F580),"",_xlfn.TEXTJOIN("/",FALSE,R588,U588))</f>
        <v>92/150</v>
      </c>
      <c r="L588" s="25"/>
      <c r="M588" s="7" t="str">
        <f ca="1">IF(ISERROR(F580)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D+</v>
      </c>
      <c r="N588" s="8">
        <f t="shared" ca="1" si="53"/>
        <v>6.5</v>
      </c>
      <c r="O588">
        <f>O587+1</f>
        <v>4</v>
      </c>
      <c r="P588" s="1">
        <f ca="1">IF(ISERROR(F580),"",IF(ISTEXT(VLOOKUP(B580,INDIRECT($F$8),6+(O588-1)*3)),(VLOOKUP(B580,INDIRECT($F$8),6+(O588-1)*3)),SUM(VLOOKUP(B580,INDIRECT($F$8),6+(O588-1)*3),IF(W598,W588,0))))</f>
        <v>49</v>
      </c>
      <c r="Q588" s="1">
        <f ca="1">IF(ISERROR(F580),"",VLOOKUP(B580,INDIRECT($F$8),7+(O588-1)*3))</f>
        <v>43</v>
      </c>
      <c r="R588" s="1">
        <f ca="1">IF(ISERROR(F580),"",SUM(P588:Q588))</f>
        <v>92</v>
      </c>
      <c r="S588" s="1">
        <f ca="1">IF(ISERROR(F580),"",VLOOKUP(A580,INDIRECT($F$8),6+(O588-1)*3))</f>
        <v>100</v>
      </c>
      <c r="T588" s="1">
        <f ca="1">IF(ISERROR(F580),"",VLOOKUP(A580,INDIRECT($F$8),7+(O588-1)*3))</f>
        <v>50</v>
      </c>
      <c r="U588" s="1">
        <f ca="1">IF(ISERROR(F580),"",VLOOKUP(A580,INDIRECT($F$8),8+(O588-1)*3))</f>
        <v>150</v>
      </c>
      <c r="V588" s="1" t="str">
        <f ca="1">IF(ISERROR(F580),"",IF(N588=0,A588,""))</f>
        <v/>
      </c>
      <c r="W588" s="1">
        <f ca="1">IF(ISERROR(F580),"",IF(ISTEXT(VLOOKUP(B580,INDIRECT($F$8),6+(O588-1)*3)),11,IF(VLOOKUP(B580,INDIRECT($F$8),6+(O588-1)*3)&lt;S588*0.3,IF(VLOOKUP(B580,INDIRECT($F$8),8+(O588-1)*3)&lt;U588*0.4,IF(AND(0.4*U588-VLOOKUP(B580,INDIRECT($F$8),8+(O588-1)*3)&lt;=5,0.3*S588-VLOOKUP(B580,INDIRECT($F$8),6+(O588-1)*3)&lt;=5),MAX(0.4*U588-VLOOKUP(B580,INDIRECT($F$8),8+(O588-1)*3),0.3*S588-VLOOKUP(B580,INDIRECT($F$8),6+(O588-1)*3)),11),IF(0.3*S588-VLOOKUP(B580,INDIRECT($F$8),6+(O588-1)*3)&lt;=5,0.3*S588-VLOOKUP(B580,INDIRECT($F$8),6+(O588-1)*3),11)),IF(VLOOKUP(B580,INDIRECT($F$8),8+(O588-1)*3)&lt;U588*0.4,IF(U588*0.4-VLOOKUP(B580,INDIRECT($F$8),8+(O588-1)*3)&lt;=5,U588*0.4-VLOOKUP(B580,INDIRECT($F$8),8+(O588-1)*3),11),0))))</f>
        <v>0</v>
      </c>
      <c r="X588" s="1" t="str">
        <f ca="1">IF(ISERROR(F580),"",IF(W588=0,"",_xlfn.TEXTJOIN("",FALSE," G+",W588," in ",A588)))</f>
        <v/>
      </c>
    </row>
    <row r="589" spans="1:24" ht="11.5" customHeight="1" x14ac:dyDescent="0.2">
      <c r="A589" s="7" t="str">
        <f ca="1">IF(ISERROR(F580),"",VLOOKUP(C580,INDIRECT($F$8),6+(O589-1)*3,0))</f>
        <v>BTT 001</v>
      </c>
      <c r="B589" s="24" t="str">
        <f ca="1">IF(ISERROR(F580),"",VLOOKUP(D580,INDIRECT($F$8),6+(O589-1)*3,0))</f>
        <v>Biology for Engineers (Bridge Course) ($)</v>
      </c>
      <c r="C589" s="24"/>
      <c r="D589" s="24"/>
      <c r="E589" s="24"/>
      <c r="F589" s="7">
        <f ca="1">IF(ISERROR(F580),"",VLOOKUP(E580,INDIRECT($F$8),6+(O589-1)*3,0))</f>
        <v>0</v>
      </c>
      <c r="G589" s="25" t="str">
        <f ca="1">IF(ISERROR(F580),"",_xlfn.TEXTJOIN("/",FALSE,P589,S589))</f>
        <v>68/100</v>
      </c>
      <c r="H589" s="25"/>
      <c r="I589" s="25" t="str">
        <f ca="1">IF(ISERROR(F580),"",_xlfn.TEXTJOIN("/",FALSE,Q589,T589))</f>
        <v>40/50</v>
      </c>
      <c r="J589" s="25"/>
      <c r="K589" s="25" t="str">
        <f ca="1">IF(ISERROR(F580),"",_xlfn.TEXTJOIN("/",FALSE,R589,U589))</f>
        <v>108/150</v>
      </c>
      <c r="L589" s="25"/>
      <c r="M589" s="7" t="str">
        <f ca="1">IF(ISERROR(F580)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C+</v>
      </c>
      <c r="N589" s="8">
        <f t="shared" ca="1" si="53"/>
        <v>7.5</v>
      </c>
      <c r="O589" cm="1">
        <f t="array" aca="1" ref="O589" ca="1">IF(NOT(ISBLANK(INDIRECT("SEM_I!R"&amp;INT((ROW(O589)-17)/22)+6))),5,
IF(NOT(ISBLANK(INDIRECT("SEM_I!U"&amp;INT((ROW(O589)-17)/22)+6))),6))</f>
        <v>6</v>
      </c>
      <c r="P589" s="1">
        <f ca="1">IF(ISERROR(F580),"",IF(ISTEXT(VLOOKUP(B580,INDIRECT($F$8),6+(O589-1)*3)),(VLOOKUP(B580,INDIRECT($F$8),6+(O589-1)*3)),SUM(VLOOKUP(B580,INDIRECT($F$8),6+(O589-1)*3),IF(W598,W589,0))))</f>
        <v>68</v>
      </c>
      <c r="Q589" s="1">
        <f ca="1">IF(ISERROR(F580),"",VLOOKUP(B580,INDIRECT($F$8),7+(O589-1)*3))</f>
        <v>40</v>
      </c>
      <c r="R589" s="1">
        <f ca="1">IF(ISERROR(F580),"",SUM(P589:Q589))</f>
        <v>108</v>
      </c>
      <c r="S589" s="1">
        <f ca="1">IF(ISERROR(F580),"",VLOOKUP(A580,INDIRECT($F$8),6+(O589-1)*3))</f>
        <v>100</v>
      </c>
      <c r="T589" s="1">
        <f ca="1">IF(ISERROR(F580),"",VLOOKUP(A580,INDIRECT($F$8),7+(O589-1)*3))</f>
        <v>50</v>
      </c>
      <c r="U589" s="1">
        <f ca="1">IF(ISERROR(F580),"",VLOOKUP(A580,INDIRECT($F$8),8+(O589-1)*3))</f>
        <v>150</v>
      </c>
      <c r="V589" s="1" t="str">
        <f ca="1">IF(ISERROR(F580),"",IF(N589=0,A589,""))</f>
        <v/>
      </c>
      <c r="W589" s="1">
        <f ca="1">IF(ISERROR(F580),"",IF(ISTEXT(VLOOKUP(B580,INDIRECT($F$8),6+(O589-1)*3)),11,IF(VLOOKUP(B580,INDIRECT($F$8),6+(O589-1)*3)&lt;S589*0.3,IF(VLOOKUP(B580,INDIRECT($F$8),8+(O589-1)*3)&lt;U589*0.4,IF(AND(0.4*U589-VLOOKUP(B580,INDIRECT($F$8),8+(O589-1)*3)&lt;=5,0.3*S589-VLOOKUP(B580,INDIRECT($F$8),6+(O589-1)*3)&lt;=5),MAX(0.4*U589-VLOOKUP(B580,INDIRECT($F$8),8+(O589-1)*3),0.3*S589-VLOOKUP(B580,INDIRECT($F$8),6+(O589-1)*3)),11),IF(0.3*S589-VLOOKUP(B580,INDIRECT($F$8),6+(O589-1)*3)&lt;=5,0.3*S589-VLOOKUP(B580,INDIRECT($F$8),6+(O589-1)*3),11)),IF(VLOOKUP(B580,INDIRECT($F$8),8+(O589-1)*3)&lt;U589*0.4,IF(U589*0.4-VLOOKUP(B580,INDIRECT($F$8),8+(O589-1)*3)&lt;=5,U589*0.4-VLOOKUP(B580,INDIRECT($F$8),8+(O589-1)*3),11),0))))</f>
        <v>0</v>
      </c>
      <c r="X589" s="1" t="str">
        <f ca="1">IF(ISERROR(F580),"",IF(W589=0,"",_xlfn.TEXTJOIN("",FALSE," G+",W589," in ",A589)))</f>
        <v/>
      </c>
    </row>
    <row r="590" spans="1:24" ht="11.5" customHeight="1" x14ac:dyDescent="0.2">
      <c r="A590" s="7" t="str">
        <f ca="1">IF(ISERROR(F580),"",VLOOKUP(C580,INDIRECT($F$8),6+(O590-1)*3,0))</f>
        <v>AHP 002</v>
      </c>
      <c r="B590" s="24" t="str">
        <f ca="1">IF(ISERROR(F580),"",VLOOKUP(D580,INDIRECT($F$8),6+(O590-1)*3,0))</f>
        <v>Engineering Chemistry Lab</v>
      </c>
      <c r="C590" s="24"/>
      <c r="D590" s="24"/>
      <c r="E590" s="24"/>
      <c r="F590" s="7">
        <f ca="1">IF(ISERROR(F580),"",VLOOKUP(E580,INDIRECT($F$8),6+(O590-1)*3,0))</f>
        <v>1</v>
      </c>
      <c r="G590" s="25" t="str">
        <f ca="1">IF(ISERROR(F580),"",_xlfn.TEXTJOIN("/",FALSE,P590,S590))</f>
        <v>15/25</v>
      </c>
      <c r="H590" s="25"/>
      <c r="I590" s="25" t="str">
        <f ca="1">IF(ISERROR(F580),"",_xlfn.TEXTJOIN("/",FALSE,Q590,T590))</f>
        <v>13/25</v>
      </c>
      <c r="J590" s="25"/>
      <c r="K590" s="25" t="str">
        <f ca="1">IF(ISERROR(F580),"",_xlfn.TEXTJOIN("/",FALSE,R590,U590))</f>
        <v>28/50</v>
      </c>
      <c r="L590" s="25"/>
      <c r="M590" s="7" t="str">
        <f ca="1">IF(ISERROR(F580)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D</v>
      </c>
      <c r="N590" s="8">
        <f t="shared" ca="1" si="53"/>
        <v>6</v>
      </c>
      <c r="O590">
        <f ca="1">IF(O589&gt;0,7)</f>
        <v>7</v>
      </c>
      <c r="P590" s="1">
        <f ca="1">IF(ISERROR(F580),"",IF(ISTEXT(VLOOKUP(B580,INDIRECT($F$8),6+(O590-1)*3)),(VLOOKUP(B580,INDIRECT($F$8),6+(O590-1)*3)),SUM(VLOOKUP(B580,INDIRECT($F$8),6+(O590-1)*3),IF(W598,W590,0))))</f>
        <v>15</v>
      </c>
      <c r="Q590" s="1">
        <f ca="1">IF(ISERROR(F580),"",VLOOKUP(B580,INDIRECT($F$8),7+(O590-1)*3))</f>
        <v>13</v>
      </c>
      <c r="R590" s="1">
        <f ca="1">IF(ISERROR(F580),"",SUM(P590:Q590))</f>
        <v>28</v>
      </c>
      <c r="S590" s="1">
        <f ca="1">IF(ISERROR(F580),"",VLOOKUP(A580,INDIRECT($F$8),6+(O590-1)*3))</f>
        <v>25</v>
      </c>
      <c r="T590" s="1">
        <f ca="1">IF(ISERROR(F580),"",VLOOKUP(A580,INDIRECT($F$8),7+(O590-1)*3))</f>
        <v>25</v>
      </c>
      <c r="U590" s="1">
        <f ca="1">IF(ISERROR(F580),"",VLOOKUP(A580,INDIRECT($F$8),8+(O590-1)*3))</f>
        <v>50</v>
      </c>
      <c r="V590" s="1" t="str">
        <f ca="1">IF(ISERROR(F580),"",IF(N590=0,A590,""))</f>
        <v/>
      </c>
      <c r="W590" s="1">
        <f ca="1">IF(ISERROR(F580),"",IF(ISTEXT(VLOOKUP(B580,INDIRECT($F$8),6+(O590-1)*3)),11,IF(VLOOKUP(B580,INDIRECT($F$8),6+(O590-1)*3)&lt;S590*0.3,IF(VLOOKUP(B580,INDIRECT($F$8),8+(O590-1)*3)&lt;U590*0.4,IF(AND(0.4*U590-VLOOKUP(B580,INDIRECT($F$8),8+(O590-1)*3)&lt;=5,0.3*S590-VLOOKUP(B580,INDIRECT($F$8),6+(O590-1)*3)&lt;=5),MAX(0.4*U590-VLOOKUP(B580,INDIRECT($F$8),8+(O590-1)*3),0.3*S590-VLOOKUP(B580,INDIRECT($F$8),6+(O590-1)*3)),11),IF(0.3*S590-VLOOKUP(B580,INDIRECT($F$8),6+(O590-1)*3)&lt;=5,0.3*S590-VLOOKUP(B580,INDIRECT($F$8),6+(O590-1)*3),11)),IF(VLOOKUP(B580,INDIRECT($F$8),8+(O590-1)*3)&lt;U590*0.4,IF(U590*0.4-VLOOKUP(B580,INDIRECT($F$8),8+(O590-1)*3)&lt;=5,U590*0.4-VLOOKUP(B580,INDIRECT($F$8),8+(O590-1)*3),11),0))))</f>
        <v>0</v>
      </c>
      <c r="X590" s="1" t="str">
        <f ca="1">IF(ISERROR(F580),"",IF(W590=0,"",_xlfn.TEXTJOIN("",FALSE," G+",W590," in ",A590)))</f>
        <v/>
      </c>
    </row>
    <row r="591" spans="1:24" ht="11.5" customHeight="1" x14ac:dyDescent="0.2">
      <c r="A591" s="7" t="str">
        <f ca="1">IF(ISERROR(F580),"",VLOOKUP(C580,INDIRECT($F$8),6+(O591-1)*3,0))</f>
        <v>ECP 001</v>
      </c>
      <c r="B591" s="24" t="str">
        <f ca="1">IF(ISERROR(F580),"",VLOOKUP(D580,INDIRECT($F$8),6+(O591-1)*3,0))</f>
        <v>Basic Electronics Engineering Lab</v>
      </c>
      <c r="C591" s="24"/>
      <c r="D591" s="24"/>
      <c r="E591" s="24"/>
      <c r="F591" s="7">
        <f ca="1">IF(ISERROR(F580),"",VLOOKUP(E580,INDIRECT($F$8),6+(O591-1)*3,0))</f>
        <v>1</v>
      </c>
      <c r="G591" s="25" t="str">
        <f ca="1">IF(ISERROR(F580),"",_xlfn.TEXTJOIN("/",FALSE,P591,S591))</f>
        <v>22/25</v>
      </c>
      <c r="H591" s="25"/>
      <c r="I591" s="25" t="str">
        <f ca="1">IF(ISERROR(F580),"",_xlfn.TEXTJOIN("/",FALSE,Q591,T591))</f>
        <v>23/25</v>
      </c>
      <c r="J591" s="25"/>
      <c r="K591" s="25" t="str">
        <f ca="1">IF(ISERROR(F580),"",_xlfn.TEXTJOIN("/",FALSE,R591,U591))</f>
        <v>45/50</v>
      </c>
      <c r="L591" s="25"/>
      <c r="M591" s="7" t="str">
        <f ca="1">IF(ISERROR(F580),"",IF(ISTEXT(P591),IF(P591="A","Ab",IF(P591="D","Dt",IF(P591="UFM","UFM",IF(P591="NA","")))),IF(AND(ISBLANK(P591),ISBLANK(R591)),"",IF(P591&lt;0.3*S591,"F",IF(ISBLANK(R591),"",IF(ISTEXT(R591),R591,IF(R591&gt;=0.95*U591,"O",IF(R591&gt;=0.9*U591,"A+",IF(R591&gt;=0.85*U591,"A",IF(R591&gt;=0.8*U591,"B+",IF(R591&gt;=0.75*U591,"B",IF(R591&gt;=0.7*U591,"C+",IF(R591&gt;=0.65*U591,"C",IF(R591&gt;=0.6*U591,"D+",IF(R591&gt;=0.55*U591,"D",IF(R591&gt;=0.5*U591,"E+",IF(R591&gt;=0.45*U591,"E",IF(R591&gt;=0.4*U591,"P",IF(R591&lt;0.4*U591,"F",R591)))))))))))))))))))</f>
        <v>A+</v>
      </c>
      <c r="N591" s="8">
        <f t="shared" ca="1" si="53"/>
        <v>9.5</v>
      </c>
      <c r="O591">
        <f t="shared" ref="O591:O597" ca="1" si="54">O590+1</f>
        <v>8</v>
      </c>
      <c r="P591" s="1">
        <f ca="1">IF(ISERROR(F580),"",IF(ISTEXT(VLOOKUP(B580,INDIRECT($F$8),6+(O591-1)*3)),(VLOOKUP(B580,INDIRECT($F$8),6+(O591-1)*3)),SUM(VLOOKUP(B580,INDIRECT($F$8),6+(O591-1)*3),IF(W598,W591,0))))</f>
        <v>22</v>
      </c>
      <c r="Q591" s="1">
        <f ca="1">IF(ISERROR(F580),"",VLOOKUP(B580,INDIRECT($F$8),7+(O591-1)*3))</f>
        <v>23</v>
      </c>
      <c r="R591" s="1">
        <f ca="1">IF(ISERROR(F580),"",SUM(P591:Q591))</f>
        <v>45</v>
      </c>
      <c r="S591" s="1">
        <f ca="1">IF(ISERROR(F580),"",VLOOKUP(A580,INDIRECT($F$8),6+(O591-1)*3))</f>
        <v>25</v>
      </c>
      <c r="T591" s="1">
        <f ca="1">IF(ISERROR(F580),"",VLOOKUP(A580,INDIRECT($F$8),7+(O591-1)*3))</f>
        <v>25</v>
      </c>
      <c r="U591" s="1">
        <f ca="1">IF(ISERROR(F580),"",VLOOKUP(A580,INDIRECT($F$8),8+(O591-1)*3))</f>
        <v>50</v>
      </c>
      <c r="V591" s="1" t="str">
        <f ca="1">IF(ISERROR(F580),"",IF(N591=0,A591,""))</f>
        <v/>
      </c>
      <c r="W591" s="1">
        <f ca="1">IF(ISERROR(F580),"",IF(ISTEXT(VLOOKUP(B580,INDIRECT($F$8),6+(O591-1)*3)),11,IF(VLOOKUP(B580,INDIRECT($F$8),6+(O591-1)*3)&lt;S591*0.3,IF(VLOOKUP(B580,INDIRECT($F$8),8+(O591-1)*3)&lt;U591*0.4,IF(AND(0.4*U591-VLOOKUP(B580,INDIRECT($F$8),8+(O591-1)*3)&lt;=5,0.3*S591-VLOOKUP(B580,INDIRECT($F$8),6+(O591-1)*3)&lt;=5),MAX(0.4*U591-VLOOKUP(B580,INDIRECT($F$8),8+(O591-1)*3),0.3*S591-VLOOKUP(B580,INDIRECT($F$8),6+(O591-1)*3)),11),IF(0.3*S591-VLOOKUP(B580,INDIRECT($F$8),6+(O591-1)*3)&lt;=5,0.3*S591-VLOOKUP(B580,INDIRECT($F$8),6+(O591-1)*3),11)),IF(VLOOKUP(B580,INDIRECT($F$8),8+(O591-1)*3)&lt;U591*0.4,IF(U591*0.4-VLOOKUP(B580,INDIRECT($F$8),8+(O591-1)*3)&lt;=5,U591*0.4-VLOOKUP(B580,INDIRECT($F$8),8+(O591-1)*3),11),0))))</f>
        <v>0</v>
      </c>
      <c r="X591" s="1" t="str">
        <f ca="1">IF(ISERROR(F580),"",IF(W591=0,"",_xlfn.TEXTJOIN("",FALSE," G+",W591," in ",A591)))</f>
        <v/>
      </c>
    </row>
    <row r="592" spans="1:24" ht="11.5" customHeight="1" x14ac:dyDescent="0.2">
      <c r="A592" s="7" t="str">
        <f ca="1">IF(ISERROR(F580),"",VLOOKUP(C580,INDIRECT($F$8),6+(O592-1)*3,0))</f>
        <v>MEP 001</v>
      </c>
      <c r="B592" s="24" t="str">
        <f ca="1">IF(ISERROR(F580),"",VLOOKUP(D580,INDIRECT($F$8),6+(O592-1)*3,0))</f>
        <v>Basic Mechanical Engineering Lab</v>
      </c>
      <c r="C592" s="24"/>
      <c r="D592" s="24"/>
      <c r="E592" s="24"/>
      <c r="F592" s="7">
        <f ca="1">IF(ISERROR(F580),"",VLOOKUP(E580,INDIRECT($F$8),6+(O592-1)*3,0))</f>
        <v>1</v>
      </c>
      <c r="G592" s="25" t="str">
        <f ca="1">IF(ISERROR(F580),"",_xlfn.TEXTJOIN("/",FALSE,P592,S592))</f>
        <v>22/25</v>
      </c>
      <c r="H592" s="25"/>
      <c r="I592" s="25" t="str">
        <f ca="1">IF(ISERROR(F580),"",_xlfn.TEXTJOIN("/",FALSE,Q592,T592))</f>
        <v>21/25</v>
      </c>
      <c r="J592" s="25"/>
      <c r="K592" s="25" t="str">
        <f ca="1">IF(ISERROR(F580),"",_xlfn.TEXTJOIN("/",FALSE,R592,U592))</f>
        <v>43/50</v>
      </c>
      <c r="L592" s="25"/>
      <c r="M592" s="7" t="str">
        <f ca="1">IF(ISERROR(F580),"",IF(ISTEXT(P592),IF(P592="A","Ab",IF(P592="D","Dt",IF(P592="UFM","UFM",IF(P592="NA","")))),IF(AND(ISBLANK(P592),ISBLANK(R592)),"",IF(P592&lt;0.3*S592,"F",IF(ISBLANK(R592),"",IF(ISTEXT(R592),R592,IF(R592&gt;=0.95*U592,"O",IF(R592&gt;=0.9*U592,"A+",IF(R592&gt;=0.85*U592,"A",IF(R592&gt;=0.8*U592,"B+",IF(R592&gt;=0.75*U592,"B",IF(R592&gt;=0.7*U592,"C+",IF(R592&gt;=0.65*U592,"C",IF(R592&gt;=0.6*U592,"D+",IF(R592&gt;=0.55*U592,"D",IF(R592&gt;=0.5*U592,"E+",IF(R592&gt;=0.45*U592,"E",IF(R592&gt;=0.4*U592,"P",IF(R592&lt;0.4*U592,"F",R592)))))))))))))))))))</f>
        <v>A</v>
      </c>
      <c r="N592" s="8">
        <f t="shared" ca="1" si="53"/>
        <v>9</v>
      </c>
      <c r="O592">
        <f t="shared" ca="1" si="54"/>
        <v>9</v>
      </c>
      <c r="P592" s="1">
        <f ca="1">IF(ISERROR(F580),"",IF(ISTEXT(VLOOKUP(B580,INDIRECT($F$8),6+(O592-1)*3)),(VLOOKUP(B580,INDIRECT($F$8),6+(O592-1)*3)),SUM(VLOOKUP(B580,INDIRECT($F$8),6+(O592-1)*3),IF(W598,W592,0))))</f>
        <v>22</v>
      </c>
      <c r="Q592" s="1">
        <f ca="1">IF(ISERROR(F580),"",VLOOKUP(B580,INDIRECT($F$8),7+(O592-1)*3))</f>
        <v>21</v>
      </c>
      <c r="R592" s="1">
        <f ca="1">IF(ISERROR(F580),"",SUM(P592:Q592))</f>
        <v>43</v>
      </c>
      <c r="S592" s="1">
        <f ca="1">IF(ISERROR(F580),"",VLOOKUP(A580,INDIRECT($F$8),6+(O592-1)*3))</f>
        <v>25</v>
      </c>
      <c r="T592" s="1">
        <f ca="1">IF(ISERROR(F580),"",VLOOKUP(A580,INDIRECT($F$8),7+(O592-1)*3))</f>
        <v>25</v>
      </c>
      <c r="U592" s="1">
        <f ca="1">IF(ISERROR(F580),"",VLOOKUP(A580,INDIRECT($F$8),8+(O592-1)*3))</f>
        <v>50</v>
      </c>
      <c r="V592" s="1" t="str">
        <f ca="1">IF(ISERROR(F580),"",IF(N592=0,A592,""))</f>
        <v/>
      </c>
      <c r="W592" s="1">
        <f ca="1">IF(ISERROR(F580),"",IF(ISTEXT(VLOOKUP(B580,INDIRECT($F$8),6+(O592-1)*3)),11,IF(VLOOKUP(B580,INDIRECT($F$8),6+(O592-1)*3)&lt;S592*0.3,IF(VLOOKUP(B580,INDIRECT($F$8),8+(O592-1)*3)&lt;U592*0.4,IF(AND(0.4*U592-VLOOKUP(B580,INDIRECT($F$8),8+(O592-1)*3)&lt;=5,0.3*S592-VLOOKUP(B580,INDIRECT($F$8),6+(O592-1)*3)&lt;=5),MAX(0.4*U592-VLOOKUP(B580,INDIRECT($F$8),8+(O592-1)*3),0.3*S592-VLOOKUP(B580,INDIRECT($F$8),6+(O592-1)*3)),11),IF(0.3*S592-VLOOKUP(B580,INDIRECT($F$8),6+(O592-1)*3)&lt;=5,0.3*S592-VLOOKUP(B580,INDIRECT($F$8),6+(O592-1)*3),11)),IF(VLOOKUP(B580,INDIRECT($F$8),8+(O592-1)*3)&lt;U592*0.4,IF(U592*0.4-VLOOKUP(B580,INDIRECT($F$8),8+(O592-1)*3)&lt;=5,U592*0.4-VLOOKUP(B580,INDIRECT($F$8),8+(O592-1)*3),11),0))))</f>
        <v>0</v>
      </c>
      <c r="X592" s="1" t="str">
        <f ca="1">IF(ISERROR(F580),"",IF(W592=0,"",_xlfn.TEXTJOIN("",FALSE," G+",W592," in ",A592)))</f>
        <v/>
      </c>
    </row>
    <row r="593" spans="1:24" ht="11.5" customHeight="1" x14ac:dyDescent="0.2">
      <c r="A593" s="7" t="str">
        <f ca="1">IF(ISERROR(F580),"",VLOOKUP(C580,INDIRECT($F$8),6+(O593-1)*3,0))</f>
        <v>MEP 003</v>
      </c>
      <c r="B593" s="24" t="str">
        <f ca="1">IF(ISERROR(F580),"",VLOOKUP(D580,INDIRECT($F$8),6+(O593-1)*3-Z593,0))</f>
        <v>Workshop Practices Lab</v>
      </c>
      <c r="C593" s="24"/>
      <c r="D593" s="24"/>
      <c r="E593" s="24"/>
      <c r="F593" s="7">
        <f ca="1">IF(ISERROR(F580),"",VLOOKUP(E580,INDIRECT($F$8),6+(O593-1)*3,0))</f>
        <v>2</v>
      </c>
      <c r="G593" s="25" t="str">
        <f ca="1">IF(ISERROR(F580),"",_xlfn.TEXTJOIN("/",FALSE,P593,S593))</f>
        <v>48/50</v>
      </c>
      <c r="H593" s="25"/>
      <c r="I593" s="25" t="str">
        <f ca="1">IF(ISERROR(F580),"",_xlfn.TEXTJOIN("/",FALSE,Q593,T593))</f>
        <v>49/50</v>
      </c>
      <c r="J593" s="25"/>
      <c r="K593" s="25" t="str">
        <f ca="1">IF(ISERROR(F580),"",_xlfn.TEXTJOIN("/",FALSE,R593,U593))</f>
        <v>97/100</v>
      </c>
      <c r="L593" s="25"/>
      <c r="M593" s="7" t="str">
        <f ca="1">IF(ISERROR(F580),"",IF(ISTEXT(P593),IF(P593="A","Ab",IF(P593="D","Dt",IF(P593="UFM","UFM",IF(P593="NA","")))),IF(AND(ISBLANK(P593),ISBLANK(R593)),"",IF(P593&lt;0.3*S593,"F",IF(ISBLANK(R593),"",IF(ISTEXT(R593),R593,IF(R593&gt;=0.95*U593,"O",IF(R593&gt;=0.9*U593,"A+",IF(R593&gt;=0.85*U593,"A",IF(R593&gt;=0.8*U593,"B+",IF(R593&gt;=0.75*U593,"B",IF(R593&gt;=0.7*U593,"C+",IF(R593&gt;=0.65*U593,"C",IF(R593&gt;=0.6*U593,"D+",IF(R593&gt;=0.55*U593,"D",IF(R593&gt;=0.5*U593,"E+",IF(R593&gt;=0.45*U593,"E",IF(R593&gt;=0.4*U593,"P",IF(R593&lt;0.4*U593,"F",R593)))))))))))))))))))</f>
        <v>O</v>
      </c>
      <c r="N593" s="8">
        <f t="shared" ca="1" si="53"/>
        <v>10</v>
      </c>
      <c r="O593">
        <f t="shared" ca="1" si="54"/>
        <v>10</v>
      </c>
      <c r="P593" s="1">
        <f ca="1">IF(ISERROR(F580),"",IF(ISTEXT(VLOOKUP(B580,INDIRECT($F$8),6+(O593-1)*3)),(VLOOKUP(B580,INDIRECT($F$8),6+(O593-1)*3)),SUM(VLOOKUP(B580,INDIRECT($F$8),6+(O593-1)*3),IF(W598,W593,0))))</f>
        <v>48</v>
      </c>
      <c r="Q593" s="1">
        <f ca="1">IF(ISERROR(F580),"",VLOOKUP(B580,INDIRECT($F$8),7+(O593-1)*3))</f>
        <v>49</v>
      </c>
      <c r="R593" s="1">
        <f ca="1">IF(ISERROR(F580),"",SUM(P593:Q593))</f>
        <v>97</v>
      </c>
      <c r="S593" s="1">
        <f ca="1">IF(ISERROR(F580),"",VLOOKUP(A580,INDIRECT($F$8),6+(O593-1)*3))</f>
        <v>50</v>
      </c>
      <c r="T593" s="1">
        <f ca="1">IF(ISERROR(F580),"",VLOOKUP(A580,INDIRECT($F$8),7+(O593-1)*3))</f>
        <v>50</v>
      </c>
      <c r="U593" s="1">
        <f ca="1">IF(ISERROR(F580),"",VLOOKUP(A580,INDIRECT($F$8),8+(O593-1)*3))</f>
        <v>100</v>
      </c>
      <c r="V593" s="1" t="str">
        <f ca="1">IF(ISERROR(F580),"",IF(N593=0,A593,""))</f>
        <v/>
      </c>
      <c r="W593" s="1">
        <f ca="1">IF(ISERROR(F580),"",IF(ISTEXT(VLOOKUP(B580,INDIRECT($F$8),6+(O593-1)*3)),11,IF(VLOOKUP(B580,INDIRECT($F$8),6+(O593-1)*3)&lt;S593*0.3,IF(VLOOKUP(B580,INDIRECT($F$8),8+(O593-1)*3)&lt;U593*0.4,IF(AND(0.4*U593-VLOOKUP(B580,INDIRECT($F$8),8+(O593-1)*3)&lt;=5,0.3*S593-VLOOKUP(B580,INDIRECT($F$8),6+(O593-1)*3)&lt;=5),MAX(0.4*U593-VLOOKUP(B580,INDIRECT($F$8),8+(O593-1)*3),0.3*S593-VLOOKUP(B580,INDIRECT($F$8),6+(O593-1)*3)),11),IF(0.3*S593-VLOOKUP(B580,INDIRECT($F$8),6+(O593-1)*3)&lt;=5,0.3*S593-VLOOKUP(B580,INDIRECT($F$8),6+(O593-1)*3),11)),IF(VLOOKUP(B580,INDIRECT($F$8),8+(O593-1)*3)&lt;U593*0.4,IF(U593*0.4-VLOOKUP(B580,INDIRECT($F$8),8+(O593-1)*3)&lt;=5,U593*0.4-VLOOKUP(B580,INDIRECT($F$8),8+(O593-1)*3),11),0))))</f>
        <v>0</v>
      </c>
      <c r="X593" s="1" t="str">
        <f ca="1">IF(ISERROR(F580),"",IF(W593=0,"",_xlfn.TEXTJOIN("",FALSE," G+",W593," in ",A593)))</f>
        <v/>
      </c>
    </row>
    <row r="594" spans="1:24" ht="11.5" customHeight="1" x14ac:dyDescent="0.2">
      <c r="A594" s="7" t="str">
        <f ca="1">IF(ISERROR(F580),"",VLOOKUP(C580,INDIRECT($F$8),6+(O594-1)*3,0))</f>
        <v>AHP 004</v>
      </c>
      <c r="B594" s="24" t="str">
        <f ca="1">IF(ISERROR(F580),"",VLOOKUP(D580,INDIRECT($F$8),6+(O594-1)*3-Z594,0))</f>
        <v>Emerging Technologies in Engineering Lab</v>
      </c>
      <c r="C594" s="24"/>
      <c r="D594" s="24"/>
      <c r="E594" s="24"/>
      <c r="F594" s="7">
        <f ca="1">IF(ISERROR(F580),"",VLOOKUP(E580,INDIRECT($F$8),6+(O594-1)*3,0))</f>
        <v>1</v>
      </c>
      <c r="G594" s="25" t="str">
        <f ca="1">IF(ISERROR(F580),"",_xlfn.TEXTJOIN("/",FALSE,P594,S594))</f>
        <v>23/25</v>
      </c>
      <c r="H594" s="25"/>
      <c r="I594" s="25" t="str">
        <f ca="1">IF(ISERROR(F580),"",_xlfn.TEXTJOIN("/",FALSE,Q594,T594))</f>
        <v>23/25</v>
      </c>
      <c r="J594" s="25"/>
      <c r="K594" s="25" t="str">
        <f ca="1">IF(ISERROR(F580),"",_xlfn.TEXTJOIN("/",FALSE,R594,U594))</f>
        <v>46/50</v>
      </c>
      <c r="L594" s="25"/>
      <c r="M594" s="7" t="str">
        <f ca="1">IF(ISERROR(F580),"",IF(ISTEXT(P594),IF(P594="A","Ab",IF(P594="D","Dt",IF(P594="UFM","UFM",IF(P594="NA","")))),IF(AND(ISBLANK(P594),ISBLANK(R594)),"",IF(P594&lt;0.3*S594,"F",IF(ISBLANK(R594),"",IF(ISTEXT(R594),R594,IF(R594&gt;=0.95*U594,"O",IF(R594&gt;=0.9*U594,"A+",IF(R594&gt;=0.85*U594,"A",IF(R594&gt;=0.8*U594,"B+",IF(R594&gt;=0.75*U594,"B",IF(R594&gt;=0.7*U594,"C+",IF(R594&gt;=0.65*U594,"C",IF(R594&gt;=0.6*U594,"D+",IF(R594&gt;=0.55*U594,"D",IF(R594&gt;=0.5*U594,"E+",IF(R594&gt;=0.45*U594,"E",IF(R594&gt;=0.4*U594,"P",IF(R594&lt;0.4*U594,"F",R594)))))))))))))))))))</f>
        <v>A+</v>
      </c>
      <c r="N594" s="8">
        <f t="shared" ca="1" si="53"/>
        <v>9.5</v>
      </c>
      <c r="O594">
        <f t="shared" ca="1" si="54"/>
        <v>11</v>
      </c>
      <c r="P594" s="1">
        <f ca="1">IF(ISERROR(F580),"",IF(ISTEXT(VLOOKUP(B580,INDIRECT($F$8),6+(O594-1)*3)),(VLOOKUP(B580,INDIRECT($F$8),6+(O594-1)*3)),SUM(VLOOKUP(B580,INDIRECT($F$8),6+(O594-1)*3),IF(W598,W594,0))))</f>
        <v>23</v>
      </c>
      <c r="Q594" s="1">
        <f ca="1">IF(ISERROR(F580),"",VLOOKUP(B580,INDIRECT($F$8),7+(O594-1)*3))</f>
        <v>23</v>
      </c>
      <c r="R594" s="1">
        <f ca="1">IF(ISERROR(F580),"",SUM(P594:Q594))</f>
        <v>46</v>
      </c>
      <c r="S594" s="1">
        <f ca="1">IF(ISERROR(F580),"",VLOOKUP(A580,INDIRECT($F$8),6+(O594-1)*3))</f>
        <v>25</v>
      </c>
      <c r="T594" s="1">
        <f ca="1">IF(ISERROR(F580),"",VLOOKUP(A580,INDIRECT($F$8),7+(O594-1)*3))</f>
        <v>25</v>
      </c>
      <c r="U594" s="1">
        <f ca="1">IF(ISERROR(F580),"",VLOOKUP(A580,INDIRECT($F$8),8+(O594-1)*3))</f>
        <v>50</v>
      </c>
      <c r="V594" s="1" t="str">
        <f ca="1">IF(ISERROR(F580),"",IF(N594=0,A594,""))</f>
        <v/>
      </c>
      <c r="W594" s="1">
        <f ca="1">IF(ISERROR(F580),"",IF(ISTEXT(VLOOKUP(B580,INDIRECT($F$8),6+(O594-1)*3)),11,IF(VLOOKUP(B580,INDIRECT($F$8),6+(O594-1)*3)&lt;S594*0.3,IF(VLOOKUP(B580,INDIRECT($F$8),8+(O594-1)*3)&lt;U594*0.4,IF(AND(0.4*U594-VLOOKUP(B580,INDIRECT($F$8),8+(O594-1)*3)&lt;=5,0.3*S594-VLOOKUP(B580,INDIRECT($F$8),6+(O594-1)*3)&lt;=5),MAX(0.4*U594-VLOOKUP(B580,INDIRECT($F$8),8+(O594-1)*3),0.3*S594-VLOOKUP(B580,INDIRECT($F$8),6+(O594-1)*3)),11),IF(0.3*S594-VLOOKUP(B580,INDIRECT($F$8),6+(O594-1)*3)&lt;=5,0.3*S594-VLOOKUP(B580,INDIRECT($F$8),6+(O594-1)*3),11)),IF(VLOOKUP(B580,INDIRECT($F$8),8+(O594-1)*3)&lt;U594*0.4,IF(U594*0.4-VLOOKUP(B580,INDIRECT($F$8),8+(O594-1)*3)&lt;=5,U594*0.4-VLOOKUP(B580,INDIRECT($F$8),8+(O594-1)*3),11),0))))</f>
        <v>0</v>
      </c>
      <c r="X594" s="1" t="str">
        <f ca="1">IF(ISERROR(F580),"",IF(W594=0,"",_xlfn.TEXTJOIN("",FALSE," G+",W594," in ",A594)))</f>
        <v/>
      </c>
    </row>
    <row r="595" spans="1:24" ht="11.5" customHeight="1" x14ac:dyDescent="0.2">
      <c r="A595" s="7" t="str">
        <f ca="1">IF(ISERROR(F580),"",VLOOKUP(C580,INDIRECT($F$8),6+(O595-1)*3,0))</f>
        <v>CSP 002</v>
      </c>
      <c r="B595" s="24" t="str">
        <f ca="1">IF(ISERROR(F580),"",VLOOKUP(D580,INDIRECT($F$8),6+(O595-1)*3,0))</f>
        <v>Computer Applications and IOT</v>
      </c>
      <c r="C595" s="24"/>
      <c r="D595" s="24"/>
      <c r="E595" s="24"/>
      <c r="F595" s="7">
        <f ca="1">IF(ISERROR(F580),"",VLOOKUP(E580,INDIRECT($F$8),6+(O595-1)*3,0))</f>
        <v>1</v>
      </c>
      <c r="G595" s="25" t="str">
        <f ca="1">IF(ISERROR(F580),"",_xlfn.TEXTJOIN("/",FALSE,P595,S595))</f>
        <v>21/25</v>
      </c>
      <c r="H595" s="25"/>
      <c r="I595" s="25" t="str">
        <f ca="1">IF(ISERROR(F580),"",_xlfn.TEXTJOIN("/",FALSE,Q595,T595))</f>
        <v>21/25</v>
      </c>
      <c r="J595" s="25"/>
      <c r="K595" s="25" t="str">
        <f ca="1">IF(ISERROR(F580),"",_xlfn.TEXTJOIN("/",FALSE,R595,U595))</f>
        <v>42/50</v>
      </c>
      <c r="L595" s="25"/>
      <c r="M595" s="7" t="str">
        <f ca="1">IF(ISERROR(F580),"",IF(ISTEXT(P595),IF(P595="A","Ab",IF(P595="D","Dt",IF(P595="UFM","UFM",IF(P595="NA","")))),IF(AND(ISBLANK(P595),ISBLANK(R595)),"",IF(P595&lt;0.3*S595,"F",IF(ISBLANK(R595),"",IF(ISTEXT(R595),R595,IF(R595&gt;=0.95*U595,"O",IF(R595&gt;=0.9*U595,"A+",IF(R595&gt;=0.85*U595,"A",IF(R595&gt;=0.8*U595,"B+",IF(R595&gt;=0.75*U595,"B",IF(R595&gt;=0.7*U595,"C+",IF(R595&gt;=0.65*U595,"C",IF(R595&gt;=0.6*U595,"D+",IF(R595&gt;=0.55*U595,"D",IF(R595&gt;=0.5*U595,"E+",IF(R595&gt;=0.45*U595,"E",IF(R595&gt;=0.4*U595,"P",IF(R595&lt;0.4*U595,"F",R595)))))))))))))))))))</f>
        <v>B+</v>
      </c>
      <c r="N595" s="8">
        <f t="shared" ca="1" si="53"/>
        <v>8.5</v>
      </c>
      <c r="O595">
        <f t="shared" ca="1" si="54"/>
        <v>12</v>
      </c>
      <c r="P595" s="1">
        <f ca="1">IF(ISERROR(F580),"",IF(ISTEXT(VLOOKUP(B580,INDIRECT($F$8),6+(O595-1)*3)),(VLOOKUP(B580,INDIRECT($F$8),6+(O595-1)*3)),SUM(VLOOKUP(B580,INDIRECT($F$8),6+(O595-1)*3),IF(W598,W595,0))))</f>
        <v>21</v>
      </c>
      <c r="Q595" s="1">
        <f ca="1">IF(ISERROR(F580),"",VLOOKUP(B580,INDIRECT($F$8),7+(O595-1)*3))</f>
        <v>21</v>
      </c>
      <c r="R595" s="1">
        <f ca="1">IF(ISERROR(F580),"",SUM(P595:Q595))</f>
        <v>42</v>
      </c>
      <c r="S595" s="1">
        <f ca="1">IF(ISERROR(F580),"",VLOOKUP(A580,INDIRECT($F$8),6+(O595-1)*3))</f>
        <v>25</v>
      </c>
      <c r="T595" s="1">
        <f ca="1">IF(ISERROR(F580),"",VLOOKUP(A580,INDIRECT($F$8),7+(O595-1)*3))</f>
        <v>25</v>
      </c>
      <c r="U595" s="1">
        <f ca="1">IF(ISERROR(F580),"",VLOOKUP(A580,INDIRECT($F$8),8+(O595-1)*3))</f>
        <v>50</v>
      </c>
      <c r="V595" s="1" t="str">
        <f ca="1">IF(ISERROR(F580),"",IF(N595=0,A595,""))</f>
        <v/>
      </c>
      <c r="W595" s="1">
        <f ca="1">IF(ISERROR(F580),"",IF(ISTEXT(VLOOKUP(B580,INDIRECT($F$8),6+(O595-1)*3)),11,IF(VLOOKUP(B580,INDIRECT($F$8),6+(O595-1)*3)&lt;S595*0.3,IF(VLOOKUP(B580,INDIRECT($F$8),8+(O595-1)*3)&lt;U595*0.4,IF(AND(0.4*U595-VLOOKUP(B580,INDIRECT($F$8),8+(O595-1)*3)&lt;=5,0.3*S595-VLOOKUP(B580,INDIRECT($F$8),6+(O595-1)*3)&lt;=5),MAX(0.4*U595-VLOOKUP(B580,INDIRECT($F$8),8+(O595-1)*3),0.3*S595-VLOOKUP(B580,INDIRECT($F$8),6+(O595-1)*3)),11),IF(0.3*S595-VLOOKUP(B580,INDIRECT($F$8),6+(O595-1)*3)&lt;=5,0.3*S595-VLOOKUP(B580,INDIRECT($F$8),6+(O595-1)*3),11)),IF(VLOOKUP(B580,INDIRECT($F$8),8+(O595-1)*3)&lt;U595*0.4,IF(U595*0.4-VLOOKUP(B580,INDIRECT($F$8),8+(O595-1)*3)&lt;=5,U595*0.4-VLOOKUP(B580,INDIRECT($F$8),8+(O595-1)*3),11),0))))</f>
        <v>0</v>
      </c>
      <c r="X595" s="1" t="str">
        <f ca="1">IF(ISERROR(F580),"",IF(W595=0,"",_xlfn.TEXTJOIN("",FALSE," G+",W595," in ",A595)))</f>
        <v/>
      </c>
    </row>
    <row r="596" spans="1:24" ht="11.5" customHeight="1" x14ac:dyDescent="0.2">
      <c r="A596" s="7" t="str">
        <f ca="1">IF(ISERROR(F580),"",VLOOKUP(C580,INDIRECT($F$8),6+(O596-1)*3,0))</f>
        <v>AHP 006</v>
      </c>
      <c r="B596" s="24" t="str">
        <f ca="1">IF(ISERROR(F580),"",VLOOKUP(D580,INDIRECT($F$8),6+(O596-1)*3,0))</f>
        <v>English Language Lab ($)</v>
      </c>
      <c r="C596" s="24"/>
      <c r="D596" s="24"/>
      <c r="E596" s="24"/>
      <c r="F596" s="7">
        <f ca="1">IF(ISERROR(F580),"",VLOOKUP(E580,INDIRECT($F$8),6+(O596-1)*3,0))</f>
        <v>0</v>
      </c>
      <c r="G596" s="25" t="str">
        <f ca="1">IF(ISERROR(F580),"",_xlfn.TEXTJOIN("/",FALSE,P596,S596))</f>
        <v>17/25</v>
      </c>
      <c r="H596" s="25"/>
      <c r="I596" s="25" t="str">
        <f ca="1">IF(ISERROR(F580),"",_xlfn.TEXTJOIN("/",FALSE,Q596,T596))</f>
        <v>35/50</v>
      </c>
      <c r="J596" s="25"/>
      <c r="K596" s="25" t="str">
        <f ca="1">IF(ISERROR(F580),"",_xlfn.TEXTJOIN("/",FALSE,R596,U596))</f>
        <v>52/75</v>
      </c>
      <c r="L596" s="25"/>
      <c r="M596" s="7" t="str">
        <f ca="1">IF(ISERROR(F580),"",IF(ISTEXT(P596),IF(P596="A","Ab",IF(P596="D","Dt",IF(P596="UFM","UFM",IF(P596="NA","")))),IF(AND(ISBLANK(P596),ISBLANK(R596)),"",IF(P596&lt;0.3*S596,"F",IF(ISBLANK(R596),"",IF(ISTEXT(R596),R596,IF(R596&gt;=0.95*U596,"O",IF(R596&gt;=0.9*U596,"A+",IF(R596&gt;=0.85*U596,"A",IF(R596&gt;=0.8*U596,"B+",IF(R596&gt;=0.75*U596,"B",IF(R596&gt;=0.7*U596,"C+",IF(R596&gt;=0.65*U596,"C",IF(R596&gt;=0.6*U596,"D+",IF(R596&gt;=0.55*U596,"D",IF(R596&gt;=0.5*U596,"E+",IF(R596&gt;=0.45*U596,"E",IF(R596&gt;=0.4*U596,"P",IF(R596&lt;0.4*U596,"F",R596)))))))))))))))))))</f>
        <v>C</v>
      </c>
      <c r="N596" s="8">
        <f ca="1">INDEX($Z$2:$Z$17,MATCH(M596,$Y$2:$Y$17,0))</f>
        <v>7</v>
      </c>
      <c r="O596">
        <f t="shared" ca="1" si="54"/>
        <v>13</v>
      </c>
      <c r="P596" s="1">
        <f ca="1">IF(ISERROR(F580),"",IF(ISTEXT(VLOOKUP(B580,INDIRECT($F$8),6+(O596-1)*3)),(VLOOKUP(B580,INDIRECT($F$8),6+(O596-1)*3)),SUM(VLOOKUP(B580,INDIRECT($F$8),6+(O596-1)*3),IF(W598,W596,0))))</f>
        <v>17</v>
      </c>
      <c r="Q596" s="1">
        <f ca="1">IF(ISERROR(F580),"",VLOOKUP(B580,INDIRECT($F$8),7+(O596-1)*3))</f>
        <v>35</v>
      </c>
      <c r="R596" s="1">
        <f ca="1">IF(ISERROR(F580),"",SUM(P596:Q596))</f>
        <v>52</v>
      </c>
      <c r="S596" s="1">
        <f ca="1">IF(ISERROR(F580),"",VLOOKUP(A580,INDIRECT($F$8),6+(O596-1)*3))</f>
        <v>25</v>
      </c>
      <c r="T596" s="1">
        <f ca="1">IF(ISERROR(F580),"",VLOOKUP(A580,INDIRECT($F$8),7+(O596-1)*3))</f>
        <v>50</v>
      </c>
      <c r="U596" s="1">
        <f ca="1">IF(ISERROR(F580),"",VLOOKUP(A580,INDIRECT($F$8),8+(O596-1)*3))</f>
        <v>75</v>
      </c>
      <c r="V596" s="1"/>
      <c r="W596" s="1">
        <f ca="1">IF(ISERROR(F580),"",IF(ISTEXT(VLOOKUP(B580,INDIRECT($F$8),6+(O596-1)*3)),11,IF(VLOOKUP(B580,INDIRECT($F$8),6+(O596-1)*3)&lt;S596*0.3,IF(VLOOKUP(B580,INDIRECT($F$8),8+(O596-1)*3)&lt;U596*0.4,IF(AND(0.4*U596-VLOOKUP(B580,INDIRECT($F$8),8+(O596-1)*3)&lt;=5,0.3*S596-VLOOKUP(B580,INDIRECT($F$8),6+(O596-1)*3)&lt;=5),MAX(0.4*U596-VLOOKUP(B580,INDIRECT($F$8),8+(O596-1)*3),0.3*S596-VLOOKUP(B580,INDIRECT($F$8),6+(O596-1)*3)),11),IF(0.3*S596-VLOOKUP(B580,INDIRECT($F$8),6+(O596-1)*3)&lt;=5,0.3*S596-VLOOKUP(B580,INDIRECT($F$8),6+(O596-1)*3),11)),IF(VLOOKUP(B580,INDIRECT($F$8),8+(O596-1)*3)&lt;U596*0.4,IF(U596*0.4-VLOOKUP(B580,INDIRECT($F$8),8+(O596-1)*3)&lt;=5,U596*0.4-VLOOKUP(B580,INDIRECT($F$8),8+(O596-1)*3),11),0))))</f>
        <v>0</v>
      </c>
      <c r="X596" s="1" t="str">
        <f ca="1">IF(ISERROR(F580),"",IF(W596=0,"",_xlfn.TEXTJOIN("",FALSE," G+",W596," in ",A596)))</f>
        <v/>
      </c>
    </row>
    <row r="597" spans="1:24" ht="11.5" customHeight="1" x14ac:dyDescent="0.2">
      <c r="A597" s="7" t="str">
        <f ca="1">IF(ISERROR(F580),"",VLOOKUP(C580,INDIRECT($F$8),6+(O597-1)*3-Y597,0))</f>
        <v>GP 01</v>
      </c>
      <c r="B597" s="24" t="str">
        <f ca="1">IF(ISERROR(F580),"",VLOOKUP(D580,INDIRECT($F$8),6+(O597-1)*3-Z597,0))</f>
        <v>General Proficiency ($)</v>
      </c>
      <c r="C597" s="24"/>
      <c r="D597" s="24"/>
      <c r="E597" s="24"/>
      <c r="F597" s="7">
        <f ca="1">IF(ISERROR(F580),"",VLOOKUP(E580,INDIRECT($F$8),6+(O597-1)*3-AA597,0))</f>
        <v>0</v>
      </c>
      <c r="G597" s="25" t="str">
        <f ca="1">IF(ISERROR(F580),"","-")</f>
        <v>-</v>
      </c>
      <c r="H597" s="25"/>
      <c r="I597" s="25" t="str">
        <f ca="1">IF(ISERROR(F580),"",_xlfn.TEXTJOIN("/",FALSE,Q597,T597))</f>
        <v>47/50</v>
      </c>
      <c r="J597" s="25"/>
      <c r="K597" s="25" t="str">
        <f ca="1">IF(ISERROR(F580),"",_xlfn.TEXTJOIN("/",FALSE,R597,U597))</f>
        <v>47/50</v>
      </c>
      <c r="L597" s="25"/>
      <c r="M597" s="25" t="str">
        <f ca="1">IF(ISBLANK(R597),"",IF(ISTEXT(R597),R597,IF(R597&gt;=0.8*U597,"Excellent",IF(R597&gt;=0.6*U597,"Very Good",IF(R597&gt;=0.4*U597,"Good",IF(R597&gt;=0.2*U597,"Satisfactory","Average"))))))</f>
        <v>Excellent</v>
      </c>
      <c r="N597" s="25"/>
      <c r="O597">
        <f t="shared" ca="1" si="54"/>
        <v>14</v>
      </c>
      <c r="P597" s="1">
        <f ca="1">IF(ISERROR(F580),"",IF(ISTEXT(VLOOKUP(B\28,INDIRECT($F$8),6+(O597-1)*3)),(VLOOKUP(B580,INDIRECT($F$8),6+(O597-1)*3)),SUM(VLOOKUP(B580,INDIRECT($F$8),6+(O597-1)*3),IF(W598,W598,0))))</f>
        <v>0</v>
      </c>
      <c r="Q597" s="1">
        <f ca="1">IF(ISERROR(F580),"",VLOOKUP(B580,INDIRECT($F$8),7+(O597-1)*3))</f>
        <v>47</v>
      </c>
      <c r="R597" s="1">
        <f ca="1">IF(ISERROR(F580),"",SUM(P597:Q597))</f>
        <v>47</v>
      </c>
      <c r="S597" s="1">
        <f ca="1">IF(ISERROR(F580),"",VLOOKUP(A580,INDIRECT($F$8),6+(O597-1)*3))</f>
        <v>0</v>
      </c>
      <c r="T597" s="1">
        <f ca="1">IF(ISERROR(F580),"",VLOOKUP(A580,INDIRECT($F$8),7+(O597-1)*3))</f>
        <v>50</v>
      </c>
      <c r="U597" s="1">
        <f ca="1">IF(ISERROR(F580),"",VLOOKUP(A580,INDIRECT($F$8),8+(O597-1)*3))</f>
        <v>50</v>
      </c>
      <c r="V597" s="1"/>
      <c r="W597" s="1"/>
      <c r="X597" s="1" t="str">
        <f ca="1">IF(ISERROR(F580),"",IF(W597=0,"",_xlfn.TEXTJOIN("",FALSE," G+",W597," in ",A597)))</f>
        <v/>
      </c>
    </row>
    <row r="598" spans="1:24" ht="11.5" customHeight="1" x14ac:dyDescent="0.2">
      <c r="A598" s="26" t="str">
        <f ca="1">IF(ISERROR(F580),"",A576)</f>
        <v>Total Credits/ Marks/ Total Grade Points</v>
      </c>
      <c r="B598" s="26"/>
      <c r="C598" s="26"/>
      <c r="D598" s="26"/>
      <c r="E598" s="26"/>
      <c r="F598" s="10">
        <f ca="1">IF(ISERROR(F580),"",SUM(F585:F596))</f>
        <v>23</v>
      </c>
      <c r="G598" s="27" t="str">
        <f ca="1">IF(ISERROR(F580),"",_xlfn.TEXTJOIN("/",TRUE,SUMIF(F585:F597,"&gt;0",P585:P597),SUMIF(F585:F597,"&gt;0",S585:S597)))</f>
        <v>303/575</v>
      </c>
      <c r="H598" s="27"/>
      <c r="I598" s="27" t="str">
        <f ca="1">IF(ISERROR(F580),"",_xlfn.TEXTJOIN("/",TRUE,SUMIF(F585:F597,"&gt;0",Q585:Q597),SUMIF(F585:F597,"&gt;0",T585:T597)))</f>
        <v>289/375</v>
      </c>
      <c r="J598" s="27"/>
      <c r="K598" s="27" t="str">
        <f ca="1">IF(ISERROR(F580),"",_xlfn.TEXTJOIN("/",TRUE,SUMIF(F585:F597,"&gt;0",R585:R597),SUMIF(F585:F597,"&gt;0",U585:U597)))</f>
        <v>592/950</v>
      </c>
      <c r="L598" s="27"/>
      <c r="M598" s="26">
        <f ca="1">IF(ISERROR(F580),"",SUMPRODUCT(N585:N596,F585:F596))</f>
        <v>132.5</v>
      </c>
      <c r="N598" s="26"/>
      <c r="V598" s="1" t="str">
        <f ca="1">IF(ISERROR(F580),"",_xlfn.TEXTJOIN(", ",TRUE,V585:V597))</f>
        <v>AHT 003</v>
      </c>
      <c r="W598" t="b">
        <f ca="1">IF(ISERROR(F580),"",IF(SUM(W585:W597)&lt;=W584,TRUE,FALSE))</f>
        <v>0</v>
      </c>
      <c r="X598" s="1" t="str">
        <f ca="1">IF(ISERROR(F580),"",_xlfn.TEXTJOIN(",",TRUE,X585:X597))</f>
        <v xml:space="preserve"> G+11 in AHT 003</v>
      </c>
    </row>
    <row r="599" spans="1:24" ht="11.5" customHeight="1" x14ac:dyDescent="0.2">
      <c r="A599" s="26" t="str">
        <f ca="1">IF(ISERROR(F580),"",A577)</f>
        <v>Result:</v>
      </c>
      <c r="B599" s="28" t="str" cm="1">
        <f t="array" aca="1" ref="B599" ca="1">IF(SUM(COUNTIF(M585:M596,{"Ab","Dt"}))=12, "Not Promoted to IInd Semester", IF(V598="", "PASS", "CARRY OVER"))</f>
        <v>CARRY OVER</v>
      </c>
      <c r="C599" s="28"/>
      <c r="D599" s="26" t="str">
        <f ca="1">IF(ISERROR(F580),"",D577)</f>
        <v>Remark:</v>
      </c>
      <c r="E599" s="28" t="str">
        <f ca="1">IF(ISERROR(F580),"",IF(V598="",IF(X598="","",X598),_xlfn.TEXTJOIN(" ",TRUE,"BACK IN",V598)))</f>
        <v>BACK IN AHT 003</v>
      </c>
      <c r="F599" s="28"/>
      <c r="G599" s="26" t="str">
        <f ca="1">IF(ISERROR(F580),"",G577)</f>
        <v>SGPA:</v>
      </c>
      <c r="H599" s="29">
        <f ca="1">IF(ISERROR(F580),"",M598/F598)</f>
        <v>5.7608695652173916</v>
      </c>
      <c r="I599" s="26" t="str">
        <f ca="1">IF(ISERROR(F580),"",I577)</f>
        <v>CGPA:</v>
      </c>
      <c r="J599" s="29">
        <f ca="1">IF(ISERROR(F580),"",VLOOKUP(B580,INDIRECT($F$8),12+(O597-1)*3,0))</f>
        <v>5.7608695652173916</v>
      </c>
      <c r="K599" s="28" t="str">
        <f ca="1">IF(ISERROR(F580),"",K577)</f>
        <v>Earned Credits:</v>
      </c>
      <c r="L599" s="26">
        <f ca="1">IF(ISERROR(F580),"",SUMIF(N585:N596,"&gt;0",F585:F596))</f>
        <v>19</v>
      </c>
      <c r="M599" s="28" t="str">
        <f ca="1">IF(ISERROR(F580),"",M577)</f>
        <v>Cuml. Earned Credits:</v>
      </c>
      <c r="N599" s="26">
        <f ca="1">IF(ISERROR(F580),"",VLOOKUP(B580,INDIRECT($F$8),10+(O597-1)*3,0))</f>
        <v>19</v>
      </c>
    </row>
    <row r="600" spans="1:24" ht="11.5" customHeight="1" x14ac:dyDescent="0.2">
      <c r="A600" s="26"/>
      <c r="B600" s="28"/>
      <c r="C600" s="28"/>
      <c r="D600" s="26"/>
      <c r="E600" s="28"/>
      <c r="F600" s="28"/>
      <c r="G600" s="26"/>
      <c r="H600" s="29"/>
      <c r="I600" s="26"/>
      <c r="J600" s="29"/>
      <c r="K600" s="28"/>
      <c r="L600" s="26"/>
      <c r="M600" s="28"/>
      <c r="N600" s="26"/>
    </row>
    <row r="601" spans="1:24" ht="11.5" customHeight="1" x14ac:dyDescent="0.2">
      <c r="A601" s="26"/>
      <c r="B601" s="28"/>
      <c r="C601" s="28"/>
      <c r="D601" s="26"/>
      <c r="E601" s="28"/>
      <c r="F601" s="28"/>
      <c r="G601" s="26"/>
      <c r="H601" s="29"/>
      <c r="I601" s="26"/>
      <c r="J601" s="29"/>
      <c r="K601" s="28"/>
      <c r="L601" s="26"/>
      <c r="M601" s="28"/>
      <c r="N601" s="26"/>
    </row>
    <row r="602" spans="1:24" ht="11.5" customHeight="1" x14ac:dyDescent="0.2">
      <c r="A602" s="11" t="str">
        <f>A580</f>
        <v>MM</v>
      </c>
      <c r="B602" s="11">
        <f>B580+1</f>
        <v>28</v>
      </c>
      <c r="C602" s="11" t="str">
        <f>C580</f>
        <v>SC</v>
      </c>
      <c r="D602" s="11" t="str">
        <f>D580</f>
        <v>SN</v>
      </c>
      <c r="E602" s="11" t="str">
        <f>E580</f>
        <v>C</v>
      </c>
      <c r="F602" s="11" t="str">
        <f ca="1">VLOOKUP(B602,INDIRECT($F$8),4,0)</f>
        <v>SHIVAM RAWAT</v>
      </c>
    </row>
    <row r="603" spans="1:24" ht="11.5" customHeight="1" x14ac:dyDescent="0.2">
      <c r="A603" s="30" t="str">
        <f ca="1">IF(ISERROR(F602),"",A581)</f>
        <v>Name:</v>
      </c>
      <c r="B603" s="30" t="str">
        <f ca="1">IFERROR(VLOOKUP(B602,INDIRECT($F$8),4,0),"")</f>
        <v>SHIVAM RAWAT</v>
      </c>
      <c r="C603" s="30"/>
      <c r="D603" s="30" t="str">
        <f ca="1">IF(ISERROR(F602),"",D581)</f>
        <v>Father's Name:</v>
      </c>
      <c r="E603" s="30" t="str">
        <f ca="1">IFERROR(VLOOKUP(B602,INDIRECT($F$8),5,0),"")</f>
        <v>DINESH SINGH</v>
      </c>
      <c r="F603" s="30"/>
      <c r="G603" s="30" t="str">
        <f ca="1">IF(ISERROR(F602),"",G581)</f>
        <v>University Roll No:</v>
      </c>
      <c r="H603" s="30"/>
      <c r="I603" s="31">
        <f ca="1">IFERROR(VLOOKUP(B602,INDIRECT($F$8),2,0),"")</f>
        <v>250090120029</v>
      </c>
      <c r="J603" s="31"/>
      <c r="K603" s="30" t="str">
        <f ca="1">IF(ISERROR(F602),"",K581)</f>
        <v>University Enrol. No:</v>
      </c>
      <c r="L603" s="30"/>
      <c r="M603" s="31" t="str">
        <f ca="1">IFERROR(VLOOKUP(B602,INDIRECT($F$8),3,0),"")</f>
        <v>UTU/2501104120</v>
      </c>
      <c r="N603" s="31"/>
    </row>
    <row r="604" spans="1:24" ht="11.5" customHeight="1" x14ac:dyDescent="0.2">
      <c r="A604" s="30"/>
      <c r="B604" s="30"/>
      <c r="C604" s="30"/>
      <c r="D604" s="30"/>
      <c r="E604" s="30"/>
      <c r="F604" s="30"/>
      <c r="G604" s="30"/>
      <c r="H604" s="30"/>
      <c r="I604" s="31"/>
      <c r="J604" s="31"/>
      <c r="K604" s="30"/>
      <c r="L604" s="30"/>
      <c r="M604" s="31"/>
      <c r="N604" s="31"/>
    </row>
    <row r="605" spans="1:24" ht="11.5" customHeight="1" x14ac:dyDescent="0.2">
      <c r="A605" s="28" t="str">
        <f ca="1">IF(ISERROR(F602),"",A583)</f>
        <v>Subject Code</v>
      </c>
      <c r="B605" s="28" t="str">
        <f ca="1">IF(ISERROR(F602),"",B583)</f>
        <v>Subject Name</v>
      </c>
      <c r="C605" s="28"/>
      <c r="D605" s="28"/>
      <c r="E605" s="28"/>
      <c r="F605" s="28" t="str">
        <f ca="1">IF(ISERROR(F602),"",F583)</f>
        <v>Credits</v>
      </c>
      <c r="G605" s="28" t="str">
        <f ca="1">IF(ISERROR(F602),"",G583)</f>
        <v>External Marks</v>
      </c>
      <c r="H605" s="28"/>
      <c r="I605" s="28" t="str">
        <f ca="1">IF(ISERROR(F602),"",I583)</f>
        <v>Sessional Marks</v>
      </c>
      <c r="J605" s="28"/>
      <c r="K605" s="28" t="str">
        <f ca="1">IF(ISERROR(F602),"",K583)</f>
        <v>Total Marks</v>
      </c>
      <c r="L605" s="28"/>
      <c r="M605" s="28" t="str">
        <f ca="1">IF(ISERROR(F602),"",M583)</f>
        <v>Grade</v>
      </c>
      <c r="N605" s="28" t="str">
        <f ca="1">IF(ISERROR(F602),"",N583)</f>
        <v>Grade Points</v>
      </c>
    </row>
    <row r="606" spans="1:24" ht="11.5" customHeight="1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W606">
        <f ca="1">IF(ISNUMBER(MATCH($F$8,{"I","III","V","VII"},0)),10,10-INDEX(INDIRECT(_xlfn.TEXTJOIN("",TRUE,"SEM_",$G$8,"!",ADDRESS(6,4+$I$8*3+4),":",ADDRESS(5+$H$8,4+$I$8*3+4))),MATCH(INDIRECT(_xlfn.TEXTJOIN("",TRUE,"TC_",$F$8,"!",ADDRESS(ROW(I603),COLUMN(I603)))),INDIRECT(_xlfn.TEXTJOIN("",TRUE,"SEM_",$G$8,"!",ADDRESS(6,2),":",ADDRESS(5+$H$8,2))))))</f>
        <v>10</v>
      </c>
    </row>
    <row r="607" spans="1:24" ht="11.5" customHeight="1" x14ac:dyDescent="0.2">
      <c r="A607" s="7" t="str">
        <f ca="1">IF(ISERROR(F602),"",VLOOKUP(C602,INDIRECT($F$8),6+(O607-1)*3,0))</f>
        <v>AHT 002</v>
      </c>
      <c r="B607" s="24" t="str">
        <f ca="1">IF(ISERROR(F602),"",VLOOKUP(D602,INDIRECT($F$8),6+(O607-1)*3,0))</f>
        <v>Engineering Chemistry</v>
      </c>
      <c r="C607" s="24"/>
      <c r="D607" s="24"/>
      <c r="E607" s="24"/>
      <c r="F607" s="7">
        <f ca="1">IF(ISERROR(F602),"",VLOOKUP(E602,INDIRECT($F$8),6+(O607-1)*3,0))</f>
        <v>4</v>
      </c>
      <c r="G607" s="25" t="str">
        <f ca="1">IF(ISERROR(F602),"",_xlfn.TEXTJOIN("/",FALSE,P607,S607))</f>
        <v>19/100</v>
      </c>
      <c r="H607" s="25"/>
      <c r="I607" s="25" t="str">
        <f ca="1">IF(ISERROR(F602),"",_xlfn.TEXTJOIN("/",FALSE,Q607,T607))</f>
        <v>31/50</v>
      </c>
      <c r="J607" s="25"/>
      <c r="K607" s="25" t="str">
        <f ca="1">IF(ISERROR(F602),"",_xlfn.TEXTJOIN("/",FALSE,R607,U607))</f>
        <v>50/150</v>
      </c>
      <c r="L607" s="25"/>
      <c r="M607" s="7" t="str">
        <f ca="1">IF(ISERROR(F602)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F</v>
      </c>
      <c r="N607" s="8">
        <f ca="1">INDEX($Z$2:$Z$17,MATCH(M607,$Y$2:$Y$17,0))</f>
        <v>0</v>
      </c>
      <c r="O607">
        <v>1</v>
      </c>
      <c r="P607" s="1">
        <f ca="1">IF(ISERROR(F602),"",IF(ISTEXT(VLOOKUP(B602,INDIRECT($F$8),6+(O607-1)*3)),(VLOOKUP(B602,INDIRECT($F$8),6+(O607-1)*3)),SUM(VLOOKUP(B602,INDIRECT($F$8),6+(O607-1)*3),IF(W620,W607,0))))</f>
        <v>19</v>
      </c>
      <c r="Q607" s="1">
        <f ca="1">IF(ISERROR(F602),"",VLOOKUP(B602,INDIRECT($F$8),7+(O607-1)*3))</f>
        <v>31</v>
      </c>
      <c r="R607" s="1">
        <f ca="1">IF(ISERROR(F602),"",SUM(P607:Q607))</f>
        <v>50</v>
      </c>
      <c r="S607" s="1">
        <f ca="1">IF(ISERROR(F602),"",VLOOKUP(A602,INDIRECT($F$8),6+(O607-1)*3))</f>
        <v>100</v>
      </c>
      <c r="T607" s="1">
        <f ca="1">IF(ISERROR(F602),"",VLOOKUP(A602,INDIRECT($F$8),7+(O607-1)*3))</f>
        <v>50</v>
      </c>
      <c r="U607" s="1">
        <f ca="1">IF(ISERROR(F602),"",VLOOKUP(A602,INDIRECT($F$8),8+(O607-1)*3))</f>
        <v>150</v>
      </c>
      <c r="V607" s="1" t="str">
        <f ca="1">IF(ISERROR(F602),"",IF(N607=0,A607,""))</f>
        <v>AHT 002</v>
      </c>
      <c r="W607" s="1">
        <f ca="1">IF(ISERROR(F602),"",IF(ISTEXT(VLOOKUP(B602,INDIRECT($F$8),6+(O607-1)*3)),11,IF(VLOOKUP(B602,INDIRECT($F$8),6+(O607-1)*3)&lt;S607*0.3,IF(VLOOKUP(B602,INDIRECT($F$8),8+(O607-1)*3)&lt;U607*0.4,IF(AND(0.4*U607-VLOOKUP(B602,INDIRECT($F$8),8+(O607-1)*3)&lt;=5,0.3*S607-VLOOKUP(B602,INDIRECT($F$8),6+(O607-1)*3)&lt;=5),MAX(0.4*U607-VLOOKUP(B602,INDIRECT($F$8),8+(O607-1)*3),0.3*S607-VLOOKUP(B602,INDIRECT($F$8),6+(O607-1)*3)),11),IF(0.3*S607-VLOOKUP(B602,INDIRECT($F$8),6+(O607-1)*3)&lt;=5,0.3*S607-VLOOKUP(B602,INDIRECT($F$8),6+(O607-1)*3),11)),IF(VLOOKUP(B602,INDIRECT($F$8),8+(O607-1)*3)&lt;U607*0.4,IF(U607*0.4-VLOOKUP(B602,INDIRECT($F$8),8+(O607-1)*3)&lt;=5,U607*0.4-VLOOKUP(B602,INDIRECT($F$8),8+(O607-1)*3),11),0))))</f>
        <v>11</v>
      </c>
      <c r="X607" s="1" t="str">
        <f ca="1">IF(ISERROR(F602),"",IF(W607=0,"",_xlfn.TEXTJOIN("",FALSE," G+",W607," in ",A607)))</f>
        <v xml:space="preserve"> G+11 in AHT 002</v>
      </c>
    </row>
    <row r="608" spans="1:24" ht="11.5" customHeight="1" x14ac:dyDescent="0.2">
      <c r="A608" s="7" t="str">
        <f ca="1">IF(ISERROR(F602),"",VLOOKUP(C602,INDIRECT($F$8),6+(O608-1)*3,0))</f>
        <v>AHT 003</v>
      </c>
      <c r="B608" s="24" t="str">
        <f ca="1">IF(ISERROR(F602),"",VLOOKUP(D602,INDIRECT($F$8),6+(O608-1)*3,0))</f>
        <v>Introduction to Engineering Mathematics</v>
      </c>
      <c r="C608" s="24"/>
      <c r="D608" s="24"/>
      <c r="E608" s="24"/>
      <c r="F608" s="7">
        <f ca="1">IF(ISERROR(F602),"",VLOOKUP(E602,INDIRECT($F$8),6+(O608-1)*3,0))</f>
        <v>4</v>
      </c>
      <c r="G608" s="25" t="str">
        <f ca="1">IF(ISERROR(F602),"",_xlfn.TEXTJOIN("/",FALSE,P608,S608))</f>
        <v>9/100</v>
      </c>
      <c r="H608" s="25"/>
      <c r="I608" s="25" t="str">
        <f ca="1">IF(ISERROR(F602),"",_xlfn.TEXTJOIN("/",FALSE,Q608,T608))</f>
        <v>14/50</v>
      </c>
      <c r="J608" s="25"/>
      <c r="K608" s="25" t="str">
        <f ca="1">IF(ISERROR(F602),"",_xlfn.TEXTJOIN("/",FALSE,R608,U608))</f>
        <v>23/150</v>
      </c>
      <c r="L608" s="25"/>
      <c r="M608" s="7" t="str">
        <f ca="1">IF(ISERROR(F602)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F</v>
      </c>
      <c r="N608" s="8">
        <f t="shared" ref="N608:N617" ca="1" si="55">INDEX($Z$2:$Z$17,MATCH(M608,$Y$2:$Y$17,0))</f>
        <v>0</v>
      </c>
      <c r="O608">
        <f>O607+1</f>
        <v>2</v>
      </c>
      <c r="P608" s="1">
        <f ca="1">IF(ISERROR(F602),"",IF(ISTEXT(VLOOKUP(B602,INDIRECT($F$8),6+(O608-1)*3)),(VLOOKUP(B602,INDIRECT($F$8),6+(O608-1)*3)),SUM(VLOOKUP(B602,INDIRECT($F$8),6+(O608-1)*3),IF(W620,W608,0))))</f>
        <v>9</v>
      </c>
      <c r="Q608" s="1">
        <f ca="1">IF(ISERROR(F602),"",VLOOKUP(B602,INDIRECT($F$8),7+(O608-1)*3))</f>
        <v>14</v>
      </c>
      <c r="R608" s="1">
        <f ca="1">IF(ISERROR(F602),"",SUM(P608:Q608))</f>
        <v>23</v>
      </c>
      <c r="S608" s="1">
        <f ca="1">IF(ISERROR(F602),"",VLOOKUP(A602,INDIRECT($F$8),6+(O608-1)*3))</f>
        <v>100</v>
      </c>
      <c r="T608" s="1">
        <f ca="1">IF(ISERROR(F602),"",VLOOKUP(A602,INDIRECT($F$8),7+(O608-1)*3))</f>
        <v>50</v>
      </c>
      <c r="U608" s="1">
        <f ca="1">IF(ISERROR(F602),"",VLOOKUP(A602,INDIRECT($F$8),8+(O608-1)*3))</f>
        <v>150</v>
      </c>
      <c r="V608" s="1" t="str">
        <f ca="1">IF(ISERROR(F602),"",IF(N608=0,A608,""))</f>
        <v>AHT 003</v>
      </c>
      <c r="W608" s="1">
        <f ca="1">IF(ISERROR(F602),"",IF(ISTEXT(VLOOKUP(B602,INDIRECT($F$8),6+(O608-1)*3)),11,IF(VLOOKUP(B602,INDIRECT($F$8),6+(O608-1)*3)&lt;S608*0.3,IF(VLOOKUP(B602,INDIRECT($F$8),8+(O608-1)*3)&lt;U608*0.4,IF(AND(0.4*U608-VLOOKUP(B602,INDIRECT($F$8),8+(O608-1)*3)&lt;=5,0.3*S608-VLOOKUP(B602,INDIRECT($F$8),6+(O608-1)*3)&lt;=5),MAX(0.4*U608-VLOOKUP(B602,INDIRECT($F$8),8+(O608-1)*3),0.3*S608-VLOOKUP(B602,INDIRECT($F$8),6+(O608-1)*3)),11),IF(0.3*S608-VLOOKUP(B602,INDIRECT($F$8),6+(O608-1)*3)&lt;=5,0.3*S608-VLOOKUP(B602,INDIRECT($F$8),6+(O608-1)*3),11)),IF(VLOOKUP(B602,INDIRECT($F$8),8+(O608-1)*3)&lt;U608*0.4,IF(U608*0.4-VLOOKUP(B602,INDIRECT($F$8),8+(O608-1)*3)&lt;=5,U608*0.4-VLOOKUP(B602,INDIRECT($F$8),8+(O608-1)*3),11),0))))</f>
        <v>11</v>
      </c>
      <c r="X608" s="1" t="str">
        <f ca="1">IF(ISERROR(F602),"",IF(W608=0,"",_xlfn.TEXTJOIN("",FALSE," G+",W608," in ",A608)))</f>
        <v xml:space="preserve"> G+11 in AHT 003</v>
      </c>
    </row>
    <row r="609" spans="1:24" ht="11.5" customHeight="1" x14ac:dyDescent="0.2">
      <c r="A609" s="7" t="str">
        <f ca="1">IF(ISERROR(F602),"",VLOOKUP(C602,INDIRECT($F$8),6+(O609-1)*3,0))</f>
        <v>ECT 001</v>
      </c>
      <c r="B609" s="24" t="str">
        <f ca="1">IF(ISERROR(F602),"",VLOOKUP(D602,INDIRECT($F$8),6+(O609-1)*3,0))</f>
        <v>Basic Electronics Engineering</v>
      </c>
      <c r="C609" s="24"/>
      <c r="D609" s="24"/>
      <c r="E609" s="24"/>
      <c r="F609" s="7">
        <f ca="1">IF(ISERROR(F602),"",VLOOKUP(E602,INDIRECT($F$8),6+(O609-1)*3,0))</f>
        <v>4</v>
      </c>
      <c r="G609" s="25" t="str">
        <f ca="1">IF(ISERROR(F602),"",_xlfn.TEXTJOIN("/",FALSE,P609,S609))</f>
        <v>25/100</v>
      </c>
      <c r="H609" s="25"/>
      <c r="I609" s="25" t="str">
        <f ca="1">IF(ISERROR(F602),"",_xlfn.TEXTJOIN("/",FALSE,Q609,T609))</f>
        <v>32/50</v>
      </c>
      <c r="J609" s="25"/>
      <c r="K609" s="25" t="str">
        <f ca="1">IF(ISERROR(F602),"",_xlfn.TEXTJOIN("/",FALSE,R609,U609))</f>
        <v>57/150</v>
      </c>
      <c r="L609" s="25"/>
      <c r="M609" s="7" t="str">
        <f ca="1">IF(ISERROR(F602)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F</v>
      </c>
      <c r="N609" s="8">
        <f t="shared" ca="1" si="55"/>
        <v>0</v>
      </c>
      <c r="O609">
        <f>O608+1</f>
        <v>3</v>
      </c>
      <c r="P609" s="1">
        <f ca="1">IF(ISERROR(F602),"",IF(ISTEXT(VLOOKUP(B602,INDIRECT($F$8),6+(O609-1)*3)),(VLOOKUP(B602,INDIRECT($F$8),6+(O609-1)*3)),SUM(VLOOKUP(B602,INDIRECT($F$8),6+(O609-1)*3),IF(W620,W609,0))))</f>
        <v>25</v>
      </c>
      <c r="Q609" s="1">
        <f ca="1">IF(ISERROR(F602),"",VLOOKUP(B602,INDIRECT($F$8),7+(O609-1)*3))</f>
        <v>32</v>
      </c>
      <c r="R609" s="1">
        <f ca="1">IF(ISERROR(F602),"",SUM(P609:Q609))</f>
        <v>57</v>
      </c>
      <c r="S609" s="1">
        <f ca="1">IF(ISERROR(F602),"",VLOOKUP(A602,INDIRECT($F$8),6+(O609-1)*3))</f>
        <v>100</v>
      </c>
      <c r="T609" s="1">
        <f ca="1">IF(ISERROR(F602),"",VLOOKUP(A602,INDIRECT($F$8),7+(O609-1)*3))</f>
        <v>50</v>
      </c>
      <c r="U609" s="1">
        <f ca="1">IF(ISERROR(F602),"",VLOOKUP(A602,INDIRECT($F$8),8+(O609-1)*3))</f>
        <v>150</v>
      </c>
      <c r="V609" s="1" t="str">
        <f ca="1">IF(ISERROR(F602),"",IF(N609=0,A609,""))</f>
        <v>ECT 001</v>
      </c>
      <c r="W609" s="1">
        <f ca="1">IF(ISERROR(F602),"",IF(ISTEXT(VLOOKUP(B602,INDIRECT($F$8),6+(O609-1)*3)),11,IF(VLOOKUP(B602,INDIRECT($F$8),6+(O609-1)*3)&lt;S609*0.3,IF(VLOOKUP(B602,INDIRECT($F$8),8+(O609-1)*3)&lt;U609*0.4,IF(AND(0.4*U609-VLOOKUP(B602,INDIRECT($F$8),8+(O609-1)*3)&lt;=5,0.3*S609-VLOOKUP(B602,INDIRECT($F$8),6+(O609-1)*3)&lt;=5),MAX(0.4*U609-VLOOKUP(B602,INDIRECT($F$8),8+(O609-1)*3),0.3*S609-VLOOKUP(B602,INDIRECT($F$8),6+(O609-1)*3)),11),IF(0.3*S609-VLOOKUP(B602,INDIRECT($F$8),6+(O609-1)*3)&lt;=5,0.3*S609-VLOOKUP(B602,INDIRECT($F$8),6+(O609-1)*3),11)),IF(VLOOKUP(B602,INDIRECT($F$8),8+(O609-1)*3)&lt;U609*0.4,IF(U609*0.4-VLOOKUP(B602,INDIRECT($F$8),8+(O609-1)*3)&lt;=5,U609*0.4-VLOOKUP(B602,INDIRECT($F$8),8+(O609-1)*3),11),0))))</f>
        <v>5</v>
      </c>
      <c r="X609" s="1" t="str">
        <f ca="1">IF(ISERROR(F602),"",IF(W609=0,"",_xlfn.TEXTJOIN("",FALSE," G+",W609," in ",A609)))</f>
        <v xml:space="preserve"> G+5 in ECT 001</v>
      </c>
    </row>
    <row r="610" spans="1:24" ht="11.5" customHeight="1" x14ac:dyDescent="0.2">
      <c r="A610" s="7" t="str">
        <f ca="1">IF(ISERROR(F602),"",VLOOKUP(C602,INDIRECT($F$8),6+(O610-1)*3,0))</f>
        <v>MET 001</v>
      </c>
      <c r="B610" s="24" t="str">
        <f ca="1">IF(ISERROR(F602),"",VLOOKUP(D602,INDIRECT($F$8),6+(O610-1)*3,0))</f>
        <v>Basic Mechanical Engineering</v>
      </c>
      <c r="C610" s="24"/>
      <c r="D610" s="24"/>
      <c r="E610" s="24"/>
      <c r="F610" s="7">
        <f ca="1">IF(ISERROR(F602),"",VLOOKUP(E602,INDIRECT($F$8),6+(O610-1)*3,0))</f>
        <v>4</v>
      </c>
      <c r="G610" s="25" t="str">
        <f ca="1">IF(ISERROR(F602),"",_xlfn.TEXTJOIN("/",FALSE,P610,S610))</f>
        <v>36/100</v>
      </c>
      <c r="H610" s="25"/>
      <c r="I610" s="25" t="str">
        <f ca="1">IF(ISERROR(F602),"",_xlfn.TEXTJOIN("/",FALSE,Q610,T610))</f>
        <v>37/50</v>
      </c>
      <c r="J610" s="25"/>
      <c r="K610" s="25" t="str">
        <f ca="1">IF(ISERROR(F602),"",_xlfn.TEXTJOIN("/",FALSE,R610,U610))</f>
        <v>73/150</v>
      </c>
      <c r="L610" s="25"/>
      <c r="M610" s="7" t="str">
        <f ca="1">IF(ISERROR(F602)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E</v>
      </c>
      <c r="N610" s="8">
        <f t="shared" ca="1" si="55"/>
        <v>5</v>
      </c>
      <c r="O610">
        <f>O609+1</f>
        <v>4</v>
      </c>
      <c r="P610" s="1">
        <f ca="1">IF(ISERROR(F602),"",IF(ISTEXT(VLOOKUP(B602,INDIRECT($F$8),6+(O610-1)*3)),(VLOOKUP(B602,INDIRECT($F$8),6+(O610-1)*3)),SUM(VLOOKUP(B602,INDIRECT($F$8),6+(O610-1)*3),IF(W620,W610,0))))</f>
        <v>36</v>
      </c>
      <c r="Q610" s="1">
        <f ca="1">IF(ISERROR(F602),"",VLOOKUP(B602,INDIRECT($F$8),7+(O610-1)*3))</f>
        <v>37</v>
      </c>
      <c r="R610" s="1">
        <f ca="1">IF(ISERROR(F602),"",SUM(P610:Q610))</f>
        <v>73</v>
      </c>
      <c r="S610" s="1">
        <f ca="1">IF(ISERROR(F602),"",VLOOKUP(A602,INDIRECT($F$8),6+(O610-1)*3))</f>
        <v>100</v>
      </c>
      <c r="T610" s="1">
        <f ca="1">IF(ISERROR(F602),"",VLOOKUP(A602,INDIRECT($F$8),7+(O610-1)*3))</f>
        <v>50</v>
      </c>
      <c r="U610" s="1">
        <f ca="1">IF(ISERROR(F602),"",VLOOKUP(A602,INDIRECT($F$8),8+(O610-1)*3))</f>
        <v>150</v>
      </c>
      <c r="V610" s="1" t="str">
        <f ca="1">IF(ISERROR(F602),"",IF(N610=0,A610,""))</f>
        <v/>
      </c>
      <c r="W610" s="1">
        <f ca="1">IF(ISERROR(F602),"",IF(ISTEXT(VLOOKUP(B602,INDIRECT($F$8),6+(O610-1)*3)),11,IF(VLOOKUP(B602,INDIRECT($F$8),6+(O610-1)*3)&lt;S610*0.3,IF(VLOOKUP(B602,INDIRECT($F$8),8+(O610-1)*3)&lt;U610*0.4,IF(AND(0.4*U610-VLOOKUP(B602,INDIRECT($F$8),8+(O610-1)*3)&lt;=5,0.3*S610-VLOOKUP(B602,INDIRECT($F$8),6+(O610-1)*3)&lt;=5),MAX(0.4*U610-VLOOKUP(B602,INDIRECT($F$8),8+(O610-1)*3),0.3*S610-VLOOKUP(B602,INDIRECT($F$8),6+(O610-1)*3)),11),IF(0.3*S610-VLOOKUP(B602,INDIRECT($F$8),6+(O610-1)*3)&lt;=5,0.3*S610-VLOOKUP(B602,INDIRECT($F$8),6+(O610-1)*3),11)),IF(VLOOKUP(B602,INDIRECT($F$8),8+(O610-1)*3)&lt;U610*0.4,IF(U610*0.4-VLOOKUP(B602,INDIRECT($F$8),8+(O610-1)*3)&lt;=5,U610*0.4-VLOOKUP(B602,INDIRECT($F$8),8+(O610-1)*3),11),0))))</f>
        <v>0</v>
      </c>
      <c r="X610" s="1" t="str">
        <f ca="1">IF(ISERROR(F602),"",IF(W610=0,"",_xlfn.TEXTJOIN("",FALSE," G+",W610," in ",A610)))</f>
        <v/>
      </c>
    </row>
    <row r="611" spans="1:24" ht="11.5" customHeight="1" x14ac:dyDescent="0.2">
      <c r="A611" s="7" t="str">
        <f ca="1">IF(ISERROR(F602),"",VLOOKUP(C602,INDIRECT($F$8),6+(O611-1)*3,0))</f>
        <v>BTT 001</v>
      </c>
      <c r="B611" s="24" t="str">
        <f ca="1">IF(ISERROR(F602),"",VLOOKUP(D602,INDIRECT($F$8),6+(O611-1)*3,0))</f>
        <v>Biology for Engineers (Bridge Course) ($)</v>
      </c>
      <c r="C611" s="24"/>
      <c r="D611" s="24"/>
      <c r="E611" s="24"/>
      <c r="F611" s="7">
        <f ca="1">IF(ISERROR(F602),"",VLOOKUP(E602,INDIRECT($F$8),6+(O611-1)*3,0))</f>
        <v>0</v>
      </c>
      <c r="G611" s="25" t="str">
        <f ca="1">IF(ISERROR(F602),"",_xlfn.TEXTJOIN("/",FALSE,P611,S611))</f>
        <v>55/100</v>
      </c>
      <c r="H611" s="25"/>
      <c r="I611" s="25" t="str">
        <f ca="1">IF(ISERROR(F602),"",_xlfn.TEXTJOIN("/",FALSE,Q611,T611))</f>
        <v>27/50</v>
      </c>
      <c r="J611" s="25"/>
      <c r="K611" s="25" t="str">
        <f ca="1">IF(ISERROR(F602),"",_xlfn.TEXTJOIN("/",FALSE,R611,U611))</f>
        <v>82/150</v>
      </c>
      <c r="L611" s="25"/>
      <c r="M611" s="7" t="str">
        <f ca="1">IF(ISERROR(F602)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E+</v>
      </c>
      <c r="N611" s="8">
        <f t="shared" ca="1" si="55"/>
        <v>5.5</v>
      </c>
      <c r="O611" cm="1">
        <f t="array" aca="1" ref="O611" ca="1">IF(NOT(ISBLANK(INDIRECT("SEM_I!R"&amp;INT((ROW(O611)-17)/22)+6))),5,
IF(NOT(ISBLANK(INDIRECT("SEM_I!U"&amp;INT((ROW(O611)-17)/22)+6))),6))</f>
        <v>6</v>
      </c>
      <c r="P611" s="1">
        <f ca="1">IF(ISERROR(F602),"",IF(ISTEXT(VLOOKUP(B602,INDIRECT($F$8),6+(O611-1)*3)),(VLOOKUP(B602,INDIRECT($F$8),6+(O611-1)*3)),SUM(VLOOKUP(B602,INDIRECT($F$8),6+(O611-1)*3),IF(W620,W611,0))))</f>
        <v>55</v>
      </c>
      <c r="Q611" s="1">
        <f ca="1">IF(ISERROR(F602),"",VLOOKUP(B602,INDIRECT($F$8),7+(O611-1)*3))</f>
        <v>27</v>
      </c>
      <c r="R611" s="1">
        <f ca="1">IF(ISERROR(F602),"",SUM(P611:Q611))</f>
        <v>82</v>
      </c>
      <c r="S611" s="1">
        <f ca="1">IF(ISERROR(F602),"",VLOOKUP(A602,INDIRECT($F$8),6+(O611-1)*3))</f>
        <v>100</v>
      </c>
      <c r="T611" s="1">
        <f ca="1">IF(ISERROR(F602),"",VLOOKUP(A602,INDIRECT($F$8),7+(O611-1)*3))</f>
        <v>50</v>
      </c>
      <c r="U611" s="1">
        <f ca="1">IF(ISERROR(F602),"",VLOOKUP(A602,INDIRECT($F$8),8+(O611-1)*3))</f>
        <v>150</v>
      </c>
      <c r="V611" s="1" t="str">
        <f ca="1">IF(ISERROR(F602),"",IF(N611=0,A611,""))</f>
        <v/>
      </c>
      <c r="W611" s="1">
        <f ca="1">IF(ISERROR(F602),"",IF(ISTEXT(VLOOKUP(B602,INDIRECT($F$8),6+(O611-1)*3)),11,IF(VLOOKUP(B602,INDIRECT($F$8),6+(O611-1)*3)&lt;S611*0.3,IF(VLOOKUP(B602,INDIRECT($F$8),8+(O611-1)*3)&lt;U611*0.4,IF(AND(0.4*U611-VLOOKUP(B602,INDIRECT($F$8),8+(O611-1)*3)&lt;=5,0.3*S611-VLOOKUP(B602,INDIRECT($F$8),6+(O611-1)*3)&lt;=5),MAX(0.4*U611-VLOOKUP(B602,INDIRECT($F$8),8+(O611-1)*3),0.3*S611-VLOOKUP(B602,INDIRECT($F$8),6+(O611-1)*3)),11),IF(0.3*S611-VLOOKUP(B602,INDIRECT($F$8),6+(O611-1)*3)&lt;=5,0.3*S611-VLOOKUP(B602,INDIRECT($F$8),6+(O611-1)*3),11)),IF(VLOOKUP(B602,INDIRECT($F$8),8+(O611-1)*3)&lt;U611*0.4,IF(U611*0.4-VLOOKUP(B602,INDIRECT($F$8),8+(O611-1)*3)&lt;=5,U611*0.4-VLOOKUP(B602,INDIRECT($F$8),8+(O611-1)*3),11),0))))</f>
        <v>0</v>
      </c>
      <c r="X611" s="1" t="str">
        <f ca="1">IF(ISERROR(F602),"",IF(W611=0,"",_xlfn.TEXTJOIN("",FALSE," G+",W611," in ",A611)))</f>
        <v/>
      </c>
    </row>
    <row r="612" spans="1:24" ht="11.5" customHeight="1" x14ac:dyDescent="0.2">
      <c r="A612" s="7" t="str">
        <f ca="1">IF(ISERROR(F602),"",VLOOKUP(C602,INDIRECT($F$8),6+(O612-1)*3,0))</f>
        <v>AHP 002</v>
      </c>
      <c r="B612" s="24" t="str">
        <f ca="1">IF(ISERROR(F602),"",VLOOKUP(D602,INDIRECT($F$8),6+(O612-1)*3,0))</f>
        <v>Engineering Chemistry Lab</v>
      </c>
      <c r="C612" s="24"/>
      <c r="D612" s="24"/>
      <c r="E612" s="24"/>
      <c r="F612" s="7">
        <f ca="1">IF(ISERROR(F602),"",VLOOKUP(E602,INDIRECT($F$8),6+(O612-1)*3,0))</f>
        <v>1</v>
      </c>
      <c r="G612" s="25" t="str">
        <f ca="1">IF(ISERROR(F602),"",_xlfn.TEXTJOIN("/",FALSE,P612,S612))</f>
        <v>17/25</v>
      </c>
      <c r="H612" s="25"/>
      <c r="I612" s="25" t="str">
        <f ca="1">IF(ISERROR(F602),"",_xlfn.TEXTJOIN("/",FALSE,Q612,T612))</f>
        <v>17/25</v>
      </c>
      <c r="J612" s="25"/>
      <c r="K612" s="25" t="str">
        <f ca="1">IF(ISERROR(F602),"",_xlfn.TEXTJOIN("/",FALSE,R612,U612))</f>
        <v>34/50</v>
      </c>
      <c r="L612" s="25"/>
      <c r="M612" s="7" t="str">
        <f ca="1">IF(ISERROR(F602),"",IF(ISTEXT(P612),IF(P612="A","Ab",IF(P612="D","Dt",IF(P612="UFM","UFM",IF(P612="NA","")))),IF(AND(ISBLANK(P612),ISBLANK(R612)),"",IF(P612&lt;0.3*S612,"F",IF(ISBLANK(R612),"",IF(ISTEXT(R612),R612,IF(R612&gt;=0.95*U612,"O",IF(R612&gt;=0.9*U612,"A+",IF(R612&gt;=0.85*U612,"A",IF(R612&gt;=0.8*U612,"B+",IF(R612&gt;=0.75*U612,"B",IF(R612&gt;=0.7*U612,"C+",IF(R612&gt;=0.65*U612,"C",IF(R612&gt;=0.6*U612,"D+",IF(R612&gt;=0.55*U612,"D",IF(R612&gt;=0.5*U612,"E+",IF(R612&gt;=0.45*U612,"E",IF(R612&gt;=0.4*U612,"P",IF(R612&lt;0.4*U612,"F",R612)))))))))))))))))))</f>
        <v>C</v>
      </c>
      <c r="N612" s="8">
        <f t="shared" ca="1" si="55"/>
        <v>7</v>
      </c>
      <c r="O612">
        <f ca="1">IF(O611&gt;0,7)</f>
        <v>7</v>
      </c>
      <c r="P612" s="1">
        <f ca="1">IF(ISERROR(F602),"",IF(ISTEXT(VLOOKUP(B602,INDIRECT($F$8),6+(O612-1)*3)),(VLOOKUP(B602,INDIRECT($F$8),6+(O612-1)*3)),SUM(VLOOKUP(B602,INDIRECT($F$8),6+(O612-1)*3),IF(W620,W612,0))))</f>
        <v>17</v>
      </c>
      <c r="Q612" s="1">
        <f ca="1">IF(ISERROR(F602),"",VLOOKUP(B602,INDIRECT($F$8),7+(O612-1)*3))</f>
        <v>17</v>
      </c>
      <c r="R612" s="1">
        <f ca="1">IF(ISERROR(F602),"",SUM(P612:Q612))</f>
        <v>34</v>
      </c>
      <c r="S612" s="1">
        <f ca="1">IF(ISERROR(F602),"",VLOOKUP(A602,INDIRECT($F$8),6+(O612-1)*3))</f>
        <v>25</v>
      </c>
      <c r="T612" s="1">
        <f ca="1">IF(ISERROR(F602),"",VLOOKUP(A602,INDIRECT($F$8),7+(O612-1)*3))</f>
        <v>25</v>
      </c>
      <c r="U612" s="1">
        <f ca="1">IF(ISERROR(F602),"",VLOOKUP(A602,INDIRECT($F$8),8+(O612-1)*3))</f>
        <v>50</v>
      </c>
      <c r="V612" s="1" t="str">
        <f ca="1">IF(ISERROR(F602),"",IF(N612=0,A612,""))</f>
        <v/>
      </c>
      <c r="W612" s="1">
        <f ca="1">IF(ISERROR(F602),"",IF(ISTEXT(VLOOKUP(B602,INDIRECT($F$8),6+(O612-1)*3)),11,IF(VLOOKUP(B602,INDIRECT($F$8),6+(O612-1)*3)&lt;S612*0.3,IF(VLOOKUP(B602,INDIRECT($F$8),8+(O612-1)*3)&lt;U612*0.4,IF(AND(0.4*U612-VLOOKUP(B602,INDIRECT($F$8),8+(O612-1)*3)&lt;=5,0.3*S612-VLOOKUP(B602,INDIRECT($F$8),6+(O612-1)*3)&lt;=5),MAX(0.4*U612-VLOOKUP(B602,INDIRECT($F$8),8+(O612-1)*3),0.3*S612-VLOOKUP(B602,INDIRECT($F$8),6+(O612-1)*3)),11),IF(0.3*S612-VLOOKUP(B602,INDIRECT($F$8),6+(O612-1)*3)&lt;=5,0.3*S612-VLOOKUP(B602,INDIRECT($F$8),6+(O612-1)*3),11)),IF(VLOOKUP(B602,INDIRECT($F$8),8+(O612-1)*3)&lt;U612*0.4,IF(U612*0.4-VLOOKUP(B602,INDIRECT($F$8),8+(O612-1)*3)&lt;=5,U612*0.4-VLOOKUP(B602,INDIRECT($F$8),8+(O612-1)*3),11),0))))</f>
        <v>0</v>
      </c>
      <c r="X612" s="1" t="str">
        <f ca="1">IF(ISERROR(F602),"",IF(W612=0,"",_xlfn.TEXTJOIN("",FALSE," G+",W612," in ",A612)))</f>
        <v/>
      </c>
    </row>
    <row r="613" spans="1:24" ht="11.5" customHeight="1" x14ac:dyDescent="0.2">
      <c r="A613" s="7" t="str">
        <f ca="1">IF(ISERROR(F602),"",VLOOKUP(C602,INDIRECT($F$8),6+(O613-1)*3,0))</f>
        <v>ECP 001</v>
      </c>
      <c r="B613" s="24" t="str">
        <f ca="1">IF(ISERROR(F602),"",VLOOKUP(D602,INDIRECT($F$8),6+(O613-1)*3,0))</f>
        <v>Basic Electronics Engineering Lab</v>
      </c>
      <c r="C613" s="24"/>
      <c r="D613" s="24"/>
      <c r="E613" s="24"/>
      <c r="F613" s="7">
        <f ca="1">IF(ISERROR(F602),"",VLOOKUP(E602,INDIRECT($F$8),6+(O613-1)*3,0))</f>
        <v>1</v>
      </c>
      <c r="G613" s="25" t="str">
        <f ca="1">IF(ISERROR(F602),"",_xlfn.TEXTJOIN("/",FALSE,P613,S613))</f>
        <v>20/25</v>
      </c>
      <c r="H613" s="25"/>
      <c r="I613" s="25" t="str">
        <f ca="1">IF(ISERROR(F602),"",_xlfn.TEXTJOIN("/",FALSE,Q613,T613))</f>
        <v>20/25</v>
      </c>
      <c r="J613" s="25"/>
      <c r="K613" s="25" t="str">
        <f ca="1">IF(ISERROR(F602),"",_xlfn.TEXTJOIN("/",FALSE,R613,U613))</f>
        <v>40/50</v>
      </c>
      <c r="L613" s="25"/>
      <c r="M613" s="7" t="str">
        <f ca="1">IF(ISERROR(F602),"",IF(ISTEXT(P613),IF(P613="A","Ab",IF(P613="D","Dt",IF(P613="UFM","UFM",IF(P613="NA","")))),IF(AND(ISBLANK(P613),ISBLANK(R613)),"",IF(P613&lt;0.3*S613,"F",IF(ISBLANK(R613),"",IF(ISTEXT(R613),R613,IF(R613&gt;=0.95*U613,"O",IF(R613&gt;=0.9*U613,"A+",IF(R613&gt;=0.85*U613,"A",IF(R613&gt;=0.8*U613,"B+",IF(R613&gt;=0.75*U613,"B",IF(R613&gt;=0.7*U613,"C+",IF(R613&gt;=0.65*U613,"C",IF(R613&gt;=0.6*U613,"D+",IF(R613&gt;=0.55*U613,"D",IF(R613&gt;=0.5*U613,"E+",IF(R613&gt;=0.45*U613,"E",IF(R613&gt;=0.4*U613,"P",IF(R613&lt;0.4*U613,"F",R613)))))))))))))))))))</f>
        <v>B+</v>
      </c>
      <c r="N613" s="8">
        <f t="shared" ca="1" si="55"/>
        <v>8.5</v>
      </c>
      <c r="O613">
        <f t="shared" ref="O613:O619" ca="1" si="56">O612+1</f>
        <v>8</v>
      </c>
      <c r="P613" s="1">
        <f ca="1">IF(ISERROR(F602),"",IF(ISTEXT(VLOOKUP(B602,INDIRECT($F$8),6+(O613-1)*3)),(VLOOKUP(B602,INDIRECT($F$8),6+(O613-1)*3)),SUM(VLOOKUP(B602,INDIRECT($F$8),6+(O613-1)*3),IF(W620,W613,0))))</f>
        <v>20</v>
      </c>
      <c r="Q613" s="1">
        <f ca="1">IF(ISERROR(F602),"",VLOOKUP(B602,INDIRECT($F$8),7+(O613-1)*3))</f>
        <v>20</v>
      </c>
      <c r="R613" s="1">
        <f ca="1">IF(ISERROR(F602),"",SUM(P613:Q613))</f>
        <v>40</v>
      </c>
      <c r="S613" s="1">
        <f ca="1">IF(ISERROR(F602),"",VLOOKUP(A602,INDIRECT($F$8),6+(O613-1)*3))</f>
        <v>25</v>
      </c>
      <c r="T613" s="1">
        <f ca="1">IF(ISERROR(F602),"",VLOOKUP(A602,INDIRECT($F$8),7+(O613-1)*3))</f>
        <v>25</v>
      </c>
      <c r="U613" s="1">
        <f ca="1">IF(ISERROR(F602),"",VLOOKUP(A602,INDIRECT($F$8),8+(O613-1)*3))</f>
        <v>50</v>
      </c>
      <c r="V613" s="1" t="str">
        <f ca="1">IF(ISERROR(F602),"",IF(N613=0,A613,""))</f>
        <v/>
      </c>
      <c r="W613" s="1">
        <f ca="1">IF(ISERROR(F602),"",IF(ISTEXT(VLOOKUP(B602,INDIRECT($F$8),6+(O613-1)*3)),11,IF(VLOOKUP(B602,INDIRECT($F$8),6+(O613-1)*3)&lt;S613*0.3,IF(VLOOKUP(B602,INDIRECT($F$8),8+(O613-1)*3)&lt;U613*0.4,IF(AND(0.4*U613-VLOOKUP(B602,INDIRECT($F$8),8+(O613-1)*3)&lt;=5,0.3*S613-VLOOKUP(B602,INDIRECT($F$8),6+(O613-1)*3)&lt;=5),MAX(0.4*U613-VLOOKUP(B602,INDIRECT($F$8),8+(O613-1)*3),0.3*S613-VLOOKUP(B602,INDIRECT($F$8),6+(O613-1)*3)),11),IF(0.3*S613-VLOOKUP(B602,INDIRECT($F$8),6+(O613-1)*3)&lt;=5,0.3*S613-VLOOKUP(B602,INDIRECT($F$8),6+(O613-1)*3),11)),IF(VLOOKUP(B602,INDIRECT($F$8),8+(O613-1)*3)&lt;U613*0.4,IF(U613*0.4-VLOOKUP(B602,INDIRECT($F$8),8+(O613-1)*3)&lt;=5,U613*0.4-VLOOKUP(B602,INDIRECT($F$8),8+(O613-1)*3),11),0))))</f>
        <v>0</v>
      </c>
      <c r="X613" s="1" t="str">
        <f ca="1">IF(ISERROR(F602),"",IF(W613=0,"",_xlfn.TEXTJOIN("",FALSE," G+",W613," in ",A613)))</f>
        <v/>
      </c>
    </row>
    <row r="614" spans="1:24" ht="11.5" customHeight="1" x14ac:dyDescent="0.2">
      <c r="A614" s="7" t="str">
        <f ca="1">IF(ISERROR(F602),"",VLOOKUP(C602,INDIRECT($F$8),6+(O614-1)*3,0))</f>
        <v>MEP 001</v>
      </c>
      <c r="B614" s="24" t="str">
        <f ca="1">IF(ISERROR(F602),"",VLOOKUP(D602,INDIRECT($F$8),6+(O614-1)*3,0))</f>
        <v>Basic Mechanical Engineering Lab</v>
      </c>
      <c r="C614" s="24"/>
      <c r="D614" s="24"/>
      <c r="E614" s="24"/>
      <c r="F614" s="7">
        <f ca="1">IF(ISERROR(F602),"",VLOOKUP(E602,INDIRECT($F$8),6+(O614-1)*3,0))</f>
        <v>1</v>
      </c>
      <c r="G614" s="25" t="str">
        <f ca="1">IF(ISERROR(F602),"",_xlfn.TEXTJOIN("/",FALSE,P614,S614))</f>
        <v>22/25</v>
      </c>
      <c r="H614" s="25"/>
      <c r="I614" s="25" t="str">
        <f ca="1">IF(ISERROR(F602),"",_xlfn.TEXTJOIN("/",FALSE,Q614,T614))</f>
        <v>23/25</v>
      </c>
      <c r="J614" s="25"/>
      <c r="K614" s="25" t="str">
        <f ca="1">IF(ISERROR(F602),"",_xlfn.TEXTJOIN("/",FALSE,R614,U614))</f>
        <v>45/50</v>
      </c>
      <c r="L614" s="25"/>
      <c r="M614" s="7" t="str">
        <f ca="1">IF(ISERROR(F602),"",IF(ISTEXT(P614),IF(P614="A","Ab",IF(P614="D","Dt",IF(P614="UFM","UFM",IF(P614="NA","")))),IF(AND(ISBLANK(P614),ISBLANK(R614)),"",IF(P614&lt;0.3*S614,"F",IF(ISBLANK(R614),"",IF(ISTEXT(R614),R614,IF(R614&gt;=0.95*U614,"O",IF(R614&gt;=0.9*U614,"A+",IF(R614&gt;=0.85*U614,"A",IF(R614&gt;=0.8*U614,"B+",IF(R614&gt;=0.75*U614,"B",IF(R614&gt;=0.7*U614,"C+",IF(R614&gt;=0.65*U614,"C",IF(R614&gt;=0.6*U614,"D+",IF(R614&gt;=0.55*U614,"D",IF(R614&gt;=0.5*U614,"E+",IF(R614&gt;=0.45*U614,"E",IF(R614&gt;=0.4*U614,"P",IF(R614&lt;0.4*U614,"F",R614)))))))))))))))))))</f>
        <v>A+</v>
      </c>
      <c r="N614" s="8">
        <f t="shared" ca="1" si="55"/>
        <v>9.5</v>
      </c>
      <c r="O614">
        <f t="shared" ca="1" si="56"/>
        <v>9</v>
      </c>
      <c r="P614" s="1">
        <f ca="1">IF(ISERROR(F602),"",IF(ISTEXT(VLOOKUP(B602,INDIRECT($F$8),6+(O614-1)*3)),(VLOOKUP(B602,INDIRECT($F$8),6+(O614-1)*3)),SUM(VLOOKUP(B602,INDIRECT($F$8),6+(O614-1)*3),IF(W620,W614,0))))</f>
        <v>22</v>
      </c>
      <c r="Q614" s="1">
        <f ca="1">IF(ISERROR(F602),"",VLOOKUP(B602,INDIRECT($F$8),7+(O614-1)*3))</f>
        <v>23</v>
      </c>
      <c r="R614" s="1">
        <f ca="1">IF(ISERROR(F602),"",SUM(P614:Q614))</f>
        <v>45</v>
      </c>
      <c r="S614" s="1">
        <f ca="1">IF(ISERROR(F602),"",VLOOKUP(A602,INDIRECT($F$8),6+(O614-1)*3))</f>
        <v>25</v>
      </c>
      <c r="T614" s="1">
        <f ca="1">IF(ISERROR(F602),"",VLOOKUP(A602,INDIRECT($F$8),7+(O614-1)*3))</f>
        <v>25</v>
      </c>
      <c r="U614" s="1">
        <f ca="1">IF(ISERROR(F602),"",VLOOKUP(A602,INDIRECT($F$8),8+(O614-1)*3))</f>
        <v>50</v>
      </c>
      <c r="V614" s="1" t="str">
        <f ca="1">IF(ISERROR(F602),"",IF(N614=0,A614,""))</f>
        <v/>
      </c>
      <c r="W614" s="1">
        <f ca="1">IF(ISERROR(F602),"",IF(ISTEXT(VLOOKUP(B602,INDIRECT($F$8),6+(O614-1)*3)),11,IF(VLOOKUP(B602,INDIRECT($F$8),6+(O614-1)*3)&lt;S614*0.3,IF(VLOOKUP(B602,INDIRECT($F$8),8+(O614-1)*3)&lt;U614*0.4,IF(AND(0.4*U614-VLOOKUP(B602,INDIRECT($F$8),8+(O614-1)*3)&lt;=5,0.3*S614-VLOOKUP(B602,INDIRECT($F$8),6+(O614-1)*3)&lt;=5),MAX(0.4*U614-VLOOKUP(B602,INDIRECT($F$8),8+(O614-1)*3),0.3*S614-VLOOKUP(B602,INDIRECT($F$8),6+(O614-1)*3)),11),IF(0.3*S614-VLOOKUP(B602,INDIRECT($F$8),6+(O614-1)*3)&lt;=5,0.3*S614-VLOOKUP(B602,INDIRECT($F$8),6+(O614-1)*3),11)),IF(VLOOKUP(B602,INDIRECT($F$8),8+(O614-1)*3)&lt;U614*0.4,IF(U614*0.4-VLOOKUP(B602,INDIRECT($F$8),8+(O614-1)*3)&lt;=5,U614*0.4-VLOOKUP(B602,INDIRECT($F$8),8+(O614-1)*3),11),0))))</f>
        <v>0</v>
      </c>
      <c r="X614" s="1" t="str">
        <f ca="1">IF(ISERROR(F602),"",IF(W614=0,"",_xlfn.TEXTJOIN("",FALSE," G+",W614," in ",A614)))</f>
        <v/>
      </c>
    </row>
    <row r="615" spans="1:24" ht="11.5" customHeight="1" x14ac:dyDescent="0.2">
      <c r="A615" s="7" t="str">
        <f ca="1">IF(ISERROR(F602),"",VLOOKUP(C602,INDIRECT($F$8),6+(O615-1)*3,0))</f>
        <v>MEP 003</v>
      </c>
      <c r="B615" s="24" t="str">
        <f ca="1">IF(ISERROR(F602),"",VLOOKUP(D602,INDIRECT($F$8),6+(O615-1)*3-Z615,0))</f>
        <v>Workshop Practices Lab</v>
      </c>
      <c r="C615" s="24"/>
      <c r="D615" s="24"/>
      <c r="E615" s="24"/>
      <c r="F615" s="7">
        <f ca="1">IF(ISERROR(F602),"",VLOOKUP(E602,INDIRECT($F$8),6+(O615-1)*3,0))</f>
        <v>2</v>
      </c>
      <c r="G615" s="25" t="str">
        <f ca="1">IF(ISERROR(F602),"",_xlfn.TEXTJOIN("/",FALSE,P615,S615))</f>
        <v>44/50</v>
      </c>
      <c r="H615" s="25"/>
      <c r="I615" s="25" t="str">
        <f ca="1">IF(ISERROR(F602),"",_xlfn.TEXTJOIN("/",FALSE,Q615,T615))</f>
        <v>42/50</v>
      </c>
      <c r="J615" s="25"/>
      <c r="K615" s="25" t="str">
        <f ca="1">IF(ISERROR(F602),"",_xlfn.TEXTJOIN("/",FALSE,R615,U615))</f>
        <v>86/100</v>
      </c>
      <c r="L615" s="25"/>
      <c r="M615" s="7" t="str">
        <f ca="1">IF(ISERROR(F602),"",IF(ISTEXT(P615),IF(P615="A","Ab",IF(P615="D","Dt",IF(P615="UFM","UFM",IF(P615="NA","")))),IF(AND(ISBLANK(P615),ISBLANK(R615)),"",IF(P615&lt;0.3*S615,"F",IF(ISBLANK(R615),"",IF(ISTEXT(R615),R615,IF(R615&gt;=0.95*U615,"O",IF(R615&gt;=0.9*U615,"A+",IF(R615&gt;=0.85*U615,"A",IF(R615&gt;=0.8*U615,"B+",IF(R615&gt;=0.75*U615,"B",IF(R615&gt;=0.7*U615,"C+",IF(R615&gt;=0.65*U615,"C",IF(R615&gt;=0.6*U615,"D+",IF(R615&gt;=0.55*U615,"D",IF(R615&gt;=0.5*U615,"E+",IF(R615&gt;=0.45*U615,"E",IF(R615&gt;=0.4*U615,"P",IF(R615&lt;0.4*U615,"F",R615)))))))))))))))))))</f>
        <v>A</v>
      </c>
      <c r="N615" s="8">
        <f t="shared" ca="1" si="55"/>
        <v>9</v>
      </c>
      <c r="O615">
        <f t="shared" ca="1" si="56"/>
        <v>10</v>
      </c>
      <c r="P615" s="1">
        <f ca="1">IF(ISERROR(F602),"",IF(ISTEXT(VLOOKUP(B602,INDIRECT($F$8),6+(O615-1)*3)),(VLOOKUP(B602,INDIRECT($F$8),6+(O615-1)*3)),SUM(VLOOKUP(B602,INDIRECT($F$8),6+(O615-1)*3),IF(W620,W615,0))))</f>
        <v>44</v>
      </c>
      <c r="Q615" s="1">
        <f ca="1">IF(ISERROR(F602),"",VLOOKUP(B602,INDIRECT($F$8),7+(O615-1)*3))</f>
        <v>42</v>
      </c>
      <c r="R615" s="1">
        <f ca="1">IF(ISERROR(F602),"",SUM(P615:Q615))</f>
        <v>86</v>
      </c>
      <c r="S615" s="1">
        <f ca="1">IF(ISERROR(F602),"",VLOOKUP(A602,INDIRECT($F$8),6+(O615-1)*3))</f>
        <v>50</v>
      </c>
      <c r="T615" s="1">
        <f ca="1">IF(ISERROR(F602),"",VLOOKUP(A602,INDIRECT($F$8),7+(O615-1)*3))</f>
        <v>50</v>
      </c>
      <c r="U615" s="1">
        <f ca="1">IF(ISERROR(F602),"",VLOOKUP(A602,INDIRECT($F$8),8+(O615-1)*3))</f>
        <v>100</v>
      </c>
      <c r="V615" s="1" t="str">
        <f ca="1">IF(ISERROR(F602),"",IF(N615=0,A615,""))</f>
        <v/>
      </c>
      <c r="W615" s="1">
        <f ca="1">IF(ISERROR(F602),"",IF(ISTEXT(VLOOKUP(B602,INDIRECT($F$8),6+(O615-1)*3)),11,IF(VLOOKUP(B602,INDIRECT($F$8),6+(O615-1)*3)&lt;S615*0.3,IF(VLOOKUP(B602,INDIRECT($F$8),8+(O615-1)*3)&lt;U615*0.4,IF(AND(0.4*U615-VLOOKUP(B602,INDIRECT($F$8),8+(O615-1)*3)&lt;=5,0.3*S615-VLOOKUP(B602,INDIRECT($F$8),6+(O615-1)*3)&lt;=5),MAX(0.4*U615-VLOOKUP(B602,INDIRECT($F$8),8+(O615-1)*3),0.3*S615-VLOOKUP(B602,INDIRECT($F$8),6+(O615-1)*3)),11),IF(0.3*S615-VLOOKUP(B602,INDIRECT($F$8),6+(O615-1)*3)&lt;=5,0.3*S615-VLOOKUP(B602,INDIRECT($F$8),6+(O615-1)*3),11)),IF(VLOOKUP(B602,INDIRECT($F$8),8+(O615-1)*3)&lt;U615*0.4,IF(U615*0.4-VLOOKUP(B602,INDIRECT($F$8),8+(O615-1)*3)&lt;=5,U615*0.4-VLOOKUP(B602,INDIRECT($F$8),8+(O615-1)*3),11),0))))</f>
        <v>0</v>
      </c>
      <c r="X615" s="1" t="str">
        <f ca="1">IF(ISERROR(F602),"",IF(W615=0,"",_xlfn.TEXTJOIN("",FALSE," G+",W615," in ",A615)))</f>
        <v/>
      </c>
    </row>
    <row r="616" spans="1:24" ht="11.5" customHeight="1" x14ac:dyDescent="0.2">
      <c r="A616" s="7" t="str">
        <f ca="1">IF(ISERROR(F602),"",VLOOKUP(C602,INDIRECT($F$8),6+(O616-1)*3,0))</f>
        <v>AHP 004</v>
      </c>
      <c r="B616" s="24" t="str">
        <f ca="1">IF(ISERROR(F602),"",VLOOKUP(D602,INDIRECT($F$8),6+(O616-1)*3-Z616,0))</f>
        <v>Emerging Technologies in Engineering Lab</v>
      </c>
      <c r="C616" s="24"/>
      <c r="D616" s="24"/>
      <c r="E616" s="24"/>
      <c r="F616" s="7">
        <f ca="1">IF(ISERROR(F602),"",VLOOKUP(E602,INDIRECT($F$8),6+(O616-1)*3,0))</f>
        <v>1</v>
      </c>
      <c r="G616" s="25" t="str">
        <f ca="1">IF(ISERROR(F602),"",_xlfn.TEXTJOIN("/",FALSE,P616,S616))</f>
        <v>21/25</v>
      </c>
      <c r="H616" s="25"/>
      <c r="I616" s="25" t="str">
        <f ca="1">IF(ISERROR(F602),"",_xlfn.TEXTJOIN("/",FALSE,Q616,T616))</f>
        <v>21/25</v>
      </c>
      <c r="J616" s="25"/>
      <c r="K616" s="25" t="str">
        <f ca="1">IF(ISERROR(F602),"",_xlfn.TEXTJOIN("/",FALSE,R616,U616))</f>
        <v>42/50</v>
      </c>
      <c r="L616" s="25"/>
      <c r="M616" s="7" t="str">
        <f ca="1">IF(ISERROR(F602),"",IF(ISTEXT(P616),IF(P616="A","Ab",IF(P616="D","Dt",IF(P616="UFM","UFM",IF(P616="NA","")))),IF(AND(ISBLANK(P616),ISBLANK(R616)),"",IF(P616&lt;0.3*S616,"F",IF(ISBLANK(R616),"",IF(ISTEXT(R616),R616,IF(R616&gt;=0.95*U616,"O",IF(R616&gt;=0.9*U616,"A+",IF(R616&gt;=0.85*U616,"A",IF(R616&gt;=0.8*U616,"B+",IF(R616&gt;=0.75*U616,"B",IF(R616&gt;=0.7*U616,"C+",IF(R616&gt;=0.65*U616,"C",IF(R616&gt;=0.6*U616,"D+",IF(R616&gt;=0.55*U616,"D",IF(R616&gt;=0.5*U616,"E+",IF(R616&gt;=0.45*U616,"E",IF(R616&gt;=0.4*U616,"P",IF(R616&lt;0.4*U616,"F",R616)))))))))))))))))))</f>
        <v>B+</v>
      </c>
      <c r="N616" s="8">
        <f t="shared" ca="1" si="55"/>
        <v>8.5</v>
      </c>
      <c r="O616">
        <f t="shared" ca="1" si="56"/>
        <v>11</v>
      </c>
      <c r="P616" s="1">
        <f ca="1">IF(ISERROR(F602),"",IF(ISTEXT(VLOOKUP(B602,INDIRECT($F$8),6+(O616-1)*3)),(VLOOKUP(B602,INDIRECT($F$8),6+(O616-1)*3)),SUM(VLOOKUP(B602,INDIRECT($F$8),6+(O616-1)*3),IF(W620,W616,0))))</f>
        <v>21</v>
      </c>
      <c r="Q616" s="1">
        <f ca="1">IF(ISERROR(F602),"",VLOOKUP(B602,INDIRECT($F$8),7+(O616-1)*3))</f>
        <v>21</v>
      </c>
      <c r="R616" s="1">
        <f ca="1">IF(ISERROR(F602),"",SUM(P616:Q616))</f>
        <v>42</v>
      </c>
      <c r="S616" s="1">
        <f ca="1">IF(ISERROR(F602),"",VLOOKUP(A602,INDIRECT($F$8),6+(O616-1)*3))</f>
        <v>25</v>
      </c>
      <c r="T616" s="1">
        <f ca="1">IF(ISERROR(F602),"",VLOOKUP(A602,INDIRECT($F$8),7+(O616-1)*3))</f>
        <v>25</v>
      </c>
      <c r="U616" s="1">
        <f ca="1">IF(ISERROR(F602),"",VLOOKUP(A602,INDIRECT($F$8),8+(O616-1)*3))</f>
        <v>50</v>
      </c>
      <c r="V616" s="1" t="str">
        <f ca="1">IF(ISERROR(F602),"",IF(N616=0,A616,""))</f>
        <v/>
      </c>
      <c r="W616" s="1">
        <f ca="1">IF(ISERROR(F602),"",IF(ISTEXT(VLOOKUP(B602,INDIRECT($F$8),6+(O616-1)*3)),11,IF(VLOOKUP(B602,INDIRECT($F$8),6+(O616-1)*3)&lt;S616*0.3,IF(VLOOKUP(B602,INDIRECT($F$8),8+(O616-1)*3)&lt;U616*0.4,IF(AND(0.4*U616-VLOOKUP(B602,INDIRECT($F$8),8+(O616-1)*3)&lt;=5,0.3*S616-VLOOKUP(B602,INDIRECT($F$8),6+(O616-1)*3)&lt;=5),MAX(0.4*U616-VLOOKUP(B602,INDIRECT($F$8),8+(O616-1)*3),0.3*S616-VLOOKUP(B602,INDIRECT($F$8),6+(O616-1)*3)),11),IF(0.3*S616-VLOOKUP(B602,INDIRECT($F$8),6+(O616-1)*3)&lt;=5,0.3*S616-VLOOKUP(B602,INDIRECT($F$8),6+(O616-1)*3),11)),IF(VLOOKUP(B602,INDIRECT($F$8),8+(O616-1)*3)&lt;U616*0.4,IF(U616*0.4-VLOOKUP(B602,INDIRECT($F$8),8+(O616-1)*3)&lt;=5,U616*0.4-VLOOKUP(B602,INDIRECT($F$8),8+(O616-1)*3),11),0))))</f>
        <v>0</v>
      </c>
      <c r="X616" s="1" t="str">
        <f ca="1">IF(ISERROR(F602),"",IF(W616=0,"",_xlfn.TEXTJOIN("",FALSE," G+",W616," in ",A616)))</f>
        <v/>
      </c>
    </row>
    <row r="617" spans="1:24" ht="11.5" customHeight="1" x14ac:dyDescent="0.2">
      <c r="A617" s="7" t="str">
        <f ca="1">IF(ISERROR(F602),"",VLOOKUP(C602,INDIRECT($F$8),6+(O617-1)*3,0))</f>
        <v>CSP 002</v>
      </c>
      <c r="B617" s="24" t="str">
        <f ca="1">IF(ISERROR(F602),"",VLOOKUP(D602,INDIRECT($F$8),6+(O617-1)*3,0))</f>
        <v>Computer Applications and IOT</v>
      </c>
      <c r="C617" s="24"/>
      <c r="D617" s="24"/>
      <c r="E617" s="24"/>
      <c r="F617" s="7">
        <f ca="1">IF(ISERROR(F602),"",VLOOKUP(E602,INDIRECT($F$8),6+(O617-1)*3,0))</f>
        <v>1</v>
      </c>
      <c r="G617" s="25" t="str">
        <f ca="1">IF(ISERROR(F602),"",_xlfn.TEXTJOIN("/",FALSE,P617,S617))</f>
        <v>25/25</v>
      </c>
      <c r="H617" s="25"/>
      <c r="I617" s="25" t="str">
        <f ca="1">IF(ISERROR(F602),"",_xlfn.TEXTJOIN("/",FALSE,Q617,T617))</f>
        <v>25/25</v>
      </c>
      <c r="J617" s="25"/>
      <c r="K617" s="25" t="str">
        <f ca="1">IF(ISERROR(F602),"",_xlfn.TEXTJOIN("/",FALSE,R617,U617))</f>
        <v>50/50</v>
      </c>
      <c r="L617" s="25"/>
      <c r="M617" s="7" t="str">
        <f ca="1">IF(ISERROR(F602),"",IF(ISTEXT(P617),IF(P617="A","Ab",IF(P617="D","Dt",IF(P617="UFM","UFM",IF(P617="NA","")))),IF(AND(ISBLANK(P617),ISBLANK(R617)),"",IF(P617&lt;0.3*S617,"F",IF(ISBLANK(R617),"",IF(ISTEXT(R617),R617,IF(R617&gt;=0.95*U617,"O",IF(R617&gt;=0.9*U617,"A+",IF(R617&gt;=0.85*U617,"A",IF(R617&gt;=0.8*U617,"B+",IF(R617&gt;=0.75*U617,"B",IF(R617&gt;=0.7*U617,"C+",IF(R617&gt;=0.65*U617,"C",IF(R617&gt;=0.6*U617,"D+",IF(R617&gt;=0.55*U617,"D",IF(R617&gt;=0.5*U617,"E+",IF(R617&gt;=0.45*U617,"E",IF(R617&gt;=0.4*U617,"P",IF(R617&lt;0.4*U617,"F",R617)))))))))))))))))))</f>
        <v>O</v>
      </c>
      <c r="N617" s="8">
        <f t="shared" ca="1" si="55"/>
        <v>10</v>
      </c>
      <c r="O617">
        <f t="shared" ca="1" si="56"/>
        <v>12</v>
      </c>
      <c r="P617" s="1">
        <f ca="1">IF(ISERROR(F602),"",IF(ISTEXT(VLOOKUP(B602,INDIRECT($F$8),6+(O617-1)*3)),(VLOOKUP(B602,INDIRECT($F$8),6+(O617-1)*3)),SUM(VLOOKUP(B602,INDIRECT($F$8),6+(O617-1)*3),IF(W620,W617,0))))</f>
        <v>25</v>
      </c>
      <c r="Q617" s="1">
        <f ca="1">IF(ISERROR(F602),"",VLOOKUP(B602,INDIRECT($F$8),7+(O617-1)*3))</f>
        <v>25</v>
      </c>
      <c r="R617" s="1">
        <f ca="1">IF(ISERROR(F602),"",SUM(P617:Q617))</f>
        <v>50</v>
      </c>
      <c r="S617" s="1">
        <f ca="1">IF(ISERROR(F602),"",VLOOKUP(A602,INDIRECT($F$8),6+(O617-1)*3))</f>
        <v>25</v>
      </c>
      <c r="T617" s="1">
        <f ca="1">IF(ISERROR(F602),"",VLOOKUP(A602,INDIRECT($F$8),7+(O617-1)*3))</f>
        <v>25</v>
      </c>
      <c r="U617" s="1">
        <f ca="1">IF(ISERROR(F602),"",VLOOKUP(A602,INDIRECT($F$8),8+(O617-1)*3))</f>
        <v>50</v>
      </c>
      <c r="V617" s="1" t="str">
        <f ca="1">IF(ISERROR(F602),"",IF(N617=0,A617,""))</f>
        <v/>
      </c>
      <c r="W617" s="1">
        <f ca="1">IF(ISERROR(F602),"",IF(ISTEXT(VLOOKUP(B602,INDIRECT($F$8),6+(O617-1)*3)),11,IF(VLOOKUP(B602,INDIRECT($F$8),6+(O617-1)*3)&lt;S617*0.3,IF(VLOOKUP(B602,INDIRECT($F$8),8+(O617-1)*3)&lt;U617*0.4,IF(AND(0.4*U617-VLOOKUP(B602,INDIRECT($F$8),8+(O617-1)*3)&lt;=5,0.3*S617-VLOOKUP(B602,INDIRECT($F$8),6+(O617-1)*3)&lt;=5),MAX(0.4*U617-VLOOKUP(B602,INDIRECT($F$8),8+(O617-1)*3),0.3*S617-VLOOKUP(B602,INDIRECT($F$8),6+(O617-1)*3)),11),IF(0.3*S617-VLOOKUP(B602,INDIRECT($F$8),6+(O617-1)*3)&lt;=5,0.3*S617-VLOOKUP(B602,INDIRECT($F$8),6+(O617-1)*3),11)),IF(VLOOKUP(B602,INDIRECT($F$8),8+(O617-1)*3)&lt;U617*0.4,IF(U617*0.4-VLOOKUP(B602,INDIRECT($F$8),8+(O617-1)*3)&lt;=5,U617*0.4-VLOOKUP(B602,INDIRECT($F$8),8+(O617-1)*3),11),0))))</f>
        <v>0</v>
      </c>
      <c r="X617" s="1" t="str">
        <f ca="1">IF(ISERROR(F602),"",IF(W617=0,"",_xlfn.TEXTJOIN("",FALSE," G+",W617," in ",A617)))</f>
        <v/>
      </c>
    </row>
    <row r="618" spans="1:24" ht="11.5" customHeight="1" x14ac:dyDescent="0.2">
      <c r="A618" s="7" t="str">
        <f ca="1">IF(ISERROR(F602),"",VLOOKUP(C602,INDIRECT($F$8),6+(O618-1)*3,0))</f>
        <v>AHP 006</v>
      </c>
      <c r="B618" s="24" t="str">
        <f ca="1">IF(ISERROR(F602),"",VLOOKUP(D602,INDIRECT($F$8),6+(O618-1)*3,0))</f>
        <v>English Language Lab ($)</v>
      </c>
      <c r="C618" s="24"/>
      <c r="D618" s="24"/>
      <c r="E618" s="24"/>
      <c r="F618" s="7">
        <f ca="1">IF(ISERROR(F602),"",VLOOKUP(E602,INDIRECT($F$8),6+(O618-1)*3,0))</f>
        <v>0</v>
      </c>
      <c r="G618" s="25" t="str">
        <f ca="1">IF(ISERROR(F602),"",_xlfn.TEXTJOIN("/",FALSE,P618,S618))</f>
        <v>17/25</v>
      </c>
      <c r="H618" s="25"/>
      <c r="I618" s="25" t="str">
        <f ca="1">IF(ISERROR(F602),"",_xlfn.TEXTJOIN("/",FALSE,Q618,T618))</f>
        <v>36/50</v>
      </c>
      <c r="J618" s="25"/>
      <c r="K618" s="25" t="str">
        <f ca="1">IF(ISERROR(F602),"",_xlfn.TEXTJOIN("/",FALSE,R618,U618))</f>
        <v>53/75</v>
      </c>
      <c r="L618" s="25"/>
      <c r="M618" s="7" t="str">
        <f ca="1">IF(ISERROR(F602),"",IF(ISTEXT(P618),IF(P618="A","Ab",IF(P618="D","Dt",IF(P618="UFM","UFM",IF(P618="NA","")))),IF(AND(ISBLANK(P618),ISBLANK(R618)),"",IF(P618&lt;0.3*S618,"F",IF(ISBLANK(R618),"",IF(ISTEXT(R618),R618,IF(R618&gt;=0.95*U618,"O",IF(R618&gt;=0.9*U618,"A+",IF(R618&gt;=0.85*U618,"A",IF(R618&gt;=0.8*U618,"B+",IF(R618&gt;=0.75*U618,"B",IF(R618&gt;=0.7*U618,"C+",IF(R618&gt;=0.65*U618,"C",IF(R618&gt;=0.6*U618,"D+",IF(R618&gt;=0.55*U618,"D",IF(R618&gt;=0.5*U618,"E+",IF(R618&gt;=0.45*U618,"E",IF(R618&gt;=0.4*U618,"P",IF(R618&lt;0.4*U618,"F",R618)))))))))))))))))))</f>
        <v>C+</v>
      </c>
      <c r="N618" s="8">
        <f ca="1">INDEX($Z$2:$Z$17,MATCH(M618,$Y$2:$Y$17,0))</f>
        <v>7.5</v>
      </c>
      <c r="O618">
        <f t="shared" ca="1" si="56"/>
        <v>13</v>
      </c>
      <c r="P618" s="1">
        <f ca="1">IF(ISERROR(F602),"",IF(ISTEXT(VLOOKUP(B602,INDIRECT($F$8),6+(O618-1)*3)),(VLOOKUP(B602,INDIRECT($F$8),6+(O618-1)*3)),SUM(VLOOKUP(B602,INDIRECT($F$8),6+(O618-1)*3),IF(W620,W618,0))))</f>
        <v>17</v>
      </c>
      <c r="Q618" s="1">
        <f ca="1">IF(ISERROR(F602),"",VLOOKUP(B602,INDIRECT($F$8),7+(O618-1)*3))</f>
        <v>36</v>
      </c>
      <c r="R618" s="1">
        <f ca="1">IF(ISERROR(F602),"",SUM(P618:Q618))</f>
        <v>53</v>
      </c>
      <c r="S618" s="1">
        <f ca="1">IF(ISERROR(F602),"",VLOOKUP(A602,INDIRECT($F$8),6+(O618-1)*3))</f>
        <v>25</v>
      </c>
      <c r="T618" s="1">
        <f ca="1">IF(ISERROR(F602),"",VLOOKUP(A602,INDIRECT($F$8),7+(O618-1)*3))</f>
        <v>50</v>
      </c>
      <c r="U618" s="1">
        <f ca="1">IF(ISERROR(F602),"",VLOOKUP(A602,INDIRECT($F$8),8+(O618-1)*3))</f>
        <v>75</v>
      </c>
      <c r="V618" s="1"/>
      <c r="W618" s="1">
        <f ca="1">IF(ISERROR(F602),"",IF(ISTEXT(VLOOKUP(B602,INDIRECT($F$8),6+(O618-1)*3)),11,IF(VLOOKUP(B602,INDIRECT($F$8),6+(O618-1)*3)&lt;S618*0.3,IF(VLOOKUP(B602,INDIRECT($F$8),8+(O618-1)*3)&lt;U618*0.4,IF(AND(0.4*U618-VLOOKUP(B602,INDIRECT($F$8),8+(O618-1)*3)&lt;=5,0.3*S618-VLOOKUP(B602,INDIRECT($F$8),6+(O618-1)*3)&lt;=5),MAX(0.4*U618-VLOOKUP(B602,INDIRECT($F$8),8+(O618-1)*3),0.3*S618-VLOOKUP(B602,INDIRECT($F$8),6+(O618-1)*3)),11),IF(0.3*S618-VLOOKUP(B602,INDIRECT($F$8),6+(O618-1)*3)&lt;=5,0.3*S618-VLOOKUP(B602,INDIRECT($F$8),6+(O618-1)*3),11)),IF(VLOOKUP(B602,INDIRECT($F$8),8+(O618-1)*3)&lt;U618*0.4,IF(U618*0.4-VLOOKUP(B602,INDIRECT($F$8),8+(O618-1)*3)&lt;=5,U618*0.4-VLOOKUP(B602,INDIRECT($F$8),8+(O618-1)*3),11),0))))</f>
        <v>0</v>
      </c>
      <c r="X618" s="1" t="str">
        <f ca="1">IF(ISERROR(F602),"",IF(W618=0,"",_xlfn.TEXTJOIN("",FALSE," G+",W618," in ",A618)))</f>
        <v/>
      </c>
    </row>
    <row r="619" spans="1:24" ht="11.5" customHeight="1" x14ac:dyDescent="0.2">
      <c r="A619" s="7" t="str">
        <f ca="1">IF(ISERROR(F602),"",VLOOKUP(C602,INDIRECT($F$8),6+(O619-1)*3-Y619,0))</f>
        <v>GP 01</v>
      </c>
      <c r="B619" s="24" t="str">
        <f ca="1">IF(ISERROR(F602),"",VLOOKUP(D602,INDIRECT($F$8),6+(O619-1)*3-Z619,0))</f>
        <v>General Proficiency ($)</v>
      </c>
      <c r="C619" s="24"/>
      <c r="D619" s="24"/>
      <c r="E619" s="24"/>
      <c r="F619" s="7">
        <f ca="1">IF(ISERROR(F602),"",VLOOKUP(E602,INDIRECT($F$8),6+(O619-1)*3-AA619,0))</f>
        <v>0</v>
      </c>
      <c r="G619" s="25" t="str">
        <f ca="1">IF(ISERROR(F602),"","-")</f>
        <v>-</v>
      </c>
      <c r="H619" s="25"/>
      <c r="I619" s="25" t="str">
        <f ca="1">IF(ISERROR(F602),"",_xlfn.TEXTJOIN("/",FALSE,Q619,T619))</f>
        <v>47/50</v>
      </c>
      <c r="J619" s="25"/>
      <c r="K619" s="25" t="str">
        <f ca="1">IF(ISERROR(F602),"",_xlfn.TEXTJOIN("/",FALSE,R619,U619))</f>
        <v>47/50</v>
      </c>
      <c r="L619" s="25"/>
      <c r="M619" s="25" t="str">
        <f ca="1">IF(ISBLANK(R619),"",IF(ISTEXT(R619),R619,IF(R619&gt;=0.8*U619,"Excellent",IF(R619&gt;=0.6*U619,"Very Good",IF(R619&gt;=0.4*U619,"Good",IF(R619&gt;=0.2*U619,"Satisfactory","Average"))))))</f>
        <v>Excellent</v>
      </c>
      <c r="N619" s="25"/>
      <c r="O619">
        <f t="shared" ca="1" si="56"/>
        <v>14</v>
      </c>
      <c r="P619" s="1">
        <f ca="1">IF(ISERROR(F602),"",IF(ISTEXT(VLOOKUP(B\28,INDIRECT($F$8),6+(O619-1)*3)),(VLOOKUP(B602,INDIRECT($F$8),6+(O619-1)*3)),SUM(VLOOKUP(B602,INDIRECT($F$8),6+(O619-1)*3),IF(W620,W620,0))))</f>
        <v>0</v>
      </c>
      <c r="Q619" s="1">
        <f ca="1">IF(ISERROR(F602),"",VLOOKUP(B602,INDIRECT($F$8),7+(O619-1)*3))</f>
        <v>47</v>
      </c>
      <c r="R619" s="1">
        <f ca="1">IF(ISERROR(F602),"",SUM(P619:Q619))</f>
        <v>47</v>
      </c>
      <c r="S619" s="1">
        <f ca="1">IF(ISERROR(F602),"",VLOOKUP(A602,INDIRECT($F$8),6+(O619-1)*3))</f>
        <v>0</v>
      </c>
      <c r="T619" s="1">
        <f ca="1">IF(ISERROR(F602),"",VLOOKUP(A602,INDIRECT($F$8),7+(O619-1)*3))</f>
        <v>50</v>
      </c>
      <c r="U619" s="1">
        <f ca="1">IF(ISERROR(F602),"",VLOOKUP(A602,INDIRECT($F$8),8+(O619-1)*3))</f>
        <v>50</v>
      </c>
      <c r="V619" s="1"/>
      <c r="W619" s="1"/>
      <c r="X619" s="1" t="str">
        <f ca="1">IF(ISERROR(F602),"",IF(W619=0,"",_xlfn.TEXTJOIN("",FALSE," G+",W619," in ",A619)))</f>
        <v/>
      </c>
    </row>
    <row r="620" spans="1:24" ht="11.5" customHeight="1" x14ac:dyDescent="0.2">
      <c r="A620" s="26" t="str">
        <f ca="1">IF(ISERROR(F602),"",A598)</f>
        <v>Total Credits/ Marks/ Total Grade Points</v>
      </c>
      <c r="B620" s="26"/>
      <c r="C620" s="26"/>
      <c r="D620" s="26"/>
      <c r="E620" s="26"/>
      <c r="F620" s="10">
        <f ca="1">IF(ISERROR(F602),"",SUM(F607:F618))</f>
        <v>23</v>
      </c>
      <c r="G620" s="27" t="str">
        <f ca="1">IF(ISERROR(F602),"",_xlfn.TEXTJOIN("/",TRUE,SUMIF(F607:F619,"&gt;0",P607:P619),SUMIF(F607:F619,"&gt;0",S607:S619)))</f>
        <v>238/575</v>
      </c>
      <c r="H620" s="27"/>
      <c r="I620" s="27" t="str">
        <f ca="1">IF(ISERROR(F602),"",_xlfn.TEXTJOIN("/",TRUE,SUMIF(F607:F619,"&gt;0",Q607:Q619),SUMIF(F607:F619,"&gt;0",T607:T619)))</f>
        <v>262/375</v>
      </c>
      <c r="J620" s="27"/>
      <c r="K620" s="27" t="str">
        <f ca="1">IF(ISERROR(F602),"",_xlfn.TEXTJOIN("/",TRUE,SUMIF(F607:F619,"&gt;0",R607:R619),SUMIF(F607:F619,"&gt;0",U607:U619)))</f>
        <v>500/950</v>
      </c>
      <c r="L620" s="27"/>
      <c r="M620" s="26">
        <f ca="1">IF(ISERROR(F602),"",SUMPRODUCT(N607:N618,F607:F618))</f>
        <v>81.5</v>
      </c>
      <c r="N620" s="26"/>
      <c r="V620" s="1" t="str">
        <f ca="1">IF(ISERROR(F602),"",_xlfn.TEXTJOIN(", ",TRUE,V607:V619))</f>
        <v>AHT 002, AHT 003, ECT 001</v>
      </c>
      <c r="W620" t="b">
        <f ca="1">IF(ISERROR(F602),"",IF(SUM(W607:W619)&lt;=W606,TRUE,FALSE))</f>
        <v>0</v>
      </c>
      <c r="X620" s="1" t="str">
        <f ca="1">IF(ISERROR(F602),"",_xlfn.TEXTJOIN(",",TRUE,X607:X619))</f>
        <v xml:space="preserve"> G+11 in AHT 002, G+11 in AHT 003, G+5 in ECT 001</v>
      </c>
    </row>
    <row r="621" spans="1:24" ht="11.5" customHeight="1" x14ac:dyDescent="0.2">
      <c r="A621" s="26" t="str">
        <f ca="1">IF(ISERROR(F602),"",A599)</f>
        <v>Result:</v>
      </c>
      <c r="B621" s="28" t="str" cm="1">
        <f t="array" aca="1" ref="B621" ca="1">IF(SUM(COUNTIF(M607:M618,{"Ab","Dt"}))=12, "Not Promoted to IInd Semester", IF(V620="", "PASS", "CARRY OVER"))</f>
        <v>CARRY OVER</v>
      </c>
      <c r="C621" s="28"/>
      <c r="D621" s="26" t="str">
        <f ca="1">IF(ISERROR(F602),"",D599)</f>
        <v>Remark:</v>
      </c>
      <c r="E621" s="28" t="str">
        <f ca="1">IF(ISERROR(F602),"",IF(V620="",IF(X620="","",X620),_xlfn.TEXTJOIN(" ",TRUE,"BACK IN",V620)))</f>
        <v>BACK IN AHT 002, AHT 003, ECT 001</v>
      </c>
      <c r="F621" s="28"/>
      <c r="G621" s="26" t="str">
        <f ca="1">IF(ISERROR(F602),"",G599)</f>
        <v>SGPA:</v>
      </c>
      <c r="H621" s="29">
        <f ca="1">IF(ISERROR(F602),"",M620/F620)</f>
        <v>3.5434782608695654</v>
      </c>
      <c r="I621" s="26" t="str">
        <f ca="1">IF(ISERROR(F602),"",I599)</f>
        <v>CGPA:</v>
      </c>
      <c r="J621" s="29">
        <f ca="1">IF(ISERROR(F602),"",VLOOKUP(B602,INDIRECT($F$8),12+(O619-1)*3,0))</f>
        <v>3.5434782608695654</v>
      </c>
      <c r="K621" s="28" t="str">
        <f ca="1">IF(ISERROR(F602),"",K599)</f>
        <v>Earned Credits:</v>
      </c>
      <c r="L621" s="26">
        <f ca="1">IF(ISERROR(F602),"",SUMIF(N607:N618,"&gt;0",F607:F618))</f>
        <v>11</v>
      </c>
      <c r="M621" s="28" t="str">
        <f ca="1">IF(ISERROR(F602),"",M599)</f>
        <v>Cuml. Earned Credits:</v>
      </c>
      <c r="N621" s="26">
        <f ca="1">IF(ISERROR(F602),"",VLOOKUP(B602,INDIRECT($F$8),10+(O619-1)*3,0))</f>
        <v>11</v>
      </c>
    </row>
    <row r="622" spans="1:24" ht="11.5" customHeight="1" x14ac:dyDescent="0.2">
      <c r="A622" s="26"/>
      <c r="B622" s="28"/>
      <c r="C622" s="28"/>
      <c r="D622" s="26"/>
      <c r="E622" s="28"/>
      <c r="F622" s="28"/>
      <c r="G622" s="26"/>
      <c r="H622" s="29"/>
      <c r="I622" s="26"/>
      <c r="J622" s="29"/>
      <c r="K622" s="28"/>
      <c r="L622" s="26"/>
      <c r="M622" s="28"/>
      <c r="N622" s="26"/>
    </row>
    <row r="623" spans="1:24" ht="11.5" customHeight="1" x14ac:dyDescent="0.2">
      <c r="A623" s="26"/>
      <c r="B623" s="28"/>
      <c r="C623" s="28"/>
      <c r="D623" s="26"/>
      <c r="E623" s="28"/>
      <c r="F623" s="28"/>
      <c r="G623" s="26"/>
      <c r="H623" s="29"/>
      <c r="I623" s="26"/>
      <c r="J623" s="29"/>
      <c r="K623" s="28"/>
      <c r="L623" s="26"/>
      <c r="M623" s="28"/>
      <c r="N623" s="26"/>
    </row>
    <row r="624" spans="1:24" ht="12.5" customHeight="1" x14ac:dyDescent="0.2">
      <c r="A624" s="11" t="str">
        <f>A602</f>
        <v>MM</v>
      </c>
      <c r="B624" s="11">
        <f>B602+1</f>
        <v>29</v>
      </c>
      <c r="C624" s="11" t="str">
        <f>C602</f>
        <v>SC</v>
      </c>
      <c r="D624" s="11" t="str">
        <f>D602</f>
        <v>SN</v>
      </c>
      <c r="E624" s="11" t="str">
        <f>E602</f>
        <v>C</v>
      </c>
      <c r="F624" s="11" t="str">
        <f ca="1">VLOOKUP(B624,INDIRECT($F$8),4,0)</f>
        <v>SHRADDHA SHARMA</v>
      </c>
    </row>
    <row r="625" spans="1:24" ht="12.5" customHeight="1" x14ac:dyDescent="0.2">
      <c r="A625" s="30" t="str">
        <f ca="1">IF(ISERROR(F624),"",A603)</f>
        <v>Name:</v>
      </c>
      <c r="B625" s="30" t="str">
        <f ca="1">IFERROR(VLOOKUP(B624,INDIRECT($F$8),4,0),"")</f>
        <v>SHRADDHA SHARMA</v>
      </c>
      <c r="C625" s="30"/>
      <c r="D625" s="30" t="str">
        <f ca="1">IF(ISERROR(F624),"",D603)</f>
        <v>Father's Name:</v>
      </c>
      <c r="E625" s="30" t="str">
        <f ca="1">IFERROR(VLOOKUP(B624,INDIRECT($F$8),5,0),"")</f>
        <v>YOGESH SHARMA</v>
      </c>
      <c r="F625" s="30"/>
      <c r="G625" s="30" t="str">
        <f ca="1">IF(ISERROR(F624),"",G603)</f>
        <v>University Roll No:</v>
      </c>
      <c r="H625" s="30"/>
      <c r="I625" s="31">
        <f ca="1">IFERROR(VLOOKUP(B624,INDIRECT($F$8),2,0),"")</f>
        <v>250090120030</v>
      </c>
      <c r="J625" s="31"/>
      <c r="K625" s="30" t="str">
        <f ca="1">IF(ISERROR(F624),"",K603)</f>
        <v>University Enrol. No:</v>
      </c>
      <c r="L625" s="30"/>
      <c r="M625" s="31" t="str">
        <f ca="1">IFERROR(VLOOKUP(B624,INDIRECT($F$8),3,0),"")</f>
        <v>UTU/2501103966</v>
      </c>
      <c r="N625" s="31"/>
    </row>
    <row r="626" spans="1:24" ht="12.5" customHeight="1" x14ac:dyDescent="0.2">
      <c r="A626" s="30"/>
      <c r="B626" s="30"/>
      <c r="C626" s="30"/>
      <c r="D626" s="30"/>
      <c r="E626" s="30"/>
      <c r="F626" s="30"/>
      <c r="G626" s="30"/>
      <c r="H626" s="30"/>
      <c r="I626" s="31"/>
      <c r="J626" s="31"/>
      <c r="K626" s="30"/>
      <c r="L626" s="30"/>
      <c r="M626" s="31"/>
      <c r="N626" s="31"/>
    </row>
    <row r="627" spans="1:24" ht="12.5" customHeight="1" x14ac:dyDescent="0.2">
      <c r="A627" s="28" t="str">
        <f ca="1">IF(ISERROR(F624),"",A605)</f>
        <v>Subject Code</v>
      </c>
      <c r="B627" s="28" t="str">
        <f ca="1">IF(ISERROR(F624),"",B605)</f>
        <v>Subject Name</v>
      </c>
      <c r="C627" s="28"/>
      <c r="D627" s="28"/>
      <c r="E627" s="28"/>
      <c r="F627" s="28" t="str">
        <f ca="1">IF(ISERROR(F624),"",F605)</f>
        <v>Credits</v>
      </c>
      <c r="G627" s="28" t="str">
        <f ca="1">IF(ISERROR(F624),"",G605)</f>
        <v>External Marks</v>
      </c>
      <c r="H627" s="28"/>
      <c r="I627" s="28" t="str">
        <f ca="1">IF(ISERROR(F624),"",I605)</f>
        <v>Sessional Marks</v>
      </c>
      <c r="J627" s="28"/>
      <c r="K627" s="28" t="str">
        <f ca="1">IF(ISERROR(F624),"",K605)</f>
        <v>Total Marks</v>
      </c>
      <c r="L627" s="28"/>
      <c r="M627" s="28" t="str">
        <f ca="1">IF(ISERROR(F624),"",M605)</f>
        <v>Grade</v>
      </c>
      <c r="N627" s="28" t="str">
        <f ca="1">IF(ISERROR(F624),"",N605)</f>
        <v>Grade Points</v>
      </c>
    </row>
    <row r="628" spans="1:24" ht="12.5" customHeight="1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W628">
        <f ca="1">IF(ISNUMBER(MATCH($F$8,{"I","III","V","VII"},0)),10,10-INDEX(INDIRECT(_xlfn.TEXTJOIN("",TRUE,"SEM_",$G$8,"!",ADDRESS(6,4+$I$8*3+4),":",ADDRESS(5+$H$8,4+$I$8*3+4))),MATCH(INDIRECT(_xlfn.TEXTJOIN("",TRUE,"TC_",$F$8,"!",ADDRESS(ROW(I625),COLUMN(I625)))),INDIRECT(_xlfn.TEXTJOIN("",TRUE,"SEM_",$G$8,"!",ADDRESS(6,2),":",ADDRESS(5+$H$8,2))))))</f>
        <v>10</v>
      </c>
    </row>
    <row r="629" spans="1:24" ht="12.5" customHeight="1" x14ac:dyDescent="0.2">
      <c r="A629" s="7" t="str">
        <f ca="1">IF(ISERROR(F624),"",VLOOKUP(C624,INDIRECT($F$8),6+(O629-1)*3,0))</f>
        <v>AHT 002</v>
      </c>
      <c r="B629" s="24" t="str">
        <f ca="1">IF(ISERROR(F624),"",VLOOKUP(D624,INDIRECT($F$8),6+(O629-1)*3,0))</f>
        <v>Engineering Chemistry</v>
      </c>
      <c r="C629" s="24"/>
      <c r="D629" s="24"/>
      <c r="E629" s="24"/>
      <c r="F629" s="7">
        <f ca="1">IF(ISERROR(F624),"",VLOOKUP(E624,INDIRECT($F$8),6+(O629-1)*3,0))</f>
        <v>4</v>
      </c>
      <c r="G629" s="25" t="str">
        <f ca="1">IF(ISERROR(F624),"",_xlfn.TEXTJOIN("/",FALSE,P629,S629))</f>
        <v>42/100</v>
      </c>
      <c r="H629" s="25"/>
      <c r="I629" s="25" t="str">
        <f ca="1">IF(ISERROR(F624),"",_xlfn.TEXTJOIN("/",FALSE,Q629,T629))</f>
        <v>32/50</v>
      </c>
      <c r="J629" s="25"/>
      <c r="K629" s="25" t="str">
        <f ca="1">IF(ISERROR(F624),"",_xlfn.TEXTJOIN("/",FALSE,R629,U629))</f>
        <v>74/150</v>
      </c>
      <c r="L629" s="25"/>
      <c r="M629" s="7" t="str">
        <f ca="1">IF(ISERROR(F624)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E</v>
      </c>
      <c r="N629" s="8">
        <f ca="1">INDEX($Z$2:$Z$17,MATCH(M629,$Y$2:$Y$17,0))</f>
        <v>5</v>
      </c>
      <c r="O629">
        <v>1</v>
      </c>
      <c r="P629" s="1">
        <f ca="1">IF(ISERROR(F624),"",IF(ISTEXT(VLOOKUP(B624,INDIRECT($F$8),6+(O629-1)*3)),(VLOOKUP(B624,INDIRECT($F$8),6+(O629-1)*3)),SUM(VLOOKUP(B624,INDIRECT($F$8),6+(O629-1)*3),IF(W642,W629,0))))</f>
        <v>42</v>
      </c>
      <c r="Q629" s="1">
        <f ca="1">IF(ISERROR(F624),"",VLOOKUP(B624,INDIRECT($F$8),7+(O629-1)*3))</f>
        <v>32</v>
      </c>
      <c r="R629" s="1">
        <f ca="1">IF(ISERROR(F624),"",SUM(P629:Q629))</f>
        <v>74</v>
      </c>
      <c r="S629" s="1">
        <f ca="1">IF(ISERROR(F624),"",VLOOKUP(A624,INDIRECT($F$8),6+(O629-1)*3))</f>
        <v>100</v>
      </c>
      <c r="T629" s="1">
        <f ca="1">IF(ISERROR(F624),"",VLOOKUP(A624,INDIRECT($F$8),7+(O629-1)*3))</f>
        <v>50</v>
      </c>
      <c r="U629" s="1">
        <f ca="1">IF(ISERROR(F624),"",VLOOKUP(A624,INDIRECT($F$8),8+(O629-1)*3))</f>
        <v>150</v>
      </c>
      <c r="V629" s="1" t="str">
        <f ca="1">IF(ISERROR(F624),"",IF(N629=0,A629,""))</f>
        <v/>
      </c>
      <c r="W629" s="1">
        <f ca="1">IF(ISERROR(F624),"",IF(ISTEXT(VLOOKUP(B624,INDIRECT($F$8),6+(O629-1)*3)),11,IF(VLOOKUP(B624,INDIRECT($F$8),6+(O629-1)*3)&lt;S629*0.3,IF(VLOOKUP(B624,INDIRECT($F$8),8+(O629-1)*3)&lt;U629*0.4,IF(AND(0.4*U629-VLOOKUP(B624,INDIRECT($F$8),8+(O629-1)*3)&lt;=5,0.3*S629-VLOOKUP(B624,INDIRECT($F$8),6+(O629-1)*3)&lt;=5),MAX(0.4*U629-VLOOKUP(B624,INDIRECT($F$8),8+(O629-1)*3),0.3*S629-VLOOKUP(B624,INDIRECT($F$8),6+(O629-1)*3)),11),IF(0.3*S629-VLOOKUP(B624,INDIRECT($F$8),6+(O629-1)*3)&lt;=5,0.3*S629-VLOOKUP(B624,INDIRECT($F$8),6+(O629-1)*3),11)),IF(VLOOKUP(B624,INDIRECT($F$8),8+(O629-1)*3)&lt;U629*0.4,IF(U629*0.4-VLOOKUP(B624,INDIRECT($F$8),8+(O629-1)*3)&lt;=5,U629*0.4-VLOOKUP(B624,INDIRECT($F$8),8+(O629-1)*3),11),0))))</f>
        <v>0</v>
      </c>
      <c r="X629" s="1" t="str">
        <f ca="1">IF(ISERROR(F624),"",IF(W629=0,"",_xlfn.TEXTJOIN("",FALSE," G+",W629," in ",A629)))</f>
        <v/>
      </c>
    </row>
    <row r="630" spans="1:24" ht="12.5" customHeight="1" x14ac:dyDescent="0.2">
      <c r="A630" s="7" t="str">
        <f ca="1">IF(ISERROR(F624),"",VLOOKUP(C624,INDIRECT($F$8),6+(O630-1)*3,0))</f>
        <v>AHT 003</v>
      </c>
      <c r="B630" s="24" t="str">
        <f ca="1">IF(ISERROR(F624),"",VLOOKUP(D624,INDIRECT($F$8),6+(O630-1)*3,0))</f>
        <v>Introduction to Engineering Mathematics</v>
      </c>
      <c r="C630" s="24"/>
      <c r="D630" s="24"/>
      <c r="E630" s="24"/>
      <c r="F630" s="7">
        <f ca="1">IF(ISERROR(F624),"",VLOOKUP(E624,INDIRECT($F$8),6+(O630-1)*3,0))</f>
        <v>4</v>
      </c>
      <c r="G630" s="25" t="str">
        <f ca="1">IF(ISERROR(F624),"",_xlfn.TEXTJOIN("/",FALSE,P630,S630))</f>
        <v>8/100</v>
      </c>
      <c r="H630" s="25"/>
      <c r="I630" s="25" t="str">
        <f ca="1">IF(ISERROR(F624),"",_xlfn.TEXTJOIN("/",FALSE,Q630,T630))</f>
        <v>18/50</v>
      </c>
      <c r="J630" s="25"/>
      <c r="K630" s="25" t="str">
        <f ca="1">IF(ISERROR(F624),"",_xlfn.TEXTJOIN("/",FALSE,R630,U630))</f>
        <v>26/150</v>
      </c>
      <c r="L630" s="25"/>
      <c r="M630" s="7" t="str">
        <f ca="1">IF(ISERROR(F624)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F</v>
      </c>
      <c r="N630" s="8">
        <f t="shared" ref="N630:N639" ca="1" si="57">INDEX($Z$2:$Z$17,MATCH(M630,$Y$2:$Y$17,0))</f>
        <v>0</v>
      </c>
      <c r="O630">
        <f>O629+1</f>
        <v>2</v>
      </c>
      <c r="P630" s="1">
        <f ca="1">IF(ISERROR(F624),"",IF(ISTEXT(VLOOKUP(B624,INDIRECT($F$8),6+(O630-1)*3)),(VLOOKUP(B624,INDIRECT($F$8),6+(O630-1)*3)),SUM(VLOOKUP(B624,INDIRECT($F$8),6+(O630-1)*3),IF(W642,W630,0))))</f>
        <v>8</v>
      </c>
      <c r="Q630" s="1">
        <f ca="1">IF(ISERROR(F624),"",VLOOKUP(B624,INDIRECT($F$8),7+(O630-1)*3))</f>
        <v>18</v>
      </c>
      <c r="R630" s="1">
        <f ca="1">IF(ISERROR(F624),"",SUM(P630:Q630))</f>
        <v>26</v>
      </c>
      <c r="S630" s="1">
        <f ca="1">IF(ISERROR(F624),"",VLOOKUP(A624,INDIRECT($F$8),6+(O630-1)*3))</f>
        <v>100</v>
      </c>
      <c r="T630" s="1">
        <f ca="1">IF(ISERROR(F624),"",VLOOKUP(A624,INDIRECT($F$8),7+(O630-1)*3))</f>
        <v>50</v>
      </c>
      <c r="U630" s="1">
        <f ca="1">IF(ISERROR(F624),"",VLOOKUP(A624,INDIRECT($F$8),8+(O630-1)*3))</f>
        <v>150</v>
      </c>
      <c r="V630" s="1" t="str">
        <f ca="1">IF(ISERROR(F624),"",IF(N630=0,A630,""))</f>
        <v>AHT 003</v>
      </c>
      <c r="W630" s="1">
        <f ca="1">IF(ISERROR(F624),"",IF(ISTEXT(VLOOKUP(B624,INDIRECT($F$8),6+(O630-1)*3)),11,IF(VLOOKUP(B624,INDIRECT($F$8),6+(O630-1)*3)&lt;S630*0.3,IF(VLOOKUP(B624,INDIRECT($F$8),8+(O630-1)*3)&lt;U630*0.4,IF(AND(0.4*U630-VLOOKUP(B624,INDIRECT($F$8),8+(O630-1)*3)&lt;=5,0.3*S630-VLOOKUP(B624,INDIRECT($F$8),6+(O630-1)*3)&lt;=5),MAX(0.4*U630-VLOOKUP(B624,INDIRECT($F$8),8+(O630-1)*3),0.3*S630-VLOOKUP(B624,INDIRECT($F$8),6+(O630-1)*3)),11),IF(0.3*S630-VLOOKUP(B624,INDIRECT($F$8),6+(O630-1)*3)&lt;=5,0.3*S630-VLOOKUP(B624,INDIRECT($F$8),6+(O630-1)*3),11)),IF(VLOOKUP(B624,INDIRECT($F$8),8+(O630-1)*3)&lt;U630*0.4,IF(U630*0.4-VLOOKUP(B624,INDIRECT($F$8),8+(O630-1)*3)&lt;=5,U630*0.4-VLOOKUP(B624,INDIRECT($F$8),8+(O630-1)*3),11),0))))</f>
        <v>11</v>
      </c>
      <c r="X630" s="1" t="str">
        <f ca="1">IF(ISERROR(F624),"",IF(W630=0,"",_xlfn.TEXTJOIN("",FALSE," G+",W630," in ",A630)))</f>
        <v xml:space="preserve"> G+11 in AHT 003</v>
      </c>
    </row>
    <row r="631" spans="1:24" ht="12.5" customHeight="1" x14ac:dyDescent="0.2">
      <c r="A631" s="7" t="str">
        <f ca="1">IF(ISERROR(F624),"",VLOOKUP(C624,INDIRECT($F$8),6+(O631-1)*3,0))</f>
        <v>ECT 001</v>
      </c>
      <c r="B631" s="24" t="str">
        <f ca="1">IF(ISERROR(F624),"",VLOOKUP(D624,INDIRECT($F$8),6+(O631-1)*3,0))</f>
        <v>Basic Electronics Engineering</v>
      </c>
      <c r="C631" s="24"/>
      <c r="D631" s="24"/>
      <c r="E631" s="24"/>
      <c r="F631" s="7">
        <f ca="1">IF(ISERROR(F624),"",VLOOKUP(E624,INDIRECT($F$8),6+(O631-1)*3,0))</f>
        <v>4</v>
      </c>
      <c r="G631" s="25" t="str">
        <f ca="1">IF(ISERROR(F624),"",_xlfn.TEXTJOIN("/",FALSE,P631,S631))</f>
        <v>48/100</v>
      </c>
      <c r="H631" s="25"/>
      <c r="I631" s="25" t="str">
        <f ca="1">IF(ISERROR(F624),"",_xlfn.TEXTJOIN("/",FALSE,Q631,T631))</f>
        <v>34/50</v>
      </c>
      <c r="J631" s="25"/>
      <c r="K631" s="25" t="str">
        <f ca="1">IF(ISERROR(F624),"",_xlfn.TEXTJOIN("/",FALSE,R631,U631))</f>
        <v>82/150</v>
      </c>
      <c r="L631" s="25"/>
      <c r="M631" s="7" t="str">
        <f ca="1">IF(ISERROR(F624)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E+</v>
      </c>
      <c r="N631" s="8">
        <f t="shared" ca="1" si="57"/>
        <v>5.5</v>
      </c>
      <c r="O631">
        <f>O630+1</f>
        <v>3</v>
      </c>
      <c r="P631" s="1">
        <f ca="1">IF(ISERROR(F624),"",IF(ISTEXT(VLOOKUP(B624,INDIRECT($F$8),6+(O631-1)*3)),(VLOOKUP(B624,INDIRECT($F$8),6+(O631-1)*3)),SUM(VLOOKUP(B624,INDIRECT($F$8),6+(O631-1)*3),IF(W642,W631,0))))</f>
        <v>48</v>
      </c>
      <c r="Q631" s="1">
        <f ca="1">IF(ISERROR(F624),"",VLOOKUP(B624,INDIRECT($F$8),7+(O631-1)*3))</f>
        <v>34</v>
      </c>
      <c r="R631" s="1">
        <f ca="1">IF(ISERROR(F624),"",SUM(P631:Q631))</f>
        <v>82</v>
      </c>
      <c r="S631" s="1">
        <f ca="1">IF(ISERROR(F624),"",VLOOKUP(A624,INDIRECT($F$8),6+(O631-1)*3))</f>
        <v>100</v>
      </c>
      <c r="T631" s="1">
        <f ca="1">IF(ISERROR(F624),"",VLOOKUP(A624,INDIRECT($F$8),7+(O631-1)*3))</f>
        <v>50</v>
      </c>
      <c r="U631" s="1">
        <f ca="1">IF(ISERROR(F624),"",VLOOKUP(A624,INDIRECT($F$8),8+(O631-1)*3))</f>
        <v>150</v>
      </c>
      <c r="V631" s="1" t="str">
        <f ca="1">IF(ISERROR(F624),"",IF(N631=0,A631,""))</f>
        <v/>
      </c>
      <c r="W631" s="1">
        <f ca="1">IF(ISERROR(F624),"",IF(ISTEXT(VLOOKUP(B624,INDIRECT($F$8),6+(O631-1)*3)),11,IF(VLOOKUP(B624,INDIRECT($F$8),6+(O631-1)*3)&lt;S631*0.3,IF(VLOOKUP(B624,INDIRECT($F$8),8+(O631-1)*3)&lt;U631*0.4,IF(AND(0.4*U631-VLOOKUP(B624,INDIRECT($F$8),8+(O631-1)*3)&lt;=5,0.3*S631-VLOOKUP(B624,INDIRECT($F$8),6+(O631-1)*3)&lt;=5),MAX(0.4*U631-VLOOKUP(B624,INDIRECT($F$8),8+(O631-1)*3),0.3*S631-VLOOKUP(B624,INDIRECT($F$8),6+(O631-1)*3)),11),IF(0.3*S631-VLOOKUP(B624,INDIRECT($F$8),6+(O631-1)*3)&lt;=5,0.3*S631-VLOOKUP(B624,INDIRECT($F$8),6+(O631-1)*3),11)),IF(VLOOKUP(B624,INDIRECT($F$8),8+(O631-1)*3)&lt;U631*0.4,IF(U631*0.4-VLOOKUP(B624,INDIRECT($F$8),8+(O631-1)*3)&lt;=5,U631*0.4-VLOOKUP(B624,INDIRECT($F$8),8+(O631-1)*3),11),0))))</f>
        <v>0</v>
      </c>
      <c r="X631" s="1" t="str">
        <f ca="1">IF(ISERROR(F624),"",IF(W631=0,"",_xlfn.TEXTJOIN("",FALSE," G+",W631," in ",A631)))</f>
        <v/>
      </c>
    </row>
    <row r="632" spans="1:24" ht="12.5" customHeight="1" x14ac:dyDescent="0.2">
      <c r="A632" s="7" t="str">
        <f ca="1">IF(ISERROR(F624),"",VLOOKUP(C624,INDIRECT($F$8),6+(O632-1)*3,0))</f>
        <v>MET 001</v>
      </c>
      <c r="B632" s="24" t="str">
        <f ca="1">IF(ISERROR(F624),"",VLOOKUP(D624,INDIRECT($F$8),6+(O632-1)*3,0))</f>
        <v>Basic Mechanical Engineering</v>
      </c>
      <c r="C632" s="24"/>
      <c r="D632" s="24"/>
      <c r="E632" s="24"/>
      <c r="F632" s="7">
        <f ca="1">IF(ISERROR(F624),"",VLOOKUP(E624,INDIRECT($F$8),6+(O632-1)*3,0))</f>
        <v>4</v>
      </c>
      <c r="G632" s="25" t="str">
        <f ca="1">IF(ISERROR(F624),"",_xlfn.TEXTJOIN("/",FALSE,P632,S632))</f>
        <v>63/100</v>
      </c>
      <c r="H632" s="25"/>
      <c r="I632" s="25" t="str">
        <f ca="1">IF(ISERROR(F624),"",_xlfn.TEXTJOIN("/",FALSE,Q632,T632))</f>
        <v>42/50</v>
      </c>
      <c r="J632" s="25"/>
      <c r="K632" s="25" t="str">
        <f ca="1">IF(ISERROR(F624),"",_xlfn.TEXTJOIN("/",FALSE,R632,U632))</f>
        <v>105/150</v>
      </c>
      <c r="L632" s="25"/>
      <c r="M632" s="7" t="str">
        <f ca="1">IF(ISERROR(F624)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C+</v>
      </c>
      <c r="N632" s="8">
        <f t="shared" ca="1" si="57"/>
        <v>7.5</v>
      </c>
      <c r="O632">
        <f>O631+1</f>
        <v>4</v>
      </c>
      <c r="P632" s="1">
        <f ca="1">IF(ISERROR(F624),"",IF(ISTEXT(VLOOKUP(B624,INDIRECT($F$8),6+(O632-1)*3)),(VLOOKUP(B624,INDIRECT($F$8),6+(O632-1)*3)),SUM(VLOOKUP(B624,INDIRECT($F$8),6+(O632-1)*3),IF(W642,W632,0))))</f>
        <v>63</v>
      </c>
      <c r="Q632" s="1">
        <f ca="1">IF(ISERROR(F624),"",VLOOKUP(B624,INDIRECT($F$8),7+(O632-1)*3))</f>
        <v>42</v>
      </c>
      <c r="R632" s="1">
        <f ca="1">IF(ISERROR(F624),"",SUM(P632:Q632))</f>
        <v>105</v>
      </c>
      <c r="S632" s="1">
        <f ca="1">IF(ISERROR(F624),"",VLOOKUP(A624,INDIRECT($F$8),6+(O632-1)*3))</f>
        <v>100</v>
      </c>
      <c r="T632" s="1">
        <f ca="1">IF(ISERROR(F624),"",VLOOKUP(A624,INDIRECT($F$8),7+(O632-1)*3))</f>
        <v>50</v>
      </c>
      <c r="U632" s="1">
        <f ca="1">IF(ISERROR(F624),"",VLOOKUP(A624,INDIRECT($F$8),8+(O632-1)*3))</f>
        <v>150</v>
      </c>
      <c r="V632" s="1" t="str">
        <f ca="1">IF(ISERROR(F624),"",IF(N632=0,A632,""))</f>
        <v/>
      </c>
      <c r="W632" s="1">
        <f ca="1">IF(ISERROR(F624),"",IF(ISTEXT(VLOOKUP(B624,INDIRECT($F$8),6+(O632-1)*3)),11,IF(VLOOKUP(B624,INDIRECT($F$8),6+(O632-1)*3)&lt;S632*0.3,IF(VLOOKUP(B624,INDIRECT($F$8),8+(O632-1)*3)&lt;U632*0.4,IF(AND(0.4*U632-VLOOKUP(B624,INDIRECT($F$8),8+(O632-1)*3)&lt;=5,0.3*S632-VLOOKUP(B624,INDIRECT($F$8),6+(O632-1)*3)&lt;=5),MAX(0.4*U632-VLOOKUP(B624,INDIRECT($F$8),8+(O632-1)*3),0.3*S632-VLOOKUP(B624,INDIRECT($F$8),6+(O632-1)*3)),11),IF(0.3*S632-VLOOKUP(B624,INDIRECT($F$8),6+(O632-1)*3)&lt;=5,0.3*S632-VLOOKUP(B624,INDIRECT($F$8),6+(O632-1)*3),11)),IF(VLOOKUP(B624,INDIRECT($F$8),8+(O632-1)*3)&lt;U632*0.4,IF(U632*0.4-VLOOKUP(B624,INDIRECT($F$8),8+(O632-1)*3)&lt;=5,U632*0.4-VLOOKUP(B624,INDIRECT($F$8),8+(O632-1)*3),11),0))))</f>
        <v>0</v>
      </c>
      <c r="X632" s="1" t="str">
        <f ca="1">IF(ISERROR(F624),"",IF(W632=0,"",_xlfn.TEXTJOIN("",FALSE," G+",W632," in ",A632)))</f>
        <v/>
      </c>
    </row>
    <row r="633" spans="1:24" ht="12.5" customHeight="1" x14ac:dyDescent="0.2">
      <c r="A633" s="7" t="str">
        <f ca="1">IF(ISERROR(F624),"",VLOOKUP(C624,INDIRECT($F$8),6+(O633-1)*3,0))</f>
        <v>AHT 000</v>
      </c>
      <c r="B633" s="24" t="str">
        <f ca="1">IF(ISERROR(F624),"",VLOOKUP(D624,INDIRECT($F$8),6+(O633-1)*3,0))</f>
        <v>Basic Mathematics (Bridge Course) ($)</v>
      </c>
      <c r="C633" s="24"/>
      <c r="D633" s="24"/>
      <c r="E633" s="24"/>
      <c r="F633" s="7">
        <f ca="1">IF(ISERROR(F624),"",VLOOKUP(E624,INDIRECT($F$8),6+(O633-1)*3,0))</f>
        <v>0</v>
      </c>
      <c r="G633" s="25" t="str">
        <f ca="1">IF(ISERROR(F624),"",_xlfn.TEXTJOIN("/",FALSE,P633,S633))</f>
        <v>70/100</v>
      </c>
      <c r="H633" s="25"/>
      <c r="I633" s="25" t="str">
        <f ca="1">IF(ISERROR(F624),"",_xlfn.TEXTJOIN("/",FALSE,Q633,T633))</f>
        <v>35/50</v>
      </c>
      <c r="J633" s="25"/>
      <c r="K633" s="25" t="str">
        <f ca="1">IF(ISERROR(F624),"",_xlfn.TEXTJOIN("/",FALSE,R633,U633))</f>
        <v>105/150</v>
      </c>
      <c r="L633" s="25"/>
      <c r="M633" s="7" t="str">
        <f ca="1">IF(ISERROR(F624),"",IF(ISTEXT(P633),IF(P633="A","Ab",IF(P633="D","Dt",IF(P633="UFM","UFM",IF(P633="NA","")))),IF(AND(ISBLANK(P633),ISBLANK(R633)),"",IF(P633&lt;0.3*S633,"F",IF(ISBLANK(R633),"",IF(ISTEXT(R633),R633,IF(R633&gt;=0.95*U633,"O",IF(R633&gt;=0.9*U633,"A+",IF(R633&gt;=0.85*U633,"A",IF(R633&gt;=0.8*U633,"B+",IF(R633&gt;=0.75*U633,"B",IF(R633&gt;=0.7*U633,"C+",IF(R633&gt;=0.65*U633,"C",IF(R633&gt;=0.6*U633,"D+",IF(R633&gt;=0.55*U633,"D",IF(R633&gt;=0.5*U633,"E+",IF(R633&gt;=0.45*U633,"E",IF(R633&gt;=0.4*U633,"P",IF(R633&lt;0.4*U633,"F",R633)))))))))))))))))))</f>
        <v>C+</v>
      </c>
      <c r="N633" s="8">
        <f t="shared" ca="1" si="57"/>
        <v>7.5</v>
      </c>
      <c r="O633" cm="1">
        <f t="array" aca="1" ref="O633" ca="1">IF(NOT(ISBLANK(INDIRECT("SEM_I!R"&amp;INT((ROW(O633)-17)/22)+6))),5,
IF(NOT(ISBLANK(INDIRECT("SEM_I!U"&amp;INT((ROW(O633)-17)/22)+6))),6))</f>
        <v>5</v>
      </c>
      <c r="P633" s="1">
        <f ca="1">IF(ISERROR(F624),"",IF(ISTEXT(VLOOKUP(B624,INDIRECT($F$8),6+(O633-1)*3)),(VLOOKUP(B624,INDIRECT($F$8),6+(O633-1)*3)),SUM(VLOOKUP(B624,INDIRECT($F$8),6+(O633-1)*3),IF(W642,W633,0))))</f>
        <v>70</v>
      </c>
      <c r="Q633" s="1">
        <f ca="1">IF(ISERROR(F624),"",VLOOKUP(B624,INDIRECT($F$8),7+(O633-1)*3))</f>
        <v>35</v>
      </c>
      <c r="R633" s="1">
        <f ca="1">IF(ISERROR(F624),"",SUM(P633:Q633))</f>
        <v>105</v>
      </c>
      <c r="S633" s="1">
        <f ca="1">IF(ISERROR(F624),"",VLOOKUP(A624,INDIRECT($F$8),6+(O633-1)*3))</f>
        <v>100</v>
      </c>
      <c r="T633" s="1">
        <f ca="1">IF(ISERROR(F624),"",VLOOKUP(A624,INDIRECT($F$8),7+(O633-1)*3))</f>
        <v>50</v>
      </c>
      <c r="U633" s="1">
        <f ca="1">IF(ISERROR(F624),"",VLOOKUP(A624,INDIRECT($F$8),8+(O633-1)*3))</f>
        <v>150</v>
      </c>
      <c r="V633" s="1" t="str">
        <f ca="1">IF(ISERROR(F624),"",IF(N633=0,A633,""))</f>
        <v/>
      </c>
      <c r="W633" s="1">
        <f ca="1">IF(ISERROR(F624),"",IF(ISTEXT(VLOOKUP(B624,INDIRECT($F$8),6+(O633-1)*3)),11,IF(VLOOKUP(B624,INDIRECT($F$8),6+(O633-1)*3)&lt;S633*0.3,IF(VLOOKUP(B624,INDIRECT($F$8),8+(O633-1)*3)&lt;U633*0.4,IF(AND(0.4*U633-VLOOKUP(B624,INDIRECT($F$8),8+(O633-1)*3)&lt;=5,0.3*S633-VLOOKUP(B624,INDIRECT($F$8),6+(O633-1)*3)&lt;=5),MAX(0.4*U633-VLOOKUP(B624,INDIRECT($F$8),8+(O633-1)*3),0.3*S633-VLOOKUP(B624,INDIRECT($F$8),6+(O633-1)*3)),11),IF(0.3*S633-VLOOKUP(B624,INDIRECT($F$8),6+(O633-1)*3)&lt;=5,0.3*S633-VLOOKUP(B624,INDIRECT($F$8),6+(O633-1)*3),11)),IF(VLOOKUP(B624,INDIRECT($F$8),8+(O633-1)*3)&lt;U633*0.4,IF(U633*0.4-VLOOKUP(B624,INDIRECT($F$8),8+(O633-1)*3)&lt;=5,U633*0.4-VLOOKUP(B624,INDIRECT($F$8),8+(O633-1)*3),11),0))))</f>
        <v>0</v>
      </c>
      <c r="X633" s="1" t="str">
        <f ca="1">IF(ISERROR(F624),"",IF(W633=0,"",_xlfn.TEXTJOIN("",FALSE," G+",W633," in ",A633)))</f>
        <v/>
      </c>
    </row>
    <row r="634" spans="1:24" ht="12.5" customHeight="1" x14ac:dyDescent="0.2">
      <c r="A634" s="7" t="str">
        <f ca="1">IF(ISERROR(F624),"",VLOOKUP(C624,INDIRECT($F$8),6+(O634-1)*3,0))</f>
        <v>AHP 002</v>
      </c>
      <c r="B634" s="24" t="str">
        <f ca="1">IF(ISERROR(F624),"",VLOOKUP(D624,INDIRECT($F$8),6+(O634-1)*3,0))</f>
        <v>Engineering Chemistry Lab</v>
      </c>
      <c r="C634" s="24"/>
      <c r="D634" s="24"/>
      <c r="E634" s="24"/>
      <c r="F634" s="7">
        <f ca="1">IF(ISERROR(F624),"",VLOOKUP(E624,INDIRECT($F$8),6+(O634-1)*3,0))</f>
        <v>1</v>
      </c>
      <c r="G634" s="25" t="str">
        <f ca="1">IF(ISERROR(F624),"",_xlfn.TEXTJOIN("/",FALSE,P634,S634))</f>
        <v>19/25</v>
      </c>
      <c r="H634" s="25"/>
      <c r="I634" s="25" t="str">
        <f ca="1">IF(ISERROR(F624),"",_xlfn.TEXTJOIN("/",FALSE,Q634,T634))</f>
        <v>17/25</v>
      </c>
      <c r="J634" s="25"/>
      <c r="K634" s="25" t="str">
        <f ca="1">IF(ISERROR(F624),"",_xlfn.TEXTJOIN("/",FALSE,R634,U634))</f>
        <v>36/50</v>
      </c>
      <c r="L634" s="25"/>
      <c r="M634" s="7" t="str">
        <f ca="1">IF(ISERROR(F624),"",IF(ISTEXT(P634),IF(P634="A","Ab",IF(P634="D","Dt",IF(P634="UFM","UFM",IF(P634="NA","")))),IF(AND(ISBLANK(P634),ISBLANK(R634)),"",IF(P634&lt;0.3*S634,"F",IF(ISBLANK(R634),"",IF(ISTEXT(R634),R634,IF(R634&gt;=0.95*U634,"O",IF(R634&gt;=0.9*U634,"A+",IF(R634&gt;=0.85*U634,"A",IF(R634&gt;=0.8*U634,"B+",IF(R634&gt;=0.75*U634,"B",IF(R634&gt;=0.7*U634,"C+",IF(R634&gt;=0.65*U634,"C",IF(R634&gt;=0.6*U634,"D+",IF(R634&gt;=0.55*U634,"D",IF(R634&gt;=0.5*U634,"E+",IF(R634&gt;=0.45*U634,"E",IF(R634&gt;=0.4*U634,"P",IF(R634&lt;0.4*U634,"F",R634)))))))))))))))))))</f>
        <v>C+</v>
      </c>
      <c r="N634" s="8">
        <f t="shared" ca="1" si="57"/>
        <v>7.5</v>
      </c>
      <c r="O634">
        <f ca="1">IF(O633&gt;0,7)</f>
        <v>7</v>
      </c>
      <c r="P634" s="1">
        <f ca="1">IF(ISERROR(F624),"",IF(ISTEXT(VLOOKUP(B624,INDIRECT($F$8),6+(O634-1)*3)),(VLOOKUP(B624,INDIRECT($F$8),6+(O634-1)*3)),SUM(VLOOKUP(B624,INDIRECT($F$8),6+(O634-1)*3),IF(W642,W634,0))))</f>
        <v>19</v>
      </c>
      <c r="Q634" s="1">
        <f ca="1">IF(ISERROR(F624),"",VLOOKUP(B624,INDIRECT($F$8),7+(O634-1)*3))</f>
        <v>17</v>
      </c>
      <c r="R634" s="1">
        <f ca="1">IF(ISERROR(F624),"",SUM(P634:Q634))</f>
        <v>36</v>
      </c>
      <c r="S634" s="1">
        <f ca="1">IF(ISERROR(F624),"",VLOOKUP(A624,INDIRECT($F$8),6+(O634-1)*3))</f>
        <v>25</v>
      </c>
      <c r="T634" s="1">
        <f ca="1">IF(ISERROR(F624),"",VLOOKUP(A624,INDIRECT($F$8),7+(O634-1)*3))</f>
        <v>25</v>
      </c>
      <c r="U634" s="1">
        <f ca="1">IF(ISERROR(F624),"",VLOOKUP(A624,INDIRECT($F$8),8+(O634-1)*3))</f>
        <v>50</v>
      </c>
      <c r="V634" s="1" t="str">
        <f ca="1">IF(ISERROR(F624),"",IF(N634=0,A634,""))</f>
        <v/>
      </c>
      <c r="W634" s="1">
        <f ca="1">IF(ISERROR(F624),"",IF(ISTEXT(VLOOKUP(B624,INDIRECT($F$8),6+(O634-1)*3)),11,IF(VLOOKUP(B624,INDIRECT($F$8),6+(O634-1)*3)&lt;S634*0.3,IF(VLOOKUP(B624,INDIRECT($F$8),8+(O634-1)*3)&lt;U634*0.4,IF(AND(0.4*U634-VLOOKUP(B624,INDIRECT($F$8),8+(O634-1)*3)&lt;=5,0.3*S634-VLOOKUP(B624,INDIRECT($F$8),6+(O634-1)*3)&lt;=5),MAX(0.4*U634-VLOOKUP(B624,INDIRECT($F$8),8+(O634-1)*3),0.3*S634-VLOOKUP(B624,INDIRECT($F$8),6+(O634-1)*3)),11),IF(0.3*S634-VLOOKUP(B624,INDIRECT($F$8),6+(O634-1)*3)&lt;=5,0.3*S634-VLOOKUP(B624,INDIRECT($F$8),6+(O634-1)*3),11)),IF(VLOOKUP(B624,INDIRECT($F$8),8+(O634-1)*3)&lt;U634*0.4,IF(U634*0.4-VLOOKUP(B624,INDIRECT($F$8),8+(O634-1)*3)&lt;=5,U634*0.4-VLOOKUP(B624,INDIRECT($F$8),8+(O634-1)*3),11),0))))</f>
        <v>0</v>
      </c>
      <c r="X634" s="1" t="str">
        <f ca="1">IF(ISERROR(F624),"",IF(W634=0,"",_xlfn.TEXTJOIN("",FALSE," G+",W634," in ",A634)))</f>
        <v/>
      </c>
    </row>
    <row r="635" spans="1:24" ht="12.5" customHeight="1" x14ac:dyDescent="0.2">
      <c r="A635" s="7" t="str">
        <f ca="1">IF(ISERROR(F624),"",VLOOKUP(C624,INDIRECT($F$8),6+(O635-1)*3,0))</f>
        <v>ECP 001</v>
      </c>
      <c r="B635" s="24" t="str">
        <f ca="1">IF(ISERROR(F624),"",VLOOKUP(D624,INDIRECT($F$8),6+(O635-1)*3,0))</f>
        <v>Basic Electronics Engineering Lab</v>
      </c>
      <c r="C635" s="24"/>
      <c r="D635" s="24"/>
      <c r="E635" s="24"/>
      <c r="F635" s="7">
        <f ca="1">IF(ISERROR(F624),"",VLOOKUP(E624,INDIRECT($F$8),6+(O635-1)*3,0))</f>
        <v>1</v>
      </c>
      <c r="G635" s="25" t="str">
        <f ca="1">IF(ISERROR(F624),"",_xlfn.TEXTJOIN("/",FALSE,P635,S635))</f>
        <v>23/25</v>
      </c>
      <c r="H635" s="25"/>
      <c r="I635" s="25" t="str">
        <f ca="1">IF(ISERROR(F624),"",_xlfn.TEXTJOIN("/",FALSE,Q635,T635))</f>
        <v>24/25</v>
      </c>
      <c r="J635" s="25"/>
      <c r="K635" s="25" t="str">
        <f ca="1">IF(ISERROR(F624),"",_xlfn.TEXTJOIN("/",FALSE,R635,U635))</f>
        <v>47/50</v>
      </c>
      <c r="L635" s="25"/>
      <c r="M635" s="7" t="str">
        <f ca="1">IF(ISERROR(F624),"",IF(ISTEXT(P635),IF(P635="A","Ab",IF(P635="D","Dt",IF(P635="UFM","UFM",IF(P635="NA","")))),IF(AND(ISBLANK(P635),ISBLANK(R635)),"",IF(P635&lt;0.3*S635,"F",IF(ISBLANK(R635),"",IF(ISTEXT(R635),R635,IF(R635&gt;=0.95*U635,"O",IF(R635&gt;=0.9*U635,"A+",IF(R635&gt;=0.85*U635,"A",IF(R635&gt;=0.8*U635,"B+",IF(R635&gt;=0.75*U635,"B",IF(R635&gt;=0.7*U635,"C+",IF(R635&gt;=0.65*U635,"C",IF(R635&gt;=0.6*U635,"D+",IF(R635&gt;=0.55*U635,"D",IF(R635&gt;=0.5*U635,"E+",IF(R635&gt;=0.45*U635,"E",IF(R635&gt;=0.4*U635,"P",IF(R635&lt;0.4*U635,"F",R635)))))))))))))))))))</f>
        <v>A+</v>
      </c>
      <c r="N635" s="8">
        <f t="shared" ca="1" si="57"/>
        <v>9.5</v>
      </c>
      <c r="O635">
        <f t="shared" ref="O635:O641" ca="1" si="58">O634+1</f>
        <v>8</v>
      </c>
      <c r="P635" s="1">
        <f ca="1">IF(ISERROR(F624),"",IF(ISTEXT(VLOOKUP(B624,INDIRECT($F$8),6+(O635-1)*3)),(VLOOKUP(B624,INDIRECT($F$8),6+(O635-1)*3)),SUM(VLOOKUP(B624,INDIRECT($F$8),6+(O635-1)*3),IF(W642,W635,0))))</f>
        <v>23</v>
      </c>
      <c r="Q635" s="1">
        <f ca="1">IF(ISERROR(F624),"",VLOOKUP(B624,INDIRECT($F$8),7+(O635-1)*3))</f>
        <v>24</v>
      </c>
      <c r="R635" s="1">
        <f ca="1">IF(ISERROR(F624),"",SUM(P635:Q635))</f>
        <v>47</v>
      </c>
      <c r="S635" s="1">
        <f ca="1">IF(ISERROR(F624),"",VLOOKUP(A624,INDIRECT($F$8),6+(O635-1)*3))</f>
        <v>25</v>
      </c>
      <c r="T635" s="1">
        <f ca="1">IF(ISERROR(F624),"",VLOOKUP(A624,INDIRECT($F$8),7+(O635-1)*3))</f>
        <v>25</v>
      </c>
      <c r="U635" s="1">
        <f ca="1">IF(ISERROR(F624),"",VLOOKUP(A624,INDIRECT($F$8),8+(O635-1)*3))</f>
        <v>50</v>
      </c>
      <c r="V635" s="1" t="str">
        <f ca="1">IF(ISERROR(F624),"",IF(N635=0,A635,""))</f>
        <v/>
      </c>
      <c r="W635" s="1">
        <f ca="1">IF(ISERROR(F624),"",IF(ISTEXT(VLOOKUP(B624,INDIRECT($F$8),6+(O635-1)*3)),11,IF(VLOOKUP(B624,INDIRECT($F$8),6+(O635-1)*3)&lt;S635*0.3,IF(VLOOKUP(B624,INDIRECT($F$8),8+(O635-1)*3)&lt;U635*0.4,IF(AND(0.4*U635-VLOOKUP(B624,INDIRECT($F$8),8+(O635-1)*3)&lt;=5,0.3*S635-VLOOKUP(B624,INDIRECT($F$8),6+(O635-1)*3)&lt;=5),MAX(0.4*U635-VLOOKUP(B624,INDIRECT($F$8),8+(O635-1)*3),0.3*S635-VLOOKUP(B624,INDIRECT($F$8),6+(O635-1)*3)),11),IF(0.3*S635-VLOOKUP(B624,INDIRECT($F$8),6+(O635-1)*3)&lt;=5,0.3*S635-VLOOKUP(B624,INDIRECT($F$8),6+(O635-1)*3),11)),IF(VLOOKUP(B624,INDIRECT($F$8),8+(O635-1)*3)&lt;U635*0.4,IF(U635*0.4-VLOOKUP(B624,INDIRECT($F$8),8+(O635-1)*3)&lt;=5,U635*0.4-VLOOKUP(B624,INDIRECT($F$8),8+(O635-1)*3),11),0))))</f>
        <v>0</v>
      </c>
      <c r="X635" s="1" t="str">
        <f ca="1">IF(ISERROR(F624),"",IF(W635=0,"",_xlfn.TEXTJOIN("",FALSE," G+",W635," in ",A635)))</f>
        <v/>
      </c>
    </row>
    <row r="636" spans="1:24" ht="12.5" customHeight="1" x14ac:dyDescent="0.2">
      <c r="A636" s="7" t="str">
        <f ca="1">IF(ISERROR(F624),"",VLOOKUP(C624,INDIRECT($F$8),6+(O636-1)*3,0))</f>
        <v>MEP 001</v>
      </c>
      <c r="B636" s="24" t="str">
        <f ca="1">IF(ISERROR(F624),"",VLOOKUP(D624,INDIRECT($F$8),6+(O636-1)*3,0))</f>
        <v>Basic Mechanical Engineering Lab</v>
      </c>
      <c r="C636" s="24"/>
      <c r="D636" s="24"/>
      <c r="E636" s="24"/>
      <c r="F636" s="7">
        <f ca="1">IF(ISERROR(F624),"",VLOOKUP(E624,INDIRECT($F$8),6+(O636-1)*3,0))</f>
        <v>1</v>
      </c>
      <c r="G636" s="25" t="str">
        <f ca="1">IF(ISERROR(F624),"",_xlfn.TEXTJOIN("/",FALSE,P636,S636))</f>
        <v>23/25</v>
      </c>
      <c r="H636" s="25"/>
      <c r="I636" s="25" t="str">
        <f ca="1">IF(ISERROR(F624),"",_xlfn.TEXTJOIN("/",FALSE,Q636,T636))</f>
        <v>23/25</v>
      </c>
      <c r="J636" s="25"/>
      <c r="K636" s="25" t="str">
        <f ca="1">IF(ISERROR(F624),"",_xlfn.TEXTJOIN("/",FALSE,R636,U636))</f>
        <v>46/50</v>
      </c>
      <c r="L636" s="25"/>
      <c r="M636" s="7" t="str">
        <f ca="1">IF(ISERROR(F624),"",IF(ISTEXT(P636),IF(P636="A","Ab",IF(P636="D","Dt",IF(P636="UFM","UFM",IF(P636="NA","")))),IF(AND(ISBLANK(P636),ISBLANK(R636)),"",IF(P636&lt;0.3*S636,"F",IF(ISBLANK(R636),"",IF(ISTEXT(R636),R636,IF(R636&gt;=0.95*U636,"O",IF(R636&gt;=0.9*U636,"A+",IF(R636&gt;=0.85*U636,"A",IF(R636&gt;=0.8*U636,"B+",IF(R636&gt;=0.75*U636,"B",IF(R636&gt;=0.7*U636,"C+",IF(R636&gt;=0.65*U636,"C",IF(R636&gt;=0.6*U636,"D+",IF(R636&gt;=0.55*U636,"D",IF(R636&gt;=0.5*U636,"E+",IF(R636&gt;=0.45*U636,"E",IF(R636&gt;=0.4*U636,"P",IF(R636&lt;0.4*U636,"F",R636)))))))))))))))))))</f>
        <v>A+</v>
      </c>
      <c r="N636" s="8">
        <f t="shared" ca="1" si="57"/>
        <v>9.5</v>
      </c>
      <c r="O636">
        <f t="shared" ca="1" si="58"/>
        <v>9</v>
      </c>
      <c r="P636" s="1">
        <f ca="1">IF(ISERROR(F624),"",IF(ISTEXT(VLOOKUP(B624,INDIRECT($F$8),6+(O636-1)*3)),(VLOOKUP(B624,INDIRECT($F$8),6+(O636-1)*3)),SUM(VLOOKUP(B624,INDIRECT($F$8),6+(O636-1)*3),IF(W642,W636,0))))</f>
        <v>23</v>
      </c>
      <c r="Q636" s="1">
        <f ca="1">IF(ISERROR(F624),"",VLOOKUP(B624,INDIRECT($F$8),7+(O636-1)*3))</f>
        <v>23</v>
      </c>
      <c r="R636" s="1">
        <f ca="1">IF(ISERROR(F624),"",SUM(P636:Q636))</f>
        <v>46</v>
      </c>
      <c r="S636" s="1">
        <f ca="1">IF(ISERROR(F624),"",VLOOKUP(A624,INDIRECT($F$8),6+(O636-1)*3))</f>
        <v>25</v>
      </c>
      <c r="T636" s="1">
        <f ca="1">IF(ISERROR(F624),"",VLOOKUP(A624,INDIRECT($F$8),7+(O636-1)*3))</f>
        <v>25</v>
      </c>
      <c r="U636" s="1">
        <f ca="1">IF(ISERROR(F624),"",VLOOKUP(A624,INDIRECT($F$8),8+(O636-1)*3))</f>
        <v>50</v>
      </c>
      <c r="V636" s="1" t="str">
        <f ca="1">IF(ISERROR(F624),"",IF(N636=0,A636,""))</f>
        <v/>
      </c>
      <c r="W636" s="1">
        <f ca="1">IF(ISERROR(F624),"",IF(ISTEXT(VLOOKUP(B624,INDIRECT($F$8),6+(O636-1)*3)),11,IF(VLOOKUP(B624,INDIRECT($F$8),6+(O636-1)*3)&lt;S636*0.3,IF(VLOOKUP(B624,INDIRECT($F$8),8+(O636-1)*3)&lt;U636*0.4,IF(AND(0.4*U636-VLOOKUP(B624,INDIRECT($F$8),8+(O636-1)*3)&lt;=5,0.3*S636-VLOOKUP(B624,INDIRECT($F$8),6+(O636-1)*3)&lt;=5),MAX(0.4*U636-VLOOKUP(B624,INDIRECT($F$8),8+(O636-1)*3),0.3*S636-VLOOKUP(B624,INDIRECT($F$8),6+(O636-1)*3)),11),IF(0.3*S636-VLOOKUP(B624,INDIRECT($F$8),6+(O636-1)*3)&lt;=5,0.3*S636-VLOOKUP(B624,INDIRECT($F$8),6+(O636-1)*3),11)),IF(VLOOKUP(B624,INDIRECT($F$8),8+(O636-1)*3)&lt;U636*0.4,IF(U636*0.4-VLOOKUP(B624,INDIRECT($F$8),8+(O636-1)*3)&lt;=5,U636*0.4-VLOOKUP(B624,INDIRECT($F$8),8+(O636-1)*3),11),0))))</f>
        <v>0</v>
      </c>
      <c r="X636" s="1" t="str">
        <f ca="1">IF(ISERROR(F624),"",IF(W636=0,"",_xlfn.TEXTJOIN("",FALSE," G+",W636," in ",A636)))</f>
        <v/>
      </c>
    </row>
    <row r="637" spans="1:24" ht="12.5" customHeight="1" x14ac:dyDescent="0.2">
      <c r="A637" s="7" t="str">
        <f ca="1">IF(ISERROR(F624),"",VLOOKUP(C624,INDIRECT($F$8),6+(O637-1)*3,0))</f>
        <v>MEP 003</v>
      </c>
      <c r="B637" s="24" t="str">
        <f ca="1">IF(ISERROR(F624),"",VLOOKUP(D624,INDIRECT($F$8),6+(O637-1)*3-Z637,0))</f>
        <v>Workshop Practices Lab</v>
      </c>
      <c r="C637" s="24"/>
      <c r="D637" s="24"/>
      <c r="E637" s="24"/>
      <c r="F637" s="7">
        <f ca="1">IF(ISERROR(F624),"",VLOOKUP(E624,INDIRECT($F$8),6+(O637-1)*3,0))</f>
        <v>2</v>
      </c>
      <c r="G637" s="25" t="str">
        <f ca="1">IF(ISERROR(F624),"",_xlfn.TEXTJOIN("/",FALSE,P637,S637))</f>
        <v>42/50</v>
      </c>
      <c r="H637" s="25"/>
      <c r="I637" s="25" t="str">
        <f ca="1">IF(ISERROR(F624),"",_xlfn.TEXTJOIN("/",FALSE,Q637,T637))</f>
        <v>40/50</v>
      </c>
      <c r="J637" s="25"/>
      <c r="K637" s="25" t="str">
        <f ca="1">IF(ISERROR(F624),"",_xlfn.TEXTJOIN("/",FALSE,R637,U637))</f>
        <v>82/100</v>
      </c>
      <c r="L637" s="25"/>
      <c r="M637" s="7" t="str">
        <f ca="1">IF(ISERROR(F624),"",IF(ISTEXT(P637),IF(P637="A","Ab",IF(P637="D","Dt",IF(P637="UFM","UFM",IF(P637="NA","")))),IF(AND(ISBLANK(P637),ISBLANK(R637)),"",IF(P637&lt;0.3*S637,"F",IF(ISBLANK(R637),"",IF(ISTEXT(R637),R637,IF(R637&gt;=0.95*U637,"O",IF(R637&gt;=0.9*U637,"A+",IF(R637&gt;=0.85*U637,"A",IF(R637&gt;=0.8*U637,"B+",IF(R637&gt;=0.75*U637,"B",IF(R637&gt;=0.7*U637,"C+",IF(R637&gt;=0.65*U637,"C",IF(R637&gt;=0.6*U637,"D+",IF(R637&gt;=0.55*U637,"D",IF(R637&gt;=0.5*U637,"E+",IF(R637&gt;=0.45*U637,"E",IF(R637&gt;=0.4*U637,"P",IF(R637&lt;0.4*U637,"F",R637)))))))))))))))))))</f>
        <v>B+</v>
      </c>
      <c r="N637" s="8">
        <f t="shared" ca="1" si="57"/>
        <v>8.5</v>
      </c>
      <c r="O637">
        <f t="shared" ca="1" si="58"/>
        <v>10</v>
      </c>
      <c r="P637" s="1">
        <f ca="1">IF(ISERROR(F624),"",IF(ISTEXT(VLOOKUP(B624,INDIRECT($F$8),6+(O637-1)*3)),(VLOOKUP(B624,INDIRECT($F$8),6+(O637-1)*3)),SUM(VLOOKUP(B624,INDIRECT($F$8),6+(O637-1)*3),IF(W642,W637,0))))</f>
        <v>42</v>
      </c>
      <c r="Q637" s="1">
        <f ca="1">IF(ISERROR(F624),"",VLOOKUP(B624,INDIRECT($F$8),7+(O637-1)*3))</f>
        <v>40</v>
      </c>
      <c r="R637" s="1">
        <f ca="1">IF(ISERROR(F624),"",SUM(P637:Q637))</f>
        <v>82</v>
      </c>
      <c r="S637" s="1">
        <f ca="1">IF(ISERROR(F624),"",VLOOKUP(A624,INDIRECT($F$8),6+(O637-1)*3))</f>
        <v>50</v>
      </c>
      <c r="T637" s="1">
        <f ca="1">IF(ISERROR(F624),"",VLOOKUP(A624,INDIRECT($F$8),7+(O637-1)*3))</f>
        <v>50</v>
      </c>
      <c r="U637" s="1">
        <f ca="1">IF(ISERROR(F624),"",VLOOKUP(A624,INDIRECT($F$8),8+(O637-1)*3))</f>
        <v>100</v>
      </c>
      <c r="V637" s="1" t="str">
        <f ca="1">IF(ISERROR(F624),"",IF(N637=0,A637,""))</f>
        <v/>
      </c>
      <c r="W637" s="1">
        <f ca="1">IF(ISERROR(F624),"",IF(ISTEXT(VLOOKUP(B624,INDIRECT($F$8),6+(O637-1)*3)),11,IF(VLOOKUP(B624,INDIRECT($F$8),6+(O637-1)*3)&lt;S637*0.3,IF(VLOOKUP(B624,INDIRECT($F$8),8+(O637-1)*3)&lt;U637*0.4,IF(AND(0.4*U637-VLOOKUP(B624,INDIRECT($F$8),8+(O637-1)*3)&lt;=5,0.3*S637-VLOOKUP(B624,INDIRECT($F$8),6+(O637-1)*3)&lt;=5),MAX(0.4*U637-VLOOKUP(B624,INDIRECT($F$8),8+(O637-1)*3),0.3*S637-VLOOKUP(B624,INDIRECT($F$8),6+(O637-1)*3)),11),IF(0.3*S637-VLOOKUP(B624,INDIRECT($F$8),6+(O637-1)*3)&lt;=5,0.3*S637-VLOOKUP(B624,INDIRECT($F$8),6+(O637-1)*3),11)),IF(VLOOKUP(B624,INDIRECT($F$8),8+(O637-1)*3)&lt;U637*0.4,IF(U637*0.4-VLOOKUP(B624,INDIRECT($F$8),8+(O637-1)*3)&lt;=5,U637*0.4-VLOOKUP(B624,INDIRECT($F$8),8+(O637-1)*3),11),0))))</f>
        <v>0</v>
      </c>
      <c r="X637" s="1" t="str">
        <f ca="1">IF(ISERROR(F624),"",IF(W637=0,"",_xlfn.TEXTJOIN("",FALSE," G+",W637," in ",A637)))</f>
        <v/>
      </c>
    </row>
    <row r="638" spans="1:24" ht="12.5" customHeight="1" x14ac:dyDescent="0.2">
      <c r="A638" s="7" t="str">
        <f ca="1">IF(ISERROR(F624),"",VLOOKUP(C624,INDIRECT($F$8),6+(O638-1)*3,0))</f>
        <v>AHP 004</v>
      </c>
      <c r="B638" s="24" t="str">
        <f ca="1">IF(ISERROR(F624),"",VLOOKUP(D624,INDIRECT($F$8),6+(O638-1)*3-Z638,0))</f>
        <v>Emerging Technologies in Engineering Lab</v>
      </c>
      <c r="C638" s="24"/>
      <c r="D638" s="24"/>
      <c r="E638" s="24"/>
      <c r="F638" s="7">
        <f ca="1">IF(ISERROR(F624),"",VLOOKUP(E624,INDIRECT($F$8),6+(O638-1)*3,0))</f>
        <v>1</v>
      </c>
      <c r="G638" s="25" t="str">
        <f ca="1">IF(ISERROR(F624),"",_xlfn.TEXTJOIN("/",FALSE,P638,S638))</f>
        <v>21/25</v>
      </c>
      <c r="H638" s="25"/>
      <c r="I638" s="25" t="str">
        <f ca="1">IF(ISERROR(F624),"",_xlfn.TEXTJOIN("/",FALSE,Q638,T638))</f>
        <v>21/25</v>
      </c>
      <c r="J638" s="25"/>
      <c r="K638" s="25" t="str">
        <f ca="1">IF(ISERROR(F624),"",_xlfn.TEXTJOIN("/",FALSE,R638,U638))</f>
        <v>42/50</v>
      </c>
      <c r="L638" s="25"/>
      <c r="M638" s="7" t="str">
        <f ca="1">IF(ISERROR(F624),"",IF(ISTEXT(P638),IF(P638="A","Ab",IF(P638="D","Dt",IF(P638="UFM","UFM",IF(P638="NA","")))),IF(AND(ISBLANK(P638),ISBLANK(R638)),"",IF(P638&lt;0.3*S638,"F",IF(ISBLANK(R638),"",IF(ISTEXT(R638),R638,IF(R638&gt;=0.95*U638,"O",IF(R638&gt;=0.9*U638,"A+",IF(R638&gt;=0.85*U638,"A",IF(R638&gt;=0.8*U638,"B+",IF(R638&gt;=0.75*U638,"B",IF(R638&gt;=0.7*U638,"C+",IF(R638&gt;=0.65*U638,"C",IF(R638&gt;=0.6*U638,"D+",IF(R638&gt;=0.55*U638,"D",IF(R638&gt;=0.5*U638,"E+",IF(R638&gt;=0.45*U638,"E",IF(R638&gt;=0.4*U638,"P",IF(R638&lt;0.4*U638,"F",R638)))))))))))))))))))</f>
        <v>B+</v>
      </c>
      <c r="N638" s="8">
        <f t="shared" ca="1" si="57"/>
        <v>8.5</v>
      </c>
      <c r="O638">
        <f t="shared" ca="1" si="58"/>
        <v>11</v>
      </c>
      <c r="P638" s="1">
        <f ca="1">IF(ISERROR(F624),"",IF(ISTEXT(VLOOKUP(B624,INDIRECT($F$8),6+(O638-1)*3)),(VLOOKUP(B624,INDIRECT($F$8),6+(O638-1)*3)),SUM(VLOOKUP(B624,INDIRECT($F$8),6+(O638-1)*3),IF(W642,W638,0))))</f>
        <v>21</v>
      </c>
      <c r="Q638" s="1">
        <f ca="1">IF(ISERROR(F624),"",VLOOKUP(B624,INDIRECT($F$8),7+(O638-1)*3))</f>
        <v>21</v>
      </c>
      <c r="R638" s="1">
        <f ca="1">IF(ISERROR(F624),"",SUM(P638:Q638))</f>
        <v>42</v>
      </c>
      <c r="S638" s="1">
        <f ca="1">IF(ISERROR(F624),"",VLOOKUP(A624,INDIRECT($F$8),6+(O638-1)*3))</f>
        <v>25</v>
      </c>
      <c r="T638" s="1">
        <f ca="1">IF(ISERROR(F624),"",VLOOKUP(A624,INDIRECT($F$8),7+(O638-1)*3))</f>
        <v>25</v>
      </c>
      <c r="U638" s="1">
        <f ca="1">IF(ISERROR(F624),"",VLOOKUP(A624,INDIRECT($F$8),8+(O638-1)*3))</f>
        <v>50</v>
      </c>
      <c r="V638" s="1" t="str">
        <f ca="1">IF(ISERROR(F624),"",IF(N638=0,A638,""))</f>
        <v/>
      </c>
      <c r="W638" s="1">
        <f ca="1">IF(ISERROR(F624),"",IF(ISTEXT(VLOOKUP(B624,INDIRECT($F$8),6+(O638-1)*3)),11,IF(VLOOKUP(B624,INDIRECT($F$8),6+(O638-1)*3)&lt;S638*0.3,IF(VLOOKUP(B624,INDIRECT($F$8),8+(O638-1)*3)&lt;U638*0.4,IF(AND(0.4*U638-VLOOKUP(B624,INDIRECT($F$8),8+(O638-1)*3)&lt;=5,0.3*S638-VLOOKUP(B624,INDIRECT($F$8),6+(O638-1)*3)&lt;=5),MAX(0.4*U638-VLOOKUP(B624,INDIRECT($F$8),8+(O638-1)*3),0.3*S638-VLOOKUP(B624,INDIRECT($F$8),6+(O638-1)*3)),11),IF(0.3*S638-VLOOKUP(B624,INDIRECT($F$8),6+(O638-1)*3)&lt;=5,0.3*S638-VLOOKUP(B624,INDIRECT($F$8),6+(O638-1)*3),11)),IF(VLOOKUP(B624,INDIRECT($F$8),8+(O638-1)*3)&lt;U638*0.4,IF(U638*0.4-VLOOKUP(B624,INDIRECT($F$8),8+(O638-1)*3)&lt;=5,U638*0.4-VLOOKUP(B624,INDIRECT($F$8),8+(O638-1)*3),11),0))))</f>
        <v>0</v>
      </c>
      <c r="X638" s="1" t="str">
        <f ca="1">IF(ISERROR(F624),"",IF(W638=0,"",_xlfn.TEXTJOIN("",FALSE," G+",W638," in ",A638)))</f>
        <v/>
      </c>
    </row>
    <row r="639" spans="1:24" ht="12.5" customHeight="1" x14ac:dyDescent="0.2">
      <c r="A639" s="7" t="str">
        <f ca="1">IF(ISERROR(F624),"",VLOOKUP(C624,INDIRECT($F$8),6+(O639-1)*3,0))</f>
        <v>CSP 002</v>
      </c>
      <c r="B639" s="24" t="str">
        <f ca="1">IF(ISERROR(F624),"",VLOOKUP(D624,INDIRECT($F$8),6+(O639-1)*3,0))</f>
        <v>Computer Applications and IOT</v>
      </c>
      <c r="C639" s="24"/>
      <c r="D639" s="24"/>
      <c r="E639" s="24"/>
      <c r="F639" s="7">
        <f ca="1">IF(ISERROR(F624),"",VLOOKUP(E624,INDIRECT($F$8),6+(O639-1)*3,0))</f>
        <v>1</v>
      </c>
      <c r="G639" s="25" t="str">
        <f ca="1">IF(ISERROR(F624),"",_xlfn.TEXTJOIN("/",FALSE,P639,S639))</f>
        <v>21/25</v>
      </c>
      <c r="H639" s="25"/>
      <c r="I639" s="25" t="str">
        <f ca="1">IF(ISERROR(F624),"",_xlfn.TEXTJOIN("/",FALSE,Q639,T639))</f>
        <v>21/25</v>
      </c>
      <c r="J639" s="25"/>
      <c r="K639" s="25" t="str">
        <f ca="1">IF(ISERROR(F624),"",_xlfn.TEXTJOIN("/",FALSE,R639,U639))</f>
        <v>42/50</v>
      </c>
      <c r="L639" s="25"/>
      <c r="M639" s="7" t="str">
        <f ca="1">IF(ISERROR(F624),"",IF(ISTEXT(P639),IF(P639="A","Ab",IF(P639="D","Dt",IF(P639="UFM","UFM",IF(P639="NA","")))),IF(AND(ISBLANK(P639),ISBLANK(R639)),"",IF(P639&lt;0.3*S639,"F",IF(ISBLANK(R639),"",IF(ISTEXT(R639),R639,IF(R639&gt;=0.95*U639,"O",IF(R639&gt;=0.9*U639,"A+",IF(R639&gt;=0.85*U639,"A",IF(R639&gt;=0.8*U639,"B+",IF(R639&gt;=0.75*U639,"B",IF(R639&gt;=0.7*U639,"C+",IF(R639&gt;=0.65*U639,"C",IF(R639&gt;=0.6*U639,"D+",IF(R639&gt;=0.55*U639,"D",IF(R639&gt;=0.5*U639,"E+",IF(R639&gt;=0.45*U639,"E",IF(R639&gt;=0.4*U639,"P",IF(R639&lt;0.4*U639,"F",R639)))))))))))))))))))</f>
        <v>B+</v>
      </c>
      <c r="N639" s="8">
        <f t="shared" ca="1" si="57"/>
        <v>8.5</v>
      </c>
      <c r="O639">
        <f t="shared" ca="1" si="58"/>
        <v>12</v>
      </c>
      <c r="P639" s="1">
        <f ca="1">IF(ISERROR(F624),"",IF(ISTEXT(VLOOKUP(B624,INDIRECT($F$8),6+(O639-1)*3)),(VLOOKUP(B624,INDIRECT($F$8),6+(O639-1)*3)),SUM(VLOOKUP(B624,INDIRECT($F$8),6+(O639-1)*3),IF(W642,W639,0))))</f>
        <v>21</v>
      </c>
      <c r="Q639" s="1">
        <f ca="1">IF(ISERROR(F624),"",VLOOKUP(B624,INDIRECT($F$8),7+(O639-1)*3))</f>
        <v>21</v>
      </c>
      <c r="R639" s="1">
        <f ca="1">IF(ISERROR(F624),"",SUM(P639:Q639))</f>
        <v>42</v>
      </c>
      <c r="S639" s="1">
        <f ca="1">IF(ISERROR(F624),"",VLOOKUP(A624,INDIRECT($F$8),6+(O639-1)*3))</f>
        <v>25</v>
      </c>
      <c r="T639" s="1">
        <f ca="1">IF(ISERROR(F624),"",VLOOKUP(A624,INDIRECT($F$8),7+(O639-1)*3))</f>
        <v>25</v>
      </c>
      <c r="U639" s="1">
        <f ca="1">IF(ISERROR(F624),"",VLOOKUP(A624,INDIRECT($F$8),8+(O639-1)*3))</f>
        <v>50</v>
      </c>
      <c r="V639" s="1" t="str">
        <f ca="1">IF(ISERROR(F624),"",IF(N639=0,A639,""))</f>
        <v/>
      </c>
      <c r="W639" s="1">
        <f ca="1">IF(ISERROR(F624),"",IF(ISTEXT(VLOOKUP(B624,INDIRECT($F$8),6+(O639-1)*3)),11,IF(VLOOKUP(B624,INDIRECT($F$8),6+(O639-1)*3)&lt;S639*0.3,IF(VLOOKUP(B624,INDIRECT($F$8),8+(O639-1)*3)&lt;U639*0.4,IF(AND(0.4*U639-VLOOKUP(B624,INDIRECT($F$8),8+(O639-1)*3)&lt;=5,0.3*S639-VLOOKUP(B624,INDIRECT($F$8),6+(O639-1)*3)&lt;=5),MAX(0.4*U639-VLOOKUP(B624,INDIRECT($F$8),8+(O639-1)*3),0.3*S639-VLOOKUP(B624,INDIRECT($F$8),6+(O639-1)*3)),11),IF(0.3*S639-VLOOKUP(B624,INDIRECT($F$8),6+(O639-1)*3)&lt;=5,0.3*S639-VLOOKUP(B624,INDIRECT($F$8),6+(O639-1)*3),11)),IF(VLOOKUP(B624,INDIRECT($F$8),8+(O639-1)*3)&lt;U639*0.4,IF(U639*0.4-VLOOKUP(B624,INDIRECT($F$8),8+(O639-1)*3)&lt;=5,U639*0.4-VLOOKUP(B624,INDIRECT($F$8),8+(O639-1)*3),11),0))))</f>
        <v>0</v>
      </c>
      <c r="X639" s="1" t="str">
        <f ca="1">IF(ISERROR(F624),"",IF(W639=0,"",_xlfn.TEXTJOIN("",FALSE," G+",W639," in ",A639)))</f>
        <v/>
      </c>
    </row>
    <row r="640" spans="1:24" ht="12.5" customHeight="1" x14ac:dyDescent="0.2">
      <c r="A640" s="7" t="str">
        <f ca="1">IF(ISERROR(F624),"",VLOOKUP(C624,INDIRECT($F$8),6+(O640-1)*3,0))</f>
        <v>AHP 006</v>
      </c>
      <c r="B640" s="24" t="str">
        <f ca="1">IF(ISERROR(F624),"",VLOOKUP(D624,INDIRECT($F$8),6+(O640-1)*3,0))</f>
        <v>English Language Lab ($)</v>
      </c>
      <c r="C640" s="24"/>
      <c r="D640" s="24"/>
      <c r="E640" s="24"/>
      <c r="F640" s="7">
        <f ca="1">IF(ISERROR(F624),"",VLOOKUP(E624,INDIRECT($F$8),6+(O640-1)*3,0))</f>
        <v>0</v>
      </c>
      <c r="G640" s="25" t="str">
        <f ca="1">IF(ISERROR(F624),"",_xlfn.TEXTJOIN("/",FALSE,P640,S640))</f>
        <v>17/25</v>
      </c>
      <c r="H640" s="25"/>
      <c r="I640" s="25" t="str">
        <f ca="1">IF(ISERROR(F624),"",_xlfn.TEXTJOIN("/",FALSE,Q640,T640))</f>
        <v>35/50</v>
      </c>
      <c r="J640" s="25"/>
      <c r="K640" s="25" t="str">
        <f ca="1">IF(ISERROR(F624),"",_xlfn.TEXTJOIN("/",FALSE,R640,U640))</f>
        <v>52/75</v>
      </c>
      <c r="L640" s="25"/>
      <c r="M640" s="7" t="str">
        <f ca="1">IF(ISERROR(F624),"",IF(ISTEXT(P640),IF(P640="A","Ab",IF(P640="D","Dt",IF(P640="UFM","UFM",IF(P640="NA","")))),IF(AND(ISBLANK(P640),ISBLANK(R640)),"",IF(P640&lt;0.3*S640,"F",IF(ISBLANK(R640),"",IF(ISTEXT(R640),R640,IF(R640&gt;=0.95*U640,"O",IF(R640&gt;=0.9*U640,"A+",IF(R640&gt;=0.85*U640,"A",IF(R640&gt;=0.8*U640,"B+",IF(R640&gt;=0.75*U640,"B",IF(R640&gt;=0.7*U640,"C+",IF(R640&gt;=0.65*U640,"C",IF(R640&gt;=0.6*U640,"D+",IF(R640&gt;=0.55*U640,"D",IF(R640&gt;=0.5*U640,"E+",IF(R640&gt;=0.45*U640,"E",IF(R640&gt;=0.4*U640,"P",IF(R640&lt;0.4*U640,"F",R640)))))))))))))))))))</f>
        <v>C</v>
      </c>
      <c r="N640" s="8">
        <f ca="1">INDEX($Z$2:$Z$17,MATCH(M640,$Y$2:$Y$17,0))</f>
        <v>7</v>
      </c>
      <c r="O640">
        <f t="shared" ca="1" si="58"/>
        <v>13</v>
      </c>
      <c r="P640" s="1">
        <f ca="1">IF(ISERROR(F624),"",IF(ISTEXT(VLOOKUP(B624,INDIRECT($F$8),6+(O640-1)*3)),(VLOOKUP(B624,INDIRECT($F$8),6+(O640-1)*3)),SUM(VLOOKUP(B624,INDIRECT($F$8),6+(O640-1)*3),IF(W642,W640,0))))</f>
        <v>17</v>
      </c>
      <c r="Q640" s="1">
        <f ca="1">IF(ISERROR(F624),"",VLOOKUP(B624,INDIRECT($F$8),7+(O640-1)*3))</f>
        <v>35</v>
      </c>
      <c r="R640" s="1">
        <f ca="1">IF(ISERROR(F624),"",SUM(P640:Q640))</f>
        <v>52</v>
      </c>
      <c r="S640" s="1">
        <f ca="1">IF(ISERROR(F624),"",VLOOKUP(A624,INDIRECT($F$8),6+(O640-1)*3))</f>
        <v>25</v>
      </c>
      <c r="T640" s="1">
        <f ca="1">IF(ISERROR(F624),"",VLOOKUP(A624,INDIRECT($F$8),7+(O640-1)*3))</f>
        <v>50</v>
      </c>
      <c r="U640" s="1">
        <f ca="1">IF(ISERROR(F624),"",VLOOKUP(A624,INDIRECT($F$8),8+(O640-1)*3))</f>
        <v>75</v>
      </c>
      <c r="V640" s="1"/>
      <c r="W640" s="1">
        <f ca="1">IF(ISERROR(F624),"",IF(ISTEXT(VLOOKUP(B624,INDIRECT($F$8),6+(O640-1)*3)),11,IF(VLOOKUP(B624,INDIRECT($F$8),6+(O640-1)*3)&lt;S640*0.3,IF(VLOOKUP(B624,INDIRECT($F$8),8+(O640-1)*3)&lt;U640*0.4,IF(AND(0.4*U640-VLOOKUP(B624,INDIRECT($F$8),8+(O640-1)*3)&lt;=5,0.3*S640-VLOOKUP(B624,INDIRECT($F$8),6+(O640-1)*3)&lt;=5),MAX(0.4*U640-VLOOKUP(B624,INDIRECT($F$8),8+(O640-1)*3),0.3*S640-VLOOKUP(B624,INDIRECT($F$8),6+(O640-1)*3)),11),IF(0.3*S640-VLOOKUP(B624,INDIRECT($F$8),6+(O640-1)*3)&lt;=5,0.3*S640-VLOOKUP(B624,INDIRECT($F$8),6+(O640-1)*3),11)),IF(VLOOKUP(B624,INDIRECT($F$8),8+(O640-1)*3)&lt;U640*0.4,IF(U640*0.4-VLOOKUP(B624,INDIRECT($F$8),8+(O640-1)*3)&lt;=5,U640*0.4-VLOOKUP(B624,INDIRECT($F$8),8+(O640-1)*3),11),0))))</f>
        <v>0</v>
      </c>
      <c r="X640" s="1" t="str">
        <f ca="1">IF(ISERROR(F624),"",IF(W640=0,"",_xlfn.TEXTJOIN("",FALSE," G+",W640," in ",A640)))</f>
        <v/>
      </c>
    </row>
    <row r="641" spans="1:24" ht="12.5" customHeight="1" x14ac:dyDescent="0.2">
      <c r="A641" s="7" t="str">
        <f ca="1">IF(ISERROR(F624),"",VLOOKUP(C624,INDIRECT($F$8),6+(O641-1)*3-Y641,0))</f>
        <v>GP 01</v>
      </c>
      <c r="B641" s="24" t="str">
        <f ca="1">IF(ISERROR(F624),"",VLOOKUP(D624,INDIRECT($F$8),6+(O641-1)*3-Z641,0))</f>
        <v>General Proficiency ($)</v>
      </c>
      <c r="C641" s="24"/>
      <c r="D641" s="24"/>
      <c r="E641" s="24"/>
      <c r="F641" s="7">
        <f ca="1">IF(ISERROR(F624),"",VLOOKUP(E624,INDIRECT($F$8),6+(O641-1)*3-AA641,0))</f>
        <v>0</v>
      </c>
      <c r="G641" s="25" t="str">
        <f ca="1">IF(ISERROR(F624),"","-")</f>
        <v>-</v>
      </c>
      <c r="H641" s="25"/>
      <c r="I641" s="25" t="str">
        <f ca="1">IF(ISERROR(F624),"",_xlfn.TEXTJOIN("/",FALSE,Q641,T641))</f>
        <v>47/50</v>
      </c>
      <c r="J641" s="25"/>
      <c r="K641" s="25" t="str">
        <f ca="1">IF(ISERROR(F624),"",_xlfn.TEXTJOIN("/",FALSE,R641,U641))</f>
        <v>47/50</v>
      </c>
      <c r="L641" s="25"/>
      <c r="M641" s="25" t="str">
        <f ca="1">IF(ISBLANK(R641),"",IF(ISTEXT(R641),R641,IF(R641&gt;=0.8*U641,"Excellent",IF(R641&gt;=0.6*U641,"Very Good",IF(R641&gt;=0.4*U641,"Good",IF(R641&gt;=0.2*U641,"Satisfactory","Average"))))))</f>
        <v>Excellent</v>
      </c>
      <c r="N641" s="25"/>
      <c r="O641">
        <f t="shared" ca="1" si="58"/>
        <v>14</v>
      </c>
      <c r="P641" s="1">
        <f ca="1">IF(ISERROR(F624),"",IF(ISTEXT(VLOOKUP(B\28,INDIRECT($F$8),6+(O641-1)*3)),(VLOOKUP(B624,INDIRECT($F$8),6+(O641-1)*3)),SUM(VLOOKUP(B624,INDIRECT($F$8),6+(O641-1)*3),IF(W642,W642,0))))</f>
        <v>0</v>
      </c>
      <c r="Q641" s="1">
        <f ca="1">IF(ISERROR(F624),"",VLOOKUP(B624,INDIRECT($F$8),7+(O641-1)*3))</f>
        <v>47</v>
      </c>
      <c r="R641" s="1">
        <f ca="1">IF(ISERROR(F624),"",SUM(P641:Q641))</f>
        <v>47</v>
      </c>
      <c r="S641" s="1">
        <f ca="1">IF(ISERROR(F624),"",VLOOKUP(A624,INDIRECT($F$8),6+(O641-1)*3))</f>
        <v>0</v>
      </c>
      <c r="T641" s="1">
        <f ca="1">IF(ISERROR(F624),"",VLOOKUP(A624,INDIRECT($F$8),7+(O641-1)*3))</f>
        <v>50</v>
      </c>
      <c r="U641" s="1">
        <f ca="1">IF(ISERROR(F624),"",VLOOKUP(A624,INDIRECT($F$8),8+(O641-1)*3))</f>
        <v>50</v>
      </c>
      <c r="V641" s="1"/>
      <c r="W641" s="1"/>
      <c r="X641" s="1" t="str">
        <f ca="1">IF(ISERROR(F624),"",IF(W641=0,"",_xlfn.TEXTJOIN("",FALSE," G+",W641," in ",A641)))</f>
        <v/>
      </c>
    </row>
    <row r="642" spans="1:24" ht="12.5" customHeight="1" x14ac:dyDescent="0.2">
      <c r="A642" s="26" t="str">
        <f ca="1">IF(ISERROR(F624),"",A620)</f>
        <v>Total Credits/ Marks/ Total Grade Points</v>
      </c>
      <c r="B642" s="26"/>
      <c r="C642" s="26"/>
      <c r="D642" s="26"/>
      <c r="E642" s="26"/>
      <c r="F642" s="10">
        <f ca="1">IF(ISERROR(F624),"",SUM(F629:F640))</f>
        <v>23</v>
      </c>
      <c r="G642" s="27" t="str">
        <f ca="1">IF(ISERROR(F624),"",_xlfn.TEXTJOIN("/",TRUE,SUMIF(F629:F641,"&gt;0",P629:P641),SUMIF(F629:F641,"&gt;0",S629:S641)))</f>
        <v>310/575</v>
      </c>
      <c r="H642" s="27"/>
      <c r="I642" s="27" t="str">
        <f ca="1">IF(ISERROR(F624),"",_xlfn.TEXTJOIN("/",TRUE,SUMIF(F629:F641,"&gt;0",Q629:Q641),SUMIF(F629:F641,"&gt;0",T629:T641)))</f>
        <v>272/375</v>
      </c>
      <c r="J642" s="27"/>
      <c r="K642" s="27" t="str">
        <f ca="1">IF(ISERROR(F624),"",_xlfn.TEXTJOIN("/",TRUE,SUMIF(F629:F641,"&gt;0",R629:R641),SUMIF(F629:F641,"&gt;0",U629:U641)))</f>
        <v>582/950</v>
      </c>
      <c r="L642" s="27"/>
      <c r="M642" s="26">
        <f ca="1">IF(ISERROR(F624),"",SUMPRODUCT(N629:N640,F629:F640))</f>
        <v>132.5</v>
      </c>
      <c r="N642" s="26"/>
      <c r="V642" s="1" t="str">
        <f ca="1">IF(ISERROR(F624),"",_xlfn.TEXTJOIN(", ",TRUE,V629:V641))</f>
        <v>AHT 003</v>
      </c>
      <c r="W642" t="b">
        <f ca="1">IF(ISERROR(F624),"",IF(SUM(W629:W641)&lt;=W628,TRUE,FALSE))</f>
        <v>0</v>
      </c>
      <c r="X642" s="1" t="str">
        <f ca="1">IF(ISERROR(F624),"",_xlfn.TEXTJOIN(",",TRUE,X629:X641))</f>
        <v xml:space="preserve"> G+11 in AHT 003</v>
      </c>
    </row>
    <row r="643" spans="1:24" ht="12.5" customHeight="1" x14ac:dyDescent="0.2">
      <c r="A643" s="26" t="str">
        <f ca="1">IF(ISERROR(F624),"",A621)</f>
        <v>Result:</v>
      </c>
      <c r="B643" s="28" t="str" cm="1">
        <f t="array" aca="1" ref="B643" ca="1">IF(SUM(COUNTIF(M629:M640,{"Ab","Dt"}))=12, "Not Promoted to IInd Semester", IF(V642="", "PASS", "CARRY OVER"))</f>
        <v>CARRY OVER</v>
      </c>
      <c r="C643" s="28"/>
      <c r="D643" s="26" t="str">
        <f ca="1">IF(ISERROR(F624),"",D621)</f>
        <v>Remark:</v>
      </c>
      <c r="E643" s="28" t="str">
        <f ca="1">IF(ISERROR(F624),"",IF(V642="",IF(X642="","",X642),_xlfn.TEXTJOIN(" ",TRUE,"BACK IN",V642)))</f>
        <v>BACK IN AHT 003</v>
      </c>
      <c r="F643" s="28"/>
      <c r="G643" s="26" t="str">
        <f ca="1">IF(ISERROR(F624),"",G621)</f>
        <v>SGPA:</v>
      </c>
      <c r="H643" s="29">
        <f ca="1">IF(ISERROR(F624),"",M642/F642)</f>
        <v>5.7608695652173916</v>
      </c>
      <c r="I643" s="26" t="str">
        <f ca="1">IF(ISERROR(F624),"",I621)</f>
        <v>CGPA:</v>
      </c>
      <c r="J643" s="29">
        <f ca="1">IF(ISERROR(F624),"",VLOOKUP(B624,INDIRECT($F$8),12+(O641-1)*3,0))</f>
        <v>5.7608695652173916</v>
      </c>
      <c r="K643" s="28" t="str">
        <f ca="1">IF(ISERROR(F624),"",K621)</f>
        <v>Earned Credits:</v>
      </c>
      <c r="L643" s="26">
        <f ca="1">IF(ISERROR(F624),"",SUMIF(N629:N640,"&gt;0",F629:F640))</f>
        <v>19</v>
      </c>
      <c r="M643" s="28" t="str">
        <f ca="1">IF(ISERROR(F624),"",M621)</f>
        <v>Cuml. Earned Credits:</v>
      </c>
      <c r="N643" s="26">
        <f ca="1">IF(ISERROR(F624),"",VLOOKUP(B624,INDIRECT($F$8),10+(O641-1)*3,0))</f>
        <v>19</v>
      </c>
    </row>
    <row r="644" spans="1:24" ht="12.5" customHeight="1" x14ac:dyDescent="0.2">
      <c r="A644" s="26"/>
      <c r="B644" s="28"/>
      <c r="C644" s="28"/>
      <c r="D644" s="26"/>
      <c r="E644" s="28"/>
      <c r="F644" s="28"/>
      <c r="G644" s="26"/>
      <c r="H644" s="29"/>
      <c r="I644" s="26"/>
      <c r="J644" s="29"/>
      <c r="K644" s="28"/>
      <c r="L644" s="26"/>
      <c r="M644" s="28"/>
      <c r="N644" s="26"/>
    </row>
    <row r="645" spans="1:24" ht="12.5" customHeight="1" x14ac:dyDescent="0.2">
      <c r="A645" s="26"/>
      <c r="B645" s="28"/>
      <c r="C645" s="28"/>
      <c r="D645" s="26"/>
      <c r="E645" s="28"/>
      <c r="F645" s="28"/>
      <c r="G645" s="26"/>
      <c r="H645" s="29"/>
      <c r="I645" s="26"/>
      <c r="J645" s="29"/>
      <c r="K645" s="28"/>
      <c r="L645" s="26"/>
      <c r="M645" s="28"/>
      <c r="N645" s="26"/>
    </row>
    <row r="646" spans="1:24" ht="12.5" customHeight="1" x14ac:dyDescent="0.2">
      <c r="A646" s="11" t="str">
        <f>A624</f>
        <v>MM</v>
      </c>
      <c r="B646" s="11">
        <f>B624+1</f>
        <v>30</v>
      </c>
      <c r="C646" s="11" t="str">
        <f>C624</f>
        <v>SC</v>
      </c>
      <c r="D646" s="11" t="str">
        <f>D624</f>
        <v>SN</v>
      </c>
      <c r="E646" s="11" t="str">
        <f>E624</f>
        <v>C</v>
      </c>
      <c r="F646" s="11" t="str">
        <f ca="1">VLOOKUP(B646,INDIRECT($F$8),4,0)</f>
        <v>SHREYA</v>
      </c>
    </row>
    <row r="647" spans="1:24" ht="12.5" customHeight="1" x14ac:dyDescent="0.2">
      <c r="A647" s="30" t="str">
        <f ca="1">IF(ISERROR(F646),"",A625)</f>
        <v>Name:</v>
      </c>
      <c r="B647" s="30" t="str">
        <f ca="1">IFERROR(VLOOKUP(B646,INDIRECT($F$8),4,0),"")</f>
        <v>SHREYA</v>
      </c>
      <c r="C647" s="30"/>
      <c r="D647" s="30" t="str">
        <f ca="1">IF(ISERROR(F646),"",D625)</f>
        <v>Father's Name:</v>
      </c>
      <c r="E647" s="30" t="str">
        <f ca="1">IFERROR(VLOOKUP(B646,INDIRECT($F$8),5,0),"")</f>
        <v>KULDEEP SINGH</v>
      </c>
      <c r="F647" s="30"/>
      <c r="G647" s="30" t="str">
        <f ca="1">IF(ISERROR(F646),"",G625)</f>
        <v>University Roll No:</v>
      </c>
      <c r="H647" s="30"/>
      <c r="I647" s="31">
        <f ca="1">IFERROR(VLOOKUP(B646,INDIRECT($F$8),2,0),"")</f>
        <v>250090120031</v>
      </c>
      <c r="J647" s="31"/>
      <c r="K647" s="30" t="str">
        <f ca="1">IF(ISERROR(F646),"",K625)</f>
        <v>University Enrol. No:</v>
      </c>
      <c r="L647" s="30"/>
      <c r="M647" s="31" t="str">
        <f ca="1">IFERROR(VLOOKUP(B646,INDIRECT($F$8),3,0),"")</f>
        <v>UTU/2501104279</v>
      </c>
      <c r="N647" s="31"/>
    </row>
    <row r="648" spans="1:24" ht="12.5" customHeight="1" x14ac:dyDescent="0.2">
      <c r="A648" s="30"/>
      <c r="B648" s="30"/>
      <c r="C648" s="30"/>
      <c r="D648" s="30"/>
      <c r="E648" s="30"/>
      <c r="F648" s="30"/>
      <c r="G648" s="30"/>
      <c r="H648" s="30"/>
      <c r="I648" s="31"/>
      <c r="J648" s="31"/>
      <c r="K648" s="30"/>
      <c r="L648" s="30"/>
      <c r="M648" s="31"/>
      <c r="N648" s="31"/>
    </row>
    <row r="649" spans="1:24" ht="12.5" customHeight="1" x14ac:dyDescent="0.2">
      <c r="A649" s="28" t="str">
        <f ca="1">IF(ISERROR(F646),"",A627)</f>
        <v>Subject Code</v>
      </c>
      <c r="B649" s="28" t="str">
        <f ca="1">IF(ISERROR(F646),"",B627)</f>
        <v>Subject Name</v>
      </c>
      <c r="C649" s="28"/>
      <c r="D649" s="28"/>
      <c r="E649" s="28"/>
      <c r="F649" s="28" t="str">
        <f ca="1">IF(ISERROR(F646),"",F627)</f>
        <v>Credits</v>
      </c>
      <c r="G649" s="28" t="str">
        <f ca="1">IF(ISERROR(F646),"",G627)</f>
        <v>External Marks</v>
      </c>
      <c r="H649" s="28"/>
      <c r="I649" s="28" t="str">
        <f ca="1">IF(ISERROR(F646),"",I627)</f>
        <v>Sessional Marks</v>
      </c>
      <c r="J649" s="28"/>
      <c r="K649" s="28" t="str">
        <f ca="1">IF(ISERROR(F646),"",K627)</f>
        <v>Total Marks</v>
      </c>
      <c r="L649" s="28"/>
      <c r="M649" s="28" t="str">
        <f ca="1">IF(ISERROR(F646),"",M627)</f>
        <v>Grade</v>
      </c>
      <c r="N649" s="28" t="str">
        <f ca="1">IF(ISERROR(F646),"",N627)</f>
        <v>Grade Points</v>
      </c>
    </row>
    <row r="650" spans="1:24" ht="12.5" customHeight="1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W650">
        <f ca="1">IF(ISNUMBER(MATCH($F$8,{"I","III","V","VII"},0)),10,10-INDEX(INDIRECT(_xlfn.TEXTJOIN("",TRUE,"SEM_",$G$8,"!",ADDRESS(6,4+$I$8*3+4),":",ADDRESS(5+$H$8,4+$I$8*3+4))),MATCH(INDIRECT(_xlfn.TEXTJOIN("",TRUE,"TC_",$F$8,"!",ADDRESS(ROW(I647),COLUMN(I647)))),INDIRECT(_xlfn.TEXTJOIN("",TRUE,"SEM_",$G$8,"!",ADDRESS(6,2),":",ADDRESS(5+$H$8,2))))))</f>
        <v>10</v>
      </c>
    </row>
    <row r="651" spans="1:24" ht="12.5" customHeight="1" x14ac:dyDescent="0.2">
      <c r="A651" s="7" t="str">
        <f ca="1">IF(ISERROR(F646),"",VLOOKUP(C646,INDIRECT($F$8),6+(O651-1)*3,0))</f>
        <v>AHT 002</v>
      </c>
      <c r="B651" s="24" t="str">
        <f ca="1">IF(ISERROR(F646),"",VLOOKUP(D646,INDIRECT($F$8),6+(O651-1)*3,0))</f>
        <v>Engineering Chemistry</v>
      </c>
      <c r="C651" s="24"/>
      <c r="D651" s="24"/>
      <c r="E651" s="24"/>
      <c r="F651" s="7">
        <f ca="1">IF(ISERROR(F646),"",VLOOKUP(E646,INDIRECT($F$8),6+(O651-1)*3,0))</f>
        <v>4</v>
      </c>
      <c r="G651" s="25" t="str">
        <f ca="1">IF(ISERROR(F646),"",_xlfn.TEXTJOIN("/",FALSE,P651,S651))</f>
        <v>33/100</v>
      </c>
      <c r="H651" s="25"/>
      <c r="I651" s="25" t="str">
        <f ca="1">IF(ISERROR(F646),"",_xlfn.TEXTJOIN("/",FALSE,Q651,T651))</f>
        <v>30/50</v>
      </c>
      <c r="J651" s="25"/>
      <c r="K651" s="25" t="str">
        <f ca="1">IF(ISERROR(F646),"",_xlfn.TEXTJOIN("/",FALSE,R651,U651))</f>
        <v>63/150</v>
      </c>
      <c r="L651" s="25"/>
      <c r="M651" s="7" t="str">
        <f ca="1">IF(ISERROR(F646)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P</v>
      </c>
      <c r="N651" s="8">
        <f ca="1">INDEX($Z$2:$Z$17,MATCH(M651,$Y$2:$Y$17,0))</f>
        <v>4.5</v>
      </c>
      <c r="O651">
        <v>1</v>
      </c>
      <c r="P651" s="1">
        <f ca="1">IF(ISERROR(F646),"",IF(ISTEXT(VLOOKUP(B646,INDIRECT($F$8),6+(O651-1)*3)),(VLOOKUP(B646,INDIRECT($F$8),6+(O651-1)*3)),SUM(VLOOKUP(B646,INDIRECT($F$8),6+(O651-1)*3),IF(W664,W651,0))))</f>
        <v>33</v>
      </c>
      <c r="Q651" s="1">
        <f ca="1">IF(ISERROR(F646),"",VLOOKUP(B646,INDIRECT($F$8),7+(O651-1)*3))</f>
        <v>30</v>
      </c>
      <c r="R651" s="1">
        <f ca="1">IF(ISERROR(F646),"",SUM(P651:Q651))</f>
        <v>63</v>
      </c>
      <c r="S651" s="1">
        <f ca="1">IF(ISERROR(F646),"",VLOOKUP(A646,INDIRECT($F$8),6+(O651-1)*3))</f>
        <v>100</v>
      </c>
      <c r="T651" s="1">
        <f ca="1">IF(ISERROR(F646),"",VLOOKUP(A646,INDIRECT($F$8),7+(O651-1)*3))</f>
        <v>50</v>
      </c>
      <c r="U651" s="1">
        <f ca="1">IF(ISERROR(F646),"",VLOOKUP(A646,INDIRECT($F$8),8+(O651-1)*3))</f>
        <v>150</v>
      </c>
      <c r="V651" s="1" t="str">
        <f ca="1">IF(ISERROR(F646),"",IF(N651=0,A651,""))</f>
        <v/>
      </c>
      <c r="W651" s="1">
        <f ca="1">IF(ISERROR(F646),"",IF(ISTEXT(VLOOKUP(B646,INDIRECT($F$8),6+(O651-1)*3)),11,IF(VLOOKUP(B646,INDIRECT($F$8),6+(O651-1)*3)&lt;S651*0.3,IF(VLOOKUP(B646,INDIRECT($F$8),8+(O651-1)*3)&lt;U651*0.4,IF(AND(0.4*U651-VLOOKUP(B646,INDIRECT($F$8),8+(O651-1)*3)&lt;=5,0.3*S651-VLOOKUP(B646,INDIRECT($F$8),6+(O651-1)*3)&lt;=5),MAX(0.4*U651-VLOOKUP(B646,INDIRECT($F$8),8+(O651-1)*3),0.3*S651-VLOOKUP(B646,INDIRECT($F$8),6+(O651-1)*3)),11),IF(0.3*S651-VLOOKUP(B646,INDIRECT($F$8),6+(O651-1)*3)&lt;=5,0.3*S651-VLOOKUP(B646,INDIRECT($F$8),6+(O651-1)*3),11)),IF(VLOOKUP(B646,INDIRECT($F$8),8+(O651-1)*3)&lt;U651*0.4,IF(U651*0.4-VLOOKUP(B646,INDIRECT($F$8),8+(O651-1)*3)&lt;=5,U651*0.4-VLOOKUP(B646,INDIRECT($F$8),8+(O651-1)*3),11),0))))</f>
        <v>0</v>
      </c>
      <c r="X651" s="1" t="str">
        <f ca="1">IF(ISERROR(F646),"",IF(W651=0,"",_xlfn.TEXTJOIN("",FALSE," G+",W651," in ",A651)))</f>
        <v/>
      </c>
    </row>
    <row r="652" spans="1:24" ht="12.5" customHeight="1" x14ac:dyDescent="0.2">
      <c r="A652" s="7" t="str">
        <f ca="1">IF(ISERROR(F646),"",VLOOKUP(C646,INDIRECT($F$8),6+(O652-1)*3,0))</f>
        <v>AHT 003</v>
      </c>
      <c r="B652" s="24" t="str">
        <f ca="1">IF(ISERROR(F646),"",VLOOKUP(D646,INDIRECT($F$8),6+(O652-1)*3,0))</f>
        <v>Introduction to Engineering Mathematics</v>
      </c>
      <c r="C652" s="24"/>
      <c r="D652" s="24"/>
      <c r="E652" s="24"/>
      <c r="F652" s="7">
        <f ca="1">IF(ISERROR(F646),"",VLOOKUP(E646,INDIRECT($F$8),6+(O652-1)*3,0))</f>
        <v>4</v>
      </c>
      <c r="G652" s="25" t="str">
        <f ca="1">IF(ISERROR(F646),"",_xlfn.TEXTJOIN("/",FALSE,P652,S652))</f>
        <v>3/100</v>
      </c>
      <c r="H652" s="25"/>
      <c r="I652" s="25" t="str">
        <f ca="1">IF(ISERROR(F646),"",_xlfn.TEXTJOIN("/",FALSE,Q652,T652))</f>
        <v>18/50</v>
      </c>
      <c r="J652" s="25"/>
      <c r="K652" s="25" t="str">
        <f ca="1">IF(ISERROR(F646),"",_xlfn.TEXTJOIN("/",FALSE,R652,U652))</f>
        <v>21/150</v>
      </c>
      <c r="L652" s="25"/>
      <c r="M652" s="7" t="str">
        <f ca="1">IF(ISERROR(F646)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F</v>
      </c>
      <c r="N652" s="8">
        <f t="shared" ref="N652:N661" ca="1" si="59">INDEX($Z$2:$Z$17,MATCH(M652,$Y$2:$Y$17,0))</f>
        <v>0</v>
      </c>
      <c r="O652">
        <f>O651+1</f>
        <v>2</v>
      </c>
      <c r="P652" s="1">
        <f ca="1">IF(ISERROR(F646),"",IF(ISTEXT(VLOOKUP(B646,INDIRECT($F$8),6+(O652-1)*3)),(VLOOKUP(B646,INDIRECT($F$8),6+(O652-1)*3)),SUM(VLOOKUP(B646,INDIRECT($F$8),6+(O652-1)*3),IF(W664,W652,0))))</f>
        <v>3</v>
      </c>
      <c r="Q652" s="1">
        <f ca="1">IF(ISERROR(F646),"",VLOOKUP(B646,INDIRECT($F$8),7+(O652-1)*3))</f>
        <v>18</v>
      </c>
      <c r="R652" s="1">
        <f ca="1">IF(ISERROR(F646),"",SUM(P652:Q652))</f>
        <v>21</v>
      </c>
      <c r="S652" s="1">
        <f ca="1">IF(ISERROR(F646),"",VLOOKUP(A646,INDIRECT($F$8),6+(O652-1)*3))</f>
        <v>100</v>
      </c>
      <c r="T652" s="1">
        <f ca="1">IF(ISERROR(F646),"",VLOOKUP(A646,INDIRECT($F$8),7+(O652-1)*3))</f>
        <v>50</v>
      </c>
      <c r="U652" s="1">
        <f ca="1">IF(ISERROR(F646),"",VLOOKUP(A646,INDIRECT($F$8),8+(O652-1)*3))</f>
        <v>150</v>
      </c>
      <c r="V652" s="1" t="str">
        <f ca="1">IF(ISERROR(F646),"",IF(N652=0,A652,""))</f>
        <v>AHT 003</v>
      </c>
      <c r="W652" s="1">
        <f ca="1">IF(ISERROR(F646),"",IF(ISTEXT(VLOOKUP(B646,INDIRECT($F$8),6+(O652-1)*3)),11,IF(VLOOKUP(B646,INDIRECT($F$8),6+(O652-1)*3)&lt;S652*0.3,IF(VLOOKUP(B646,INDIRECT($F$8),8+(O652-1)*3)&lt;U652*0.4,IF(AND(0.4*U652-VLOOKUP(B646,INDIRECT($F$8),8+(O652-1)*3)&lt;=5,0.3*S652-VLOOKUP(B646,INDIRECT($F$8),6+(O652-1)*3)&lt;=5),MAX(0.4*U652-VLOOKUP(B646,INDIRECT($F$8),8+(O652-1)*3),0.3*S652-VLOOKUP(B646,INDIRECT($F$8),6+(O652-1)*3)),11),IF(0.3*S652-VLOOKUP(B646,INDIRECT($F$8),6+(O652-1)*3)&lt;=5,0.3*S652-VLOOKUP(B646,INDIRECT($F$8),6+(O652-1)*3),11)),IF(VLOOKUP(B646,INDIRECT($F$8),8+(O652-1)*3)&lt;U652*0.4,IF(U652*0.4-VLOOKUP(B646,INDIRECT($F$8),8+(O652-1)*3)&lt;=5,U652*0.4-VLOOKUP(B646,INDIRECT($F$8),8+(O652-1)*3),11),0))))</f>
        <v>11</v>
      </c>
      <c r="X652" s="1" t="str">
        <f ca="1">IF(ISERROR(F646),"",IF(W652=0,"",_xlfn.TEXTJOIN("",FALSE," G+",W652," in ",A652)))</f>
        <v xml:space="preserve"> G+11 in AHT 003</v>
      </c>
    </row>
    <row r="653" spans="1:24" ht="12.5" customHeight="1" x14ac:dyDescent="0.2">
      <c r="A653" s="7" t="str">
        <f ca="1">IF(ISERROR(F646),"",VLOOKUP(C646,INDIRECT($F$8),6+(O653-1)*3,0))</f>
        <v>ECT 001</v>
      </c>
      <c r="B653" s="24" t="str">
        <f ca="1">IF(ISERROR(F646),"",VLOOKUP(D646,INDIRECT($F$8),6+(O653-1)*3,0))</f>
        <v>Basic Electronics Engineering</v>
      </c>
      <c r="C653" s="24"/>
      <c r="D653" s="24"/>
      <c r="E653" s="24"/>
      <c r="F653" s="7">
        <f ca="1">IF(ISERROR(F646),"",VLOOKUP(E646,INDIRECT($F$8),6+(O653-1)*3,0))</f>
        <v>4</v>
      </c>
      <c r="G653" s="25" t="str">
        <f ca="1">IF(ISERROR(F646),"",_xlfn.TEXTJOIN("/",FALSE,P653,S653))</f>
        <v>42/100</v>
      </c>
      <c r="H653" s="25"/>
      <c r="I653" s="25" t="str">
        <f ca="1">IF(ISERROR(F646),"",_xlfn.TEXTJOIN("/",FALSE,Q653,T653))</f>
        <v>43/50</v>
      </c>
      <c r="J653" s="25"/>
      <c r="K653" s="25" t="str">
        <f ca="1">IF(ISERROR(F646),"",_xlfn.TEXTJOIN("/",FALSE,R653,U653))</f>
        <v>85/150</v>
      </c>
      <c r="L653" s="25"/>
      <c r="M653" s="7" t="str">
        <f ca="1">IF(ISERROR(F646)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D</v>
      </c>
      <c r="N653" s="8">
        <f t="shared" ca="1" si="59"/>
        <v>6</v>
      </c>
      <c r="O653">
        <f>O652+1</f>
        <v>3</v>
      </c>
      <c r="P653" s="1">
        <f ca="1">IF(ISERROR(F646),"",IF(ISTEXT(VLOOKUP(B646,INDIRECT($F$8),6+(O653-1)*3)),(VLOOKUP(B646,INDIRECT($F$8),6+(O653-1)*3)),SUM(VLOOKUP(B646,INDIRECT($F$8),6+(O653-1)*3),IF(W664,W653,0))))</f>
        <v>42</v>
      </c>
      <c r="Q653" s="1">
        <f ca="1">IF(ISERROR(F646),"",VLOOKUP(B646,INDIRECT($F$8),7+(O653-1)*3))</f>
        <v>43</v>
      </c>
      <c r="R653" s="1">
        <f ca="1">IF(ISERROR(F646),"",SUM(P653:Q653))</f>
        <v>85</v>
      </c>
      <c r="S653" s="1">
        <f ca="1">IF(ISERROR(F646),"",VLOOKUP(A646,INDIRECT($F$8),6+(O653-1)*3))</f>
        <v>100</v>
      </c>
      <c r="T653" s="1">
        <f ca="1">IF(ISERROR(F646),"",VLOOKUP(A646,INDIRECT($F$8),7+(O653-1)*3))</f>
        <v>50</v>
      </c>
      <c r="U653" s="1">
        <f ca="1">IF(ISERROR(F646),"",VLOOKUP(A646,INDIRECT($F$8),8+(O653-1)*3))</f>
        <v>150</v>
      </c>
      <c r="V653" s="1" t="str">
        <f ca="1">IF(ISERROR(F646),"",IF(N653=0,A653,""))</f>
        <v/>
      </c>
      <c r="W653" s="1">
        <f ca="1">IF(ISERROR(F646),"",IF(ISTEXT(VLOOKUP(B646,INDIRECT($F$8),6+(O653-1)*3)),11,IF(VLOOKUP(B646,INDIRECT($F$8),6+(O653-1)*3)&lt;S653*0.3,IF(VLOOKUP(B646,INDIRECT($F$8),8+(O653-1)*3)&lt;U653*0.4,IF(AND(0.4*U653-VLOOKUP(B646,INDIRECT($F$8),8+(O653-1)*3)&lt;=5,0.3*S653-VLOOKUP(B646,INDIRECT($F$8),6+(O653-1)*3)&lt;=5),MAX(0.4*U653-VLOOKUP(B646,INDIRECT($F$8),8+(O653-1)*3),0.3*S653-VLOOKUP(B646,INDIRECT($F$8),6+(O653-1)*3)),11),IF(0.3*S653-VLOOKUP(B646,INDIRECT($F$8),6+(O653-1)*3)&lt;=5,0.3*S653-VLOOKUP(B646,INDIRECT($F$8),6+(O653-1)*3),11)),IF(VLOOKUP(B646,INDIRECT($F$8),8+(O653-1)*3)&lt;U653*0.4,IF(U653*0.4-VLOOKUP(B646,INDIRECT($F$8),8+(O653-1)*3)&lt;=5,U653*0.4-VLOOKUP(B646,INDIRECT($F$8),8+(O653-1)*3),11),0))))</f>
        <v>0</v>
      </c>
      <c r="X653" s="1" t="str">
        <f ca="1">IF(ISERROR(F646),"",IF(W653=0,"",_xlfn.TEXTJOIN("",FALSE," G+",W653," in ",A653)))</f>
        <v/>
      </c>
    </row>
    <row r="654" spans="1:24" ht="12.5" customHeight="1" x14ac:dyDescent="0.2">
      <c r="A654" s="7" t="str">
        <f ca="1">IF(ISERROR(F646),"",VLOOKUP(C646,INDIRECT($F$8),6+(O654-1)*3,0))</f>
        <v>MET 001</v>
      </c>
      <c r="B654" s="24" t="str">
        <f ca="1">IF(ISERROR(F646),"",VLOOKUP(D646,INDIRECT($F$8),6+(O654-1)*3,0))</f>
        <v>Basic Mechanical Engineering</v>
      </c>
      <c r="C654" s="24"/>
      <c r="D654" s="24"/>
      <c r="E654" s="24"/>
      <c r="F654" s="7">
        <f ca="1">IF(ISERROR(F646),"",VLOOKUP(E646,INDIRECT($F$8),6+(O654-1)*3,0))</f>
        <v>4</v>
      </c>
      <c r="G654" s="25" t="str">
        <f ca="1">IF(ISERROR(F646),"",_xlfn.TEXTJOIN("/",FALSE,P654,S654))</f>
        <v>50/100</v>
      </c>
      <c r="H654" s="25"/>
      <c r="I654" s="25" t="str">
        <f ca="1">IF(ISERROR(F646),"",_xlfn.TEXTJOIN("/",FALSE,Q654,T654))</f>
        <v>36/50</v>
      </c>
      <c r="J654" s="25"/>
      <c r="K654" s="25" t="str">
        <f ca="1">IF(ISERROR(F646),"",_xlfn.TEXTJOIN("/",FALSE,R654,U654))</f>
        <v>86/150</v>
      </c>
      <c r="L654" s="25"/>
      <c r="M654" s="7" t="str">
        <f ca="1">IF(ISERROR(F646),"",IF(ISTEXT(P654),IF(P654="A","Ab",IF(P654="D","Dt",IF(P654="UFM","UFM",IF(P654="NA","")))),IF(AND(ISBLANK(P654),ISBLANK(R654)),"",IF(P654&lt;0.3*S654,"F",IF(ISBLANK(R654),"",IF(ISTEXT(R654),R654,IF(R654&gt;=0.95*U654,"O",IF(R654&gt;=0.9*U654,"A+",IF(R654&gt;=0.85*U654,"A",IF(R654&gt;=0.8*U654,"B+",IF(R654&gt;=0.75*U654,"B",IF(R654&gt;=0.7*U654,"C+",IF(R654&gt;=0.65*U654,"C",IF(R654&gt;=0.6*U654,"D+",IF(R654&gt;=0.55*U654,"D",IF(R654&gt;=0.5*U654,"E+",IF(R654&gt;=0.45*U654,"E",IF(R654&gt;=0.4*U654,"P",IF(R654&lt;0.4*U654,"F",R654)))))))))))))))))))</f>
        <v>D</v>
      </c>
      <c r="N654" s="8">
        <f t="shared" ca="1" si="59"/>
        <v>6</v>
      </c>
      <c r="O654">
        <f>O653+1</f>
        <v>4</v>
      </c>
      <c r="P654" s="1">
        <f ca="1">IF(ISERROR(F646),"",IF(ISTEXT(VLOOKUP(B646,INDIRECT($F$8),6+(O654-1)*3)),(VLOOKUP(B646,INDIRECT($F$8),6+(O654-1)*3)),SUM(VLOOKUP(B646,INDIRECT($F$8),6+(O654-1)*3),IF(W664,W654,0))))</f>
        <v>50</v>
      </c>
      <c r="Q654" s="1">
        <f ca="1">IF(ISERROR(F646),"",VLOOKUP(B646,INDIRECT($F$8),7+(O654-1)*3))</f>
        <v>36</v>
      </c>
      <c r="R654" s="1">
        <f ca="1">IF(ISERROR(F646),"",SUM(P654:Q654))</f>
        <v>86</v>
      </c>
      <c r="S654" s="1">
        <f ca="1">IF(ISERROR(F646),"",VLOOKUP(A646,INDIRECT($F$8),6+(O654-1)*3))</f>
        <v>100</v>
      </c>
      <c r="T654" s="1">
        <f ca="1">IF(ISERROR(F646),"",VLOOKUP(A646,INDIRECT($F$8),7+(O654-1)*3))</f>
        <v>50</v>
      </c>
      <c r="U654" s="1">
        <f ca="1">IF(ISERROR(F646),"",VLOOKUP(A646,INDIRECT($F$8),8+(O654-1)*3))</f>
        <v>150</v>
      </c>
      <c r="V654" s="1" t="str">
        <f ca="1">IF(ISERROR(F646),"",IF(N654=0,A654,""))</f>
        <v/>
      </c>
      <c r="W654" s="1">
        <f ca="1">IF(ISERROR(F646),"",IF(ISTEXT(VLOOKUP(B646,INDIRECT($F$8),6+(O654-1)*3)),11,IF(VLOOKUP(B646,INDIRECT($F$8),6+(O654-1)*3)&lt;S654*0.3,IF(VLOOKUP(B646,INDIRECT($F$8),8+(O654-1)*3)&lt;U654*0.4,IF(AND(0.4*U654-VLOOKUP(B646,INDIRECT($F$8),8+(O654-1)*3)&lt;=5,0.3*S654-VLOOKUP(B646,INDIRECT($F$8),6+(O654-1)*3)&lt;=5),MAX(0.4*U654-VLOOKUP(B646,INDIRECT($F$8),8+(O654-1)*3),0.3*S654-VLOOKUP(B646,INDIRECT($F$8),6+(O654-1)*3)),11),IF(0.3*S654-VLOOKUP(B646,INDIRECT($F$8),6+(O654-1)*3)&lt;=5,0.3*S654-VLOOKUP(B646,INDIRECT($F$8),6+(O654-1)*3),11)),IF(VLOOKUP(B646,INDIRECT($F$8),8+(O654-1)*3)&lt;U654*0.4,IF(U654*0.4-VLOOKUP(B646,INDIRECT($F$8),8+(O654-1)*3)&lt;=5,U654*0.4-VLOOKUP(B646,INDIRECT($F$8),8+(O654-1)*3),11),0))))</f>
        <v>0</v>
      </c>
      <c r="X654" s="1" t="str">
        <f ca="1">IF(ISERROR(F646),"",IF(W654=0,"",_xlfn.TEXTJOIN("",FALSE," G+",W654," in ",A654)))</f>
        <v/>
      </c>
    </row>
    <row r="655" spans="1:24" ht="12.5" customHeight="1" x14ac:dyDescent="0.2">
      <c r="A655" s="7" t="str">
        <f ca="1">IF(ISERROR(F646),"",VLOOKUP(C646,INDIRECT($F$8),6+(O655-1)*3,0))</f>
        <v>AHT 000</v>
      </c>
      <c r="B655" s="24" t="str">
        <f ca="1">IF(ISERROR(F646),"",VLOOKUP(D646,INDIRECT($F$8),6+(O655-1)*3,0))</f>
        <v>Basic Mathematics (Bridge Course) ($)</v>
      </c>
      <c r="C655" s="24"/>
      <c r="D655" s="24"/>
      <c r="E655" s="24"/>
      <c r="F655" s="7">
        <f ca="1">IF(ISERROR(F646),"",VLOOKUP(E646,INDIRECT($F$8),6+(O655-1)*3,0))</f>
        <v>0</v>
      </c>
      <c r="G655" s="25" t="str">
        <f ca="1">IF(ISERROR(F646),"",_xlfn.TEXTJOIN("/",FALSE,P655,S655))</f>
        <v>56/100</v>
      </c>
      <c r="H655" s="25"/>
      <c r="I655" s="25" t="str">
        <f ca="1">IF(ISERROR(F646),"",_xlfn.TEXTJOIN("/",FALSE,Q655,T655))</f>
        <v>27/50</v>
      </c>
      <c r="J655" s="25"/>
      <c r="K655" s="25" t="str">
        <f ca="1">IF(ISERROR(F646),"",_xlfn.TEXTJOIN("/",FALSE,R655,U655))</f>
        <v>83/150</v>
      </c>
      <c r="L655" s="25"/>
      <c r="M655" s="7" t="str">
        <f ca="1">IF(ISERROR(F646),"",IF(ISTEXT(P655),IF(P655="A","Ab",IF(P655="D","Dt",IF(P655="UFM","UFM",IF(P655="NA","")))),IF(AND(ISBLANK(P655),ISBLANK(R655)),"",IF(P655&lt;0.3*S655,"F",IF(ISBLANK(R655),"",IF(ISTEXT(R655),R655,IF(R655&gt;=0.95*U655,"O",IF(R655&gt;=0.9*U655,"A+",IF(R655&gt;=0.85*U655,"A",IF(R655&gt;=0.8*U655,"B+",IF(R655&gt;=0.75*U655,"B",IF(R655&gt;=0.7*U655,"C+",IF(R655&gt;=0.65*U655,"C",IF(R655&gt;=0.6*U655,"D+",IF(R655&gt;=0.55*U655,"D",IF(R655&gt;=0.5*U655,"E+",IF(R655&gt;=0.45*U655,"E",IF(R655&gt;=0.4*U655,"P",IF(R655&lt;0.4*U655,"F",R655)))))))))))))))))))</f>
        <v>D</v>
      </c>
      <c r="N655" s="8">
        <f t="shared" ca="1" si="59"/>
        <v>6</v>
      </c>
      <c r="O655" cm="1">
        <f t="array" aca="1" ref="O655" ca="1">IF(NOT(ISBLANK(INDIRECT("SEM_I!R"&amp;INT((ROW(O655)-17)/22)+6))),5,
IF(NOT(ISBLANK(INDIRECT("SEM_I!U"&amp;INT((ROW(O655)-17)/22)+6))),6))</f>
        <v>5</v>
      </c>
      <c r="P655" s="1">
        <f ca="1">IF(ISERROR(F646),"",IF(ISTEXT(VLOOKUP(B646,INDIRECT($F$8),6+(O655-1)*3)),(VLOOKUP(B646,INDIRECT($F$8),6+(O655-1)*3)),SUM(VLOOKUP(B646,INDIRECT($F$8),6+(O655-1)*3),IF(W664,W655,0))))</f>
        <v>56</v>
      </c>
      <c r="Q655" s="1">
        <f ca="1">IF(ISERROR(F646),"",VLOOKUP(B646,INDIRECT($F$8),7+(O655-1)*3))</f>
        <v>27</v>
      </c>
      <c r="R655" s="1">
        <f ca="1">IF(ISERROR(F646),"",SUM(P655:Q655))</f>
        <v>83</v>
      </c>
      <c r="S655" s="1">
        <f ca="1">IF(ISERROR(F646),"",VLOOKUP(A646,INDIRECT($F$8),6+(O655-1)*3))</f>
        <v>100</v>
      </c>
      <c r="T655" s="1">
        <f ca="1">IF(ISERROR(F646),"",VLOOKUP(A646,INDIRECT($F$8),7+(O655-1)*3))</f>
        <v>50</v>
      </c>
      <c r="U655" s="1">
        <f ca="1">IF(ISERROR(F646),"",VLOOKUP(A646,INDIRECT($F$8),8+(O655-1)*3))</f>
        <v>150</v>
      </c>
      <c r="V655" s="1" t="str">
        <f ca="1">IF(ISERROR(F646),"",IF(N655=0,A655,""))</f>
        <v/>
      </c>
      <c r="W655" s="1">
        <f ca="1">IF(ISERROR(F646),"",IF(ISTEXT(VLOOKUP(B646,INDIRECT($F$8),6+(O655-1)*3)),11,IF(VLOOKUP(B646,INDIRECT($F$8),6+(O655-1)*3)&lt;S655*0.3,IF(VLOOKUP(B646,INDIRECT($F$8),8+(O655-1)*3)&lt;U655*0.4,IF(AND(0.4*U655-VLOOKUP(B646,INDIRECT($F$8),8+(O655-1)*3)&lt;=5,0.3*S655-VLOOKUP(B646,INDIRECT($F$8),6+(O655-1)*3)&lt;=5),MAX(0.4*U655-VLOOKUP(B646,INDIRECT($F$8),8+(O655-1)*3),0.3*S655-VLOOKUP(B646,INDIRECT($F$8),6+(O655-1)*3)),11),IF(0.3*S655-VLOOKUP(B646,INDIRECT($F$8),6+(O655-1)*3)&lt;=5,0.3*S655-VLOOKUP(B646,INDIRECT($F$8),6+(O655-1)*3),11)),IF(VLOOKUP(B646,INDIRECT($F$8),8+(O655-1)*3)&lt;U655*0.4,IF(U655*0.4-VLOOKUP(B646,INDIRECT($F$8),8+(O655-1)*3)&lt;=5,U655*0.4-VLOOKUP(B646,INDIRECT($F$8),8+(O655-1)*3),11),0))))</f>
        <v>0</v>
      </c>
      <c r="X655" s="1" t="str">
        <f ca="1">IF(ISERROR(F646),"",IF(W655=0,"",_xlfn.TEXTJOIN("",FALSE," G+",W655," in ",A655)))</f>
        <v/>
      </c>
    </row>
    <row r="656" spans="1:24" ht="12.5" customHeight="1" x14ac:dyDescent="0.2">
      <c r="A656" s="7" t="str">
        <f ca="1">IF(ISERROR(F646),"",VLOOKUP(C646,INDIRECT($F$8),6+(O656-1)*3,0))</f>
        <v>AHP 002</v>
      </c>
      <c r="B656" s="24" t="str">
        <f ca="1">IF(ISERROR(F646),"",VLOOKUP(D646,INDIRECT($F$8),6+(O656-1)*3,0))</f>
        <v>Engineering Chemistry Lab</v>
      </c>
      <c r="C656" s="24"/>
      <c r="D656" s="24"/>
      <c r="E656" s="24"/>
      <c r="F656" s="7">
        <f ca="1">IF(ISERROR(F646),"",VLOOKUP(E646,INDIRECT($F$8),6+(O656-1)*3,0))</f>
        <v>1</v>
      </c>
      <c r="G656" s="25" t="str">
        <f ca="1">IF(ISERROR(F646),"",_xlfn.TEXTJOIN("/",FALSE,P656,S656))</f>
        <v>16/25</v>
      </c>
      <c r="H656" s="25"/>
      <c r="I656" s="25" t="str">
        <f ca="1">IF(ISERROR(F646),"",_xlfn.TEXTJOIN("/",FALSE,Q656,T656))</f>
        <v>14/25</v>
      </c>
      <c r="J656" s="25"/>
      <c r="K656" s="25" t="str">
        <f ca="1">IF(ISERROR(F646),"",_xlfn.TEXTJOIN("/",FALSE,R656,U656))</f>
        <v>30/50</v>
      </c>
      <c r="L656" s="25"/>
      <c r="M656" s="7" t="str">
        <f ca="1">IF(ISERROR(F646),"",IF(ISTEXT(P656),IF(P656="A","Ab",IF(P656="D","Dt",IF(P656="UFM","UFM",IF(P656="NA","")))),IF(AND(ISBLANK(P656),ISBLANK(R656)),"",IF(P656&lt;0.3*S656,"F",IF(ISBLANK(R656),"",IF(ISTEXT(R656),R656,IF(R656&gt;=0.95*U656,"O",IF(R656&gt;=0.9*U656,"A+",IF(R656&gt;=0.85*U656,"A",IF(R656&gt;=0.8*U656,"B+",IF(R656&gt;=0.75*U656,"B",IF(R656&gt;=0.7*U656,"C+",IF(R656&gt;=0.65*U656,"C",IF(R656&gt;=0.6*U656,"D+",IF(R656&gt;=0.55*U656,"D",IF(R656&gt;=0.5*U656,"E+",IF(R656&gt;=0.45*U656,"E",IF(R656&gt;=0.4*U656,"P",IF(R656&lt;0.4*U656,"F",R656)))))))))))))))))))</f>
        <v>D+</v>
      </c>
      <c r="N656" s="8">
        <f t="shared" ca="1" si="59"/>
        <v>6.5</v>
      </c>
      <c r="O656">
        <f ca="1">IF(O655&gt;0,7)</f>
        <v>7</v>
      </c>
      <c r="P656" s="1">
        <f ca="1">IF(ISERROR(F646),"",IF(ISTEXT(VLOOKUP(B646,INDIRECT($F$8),6+(O656-1)*3)),(VLOOKUP(B646,INDIRECT($F$8),6+(O656-1)*3)),SUM(VLOOKUP(B646,INDIRECT($F$8),6+(O656-1)*3),IF(W664,W656,0))))</f>
        <v>16</v>
      </c>
      <c r="Q656" s="1">
        <f ca="1">IF(ISERROR(F646),"",VLOOKUP(B646,INDIRECT($F$8),7+(O656-1)*3))</f>
        <v>14</v>
      </c>
      <c r="R656" s="1">
        <f ca="1">IF(ISERROR(F646),"",SUM(P656:Q656))</f>
        <v>30</v>
      </c>
      <c r="S656" s="1">
        <f ca="1">IF(ISERROR(F646),"",VLOOKUP(A646,INDIRECT($F$8),6+(O656-1)*3))</f>
        <v>25</v>
      </c>
      <c r="T656" s="1">
        <f ca="1">IF(ISERROR(F646),"",VLOOKUP(A646,INDIRECT($F$8),7+(O656-1)*3))</f>
        <v>25</v>
      </c>
      <c r="U656" s="1">
        <f ca="1">IF(ISERROR(F646),"",VLOOKUP(A646,INDIRECT($F$8),8+(O656-1)*3))</f>
        <v>50</v>
      </c>
      <c r="V656" s="1" t="str">
        <f ca="1">IF(ISERROR(F646),"",IF(N656=0,A656,""))</f>
        <v/>
      </c>
      <c r="W656" s="1">
        <f ca="1">IF(ISERROR(F646),"",IF(ISTEXT(VLOOKUP(B646,INDIRECT($F$8),6+(O656-1)*3)),11,IF(VLOOKUP(B646,INDIRECT($F$8),6+(O656-1)*3)&lt;S656*0.3,IF(VLOOKUP(B646,INDIRECT($F$8),8+(O656-1)*3)&lt;U656*0.4,IF(AND(0.4*U656-VLOOKUP(B646,INDIRECT($F$8),8+(O656-1)*3)&lt;=5,0.3*S656-VLOOKUP(B646,INDIRECT($F$8),6+(O656-1)*3)&lt;=5),MAX(0.4*U656-VLOOKUP(B646,INDIRECT($F$8),8+(O656-1)*3),0.3*S656-VLOOKUP(B646,INDIRECT($F$8),6+(O656-1)*3)),11),IF(0.3*S656-VLOOKUP(B646,INDIRECT($F$8),6+(O656-1)*3)&lt;=5,0.3*S656-VLOOKUP(B646,INDIRECT($F$8),6+(O656-1)*3),11)),IF(VLOOKUP(B646,INDIRECT($F$8),8+(O656-1)*3)&lt;U656*0.4,IF(U656*0.4-VLOOKUP(B646,INDIRECT($F$8),8+(O656-1)*3)&lt;=5,U656*0.4-VLOOKUP(B646,INDIRECT($F$8),8+(O656-1)*3),11),0))))</f>
        <v>0</v>
      </c>
      <c r="X656" s="1" t="str">
        <f ca="1">IF(ISERROR(F646),"",IF(W656=0,"",_xlfn.TEXTJOIN("",FALSE," G+",W656," in ",A656)))</f>
        <v/>
      </c>
    </row>
    <row r="657" spans="1:24" ht="12.5" customHeight="1" x14ac:dyDescent="0.2">
      <c r="A657" s="7" t="str">
        <f ca="1">IF(ISERROR(F646),"",VLOOKUP(C646,INDIRECT($F$8),6+(O657-1)*3,0))</f>
        <v>ECP 001</v>
      </c>
      <c r="B657" s="24" t="str">
        <f ca="1">IF(ISERROR(F646),"",VLOOKUP(D646,INDIRECT($F$8),6+(O657-1)*3,0))</f>
        <v>Basic Electronics Engineering Lab</v>
      </c>
      <c r="C657" s="24"/>
      <c r="D657" s="24"/>
      <c r="E657" s="24"/>
      <c r="F657" s="7">
        <f ca="1">IF(ISERROR(F646),"",VLOOKUP(E646,INDIRECT($F$8),6+(O657-1)*3,0))</f>
        <v>1</v>
      </c>
      <c r="G657" s="25" t="str">
        <f ca="1">IF(ISERROR(F646),"",_xlfn.TEXTJOIN("/",FALSE,P657,S657))</f>
        <v>17/25</v>
      </c>
      <c r="H657" s="25"/>
      <c r="I657" s="25" t="str">
        <f ca="1">IF(ISERROR(F646),"",_xlfn.TEXTJOIN("/",FALSE,Q657,T657))</f>
        <v>20/25</v>
      </c>
      <c r="J657" s="25"/>
      <c r="K657" s="25" t="str">
        <f ca="1">IF(ISERROR(F646),"",_xlfn.TEXTJOIN("/",FALSE,R657,U657))</f>
        <v>37/50</v>
      </c>
      <c r="L657" s="25"/>
      <c r="M657" s="7" t="str">
        <f ca="1">IF(ISERROR(F646),"",IF(ISTEXT(P657),IF(P657="A","Ab",IF(P657="D","Dt",IF(P657="UFM","UFM",IF(P657="NA","")))),IF(AND(ISBLANK(P657),ISBLANK(R657)),"",IF(P657&lt;0.3*S657,"F",IF(ISBLANK(R657),"",IF(ISTEXT(R657),R657,IF(R657&gt;=0.95*U657,"O",IF(R657&gt;=0.9*U657,"A+",IF(R657&gt;=0.85*U657,"A",IF(R657&gt;=0.8*U657,"B+",IF(R657&gt;=0.75*U657,"B",IF(R657&gt;=0.7*U657,"C+",IF(R657&gt;=0.65*U657,"C",IF(R657&gt;=0.6*U657,"D+",IF(R657&gt;=0.55*U657,"D",IF(R657&gt;=0.5*U657,"E+",IF(R657&gt;=0.45*U657,"E",IF(R657&gt;=0.4*U657,"P",IF(R657&lt;0.4*U657,"F",R657)))))))))))))))))))</f>
        <v>C+</v>
      </c>
      <c r="N657" s="8">
        <f t="shared" ca="1" si="59"/>
        <v>7.5</v>
      </c>
      <c r="O657">
        <f t="shared" ref="O657:O663" ca="1" si="60">O656+1</f>
        <v>8</v>
      </c>
      <c r="P657" s="1">
        <f ca="1">IF(ISERROR(F646),"",IF(ISTEXT(VLOOKUP(B646,INDIRECT($F$8),6+(O657-1)*3)),(VLOOKUP(B646,INDIRECT($F$8),6+(O657-1)*3)),SUM(VLOOKUP(B646,INDIRECT($F$8),6+(O657-1)*3),IF(W664,W657,0))))</f>
        <v>17</v>
      </c>
      <c r="Q657" s="1">
        <f ca="1">IF(ISERROR(F646),"",VLOOKUP(B646,INDIRECT($F$8),7+(O657-1)*3))</f>
        <v>20</v>
      </c>
      <c r="R657" s="1">
        <f ca="1">IF(ISERROR(F646),"",SUM(P657:Q657))</f>
        <v>37</v>
      </c>
      <c r="S657" s="1">
        <f ca="1">IF(ISERROR(F646),"",VLOOKUP(A646,INDIRECT($F$8),6+(O657-1)*3))</f>
        <v>25</v>
      </c>
      <c r="T657" s="1">
        <f ca="1">IF(ISERROR(F646),"",VLOOKUP(A646,INDIRECT($F$8),7+(O657-1)*3))</f>
        <v>25</v>
      </c>
      <c r="U657" s="1">
        <f ca="1">IF(ISERROR(F646),"",VLOOKUP(A646,INDIRECT($F$8),8+(O657-1)*3))</f>
        <v>50</v>
      </c>
      <c r="V657" s="1" t="str">
        <f ca="1">IF(ISERROR(F646),"",IF(N657=0,A657,""))</f>
        <v/>
      </c>
      <c r="W657" s="1">
        <f ca="1">IF(ISERROR(F646),"",IF(ISTEXT(VLOOKUP(B646,INDIRECT($F$8),6+(O657-1)*3)),11,IF(VLOOKUP(B646,INDIRECT($F$8),6+(O657-1)*3)&lt;S657*0.3,IF(VLOOKUP(B646,INDIRECT($F$8),8+(O657-1)*3)&lt;U657*0.4,IF(AND(0.4*U657-VLOOKUP(B646,INDIRECT($F$8),8+(O657-1)*3)&lt;=5,0.3*S657-VLOOKUP(B646,INDIRECT($F$8),6+(O657-1)*3)&lt;=5),MAX(0.4*U657-VLOOKUP(B646,INDIRECT($F$8),8+(O657-1)*3),0.3*S657-VLOOKUP(B646,INDIRECT($F$8),6+(O657-1)*3)),11),IF(0.3*S657-VLOOKUP(B646,INDIRECT($F$8),6+(O657-1)*3)&lt;=5,0.3*S657-VLOOKUP(B646,INDIRECT($F$8),6+(O657-1)*3),11)),IF(VLOOKUP(B646,INDIRECT($F$8),8+(O657-1)*3)&lt;U657*0.4,IF(U657*0.4-VLOOKUP(B646,INDIRECT($F$8),8+(O657-1)*3)&lt;=5,U657*0.4-VLOOKUP(B646,INDIRECT($F$8),8+(O657-1)*3),11),0))))</f>
        <v>0</v>
      </c>
      <c r="X657" s="1" t="str">
        <f ca="1">IF(ISERROR(F646),"",IF(W657=0,"",_xlfn.TEXTJOIN("",FALSE," G+",W657," in ",A657)))</f>
        <v/>
      </c>
    </row>
    <row r="658" spans="1:24" ht="12.5" customHeight="1" x14ac:dyDescent="0.2">
      <c r="A658" s="7" t="str">
        <f ca="1">IF(ISERROR(F646),"",VLOOKUP(C646,INDIRECT($F$8),6+(O658-1)*3,0))</f>
        <v>MEP 001</v>
      </c>
      <c r="B658" s="24" t="str">
        <f ca="1">IF(ISERROR(F646),"",VLOOKUP(D646,INDIRECT($F$8),6+(O658-1)*3,0))</f>
        <v>Basic Mechanical Engineering Lab</v>
      </c>
      <c r="C658" s="24"/>
      <c r="D658" s="24"/>
      <c r="E658" s="24"/>
      <c r="F658" s="7">
        <f ca="1">IF(ISERROR(F646),"",VLOOKUP(E646,INDIRECT($F$8),6+(O658-1)*3,0))</f>
        <v>1</v>
      </c>
      <c r="G658" s="25" t="str">
        <f ca="1">IF(ISERROR(F646),"",_xlfn.TEXTJOIN("/",FALSE,P658,S658))</f>
        <v>23/25</v>
      </c>
      <c r="H658" s="25"/>
      <c r="I658" s="25" t="str">
        <f ca="1">IF(ISERROR(F646),"",_xlfn.TEXTJOIN("/",FALSE,Q658,T658))</f>
        <v>24/25</v>
      </c>
      <c r="J658" s="25"/>
      <c r="K658" s="25" t="str">
        <f ca="1">IF(ISERROR(F646),"",_xlfn.TEXTJOIN("/",FALSE,R658,U658))</f>
        <v>47/50</v>
      </c>
      <c r="L658" s="25"/>
      <c r="M658" s="7" t="str">
        <f ca="1">IF(ISERROR(F646),"",IF(ISTEXT(P658),IF(P658="A","Ab",IF(P658="D","Dt",IF(P658="UFM","UFM",IF(P658="NA","")))),IF(AND(ISBLANK(P658),ISBLANK(R658)),"",IF(P658&lt;0.3*S658,"F",IF(ISBLANK(R658),"",IF(ISTEXT(R658),R658,IF(R658&gt;=0.95*U658,"O",IF(R658&gt;=0.9*U658,"A+",IF(R658&gt;=0.85*U658,"A",IF(R658&gt;=0.8*U658,"B+",IF(R658&gt;=0.75*U658,"B",IF(R658&gt;=0.7*U658,"C+",IF(R658&gt;=0.65*U658,"C",IF(R658&gt;=0.6*U658,"D+",IF(R658&gt;=0.55*U658,"D",IF(R658&gt;=0.5*U658,"E+",IF(R658&gt;=0.45*U658,"E",IF(R658&gt;=0.4*U658,"P",IF(R658&lt;0.4*U658,"F",R658)))))))))))))))))))</f>
        <v>A+</v>
      </c>
      <c r="N658" s="8">
        <f t="shared" ca="1" si="59"/>
        <v>9.5</v>
      </c>
      <c r="O658">
        <f t="shared" ca="1" si="60"/>
        <v>9</v>
      </c>
      <c r="P658" s="1">
        <f ca="1">IF(ISERROR(F646),"",IF(ISTEXT(VLOOKUP(B646,INDIRECT($F$8),6+(O658-1)*3)),(VLOOKUP(B646,INDIRECT($F$8),6+(O658-1)*3)),SUM(VLOOKUP(B646,INDIRECT($F$8),6+(O658-1)*3),IF(W664,W658,0))))</f>
        <v>23</v>
      </c>
      <c r="Q658" s="1">
        <f ca="1">IF(ISERROR(F646),"",VLOOKUP(B646,INDIRECT($F$8),7+(O658-1)*3))</f>
        <v>24</v>
      </c>
      <c r="R658" s="1">
        <f ca="1">IF(ISERROR(F646),"",SUM(P658:Q658))</f>
        <v>47</v>
      </c>
      <c r="S658" s="1">
        <f ca="1">IF(ISERROR(F646),"",VLOOKUP(A646,INDIRECT($F$8),6+(O658-1)*3))</f>
        <v>25</v>
      </c>
      <c r="T658" s="1">
        <f ca="1">IF(ISERROR(F646),"",VLOOKUP(A646,INDIRECT($F$8),7+(O658-1)*3))</f>
        <v>25</v>
      </c>
      <c r="U658" s="1">
        <f ca="1">IF(ISERROR(F646),"",VLOOKUP(A646,INDIRECT($F$8),8+(O658-1)*3))</f>
        <v>50</v>
      </c>
      <c r="V658" s="1" t="str">
        <f ca="1">IF(ISERROR(F646),"",IF(N658=0,A658,""))</f>
        <v/>
      </c>
      <c r="W658" s="1">
        <f ca="1">IF(ISERROR(F646),"",IF(ISTEXT(VLOOKUP(B646,INDIRECT($F$8),6+(O658-1)*3)),11,IF(VLOOKUP(B646,INDIRECT($F$8),6+(O658-1)*3)&lt;S658*0.3,IF(VLOOKUP(B646,INDIRECT($F$8),8+(O658-1)*3)&lt;U658*0.4,IF(AND(0.4*U658-VLOOKUP(B646,INDIRECT($F$8),8+(O658-1)*3)&lt;=5,0.3*S658-VLOOKUP(B646,INDIRECT($F$8),6+(O658-1)*3)&lt;=5),MAX(0.4*U658-VLOOKUP(B646,INDIRECT($F$8),8+(O658-1)*3),0.3*S658-VLOOKUP(B646,INDIRECT($F$8),6+(O658-1)*3)),11),IF(0.3*S658-VLOOKUP(B646,INDIRECT($F$8),6+(O658-1)*3)&lt;=5,0.3*S658-VLOOKUP(B646,INDIRECT($F$8),6+(O658-1)*3),11)),IF(VLOOKUP(B646,INDIRECT($F$8),8+(O658-1)*3)&lt;U658*0.4,IF(U658*0.4-VLOOKUP(B646,INDIRECT($F$8),8+(O658-1)*3)&lt;=5,U658*0.4-VLOOKUP(B646,INDIRECT($F$8),8+(O658-1)*3),11),0))))</f>
        <v>0</v>
      </c>
      <c r="X658" s="1" t="str">
        <f ca="1">IF(ISERROR(F646),"",IF(W658=0,"",_xlfn.TEXTJOIN("",FALSE," G+",W658," in ",A658)))</f>
        <v/>
      </c>
    </row>
    <row r="659" spans="1:24" ht="12.5" customHeight="1" x14ac:dyDescent="0.2">
      <c r="A659" s="7" t="str">
        <f ca="1">IF(ISERROR(F646),"",VLOOKUP(C646,INDIRECT($F$8),6+(O659-1)*3,0))</f>
        <v>MEP 003</v>
      </c>
      <c r="B659" s="24" t="str">
        <f ca="1">IF(ISERROR(F646),"",VLOOKUP(D646,INDIRECT($F$8),6+(O659-1)*3-Z659,0))</f>
        <v>Workshop Practices Lab</v>
      </c>
      <c r="C659" s="24"/>
      <c r="D659" s="24"/>
      <c r="E659" s="24"/>
      <c r="F659" s="7">
        <f ca="1">IF(ISERROR(F646),"",VLOOKUP(E646,INDIRECT($F$8),6+(O659-1)*3,0))</f>
        <v>2</v>
      </c>
      <c r="G659" s="25" t="str">
        <f ca="1">IF(ISERROR(F646),"",_xlfn.TEXTJOIN("/",FALSE,P659,S659))</f>
        <v>48/50</v>
      </c>
      <c r="H659" s="25"/>
      <c r="I659" s="25" t="str">
        <f ca="1">IF(ISERROR(F646),"",_xlfn.TEXTJOIN("/",FALSE,Q659,T659))</f>
        <v>49/50</v>
      </c>
      <c r="J659" s="25"/>
      <c r="K659" s="25" t="str">
        <f ca="1">IF(ISERROR(F646),"",_xlfn.TEXTJOIN("/",FALSE,R659,U659))</f>
        <v>97/100</v>
      </c>
      <c r="L659" s="25"/>
      <c r="M659" s="7" t="str">
        <f ca="1">IF(ISERROR(F646),"",IF(ISTEXT(P659),IF(P659="A","Ab",IF(P659="D","Dt",IF(P659="UFM","UFM",IF(P659="NA","")))),IF(AND(ISBLANK(P659),ISBLANK(R659)),"",IF(P659&lt;0.3*S659,"F",IF(ISBLANK(R659),"",IF(ISTEXT(R659),R659,IF(R659&gt;=0.95*U659,"O",IF(R659&gt;=0.9*U659,"A+",IF(R659&gt;=0.85*U659,"A",IF(R659&gt;=0.8*U659,"B+",IF(R659&gt;=0.75*U659,"B",IF(R659&gt;=0.7*U659,"C+",IF(R659&gt;=0.65*U659,"C",IF(R659&gt;=0.6*U659,"D+",IF(R659&gt;=0.55*U659,"D",IF(R659&gt;=0.5*U659,"E+",IF(R659&gt;=0.45*U659,"E",IF(R659&gt;=0.4*U659,"P",IF(R659&lt;0.4*U659,"F",R659)))))))))))))))))))</f>
        <v>O</v>
      </c>
      <c r="N659" s="8">
        <f t="shared" ca="1" si="59"/>
        <v>10</v>
      </c>
      <c r="O659">
        <f t="shared" ca="1" si="60"/>
        <v>10</v>
      </c>
      <c r="P659" s="1">
        <f ca="1">IF(ISERROR(F646),"",IF(ISTEXT(VLOOKUP(B646,INDIRECT($F$8),6+(O659-1)*3)),(VLOOKUP(B646,INDIRECT($F$8),6+(O659-1)*3)),SUM(VLOOKUP(B646,INDIRECT($F$8),6+(O659-1)*3),IF(W664,W659,0))))</f>
        <v>48</v>
      </c>
      <c r="Q659" s="1">
        <f ca="1">IF(ISERROR(F646),"",VLOOKUP(B646,INDIRECT($F$8),7+(O659-1)*3))</f>
        <v>49</v>
      </c>
      <c r="R659" s="1">
        <f ca="1">IF(ISERROR(F646),"",SUM(P659:Q659))</f>
        <v>97</v>
      </c>
      <c r="S659" s="1">
        <f ca="1">IF(ISERROR(F646),"",VLOOKUP(A646,INDIRECT($F$8),6+(O659-1)*3))</f>
        <v>50</v>
      </c>
      <c r="T659" s="1">
        <f ca="1">IF(ISERROR(F646),"",VLOOKUP(A646,INDIRECT($F$8),7+(O659-1)*3))</f>
        <v>50</v>
      </c>
      <c r="U659" s="1">
        <f ca="1">IF(ISERROR(F646),"",VLOOKUP(A646,INDIRECT($F$8),8+(O659-1)*3))</f>
        <v>100</v>
      </c>
      <c r="V659" s="1" t="str">
        <f ca="1">IF(ISERROR(F646),"",IF(N659=0,A659,""))</f>
        <v/>
      </c>
      <c r="W659" s="1">
        <f ca="1">IF(ISERROR(F646),"",IF(ISTEXT(VLOOKUP(B646,INDIRECT($F$8),6+(O659-1)*3)),11,IF(VLOOKUP(B646,INDIRECT($F$8),6+(O659-1)*3)&lt;S659*0.3,IF(VLOOKUP(B646,INDIRECT($F$8),8+(O659-1)*3)&lt;U659*0.4,IF(AND(0.4*U659-VLOOKUP(B646,INDIRECT($F$8),8+(O659-1)*3)&lt;=5,0.3*S659-VLOOKUP(B646,INDIRECT($F$8),6+(O659-1)*3)&lt;=5),MAX(0.4*U659-VLOOKUP(B646,INDIRECT($F$8),8+(O659-1)*3),0.3*S659-VLOOKUP(B646,INDIRECT($F$8),6+(O659-1)*3)),11),IF(0.3*S659-VLOOKUP(B646,INDIRECT($F$8),6+(O659-1)*3)&lt;=5,0.3*S659-VLOOKUP(B646,INDIRECT($F$8),6+(O659-1)*3),11)),IF(VLOOKUP(B646,INDIRECT($F$8),8+(O659-1)*3)&lt;U659*0.4,IF(U659*0.4-VLOOKUP(B646,INDIRECT($F$8),8+(O659-1)*3)&lt;=5,U659*0.4-VLOOKUP(B646,INDIRECT($F$8),8+(O659-1)*3),11),0))))</f>
        <v>0</v>
      </c>
      <c r="X659" s="1" t="str">
        <f ca="1">IF(ISERROR(F646),"",IF(W659=0,"",_xlfn.TEXTJOIN("",FALSE," G+",W659," in ",A659)))</f>
        <v/>
      </c>
    </row>
    <row r="660" spans="1:24" ht="12.5" customHeight="1" x14ac:dyDescent="0.2">
      <c r="A660" s="7" t="str">
        <f ca="1">IF(ISERROR(F646),"",VLOOKUP(C646,INDIRECT($F$8),6+(O660-1)*3,0))</f>
        <v>AHP 004</v>
      </c>
      <c r="B660" s="24" t="str">
        <f ca="1">IF(ISERROR(F646),"",VLOOKUP(D646,INDIRECT($F$8),6+(O660-1)*3-Z660,0))</f>
        <v>Emerging Technologies in Engineering Lab</v>
      </c>
      <c r="C660" s="24"/>
      <c r="D660" s="24"/>
      <c r="E660" s="24"/>
      <c r="F660" s="7">
        <f ca="1">IF(ISERROR(F646),"",VLOOKUP(E646,INDIRECT($F$8),6+(O660-1)*3,0))</f>
        <v>1</v>
      </c>
      <c r="G660" s="25" t="str">
        <f ca="1">IF(ISERROR(F646),"",_xlfn.TEXTJOIN("/",FALSE,P660,S660))</f>
        <v>22/25</v>
      </c>
      <c r="H660" s="25"/>
      <c r="I660" s="25" t="str">
        <f ca="1">IF(ISERROR(F646),"",_xlfn.TEXTJOIN("/",FALSE,Q660,T660))</f>
        <v>22/25</v>
      </c>
      <c r="J660" s="25"/>
      <c r="K660" s="25" t="str">
        <f ca="1">IF(ISERROR(F646),"",_xlfn.TEXTJOIN("/",FALSE,R660,U660))</f>
        <v>44/50</v>
      </c>
      <c r="L660" s="25"/>
      <c r="M660" s="7" t="str">
        <f ca="1">IF(ISERROR(F646),"",IF(ISTEXT(P660),IF(P660="A","Ab",IF(P660="D","Dt",IF(P660="UFM","UFM",IF(P660="NA","")))),IF(AND(ISBLANK(P660),ISBLANK(R660)),"",IF(P660&lt;0.3*S660,"F",IF(ISBLANK(R660),"",IF(ISTEXT(R660),R660,IF(R660&gt;=0.95*U660,"O",IF(R660&gt;=0.9*U660,"A+",IF(R660&gt;=0.85*U660,"A",IF(R660&gt;=0.8*U660,"B+",IF(R660&gt;=0.75*U660,"B",IF(R660&gt;=0.7*U660,"C+",IF(R660&gt;=0.65*U660,"C",IF(R660&gt;=0.6*U660,"D+",IF(R660&gt;=0.55*U660,"D",IF(R660&gt;=0.5*U660,"E+",IF(R660&gt;=0.45*U660,"E",IF(R660&gt;=0.4*U660,"P",IF(R660&lt;0.4*U660,"F",R660)))))))))))))))))))</f>
        <v>A</v>
      </c>
      <c r="N660" s="8">
        <f t="shared" ca="1" si="59"/>
        <v>9</v>
      </c>
      <c r="O660">
        <f t="shared" ca="1" si="60"/>
        <v>11</v>
      </c>
      <c r="P660" s="1">
        <f ca="1">IF(ISERROR(F646),"",IF(ISTEXT(VLOOKUP(B646,INDIRECT($F$8),6+(O660-1)*3)),(VLOOKUP(B646,INDIRECT($F$8),6+(O660-1)*3)),SUM(VLOOKUP(B646,INDIRECT($F$8),6+(O660-1)*3),IF(W664,W660,0))))</f>
        <v>22</v>
      </c>
      <c r="Q660" s="1">
        <f ca="1">IF(ISERROR(F646),"",VLOOKUP(B646,INDIRECT($F$8),7+(O660-1)*3))</f>
        <v>22</v>
      </c>
      <c r="R660" s="1">
        <f ca="1">IF(ISERROR(F646),"",SUM(P660:Q660))</f>
        <v>44</v>
      </c>
      <c r="S660" s="1">
        <f ca="1">IF(ISERROR(F646),"",VLOOKUP(A646,INDIRECT($F$8),6+(O660-1)*3))</f>
        <v>25</v>
      </c>
      <c r="T660" s="1">
        <f ca="1">IF(ISERROR(F646),"",VLOOKUP(A646,INDIRECT($F$8),7+(O660-1)*3))</f>
        <v>25</v>
      </c>
      <c r="U660" s="1">
        <f ca="1">IF(ISERROR(F646),"",VLOOKUP(A646,INDIRECT($F$8),8+(O660-1)*3))</f>
        <v>50</v>
      </c>
      <c r="V660" s="1" t="str">
        <f ca="1">IF(ISERROR(F646),"",IF(N660=0,A660,""))</f>
        <v/>
      </c>
      <c r="W660" s="1">
        <f ca="1">IF(ISERROR(F646),"",IF(ISTEXT(VLOOKUP(B646,INDIRECT($F$8),6+(O660-1)*3)),11,IF(VLOOKUP(B646,INDIRECT($F$8),6+(O660-1)*3)&lt;S660*0.3,IF(VLOOKUP(B646,INDIRECT($F$8),8+(O660-1)*3)&lt;U660*0.4,IF(AND(0.4*U660-VLOOKUP(B646,INDIRECT($F$8),8+(O660-1)*3)&lt;=5,0.3*S660-VLOOKUP(B646,INDIRECT($F$8),6+(O660-1)*3)&lt;=5),MAX(0.4*U660-VLOOKUP(B646,INDIRECT($F$8),8+(O660-1)*3),0.3*S660-VLOOKUP(B646,INDIRECT($F$8),6+(O660-1)*3)),11),IF(0.3*S660-VLOOKUP(B646,INDIRECT($F$8),6+(O660-1)*3)&lt;=5,0.3*S660-VLOOKUP(B646,INDIRECT($F$8),6+(O660-1)*3),11)),IF(VLOOKUP(B646,INDIRECT($F$8),8+(O660-1)*3)&lt;U660*0.4,IF(U660*0.4-VLOOKUP(B646,INDIRECT($F$8),8+(O660-1)*3)&lt;=5,U660*0.4-VLOOKUP(B646,INDIRECT($F$8),8+(O660-1)*3),11),0))))</f>
        <v>0</v>
      </c>
      <c r="X660" s="1" t="str">
        <f ca="1">IF(ISERROR(F646),"",IF(W660=0,"",_xlfn.TEXTJOIN("",FALSE," G+",W660," in ",A660)))</f>
        <v/>
      </c>
    </row>
    <row r="661" spans="1:24" ht="12.5" customHeight="1" x14ac:dyDescent="0.2">
      <c r="A661" s="7" t="str">
        <f ca="1">IF(ISERROR(F646),"",VLOOKUP(C646,INDIRECT($F$8),6+(O661-1)*3,0))</f>
        <v>CSP 002</v>
      </c>
      <c r="B661" s="24" t="str">
        <f ca="1">IF(ISERROR(F646),"",VLOOKUP(D646,INDIRECT($F$8),6+(O661-1)*3,0))</f>
        <v>Computer Applications and IOT</v>
      </c>
      <c r="C661" s="24"/>
      <c r="D661" s="24"/>
      <c r="E661" s="24"/>
      <c r="F661" s="7">
        <f ca="1">IF(ISERROR(F646),"",VLOOKUP(E646,INDIRECT($F$8),6+(O661-1)*3,0))</f>
        <v>1</v>
      </c>
      <c r="G661" s="25" t="str">
        <f ca="1">IF(ISERROR(F646),"",_xlfn.TEXTJOIN("/",FALSE,P661,S661))</f>
        <v>23/25</v>
      </c>
      <c r="H661" s="25"/>
      <c r="I661" s="25" t="str">
        <f ca="1">IF(ISERROR(F646),"",_xlfn.TEXTJOIN("/",FALSE,Q661,T661))</f>
        <v>23/25</v>
      </c>
      <c r="J661" s="25"/>
      <c r="K661" s="25" t="str">
        <f ca="1">IF(ISERROR(F646),"",_xlfn.TEXTJOIN("/",FALSE,R661,U661))</f>
        <v>46/50</v>
      </c>
      <c r="L661" s="25"/>
      <c r="M661" s="7" t="str">
        <f ca="1">IF(ISERROR(F646),"",IF(ISTEXT(P661),IF(P661="A","Ab",IF(P661="D","Dt",IF(P661="UFM","UFM",IF(P661="NA","")))),IF(AND(ISBLANK(P661),ISBLANK(R661)),"",IF(P661&lt;0.3*S661,"F",IF(ISBLANK(R661),"",IF(ISTEXT(R661),R661,IF(R661&gt;=0.95*U661,"O",IF(R661&gt;=0.9*U661,"A+",IF(R661&gt;=0.85*U661,"A",IF(R661&gt;=0.8*U661,"B+",IF(R661&gt;=0.75*U661,"B",IF(R661&gt;=0.7*U661,"C+",IF(R661&gt;=0.65*U661,"C",IF(R661&gt;=0.6*U661,"D+",IF(R661&gt;=0.55*U661,"D",IF(R661&gt;=0.5*U661,"E+",IF(R661&gt;=0.45*U661,"E",IF(R661&gt;=0.4*U661,"P",IF(R661&lt;0.4*U661,"F",R661)))))))))))))))))))</f>
        <v>A+</v>
      </c>
      <c r="N661" s="8">
        <f t="shared" ca="1" si="59"/>
        <v>9.5</v>
      </c>
      <c r="O661">
        <f t="shared" ca="1" si="60"/>
        <v>12</v>
      </c>
      <c r="P661" s="1">
        <f ca="1">IF(ISERROR(F646),"",IF(ISTEXT(VLOOKUP(B646,INDIRECT($F$8),6+(O661-1)*3)),(VLOOKUP(B646,INDIRECT($F$8),6+(O661-1)*3)),SUM(VLOOKUP(B646,INDIRECT($F$8),6+(O661-1)*3),IF(W664,W661,0))))</f>
        <v>23</v>
      </c>
      <c r="Q661" s="1">
        <f ca="1">IF(ISERROR(F646),"",VLOOKUP(B646,INDIRECT($F$8),7+(O661-1)*3))</f>
        <v>23</v>
      </c>
      <c r="R661" s="1">
        <f ca="1">IF(ISERROR(F646),"",SUM(P661:Q661))</f>
        <v>46</v>
      </c>
      <c r="S661" s="1">
        <f ca="1">IF(ISERROR(F646),"",VLOOKUP(A646,INDIRECT($F$8),6+(O661-1)*3))</f>
        <v>25</v>
      </c>
      <c r="T661" s="1">
        <f ca="1">IF(ISERROR(F646),"",VLOOKUP(A646,INDIRECT($F$8),7+(O661-1)*3))</f>
        <v>25</v>
      </c>
      <c r="U661" s="1">
        <f ca="1">IF(ISERROR(F646),"",VLOOKUP(A646,INDIRECT($F$8),8+(O661-1)*3))</f>
        <v>50</v>
      </c>
      <c r="V661" s="1" t="str">
        <f ca="1">IF(ISERROR(F646),"",IF(N661=0,A661,""))</f>
        <v/>
      </c>
      <c r="W661" s="1">
        <f ca="1">IF(ISERROR(F646),"",IF(ISTEXT(VLOOKUP(B646,INDIRECT($F$8),6+(O661-1)*3)),11,IF(VLOOKUP(B646,INDIRECT($F$8),6+(O661-1)*3)&lt;S661*0.3,IF(VLOOKUP(B646,INDIRECT($F$8),8+(O661-1)*3)&lt;U661*0.4,IF(AND(0.4*U661-VLOOKUP(B646,INDIRECT($F$8),8+(O661-1)*3)&lt;=5,0.3*S661-VLOOKUP(B646,INDIRECT($F$8),6+(O661-1)*3)&lt;=5),MAX(0.4*U661-VLOOKUP(B646,INDIRECT($F$8),8+(O661-1)*3),0.3*S661-VLOOKUP(B646,INDIRECT($F$8),6+(O661-1)*3)),11),IF(0.3*S661-VLOOKUP(B646,INDIRECT($F$8),6+(O661-1)*3)&lt;=5,0.3*S661-VLOOKUP(B646,INDIRECT($F$8),6+(O661-1)*3),11)),IF(VLOOKUP(B646,INDIRECT($F$8),8+(O661-1)*3)&lt;U661*0.4,IF(U661*0.4-VLOOKUP(B646,INDIRECT($F$8),8+(O661-1)*3)&lt;=5,U661*0.4-VLOOKUP(B646,INDIRECT($F$8),8+(O661-1)*3),11),0))))</f>
        <v>0</v>
      </c>
      <c r="X661" s="1" t="str">
        <f ca="1">IF(ISERROR(F646),"",IF(W661=0,"",_xlfn.TEXTJOIN("",FALSE," G+",W661," in ",A661)))</f>
        <v/>
      </c>
    </row>
    <row r="662" spans="1:24" ht="12.5" customHeight="1" x14ac:dyDescent="0.2">
      <c r="A662" s="7" t="str">
        <f ca="1">IF(ISERROR(F646),"",VLOOKUP(C646,INDIRECT($F$8),6+(O662-1)*3,0))</f>
        <v>AHP 006</v>
      </c>
      <c r="B662" s="24" t="str">
        <f ca="1">IF(ISERROR(F646),"",VLOOKUP(D646,INDIRECT($F$8),6+(O662-1)*3,0))</f>
        <v>English Language Lab ($)</v>
      </c>
      <c r="C662" s="24"/>
      <c r="D662" s="24"/>
      <c r="E662" s="24"/>
      <c r="F662" s="7">
        <f ca="1">IF(ISERROR(F646),"",VLOOKUP(E646,INDIRECT($F$8),6+(O662-1)*3,0))</f>
        <v>0</v>
      </c>
      <c r="G662" s="25" t="str">
        <f ca="1">IF(ISERROR(F646),"",_xlfn.TEXTJOIN("/",FALSE,P662,S662))</f>
        <v>17/25</v>
      </c>
      <c r="H662" s="25"/>
      <c r="I662" s="25" t="str">
        <f ca="1">IF(ISERROR(F646),"",_xlfn.TEXTJOIN("/",FALSE,Q662,T662))</f>
        <v>34/50</v>
      </c>
      <c r="J662" s="25"/>
      <c r="K662" s="25" t="str">
        <f ca="1">IF(ISERROR(F646),"",_xlfn.TEXTJOIN("/",FALSE,R662,U662))</f>
        <v>51/75</v>
      </c>
      <c r="L662" s="25"/>
      <c r="M662" s="7" t="str">
        <f ca="1">IF(ISERROR(F646),"",IF(ISTEXT(P662),IF(P662="A","Ab",IF(P662="D","Dt",IF(P662="UFM","UFM",IF(P662="NA","")))),IF(AND(ISBLANK(P662),ISBLANK(R662)),"",IF(P662&lt;0.3*S662,"F",IF(ISBLANK(R662),"",IF(ISTEXT(R662),R662,IF(R662&gt;=0.95*U662,"O",IF(R662&gt;=0.9*U662,"A+",IF(R662&gt;=0.85*U662,"A",IF(R662&gt;=0.8*U662,"B+",IF(R662&gt;=0.75*U662,"B",IF(R662&gt;=0.7*U662,"C+",IF(R662&gt;=0.65*U662,"C",IF(R662&gt;=0.6*U662,"D+",IF(R662&gt;=0.55*U662,"D",IF(R662&gt;=0.5*U662,"E+",IF(R662&gt;=0.45*U662,"E",IF(R662&gt;=0.4*U662,"P",IF(R662&lt;0.4*U662,"F",R662)))))))))))))))))))</f>
        <v>C</v>
      </c>
      <c r="N662" s="8">
        <f ca="1">INDEX($Z$2:$Z$17,MATCH(M662,$Y$2:$Y$17,0))</f>
        <v>7</v>
      </c>
      <c r="O662">
        <f t="shared" ca="1" si="60"/>
        <v>13</v>
      </c>
      <c r="P662" s="1">
        <f ca="1">IF(ISERROR(F646),"",IF(ISTEXT(VLOOKUP(B646,INDIRECT($F$8),6+(O662-1)*3)),(VLOOKUP(B646,INDIRECT($F$8),6+(O662-1)*3)),SUM(VLOOKUP(B646,INDIRECT($F$8),6+(O662-1)*3),IF(W664,W662,0))))</f>
        <v>17</v>
      </c>
      <c r="Q662" s="1">
        <f ca="1">IF(ISERROR(F646),"",VLOOKUP(B646,INDIRECT($F$8),7+(O662-1)*3))</f>
        <v>34</v>
      </c>
      <c r="R662" s="1">
        <f ca="1">IF(ISERROR(F646),"",SUM(P662:Q662))</f>
        <v>51</v>
      </c>
      <c r="S662" s="1">
        <f ca="1">IF(ISERROR(F646),"",VLOOKUP(A646,INDIRECT($F$8),6+(O662-1)*3))</f>
        <v>25</v>
      </c>
      <c r="T662" s="1">
        <f ca="1">IF(ISERROR(F646),"",VLOOKUP(A646,INDIRECT($F$8),7+(O662-1)*3))</f>
        <v>50</v>
      </c>
      <c r="U662" s="1">
        <f ca="1">IF(ISERROR(F646),"",VLOOKUP(A646,INDIRECT($F$8),8+(O662-1)*3))</f>
        <v>75</v>
      </c>
      <c r="V662" s="1"/>
      <c r="W662" s="1">
        <f ca="1">IF(ISERROR(F646),"",IF(ISTEXT(VLOOKUP(B646,INDIRECT($F$8),6+(O662-1)*3)),11,IF(VLOOKUP(B646,INDIRECT($F$8),6+(O662-1)*3)&lt;S662*0.3,IF(VLOOKUP(B646,INDIRECT($F$8),8+(O662-1)*3)&lt;U662*0.4,IF(AND(0.4*U662-VLOOKUP(B646,INDIRECT($F$8),8+(O662-1)*3)&lt;=5,0.3*S662-VLOOKUP(B646,INDIRECT($F$8),6+(O662-1)*3)&lt;=5),MAX(0.4*U662-VLOOKUP(B646,INDIRECT($F$8),8+(O662-1)*3),0.3*S662-VLOOKUP(B646,INDIRECT($F$8),6+(O662-1)*3)),11),IF(0.3*S662-VLOOKUP(B646,INDIRECT($F$8),6+(O662-1)*3)&lt;=5,0.3*S662-VLOOKUP(B646,INDIRECT($F$8),6+(O662-1)*3),11)),IF(VLOOKUP(B646,INDIRECT($F$8),8+(O662-1)*3)&lt;U662*0.4,IF(U662*0.4-VLOOKUP(B646,INDIRECT($F$8),8+(O662-1)*3)&lt;=5,U662*0.4-VLOOKUP(B646,INDIRECT($F$8),8+(O662-1)*3),11),0))))</f>
        <v>0</v>
      </c>
      <c r="X662" s="1" t="str">
        <f ca="1">IF(ISERROR(F646),"",IF(W662=0,"",_xlfn.TEXTJOIN("",FALSE," G+",W662," in ",A662)))</f>
        <v/>
      </c>
    </row>
    <row r="663" spans="1:24" ht="12.5" customHeight="1" x14ac:dyDescent="0.2">
      <c r="A663" s="7" t="str">
        <f ca="1">IF(ISERROR(F646),"",VLOOKUP(C646,INDIRECT($F$8),6+(O663-1)*3-Y663,0))</f>
        <v>GP 01</v>
      </c>
      <c r="B663" s="24" t="str">
        <f ca="1">IF(ISERROR(F646),"",VLOOKUP(D646,INDIRECT($F$8),6+(O663-1)*3-Z663,0))</f>
        <v>General Proficiency ($)</v>
      </c>
      <c r="C663" s="24"/>
      <c r="D663" s="24"/>
      <c r="E663" s="24"/>
      <c r="F663" s="7">
        <f ca="1">IF(ISERROR(F646),"",VLOOKUP(E646,INDIRECT($F$8),6+(O663-1)*3-AA663,0))</f>
        <v>0</v>
      </c>
      <c r="G663" s="25" t="str">
        <f ca="1">IF(ISERROR(F646),"","-")</f>
        <v>-</v>
      </c>
      <c r="H663" s="25"/>
      <c r="I663" s="25" t="str">
        <f ca="1">IF(ISERROR(F646),"",_xlfn.TEXTJOIN("/",FALSE,Q663,T663))</f>
        <v>47/50</v>
      </c>
      <c r="J663" s="25"/>
      <c r="K663" s="25" t="str">
        <f ca="1">IF(ISERROR(F646),"",_xlfn.TEXTJOIN("/",FALSE,R663,U663))</f>
        <v>47/50</v>
      </c>
      <c r="L663" s="25"/>
      <c r="M663" s="25" t="str">
        <f ca="1">IF(ISBLANK(R663),"",IF(ISTEXT(R663),R663,IF(R663&gt;=0.8*U663,"Excellent",IF(R663&gt;=0.6*U663,"Very Good",IF(R663&gt;=0.4*U663,"Good",IF(R663&gt;=0.2*U663,"Satisfactory","Average"))))))</f>
        <v>Excellent</v>
      </c>
      <c r="N663" s="25"/>
      <c r="O663">
        <f t="shared" ca="1" si="60"/>
        <v>14</v>
      </c>
      <c r="P663" s="1">
        <f ca="1">IF(ISERROR(F646),"",IF(ISTEXT(VLOOKUP(B\28,INDIRECT($F$8),6+(O663-1)*3)),(VLOOKUP(B646,INDIRECT($F$8),6+(O663-1)*3)),SUM(VLOOKUP(B646,INDIRECT($F$8),6+(O663-1)*3),IF(W664,W664,0))))</f>
        <v>0</v>
      </c>
      <c r="Q663" s="1">
        <f ca="1">IF(ISERROR(F646),"",VLOOKUP(B646,INDIRECT($F$8),7+(O663-1)*3))</f>
        <v>47</v>
      </c>
      <c r="R663" s="1">
        <f ca="1">IF(ISERROR(F646),"",SUM(P663:Q663))</f>
        <v>47</v>
      </c>
      <c r="S663" s="1">
        <f ca="1">IF(ISERROR(F646),"",VLOOKUP(A646,INDIRECT($F$8),6+(O663-1)*3))</f>
        <v>0</v>
      </c>
      <c r="T663" s="1">
        <f ca="1">IF(ISERROR(F646),"",VLOOKUP(A646,INDIRECT($F$8),7+(O663-1)*3))</f>
        <v>50</v>
      </c>
      <c r="U663" s="1">
        <f ca="1">IF(ISERROR(F646),"",VLOOKUP(A646,INDIRECT($F$8),8+(O663-1)*3))</f>
        <v>50</v>
      </c>
      <c r="V663" s="1"/>
      <c r="W663" s="1"/>
      <c r="X663" s="1" t="str">
        <f ca="1">IF(ISERROR(F646),"",IF(W663=0,"",_xlfn.TEXTJOIN("",FALSE," G+",W663," in ",A663)))</f>
        <v/>
      </c>
    </row>
    <row r="664" spans="1:24" ht="12.5" customHeight="1" x14ac:dyDescent="0.2">
      <c r="A664" s="26" t="str">
        <f ca="1">IF(ISERROR(F646),"",A642)</f>
        <v>Total Credits/ Marks/ Total Grade Points</v>
      </c>
      <c r="B664" s="26"/>
      <c r="C664" s="26"/>
      <c r="D664" s="26"/>
      <c r="E664" s="26"/>
      <c r="F664" s="10">
        <f ca="1">IF(ISERROR(F646),"",SUM(F651:F662))</f>
        <v>23</v>
      </c>
      <c r="G664" s="27" t="str">
        <f ca="1">IF(ISERROR(F646),"",_xlfn.TEXTJOIN("/",TRUE,SUMIF(F651:F663,"&gt;0",P651:P663),SUMIF(F651:F663,"&gt;0",S651:S663)))</f>
        <v>277/575</v>
      </c>
      <c r="H664" s="27"/>
      <c r="I664" s="27" t="str">
        <f ca="1">IF(ISERROR(F646),"",_xlfn.TEXTJOIN("/",TRUE,SUMIF(F651:F663,"&gt;0",Q651:Q663),SUMIF(F651:F663,"&gt;0",T651:T663)))</f>
        <v>279/375</v>
      </c>
      <c r="J664" s="27"/>
      <c r="K664" s="27" t="str">
        <f ca="1">IF(ISERROR(F646),"",_xlfn.TEXTJOIN("/",TRUE,SUMIF(F651:F663,"&gt;0",R651:R663),SUMIF(F651:F663,"&gt;0",U651:U663)))</f>
        <v>556/950</v>
      </c>
      <c r="L664" s="27"/>
      <c r="M664" s="26">
        <f ca="1">IF(ISERROR(F646),"",SUMPRODUCT(N651:N662,F651:F662))</f>
        <v>128</v>
      </c>
      <c r="N664" s="26"/>
      <c r="V664" s="1" t="str">
        <f ca="1">IF(ISERROR(F646),"",_xlfn.TEXTJOIN(", ",TRUE,V651:V663))</f>
        <v>AHT 003</v>
      </c>
      <c r="W664" t="b">
        <f ca="1">IF(ISERROR(F646),"",IF(SUM(W651:W663)&lt;=W650,TRUE,FALSE))</f>
        <v>0</v>
      </c>
      <c r="X664" s="1" t="str">
        <f ca="1">IF(ISERROR(F646),"",_xlfn.TEXTJOIN(",",TRUE,X651:X663))</f>
        <v xml:space="preserve"> G+11 in AHT 003</v>
      </c>
    </row>
    <row r="665" spans="1:24" ht="12.5" customHeight="1" x14ac:dyDescent="0.2">
      <c r="A665" s="26" t="str">
        <f ca="1">IF(ISERROR(F646),"",A643)</f>
        <v>Result:</v>
      </c>
      <c r="B665" s="28" t="str" cm="1">
        <f t="array" aca="1" ref="B665" ca="1">IF(SUM(COUNTIF(M651:M662,{"Ab","Dt"}))=12, "Not Promoted to IInd Semester", IF(V664="", "PASS", "CARRY OVER"))</f>
        <v>CARRY OVER</v>
      </c>
      <c r="C665" s="28"/>
      <c r="D665" s="26" t="str">
        <f ca="1">IF(ISERROR(F646),"",D643)</f>
        <v>Remark:</v>
      </c>
      <c r="E665" s="28" t="str">
        <f ca="1">IF(ISERROR(F646),"",IF(V664="",IF(X664="","",X664),_xlfn.TEXTJOIN(" ",TRUE,"BACK IN",V664)))</f>
        <v>BACK IN AHT 003</v>
      </c>
      <c r="F665" s="28"/>
      <c r="G665" s="26" t="str">
        <f ca="1">IF(ISERROR(F646),"",G643)</f>
        <v>SGPA:</v>
      </c>
      <c r="H665" s="29">
        <f ca="1">IF(ISERROR(F646),"",M664/F664)</f>
        <v>5.5652173913043477</v>
      </c>
      <c r="I665" s="26" t="str">
        <f ca="1">IF(ISERROR(F646),"",I643)</f>
        <v>CGPA:</v>
      </c>
      <c r="J665" s="29">
        <f ca="1">IF(ISERROR(F646),"",VLOOKUP(B646,INDIRECT($F$8),12+(O663-1)*3,0))</f>
        <v>5.5652173913043477</v>
      </c>
      <c r="K665" s="28" t="str">
        <f ca="1">IF(ISERROR(F646),"",K643)</f>
        <v>Earned Credits:</v>
      </c>
      <c r="L665" s="26">
        <f ca="1">IF(ISERROR(F646),"",SUMIF(N651:N662,"&gt;0",F651:F662))</f>
        <v>19</v>
      </c>
      <c r="M665" s="28" t="str">
        <f ca="1">IF(ISERROR(F646),"",M643)</f>
        <v>Cuml. Earned Credits:</v>
      </c>
      <c r="N665" s="26">
        <f ca="1">IF(ISERROR(F646),"",VLOOKUP(B646,INDIRECT($F$8),10+(O663-1)*3,0))</f>
        <v>19</v>
      </c>
    </row>
    <row r="666" spans="1:24" ht="12.5" customHeight="1" x14ac:dyDescent="0.2">
      <c r="A666" s="26"/>
      <c r="B666" s="28"/>
      <c r="C666" s="28"/>
      <c r="D666" s="26"/>
      <c r="E666" s="28"/>
      <c r="F666" s="28"/>
      <c r="G666" s="26"/>
      <c r="H666" s="29"/>
      <c r="I666" s="26"/>
      <c r="J666" s="29"/>
      <c r="K666" s="28"/>
      <c r="L666" s="26"/>
      <c r="M666" s="28"/>
      <c r="N666" s="26"/>
    </row>
    <row r="667" spans="1:24" ht="12.5" customHeight="1" x14ac:dyDescent="0.2">
      <c r="A667" s="26"/>
      <c r="B667" s="28"/>
      <c r="C667" s="28"/>
      <c r="D667" s="26"/>
      <c r="E667" s="28"/>
      <c r="F667" s="28"/>
      <c r="G667" s="26"/>
      <c r="H667" s="29"/>
      <c r="I667" s="26"/>
      <c r="J667" s="29"/>
      <c r="K667" s="28"/>
      <c r="L667" s="26"/>
      <c r="M667" s="28"/>
      <c r="N667" s="26"/>
    </row>
    <row r="668" spans="1:24" ht="12.5" customHeight="1" x14ac:dyDescent="0.2">
      <c r="A668" s="11" t="str">
        <f>A646</f>
        <v>MM</v>
      </c>
      <c r="B668" s="11">
        <f>B646+1</f>
        <v>31</v>
      </c>
      <c r="C668" s="11" t="str">
        <f>C646</f>
        <v>SC</v>
      </c>
      <c r="D668" s="11" t="str">
        <f>D646</f>
        <v>SN</v>
      </c>
      <c r="E668" s="11" t="str">
        <f>E646</f>
        <v>C</v>
      </c>
      <c r="F668" s="11" t="str">
        <f ca="1">VLOOKUP(B668,INDIRECT($F$8),4,0)</f>
        <v>SHUBHAM PUROHIT</v>
      </c>
    </row>
    <row r="669" spans="1:24" ht="12.5" customHeight="1" x14ac:dyDescent="0.2">
      <c r="A669" s="30" t="str">
        <f ca="1">IF(ISERROR(F668),"",A647)</f>
        <v>Name:</v>
      </c>
      <c r="B669" s="30" t="str">
        <f ca="1">IFERROR(VLOOKUP(B668,INDIRECT($F$8),4,0),"")</f>
        <v>SHUBHAM PUROHIT</v>
      </c>
      <c r="C669" s="30"/>
      <c r="D669" s="30" t="str">
        <f ca="1">IF(ISERROR(F668),"",D647)</f>
        <v>Father's Name:</v>
      </c>
      <c r="E669" s="30" t="str">
        <f ca="1">IFERROR(VLOOKUP(B668,INDIRECT($F$8),5,0),"")</f>
        <v>BHASKARANAND PUROHIT</v>
      </c>
      <c r="F669" s="30"/>
      <c r="G669" s="30" t="str">
        <f ca="1">IF(ISERROR(F668),"",G647)</f>
        <v>University Roll No:</v>
      </c>
      <c r="H669" s="30"/>
      <c r="I669" s="31">
        <f ca="1">IFERROR(VLOOKUP(B668,INDIRECT($F$8),2,0),"")</f>
        <v>250090120032</v>
      </c>
      <c r="J669" s="31"/>
      <c r="K669" s="30" t="str">
        <f ca="1">IF(ISERROR(F668),"",K647)</f>
        <v>University Enrol. No:</v>
      </c>
      <c r="L669" s="30"/>
      <c r="M669" s="31" t="str">
        <f ca="1">IFERROR(VLOOKUP(B668,INDIRECT($F$8),3,0),"")</f>
        <v>UTU/2501103648</v>
      </c>
      <c r="N669" s="31"/>
    </row>
    <row r="670" spans="1:24" ht="12.5" customHeight="1" x14ac:dyDescent="0.2">
      <c r="A670" s="30"/>
      <c r="B670" s="30"/>
      <c r="C670" s="30"/>
      <c r="D670" s="30"/>
      <c r="E670" s="30"/>
      <c r="F670" s="30"/>
      <c r="G670" s="30"/>
      <c r="H670" s="30"/>
      <c r="I670" s="31"/>
      <c r="J670" s="31"/>
      <c r="K670" s="30"/>
      <c r="L670" s="30"/>
      <c r="M670" s="31"/>
      <c r="N670" s="31"/>
    </row>
    <row r="671" spans="1:24" ht="12.5" customHeight="1" x14ac:dyDescent="0.2">
      <c r="A671" s="28" t="str">
        <f ca="1">IF(ISERROR(F668),"",A649)</f>
        <v>Subject Code</v>
      </c>
      <c r="B671" s="28" t="str">
        <f ca="1">IF(ISERROR(F668),"",B649)</f>
        <v>Subject Name</v>
      </c>
      <c r="C671" s="28"/>
      <c r="D671" s="28"/>
      <c r="E671" s="28"/>
      <c r="F671" s="28" t="str">
        <f ca="1">IF(ISERROR(F668),"",F649)</f>
        <v>Credits</v>
      </c>
      <c r="G671" s="28" t="str">
        <f ca="1">IF(ISERROR(F668),"",G649)</f>
        <v>External Marks</v>
      </c>
      <c r="H671" s="28"/>
      <c r="I671" s="28" t="str">
        <f ca="1">IF(ISERROR(F668),"",I649)</f>
        <v>Sessional Marks</v>
      </c>
      <c r="J671" s="28"/>
      <c r="K671" s="28" t="str">
        <f ca="1">IF(ISERROR(F668),"",K649)</f>
        <v>Total Marks</v>
      </c>
      <c r="L671" s="28"/>
      <c r="M671" s="28" t="str">
        <f ca="1">IF(ISERROR(F668),"",M649)</f>
        <v>Grade</v>
      </c>
      <c r="N671" s="28" t="str">
        <f ca="1">IF(ISERROR(F668),"",N649)</f>
        <v>Grade Points</v>
      </c>
    </row>
    <row r="672" spans="1:24" ht="12.5" customHeight="1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W672">
        <f ca="1">IF(ISNUMBER(MATCH($F$8,{"I","III","V","VII"},0)),10,10-INDEX(INDIRECT(_xlfn.TEXTJOIN("",TRUE,"SEM_",$G$8,"!",ADDRESS(6,4+$I$8*3+4),":",ADDRESS(5+$H$8,4+$I$8*3+4))),MATCH(INDIRECT(_xlfn.TEXTJOIN("",TRUE,"TC_",$F$8,"!",ADDRESS(ROW(I669),COLUMN(I669)))),INDIRECT(_xlfn.TEXTJOIN("",TRUE,"SEM_",$G$8,"!",ADDRESS(6,2),":",ADDRESS(5+$H$8,2))))))</f>
        <v>10</v>
      </c>
    </row>
    <row r="673" spans="1:24" ht="12.5" customHeight="1" x14ac:dyDescent="0.2">
      <c r="A673" s="7" t="str">
        <f ca="1">IF(ISERROR(F668),"",VLOOKUP(C668,INDIRECT($F$8),6+(O673-1)*3,0))</f>
        <v>AHT 002</v>
      </c>
      <c r="B673" s="24" t="str">
        <f ca="1">IF(ISERROR(F668),"",VLOOKUP(D668,INDIRECT($F$8),6+(O673-1)*3,0))</f>
        <v>Engineering Chemistry</v>
      </c>
      <c r="C673" s="24"/>
      <c r="D673" s="24"/>
      <c r="E673" s="24"/>
      <c r="F673" s="7">
        <f ca="1">IF(ISERROR(F668),"",VLOOKUP(E668,INDIRECT($F$8),6+(O673-1)*3,0))</f>
        <v>4</v>
      </c>
      <c r="G673" s="25" t="str">
        <f ca="1">IF(ISERROR(F668),"",_xlfn.TEXTJOIN("/",FALSE,P673,S673))</f>
        <v>35/100</v>
      </c>
      <c r="H673" s="25"/>
      <c r="I673" s="25" t="str">
        <f ca="1">IF(ISERROR(F668),"",_xlfn.TEXTJOIN("/",FALSE,Q673,T673))</f>
        <v>32/50</v>
      </c>
      <c r="J673" s="25"/>
      <c r="K673" s="25" t="str">
        <f ca="1">IF(ISERROR(F668),"",_xlfn.TEXTJOIN("/",FALSE,R673,U673))</f>
        <v>67/150</v>
      </c>
      <c r="L673" s="25"/>
      <c r="M673" s="7" t="str">
        <f ca="1">IF(ISERROR(F668)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P</v>
      </c>
      <c r="N673" s="8">
        <f ca="1">INDEX($Z$2:$Z$17,MATCH(M673,$Y$2:$Y$17,0))</f>
        <v>4.5</v>
      </c>
      <c r="O673">
        <v>1</v>
      </c>
      <c r="P673" s="1">
        <f ca="1">IF(ISERROR(F668),"",IF(ISTEXT(VLOOKUP(B668,INDIRECT($F$8),6+(O673-1)*3)),(VLOOKUP(B668,INDIRECT($F$8),6+(O673-1)*3)),SUM(VLOOKUP(B668,INDIRECT($F$8),6+(O673-1)*3),IF(W686,W673,0))))</f>
        <v>35</v>
      </c>
      <c r="Q673" s="1">
        <f ca="1">IF(ISERROR(F668),"",VLOOKUP(B668,INDIRECT($F$8),7+(O673-1)*3))</f>
        <v>32</v>
      </c>
      <c r="R673" s="1">
        <f ca="1">IF(ISERROR(F668),"",SUM(P673:Q673))</f>
        <v>67</v>
      </c>
      <c r="S673" s="1">
        <f ca="1">IF(ISERROR(F668),"",VLOOKUP(A668,INDIRECT($F$8),6+(O673-1)*3))</f>
        <v>100</v>
      </c>
      <c r="T673" s="1">
        <f ca="1">IF(ISERROR(F668),"",VLOOKUP(A668,INDIRECT($F$8),7+(O673-1)*3))</f>
        <v>50</v>
      </c>
      <c r="U673" s="1">
        <f ca="1">IF(ISERROR(F668),"",VLOOKUP(A668,INDIRECT($F$8),8+(O673-1)*3))</f>
        <v>150</v>
      </c>
      <c r="V673" s="1" t="str">
        <f ca="1">IF(ISERROR(F668),"",IF(N673=0,A673,""))</f>
        <v/>
      </c>
      <c r="W673" s="1">
        <f ca="1">IF(ISERROR(F668),"",IF(ISTEXT(VLOOKUP(B668,INDIRECT($F$8),6+(O673-1)*3)),11,IF(VLOOKUP(B668,INDIRECT($F$8),6+(O673-1)*3)&lt;S673*0.3,IF(VLOOKUP(B668,INDIRECT($F$8),8+(O673-1)*3)&lt;U673*0.4,IF(AND(0.4*U673-VLOOKUP(B668,INDIRECT($F$8),8+(O673-1)*3)&lt;=5,0.3*S673-VLOOKUP(B668,INDIRECT($F$8),6+(O673-1)*3)&lt;=5),MAX(0.4*U673-VLOOKUP(B668,INDIRECT($F$8),8+(O673-1)*3),0.3*S673-VLOOKUP(B668,INDIRECT($F$8),6+(O673-1)*3)),11),IF(0.3*S673-VLOOKUP(B668,INDIRECT($F$8),6+(O673-1)*3)&lt;=5,0.3*S673-VLOOKUP(B668,INDIRECT($F$8),6+(O673-1)*3),11)),IF(VLOOKUP(B668,INDIRECT($F$8),8+(O673-1)*3)&lt;U673*0.4,IF(U673*0.4-VLOOKUP(B668,INDIRECT($F$8),8+(O673-1)*3)&lt;=5,U673*0.4-VLOOKUP(B668,INDIRECT($F$8),8+(O673-1)*3),11),0))))</f>
        <v>0</v>
      </c>
      <c r="X673" s="1" t="str">
        <f ca="1">IF(ISERROR(F668),"",IF(W673=0,"",_xlfn.TEXTJOIN("",FALSE," G+",W673," in ",A673)))</f>
        <v/>
      </c>
    </row>
    <row r="674" spans="1:24" ht="12.5" customHeight="1" x14ac:dyDescent="0.2">
      <c r="A674" s="7" t="str">
        <f ca="1">IF(ISERROR(F668),"",VLOOKUP(C668,INDIRECT($F$8),6+(O674-1)*3,0))</f>
        <v>AHT 003</v>
      </c>
      <c r="B674" s="24" t="str">
        <f ca="1">IF(ISERROR(F668),"",VLOOKUP(D668,INDIRECT($F$8),6+(O674-1)*3,0))</f>
        <v>Introduction to Engineering Mathematics</v>
      </c>
      <c r="C674" s="24"/>
      <c r="D674" s="24"/>
      <c r="E674" s="24"/>
      <c r="F674" s="7">
        <f ca="1">IF(ISERROR(F668),"",VLOOKUP(E668,INDIRECT($F$8),6+(O674-1)*3,0))</f>
        <v>4</v>
      </c>
      <c r="G674" s="25" t="str">
        <f ca="1">IF(ISERROR(F668),"",_xlfn.TEXTJOIN("/",FALSE,P674,S674))</f>
        <v>8/100</v>
      </c>
      <c r="H674" s="25"/>
      <c r="I674" s="25" t="str">
        <f ca="1">IF(ISERROR(F668),"",_xlfn.TEXTJOIN("/",FALSE,Q674,T674))</f>
        <v>17/50</v>
      </c>
      <c r="J674" s="25"/>
      <c r="K674" s="25" t="str">
        <f ca="1">IF(ISERROR(F668),"",_xlfn.TEXTJOIN("/",FALSE,R674,U674))</f>
        <v>25/150</v>
      </c>
      <c r="L674" s="25"/>
      <c r="M674" s="7" t="str">
        <f ca="1">IF(ISERROR(F668)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F</v>
      </c>
      <c r="N674" s="8">
        <f t="shared" ref="N674:N683" ca="1" si="61">INDEX($Z$2:$Z$17,MATCH(M674,$Y$2:$Y$17,0))</f>
        <v>0</v>
      </c>
      <c r="O674">
        <f>O673+1</f>
        <v>2</v>
      </c>
      <c r="P674" s="1">
        <f ca="1">IF(ISERROR(F668),"",IF(ISTEXT(VLOOKUP(B668,INDIRECT($F$8),6+(O674-1)*3)),(VLOOKUP(B668,INDIRECT($F$8),6+(O674-1)*3)),SUM(VLOOKUP(B668,INDIRECT($F$8),6+(O674-1)*3),IF(W686,W674,0))))</f>
        <v>8</v>
      </c>
      <c r="Q674" s="1">
        <f ca="1">IF(ISERROR(F668),"",VLOOKUP(B668,INDIRECT($F$8),7+(O674-1)*3))</f>
        <v>17</v>
      </c>
      <c r="R674" s="1">
        <f ca="1">IF(ISERROR(F668),"",SUM(P674:Q674))</f>
        <v>25</v>
      </c>
      <c r="S674" s="1">
        <f ca="1">IF(ISERROR(F668),"",VLOOKUP(A668,INDIRECT($F$8),6+(O674-1)*3))</f>
        <v>100</v>
      </c>
      <c r="T674" s="1">
        <f ca="1">IF(ISERROR(F668),"",VLOOKUP(A668,INDIRECT($F$8),7+(O674-1)*3))</f>
        <v>50</v>
      </c>
      <c r="U674" s="1">
        <f ca="1">IF(ISERROR(F668),"",VLOOKUP(A668,INDIRECT($F$8),8+(O674-1)*3))</f>
        <v>150</v>
      </c>
      <c r="V674" s="1" t="str">
        <f ca="1">IF(ISERROR(F668),"",IF(N674=0,A674,""))</f>
        <v>AHT 003</v>
      </c>
      <c r="W674" s="1">
        <f ca="1">IF(ISERROR(F668),"",IF(ISTEXT(VLOOKUP(B668,INDIRECT($F$8),6+(O674-1)*3)),11,IF(VLOOKUP(B668,INDIRECT($F$8),6+(O674-1)*3)&lt;S674*0.3,IF(VLOOKUP(B668,INDIRECT($F$8),8+(O674-1)*3)&lt;U674*0.4,IF(AND(0.4*U674-VLOOKUP(B668,INDIRECT($F$8),8+(O674-1)*3)&lt;=5,0.3*S674-VLOOKUP(B668,INDIRECT($F$8),6+(O674-1)*3)&lt;=5),MAX(0.4*U674-VLOOKUP(B668,INDIRECT($F$8),8+(O674-1)*3),0.3*S674-VLOOKUP(B668,INDIRECT($F$8),6+(O674-1)*3)),11),IF(0.3*S674-VLOOKUP(B668,INDIRECT($F$8),6+(O674-1)*3)&lt;=5,0.3*S674-VLOOKUP(B668,INDIRECT($F$8),6+(O674-1)*3),11)),IF(VLOOKUP(B668,INDIRECT($F$8),8+(O674-1)*3)&lt;U674*0.4,IF(U674*0.4-VLOOKUP(B668,INDIRECT($F$8),8+(O674-1)*3)&lt;=5,U674*0.4-VLOOKUP(B668,INDIRECT($F$8),8+(O674-1)*3),11),0))))</f>
        <v>11</v>
      </c>
      <c r="X674" s="1" t="str">
        <f ca="1">IF(ISERROR(F668),"",IF(W674=0,"",_xlfn.TEXTJOIN("",FALSE," G+",W674," in ",A674)))</f>
        <v xml:space="preserve"> G+11 in AHT 003</v>
      </c>
    </row>
    <row r="675" spans="1:24" ht="12.5" customHeight="1" x14ac:dyDescent="0.2">
      <c r="A675" s="7" t="str">
        <f ca="1">IF(ISERROR(F668),"",VLOOKUP(C668,INDIRECT($F$8),6+(O675-1)*3,0))</f>
        <v>ECT 001</v>
      </c>
      <c r="B675" s="24" t="str">
        <f ca="1">IF(ISERROR(F668),"",VLOOKUP(D668,INDIRECT($F$8),6+(O675-1)*3,0))</f>
        <v>Basic Electronics Engineering</v>
      </c>
      <c r="C675" s="24"/>
      <c r="D675" s="24"/>
      <c r="E675" s="24"/>
      <c r="F675" s="7">
        <f ca="1">IF(ISERROR(F668),"",VLOOKUP(E668,INDIRECT($F$8),6+(O675-1)*3,0))</f>
        <v>4</v>
      </c>
      <c r="G675" s="25" t="str">
        <f ca="1">IF(ISERROR(F668),"",_xlfn.TEXTJOIN("/",FALSE,P675,S675))</f>
        <v>36/100</v>
      </c>
      <c r="H675" s="25"/>
      <c r="I675" s="25" t="str">
        <f ca="1">IF(ISERROR(F668),"",_xlfn.TEXTJOIN("/",FALSE,Q675,T675))</f>
        <v>38/50</v>
      </c>
      <c r="J675" s="25"/>
      <c r="K675" s="25" t="str">
        <f ca="1">IF(ISERROR(F668),"",_xlfn.TEXTJOIN("/",FALSE,R675,U675))</f>
        <v>74/150</v>
      </c>
      <c r="L675" s="25"/>
      <c r="M675" s="7" t="str">
        <f ca="1">IF(ISERROR(F668),"",IF(ISTEXT(P675),IF(P675="A","Ab",IF(P675="D","Dt",IF(P675="UFM","UFM",IF(P675="NA","")))),IF(AND(ISBLANK(P675),ISBLANK(R675)),"",IF(P675&lt;0.3*S675,"F",IF(ISBLANK(R675),"",IF(ISTEXT(R675),R675,IF(R675&gt;=0.95*U675,"O",IF(R675&gt;=0.9*U675,"A+",IF(R675&gt;=0.85*U675,"A",IF(R675&gt;=0.8*U675,"B+",IF(R675&gt;=0.75*U675,"B",IF(R675&gt;=0.7*U675,"C+",IF(R675&gt;=0.65*U675,"C",IF(R675&gt;=0.6*U675,"D+",IF(R675&gt;=0.55*U675,"D",IF(R675&gt;=0.5*U675,"E+",IF(R675&gt;=0.45*U675,"E",IF(R675&gt;=0.4*U675,"P",IF(R675&lt;0.4*U675,"F",R675)))))))))))))))))))</f>
        <v>E</v>
      </c>
      <c r="N675" s="8">
        <f t="shared" ca="1" si="61"/>
        <v>5</v>
      </c>
      <c r="O675">
        <f>O674+1</f>
        <v>3</v>
      </c>
      <c r="P675" s="1">
        <f ca="1">IF(ISERROR(F668),"",IF(ISTEXT(VLOOKUP(B668,INDIRECT($F$8),6+(O675-1)*3)),(VLOOKUP(B668,INDIRECT($F$8),6+(O675-1)*3)),SUM(VLOOKUP(B668,INDIRECT($F$8),6+(O675-1)*3),IF(W686,W675,0))))</f>
        <v>36</v>
      </c>
      <c r="Q675" s="1">
        <f ca="1">IF(ISERROR(F668),"",VLOOKUP(B668,INDIRECT($F$8),7+(O675-1)*3))</f>
        <v>38</v>
      </c>
      <c r="R675" s="1">
        <f ca="1">IF(ISERROR(F668),"",SUM(P675:Q675))</f>
        <v>74</v>
      </c>
      <c r="S675" s="1">
        <f ca="1">IF(ISERROR(F668),"",VLOOKUP(A668,INDIRECT($F$8),6+(O675-1)*3))</f>
        <v>100</v>
      </c>
      <c r="T675" s="1">
        <f ca="1">IF(ISERROR(F668),"",VLOOKUP(A668,INDIRECT($F$8),7+(O675-1)*3))</f>
        <v>50</v>
      </c>
      <c r="U675" s="1">
        <f ca="1">IF(ISERROR(F668),"",VLOOKUP(A668,INDIRECT($F$8),8+(O675-1)*3))</f>
        <v>150</v>
      </c>
      <c r="V675" s="1" t="str">
        <f ca="1">IF(ISERROR(F668),"",IF(N675=0,A675,""))</f>
        <v/>
      </c>
      <c r="W675" s="1">
        <f ca="1">IF(ISERROR(F668),"",IF(ISTEXT(VLOOKUP(B668,INDIRECT($F$8),6+(O675-1)*3)),11,IF(VLOOKUP(B668,INDIRECT($F$8),6+(O675-1)*3)&lt;S675*0.3,IF(VLOOKUP(B668,INDIRECT($F$8),8+(O675-1)*3)&lt;U675*0.4,IF(AND(0.4*U675-VLOOKUP(B668,INDIRECT($F$8),8+(O675-1)*3)&lt;=5,0.3*S675-VLOOKUP(B668,INDIRECT($F$8),6+(O675-1)*3)&lt;=5),MAX(0.4*U675-VLOOKUP(B668,INDIRECT($F$8),8+(O675-1)*3),0.3*S675-VLOOKUP(B668,INDIRECT($F$8),6+(O675-1)*3)),11),IF(0.3*S675-VLOOKUP(B668,INDIRECT($F$8),6+(O675-1)*3)&lt;=5,0.3*S675-VLOOKUP(B668,INDIRECT($F$8),6+(O675-1)*3),11)),IF(VLOOKUP(B668,INDIRECT($F$8),8+(O675-1)*3)&lt;U675*0.4,IF(U675*0.4-VLOOKUP(B668,INDIRECT($F$8),8+(O675-1)*3)&lt;=5,U675*0.4-VLOOKUP(B668,INDIRECT($F$8),8+(O675-1)*3),11),0))))</f>
        <v>0</v>
      </c>
      <c r="X675" s="1" t="str">
        <f ca="1">IF(ISERROR(F668),"",IF(W675=0,"",_xlfn.TEXTJOIN("",FALSE," G+",W675," in ",A675)))</f>
        <v/>
      </c>
    </row>
    <row r="676" spans="1:24" ht="12.5" customHeight="1" x14ac:dyDescent="0.2">
      <c r="A676" s="7" t="str">
        <f ca="1">IF(ISERROR(F668),"",VLOOKUP(C668,INDIRECT($F$8),6+(O676-1)*3,0))</f>
        <v>MET 001</v>
      </c>
      <c r="B676" s="24" t="str">
        <f ca="1">IF(ISERROR(F668),"",VLOOKUP(D668,INDIRECT($F$8),6+(O676-1)*3,0))</f>
        <v>Basic Mechanical Engineering</v>
      </c>
      <c r="C676" s="24"/>
      <c r="D676" s="24"/>
      <c r="E676" s="24"/>
      <c r="F676" s="7">
        <f ca="1">IF(ISERROR(F668),"",VLOOKUP(E668,INDIRECT($F$8),6+(O676-1)*3,0))</f>
        <v>4</v>
      </c>
      <c r="G676" s="25" t="str">
        <f ca="1">IF(ISERROR(F668),"",_xlfn.TEXTJOIN("/",FALSE,P676,S676))</f>
        <v>50/100</v>
      </c>
      <c r="H676" s="25"/>
      <c r="I676" s="25" t="str">
        <f ca="1">IF(ISERROR(F668),"",_xlfn.TEXTJOIN("/",FALSE,Q676,T676))</f>
        <v>40/50</v>
      </c>
      <c r="J676" s="25"/>
      <c r="K676" s="25" t="str">
        <f ca="1">IF(ISERROR(F668),"",_xlfn.TEXTJOIN("/",FALSE,R676,U676))</f>
        <v>90/150</v>
      </c>
      <c r="L676" s="25"/>
      <c r="M676" s="7" t="str">
        <f ca="1">IF(ISERROR(F668),"",IF(ISTEXT(P676),IF(P676="A","Ab",IF(P676="D","Dt",IF(P676="UFM","UFM",IF(P676="NA","")))),IF(AND(ISBLANK(P676),ISBLANK(R676)),"",IF(P676&lt;0.3*S676,"F",IF(ISBLANK(R676),"",IF(ISTEXT(R676),R676,IF(R676&gt;=0.95*U676,"O",IF(R676&gt;=0.9*U676,"A+",IF(R676&gt;=0.85*U676,"A",IF(R676&gt;=0.8*U676,"B+",IF(R676&gt;=0.75*U676,"B",IF(R676&gt;=0.7*U676,"C+",IF(R676&gt;=0.65*U676,"C",IF(R676&gt;=0.6*U676,"D+",IF(R676&gt;=0.55*U676,"D",IF(R676&gt;=0.5*U676,"E+",IF(R676&gt;=0.45*U676,"E",IF(R676&gt;=0.4*U676,"P",IF(R676&lt;0.4*U676,"F",R676)))))))))))))))))))</f>
        <v>D+</v>
      </c>
      <c r="N676" s="8">
        <f t="shared" ca="1" si="61"/>
        <v>6.5</v>
      </c>
      <c r="O676">
        <f>O675+1</f>
        <v>4</v>
      </c>
      <c r="P676" s="1">
        <f ca="1">IF(ISERROR(F668),"",IF(ISTEXT(VLOOKUP(B668,INDIRECT($F$8),6+(O676-1)*3)),(VLOOKUP(B668,INDIRECT($F$8),6+(O676-1)*3)),SUM(VLOOKUP(B668,INDIRECT($F$8),6+(O676-1)*3),IF(W686,W676,0))))</f>
        <v>50</v>
      </c>
      <c r="Q676" s="1">
        <f ca="1">IF(ISERROR(F668),"",VLOOKUP(B668,INDIRECT($F$8),7+(O676-1)*3))</f>
        <v>40</v>
      </c>
      <c r="R676" s="1">
        <f ca="1">IF(ISERROR(F668),"",SUM(P676:Q676))</f>
        <v>90</v>
      </c>
      <c r="S676" s="1">
        <f ca="1">IF(ISERROR(F668),"",VLOOKUP(A668,INDIRECT($F$8),6+(O676-1)*3))</f>
        <v>100</v>
      </c>
      <c r="T676" s="1">
        <f ca="1">IF(ISERROR(F668),"",VLOOKUP(A668,INDIRECT($F$8),7+(O676-1)*3))</f>
        <v>50</v>
      </c>
      <c r="U676" s="1">
        <f ca="1">IF(ISERROR(F668),"",VLOOKUP(A668,INDIRECT($F$8),8+(O676-1)*3))</f>
        <v>150</v>
      </c>
      <c r="V676" s="1" t="str">
        <f ca="1">IF(ISERROR(F668),"",IF(N676=0,A676,""))</f>
        <v/>
      </c>
      <c r="W676" s="1">
        <f ca="1">IF(ISERROR(F668),"",IF(ISTEXT(VLOOKUP(B668,INDIRECT($F$8),6+(O676-1)*3)),11,IF(VLOOKUP(B668,INDIRECT($F$8),6+(O676-1)*3)&lt;S676*0.3,IF(VLOOKUP(B668,INDIRECT($F$8),8+(O676-1)*3)&lt;U676*0.4,IF(AND(0.4*U676-VLOOKUP(B668,INDIRECT($F$8),8+(O676-1)*3)&lt;=5,0.3*S676-VLOOKUP(B668,INDIRECT($F$8),6+(O676-1)*3)&lt;=5),MAX(0.4*U676-VLOOKUP(B668,INDIRECT($F$8),8+(O676-1)*3),0.3*S676-VLOOKUP(B668,INDIRECT($F$8),6+(O676-1)*3)),11),IF(0.3*S676-VLOOKUP(B668,INDIRECT($F$8),6+(O676-1)*3)&lt;=5,0.3*S676-VLOOKUP(B668,INDIRECT($F$8),6+(O676-1)*3),11)),IF(VLOOKUP(B668,INDIRECT($F$8),8+(O676-1)*3)&lt;U676*0.4,IF(U676*0.4-VLOOKUP(B668,INDIRECT($F$8),8+(O676-1)*3)&lt;=5,U676*0.4-VLOOKUP(B668,INDIRECT($F$8),8+(O676-1)*3),11),0))))</f>
        <v>0</v>
      </c>
      <c r="X676" s="1" t="str">
        <f ca="1">IF(ISERROR(F668),"",IF(W676=0,"",_xlfn.TEXTJOIN("",FALSE," G+",W676," in ",A676)))</f>
        <v/>
      </c>
    </row>
    <row r="677" spans="1:24" ht="12.5" customHeight="1" x14ac:dyDescent="0.2">
      <c r="A677" s="7" t="str">
        <f ca="1">IF(ISERROR(F668),"",VLOOKUP(C668,INDIRECT($F$8),6+(O677-1)*3,0))</f>
        <v>AHT 000</v>
      </c>
      <c r="B677" s="24" t="str">
        <f ca="1">IF(ISERROR(F668),"",VLOOKUP(D668,INDIRECT($F$8),6+(O677-1)*3,0))</f>
        <v>Basic Mathematics (Bridge Course) ($)</v>
      </c>
      <c r="C677" s="24"/>
      <c r="D677" s="24"/>
      <c r="E677" s="24"/>
      <c r="F677" s="7">
        <f ca="1">IF(ISERROR(F668),"",VLOOKUP(E668,INDIRECT($F$8),6+(O677-1)*3,0))</f>
        <v>0</v>
      </c>
      <c r="G677" s="25" t="str">
        <f ca="1">IF(ISERROR(F668),"",_xlfn.TEXTJOIN("/",FALSE,P677,S677))</f>
        <v>48/100</v>
      </c>
      <c r="H677" s="25"/>
      <c r="I677" s="25" t="str">
        <f ca="1">IF(ISERROR(F668),"",_xlfn.TEXTJOIN("/",FALSE,Q677,T677))</f>
        <v>24/50</v>
      </c>
      <c r="J677" s="25"/>
      <c r="K677" s="25" t="str">
        <f ca="1">IF(ISERROR(F668),"",_xlfn.TEXTJOIN("/",FALSE,R677,U677))</f>
        <v>72/150</v>
      </c>
      <c r="L677" s="25"/>
      <c r="M677" s="7" t="str">
        <f ca="1">IF(ISERROR(F668),"",IF(ISTEXT(P677),IF(P677="A","Ab",IF(P677="D","Dt",IF(P677="UFM","UFM",IF(P677="NA","")))),IF(AND(ISBLANK(P677),ISBLANK(R677)),"",IF(P677&lt;0.3*S677,"F",IF(ISBLANK(R677),"",IF(ISTEXT(R677),R677,IF(R677&gt;=0.95*U677,"O",IF(R677&gt;=0.9*U677,"A+",IF(R677&gt;=0.85*U677,"A",IF(R677&gt;=0.8*U677,"B+",IF(R677&gt;=0.75*U677,"B",IF(R677&gt;=0.7*U677,"C+",IF(R677&gt;=0.65*U677,"C",IF(R677&gt;=0.6*U677,"D+",IF(R677&gt;=0.55*U677,"D",IF(R677&gt;=0.5*U677,"E+",IF(R677&gt;=0.45*U677,"E",IF(R677&gt;=0.4*U677,"P",IF(R677&lt;0.4*U677,"F",R677)))))))))))))))))))</f>
        <v>E</v>
      </c>
      <c r="N677" s="8">
        <f t="shared" ca="1" si="61"/>
        <v>5</v>
      </c>
      <c r="O677" cm="1">
        <f t="array" aca="1" ref="O677" ca="1">IF(NOT(ISBLANK(INDIRECT("SEM_I!R"&amp;INT((ROW(O677)-17)/22)+6))),5,
IF(NOT(ISBLANK(INDIRECT("SEM_I!U"&amp;INT((ROW(O677)-17)/22)+6))),6))</f>
        <v>5</v>
      </c>
      <c r="P677" s="1">
        <f ca="1">IF(ISERROR(F668),"",IF(ISTEXT(VLOOKUP(B668,INDIRECT($F$8),6+(O677-1)*3)),(VLOOKUP(B668,INDIRECT($F$8),6+(O677-1)*3)),SUM(VLOOKUP(B668,INDIRECT($F$8),6+(O677-1)*3),IF(W686,W677,0))))</f>
        <v>48</v>
      </c>
      <c r="Q677" s="1">
        <f ca="1">IF(ISERROR(F668),"",VLOOKUP(B668,INDIRECT($F$8),7+(O677-1)*3))</f>
        <v>24</v>
      </c>
      <c r="R677" s="1">
        <f ca="1">IF(ISERROR(F668),"",SUM(P677:Q677))</f>
        <v>72</v>
      </c>
      <c r="S677" s="1">
        <f ca="1">IF(ISERROR(F668),"",VLOOKUP(A668,INDIRECT($F$8),6+(O677-1)*3))</f>
        <v>100</v>
      </c>
      <c r="T677" s="1">
        <f ca="1">IF(ISERROR(F668),"",VLOOKUP(A668,INDIRECT($F$8),7+(O677-1)*3))</f>
        <v>50</v>
      </c>
      <c r="U677" s="1">
        <f ca="1">IF(ISERROR(F668),"",VLOOKUP(A668,INDIRECT($F$8),8+(O677-1)*3))</f>
        <v>150</v>
      </c>
      <c r="V677" s="1" t="str">
        <f ca="1">IF(ISERROR(F668),"",IF(N677=0,A677,""))</f>
        <v/>
      </c>
      <c r="W677" s="1">
        <f ca="1">IF(ISERROR(F668),"",IF(ISTEXT(VLOOKUP(B668,INDIRECT($F$8),6+(O677-1)*3)),11,IF(VLOOKUP(B668,INDIRECT($F$8),6+(O677-1)*3)&lt;S677*0.3,IF(VLOOKUP(B668,INDIRECT($F$8),8+(O677-1)*3)&lt;U677*0.4,IF(AND(0.4*U677-VLOOKUP(B668,INDIRECT($F$8),8+(O677-1)*3)&lt;=5,0.3*S677-VLOOKUP(B668,INDIRECT($F$8),6+(O677-1)*3)&lt;=5),MAX(0.4*U677-VLOOKUP(B668,INDIRECT($F$8),8+(O677-1)*3),0.3*S677-VLOOKUP(B668,INDIRECT($F$8),6+(O677-1)*3)),11),IF(0.3*S677-VLOOKUP(B668,INDIRECT($F$8),6+(O677-1)*3)&lt;=5,0.3*S677-VLOOKUP(B668,INDIRECT($F$8),6+(O677-1)*3),11)),IF(VLOOKUP(B668,INDIRECT($F$8),8+(O677-1)*3)&lt;U677*0.4,IF(U677*0.4-VLOOKUP(B668,INDIRECT($F$8),8+(O677-1)*3)&lt;=5,U677*0.4-VLOOKUP(B668,INDIRECT($F$8),8+(O677-1)*3),11),0))))</f>
        <v>0</v>
      </c>
      <c r="X677" s="1" t="str">
        <f ca="1">IF(ISERROR(F668),"",IF(W677=0,"",_xlfn.TEXTJOIN("",FALSE," G+",W677," in ",A677)))</f>
        <v/>
      </c>
    </row>
    <row r="678" spans="1:24" ht="12.5" customHeight="1" x14ac:dyDescent="0.2">
      <c r="A678" s="7" t="str">
        <f ca="1">IF(ISERROR(F668),"",VLOOKUP(C668,INDIRECT($F$8),6+(O678-1)*3,0))</f>
        <v>AHP 002</v>
      </c>
      <c r="B678" s="24" t="str">
        <f ca="1">IF(ISERROR(F668),"",VLOOKUP(D668,INDIRECT($F$8),6+(O678-1)*3,0))</f>
        <v>Engineering Chemistry Lab</v>
      </c>
      <c r="C678" s="24"/>
      <c r="D678" s="24"/>
      <c r="E678" s="24"/>
      <c r="F678" s="7">
        <f ca="1">IF(ISERROR(F668),"",VLOOKUP(E668,INDIRECT($F$8),6+(O678-1)*3,0))</f>
        <v>1</v>
      </c>
      <c r="G678" s="25" t="str">
        <f ca="1">IF(ISERROR(F668),"",_xlfn.TEXTJOIN("/",FALSE,P678,S678))</f>
        <v>16/25</v>
      </c>
      <c r="H678" s="25"/>
      <c r="I678" s="25" t="str">
        <f ca="1">IF(ISERROR(F668),"",_xlfn.TEXTJOIN("/",FALSE,Q678,T678))</f>
        <v>16/25</v>
      </c>
      <c r="J678" s="25"/>
      <c r="K678" s="25" t="str">
        <f ca="1">IF(ISERROR(F668),"",_xlfn.TEXTJOIN("/",FALSE,R678,U678))</f>
        <v>32/50</v>
      </c>
      <c r="L678" s="25"/>
      <c r="M678" s="7" t="str">
        <f ca="1">IF(ISERROR(F668),"",IF(ISTEXT(P678),IF(P678="A","Ab",IF(P678="D","Dt",IF(P678="UFM","UFM",IF(P678="NA","")))),IF(AND(ISBLANK(P678),ISBLANK(R678)),"",IF(P678&lt;0.3*S678,"F",IF(ISBLANK(R678),"",IF(ISTEXT(R678),R678,IF(R678&gt;=0.95*U678,"O",IF(R678&gt;=0.9*U678,"A+",IF(R678&gt;=0.85*U678,"A",IF(R678&gt;=0.8*U678,"B+",IF(R678&gt;=0.75*U678,"B",IF(R678&gt;=0.7*U678,"C+",IF(R678&gt;=0.65*U678,"C",IF(R678&gt;=0.6*U678,"D+",IF(R678&gt;=0.55*U678,"D",IF(R678&gt;=0.5*U678,"E+",IF(R678&gt;=0.45*U678,"E",IF(R678&gt;=0.4*U678,"P",IF(R678&lt;0.4*U678,"F",R678)))))))))))))))))))</f>
        <v>D+</v>
      </c>
      <c r="N678" s="8">
        <f t="shared" ca="1" si="61"/>
        <v>6.5</v>
      </c>
      <c r="O678">
        <f ca="1">IF(O677&gt;0,7)</f>
        <v>7</v>
      </c>
      <c r="P678" s="1">
        <f ca="1">IF(ISERROR(F668),"",IF(ISTEXT(VLOOKUP(B668,INDIRECT($F$8),6+(O678-1)*3)),(VLOOKUP(B668,INDIRECT($F$8),6+(O678-1)*3)),SUM(VLOOKUP(B668,INDIRECT($F$8),6+(O678-1)*3),IF(W686,W678,0))))</f>
        <v>16</v>
      </c>
      <c r="Q678" s="1">
        <f ca="1">IF(ISERROR(F668),"",VLOOKUP(B668,INDIRECT($F$8),7+(O678-1)*3))</f>
        <v>16</v>
      </c>
      <c r="R678" s="1">
        <f ca="1">IF(ISERROR(F668),"",SUM(P678:Q678))</f>
        <v>32</v>
      </c>
      <c r="S678" s="1">
        <f ca="1">IF(ISERROR(F668),"",VLOOKUP(A668,INDIRECT($F$8),6+(O678-1)*3))</f>
        <v>25</v>
      </c>
      <c r="T678" s="1">
        <f ca="1">IF(ISERROR(F668),"",VLOOKUP(A668,INDIRECT($F$8),7+(O678-1)*3))</f>
        <v>25</v>
      </c>
      <c r="U678" s="1">
        <f ca="1">IF(ISERROR(F668),"",VLOOKUP(A668,INDIRECT($F$8),8+(O678-1)*3))</f>
        <v>50</v>
      </c>
      <c r="V678" s="1" t="str">
        <f ca="1">IF(ISERROR(F668),"",IF(N678=0,A678,""))</f>
        <v/>
      </c>
      <c r="W678" s="1">
        <f ca="1">IF(ISERROR(F668),"",IF(ISTEXT(VLOOKUP(B668,INDIRECT($F$8),6+(O678-1)*3)),11,IF(VLOOKUP(B668,INDIRECT($F$8),6+(O678-1)*3)&lt;S678*0.3,IF(VLOOKUP(B668,INDIRECT($F$8),8+(O678-1)*3)&lt;U678*0.4,IF(AND(0.4*U678-VLOOKUP(B668,INDIRECT($F$8),8+(O678-1)*3)&lt;=5,0.3*S678-VLOOKUP(B668,INDIRECT($F$8),6+(O678-1)*3)&lt;=5),MAX(0.4*U678-VLOOKUP(B668,INDIRECT($F$8),8+(O678-1)*3),0.3*S678-VLOOKUP(B668,INDIRECT($F$8),6+(O678-1)*3)),11),IF(0.3*S678-VLOOKUP(B668,INDIRECT($F$8),6+(O678-1)*3)&lt;=5,0.3*S678-VLOOKUP(B668,INDIRECT($F$8),6+(O678-1)*3),11)),IF(VLOOKUP(B668,INDIRECT($F$8),8+(O678-1)*3)&lt;U678*0.4,IF(U678*0.4-VLOOKUP(B668,INDIRECT($F$8),8+(O678-1)*3)&lt;=5,U678*0.4-VLOOKUP(B668,INDIRECT($F$8),8+(O678-1)*3),11),0))))</f>
        <v>0</v>
      </c>
      <c r="X678" s="1" t="str">
        <f ca="1">IF(ISERROR(F668),"",IF(W678=0,"",_xlfn.TEXTJOIN("",FALSE," G+",W678," in ",A678)))</f>
        <v/>
      </c>
    </row>
    <row r="679" spans="1:24" ht="12.5" customHeight="1" x14ac:dyDescent="0.2">
      <c r="A679" s="7" t="str">
        <f ca="1">IF(ISERROR(F668),"",VLOOKUP(C668,INDIRECT($F$8),6+(O679-1)*3,0))</f>
        <v>ECP 001</v>
      </c>
      <c r="B679" s="24" t="str">
        <f ca="1">IF(ISERROR(F668),"",VLOOKUP(D668,INDIRECT($F$8),6+(O679-1)*3,0))</f>
        <v>Basic Electronics Engineering Lab</v>
      </c>
      <c r="C679" s="24"/>
      <c r="D679" s="24"/>
      <c r="E679" s="24"/>
      <c r="F679" s="7">
        <f ca="1">IF(ISERROR(F668),"",VLOOKUP(E668,INDIRECT($F$8),6+(O679-1)*3,0))</f>
        <v>1</v>
      </c>
      <c r="G679" s="25" t="str">
        <f ca="1">IF(ISERROR(F668),"",_xlfn.TEXTJOIN("/",FALSE,P679,S679))</f>
        <v>17/25</v>
      </c>
      <c r="H679" s="25"/>
      <c r="I679" s="25" t="str">
        <f ca="1">IF(ISERROR(F668),"",_xlfn.TEXTJOIN("/",FALSE,Q679,T679))</f>
        <v>19/25</v>
      </c>
      <c r="J679" s="25"/>
      <c r="K679" s="25" t="str">
        <f ca="1">IF(ISERROR(F668),"",_xlfn.TEXTJOIN("/",FALSE,R679,U679))</f>
        <v>36/50</v>
      </c>
      <c r="L679" s="25"/>
      <c r="M679" s="7" t="str">
        <f ca="1">IF(ISERROR(F668),"",IF(ISTEXT(P679),IF(P679="A","Ab",IF(P679="D","Dt",IF(P679="UFM","UFM",IF(P679="NA","")))),IF(AND(ISBLANK(P679),ISBLANK(R679)),"",IF(P679&lt;0.3*S679,"F",IF(ISBLANK(R679),"",IF(ISTEXT(R679),R679,IF(R679&gt;=0.95*U679,"O",IF(R679&gt;=0.9*U679,"A+",IF(R679&gt;=0.85*U679,"A",IF(R679&gt;=0.8*U679,"B+",IF(R679&gt;=0.75*U679,"B",IF(R679&gt;=0.7*U679,"C+",IF(R679&gt;=0.65*U679,"C",IF(R679&gt;=0.6*U679,"D+",IF(R679&gt;=0.55*U679,"D",IF(R679&gt;=0.5*U679,"E+",IF(R679&gt;=0.45*U679,"E",IF(R679&gt;=0.4*U679,"P",IF(R679&lt;0.4*U679,"F",R679)))))))))))))))))))</f>
        <v>C+</v>
      </c>
      <c r="N679" s="8">
        <f t="shared" ca="1" si="61"/>
        <v>7.5</v>
      </c>
      <c r="O679">
        <f t="shared" ref="O679:O685" ca="1" si="62">O678+1</f>
        <v>8</v>
      </c>
      <c r="P679" s="1">
        <f ca="1">IF(ISERROR(F668),"",IF(ISTEXT(VLOOKUP(B668,INDIRECT($F$8),6+(O679-1)*3)),(VLOOKUP(B668,INDIRECT($F$8),6+(O679-1)*3)),SUM(VLOOKUP(B668,INDIRECT($F$8),6+(O679-1)*3),IF(W686,W679,0))))</f>
        <v>17</v>
      </c>
      <c r="Q679" s="1">
        <f ca="1">IF(ISERROR(F668),"",VLOOKUP(B668,INDIRECT($F$8),7+(O679-1)*3))</f>
        <v>19</v>
      </c>
      <c r="R679" s="1">
        <f ca="1">IF(ISERROR(F668),"",SUM(P679:Q679))</f>
        <v>36</v>
      </c>
      <c r="S679" s="1">
        <f ca="1">IF(ISERROR(F668),"",VLOOKUP(A668,INDIRECT($F$8),6+(O679-1)*3))</f>
        <v>25</v>
      </c>
      <c r="T679" s="1">
        <f ca="1">IF(ISERROR(F668),"",VLOOKUP(A668,INDIRECT($F$8),7+(O679-1)*3))</f>
        <v>25</v>
      </c>
      <c r="U679" s="1">
        <f ca="1">IF(ISERROR(F668),"",VLOOKUP(A668,INDIRECT($F$8),8+(O679-1)*3))</f>
        <v>50</v>
      </c>
      <c r="V679" s="1" t="str">
        <f ca="1">IF(ISERROR(F668),"",IF(N679=0,A679,""))</f>
        <v/>
      </c>
      <c r="W679" s="1">
        <f ca="1">IF(ISERROR(F668),"",IF(ISTEXT(VLOOKUP(B668,INDIRECT($F$8),6+(O679-1)*3)),11,IF(VLOOKUP(B668,INDIRECT($F$8),6+(O679-1)*3)&lt;S679*0.3,IF(VLOOKUP(B668,INDIRECT($F$8),8+(O679-1)*3)&lt;U679*0.4,IF(AND(0.4*U679-VLOOKUP(B668,INDIRECT($F$8),8+(O679-1)*3)&lt;=5,0.3*S679-VLOOKUP(B668,INDIRECT($F$8),6+(O679-1)*3)&lt;=5),MAX(0.4*U679-VLOOKUP(B668,INDIRECT($F$8),8+(O679-1)*3),0.3*S679-VLOOKUP(B668,INDIRECT($F$8),6+(O679-1)*3)),11),IF(0.3*S679-VLOOKUP(B668,INDIRECT($F$8),6+(O679-1)*3)&lt;=5,0.3*S679-VLOOKUP(B668,INDIRECT($F$8),6+(O679-1)*3),11)),IF(VLOOKUP(B668,INDIRECT($F$8),8+(O679-1)*3)&lt;U679*0.4,IF(U679*0.4-VLOOKUP(B668,INDIRECT($F$8),8+(O679-1)*3)&lt;=5,U679*0.4-VLOOKUP(B668,INDIRECT($F$8),8+(O679-1)*3),11),0))))</f>
        <v>0</v>
      </c>
      <c r="X679" s="1" t="str">
        <f ca="1">IF(ISERROR(F668),"",IF(W679=0,"",_xlfn.TEXTJOIN("",FALSE," G+",W679," in ",A679)))</f>
        <v/>
      </c>
    </row>
    <row r="680" spans="1:24" ht="12.5" customHeight="1" x14ac:dyDescent="0.2">
      <c r="A680" s="7" t="str">
        <f ca="1">IF(ISERROR(F668),"",VLOOKUP(C668,INDIRECT($F$8),6+(O680-1)*3,0))</f>
        <v>MEP 001</v>
      </c>
      <c r="B680" s="24" t="str">
        <f ca="1">IF(ISERROR(F668),"",VLOOKUP(D668,INDIRECT($F$8),6+(O680-1)*3,0))</f>
        <v>Basic Mechanical Engineering Lab</v>
      </c>
      <c r="C680" s="24"/>
      <c r="D680" s="24"/>
      <c r="E680" s="24"/>
      <c r="F680" s="7">
        <f ca="1">IF(ISERROR(F668),"",VLOOKUP(E668,INDIRECT($F$8),6+(O680-1)*3,0))</f>
        <v>1</v>
      </c>
      <c r="G680" s="25" t="str">
        <f ca="1">IF(ISERROR(F668),"",_xlfn.TEXTJOIN("/",FALSE,P680,S680))</f>
        <v>21/25</v>
      </c>
      <c r="H680" s="25"/>
      <c r="I680" s="25" t="str">
        <f ca="1">IF(ISERROR(F668),"",_xlfn.TEXTJOIN("/",FALSE,Q680,T680))</f>
        <v>20/25</v>
      </c>
      <c r="J680" s="25"/>
      <c r="K680" s="25" t="str">
        <f ca="1">IF(ISERROR(F668),"",_xlfn.TEXTJOIN("/",FALSE,R680,U680))</f>
        <v>41/50</v>
      </c>
      <c r="L680" s="25"/>
      <c r="M680" s="7" t="str">
        <f ca="1">IF(ISERROR(F668),"",IF(ISTEXT(P680),IF(P680="A","Ab",IF(P680="D","Dt",IF(P680="UFM","UFM",IF(P680="NA","")))),IF(AND(ISBLANK(P680),ISBLANK(R680)),"",IF(P680&lt;0.3*S680,"F",IF(ISBLANK(R680),"",IF(ISTEXT(R680),R680,IF(R680&gt;=0.95*U680,"O",IF(R680&gt;=0.9*U680,"A+",IF(R680&gt;=0.85*U680,"A",IF(R680&gt;=0.8*U680,"B+",IF(R680&gt;=0.75*U680,"B",IF(R680&gt;=0.7*U680,"C+",IF(R680&gt;=0.65*U680,"C",IF(R680&gt;=0.6*U680,"D+",IF(R680&gt;=0.55*U680,"D",IF(R680&gt;=0.5*U680,"E+",IF(R680&gt;=0.45*U680,"E",IF(R680&gt;=0.4*U680,"P",IF(R680&lt;0.4*U680,"F",R680)))))))))))))))))))</f>
        <v>B+</v>
      </c>
      <c r="N680" s="8">
        <f t="shared" ca="1" si="61"/>
        <v>8.5</v>
      </c>
      <c r="O680">
        <f t="shared" ca="1" si="62"/>
        <v>9</v>
      </c>
      <c r="P680" s="1">
        <f ca="1">IF(ISERROR(F668),"",IF(ISTEXT(VLOOKUP(B668,INDIRECT($F$8),6+(O680-1)*3)),(VLOOKUP(B668,INDIRECT($F$8),6+(O680-1)*3)),SUM(VLOOKUP(B668,INDIRECT($F$8),6+(O680-1)*3),IF(W686,W680,0))))</f>
        <v>21</v>
      </c>
      <c r="Q680" s="1">
        <f ca="1">IF(ISERROR(F668),"",VLOOKUP(B668,INDIRECT($F$8),7+(O680-1)*3))</f>
        <v>20</v>
      </c>
      <c r="R680" s="1">
        <f ca="1">IF(ISERROR(F668),"",SUM(P680:Q680))</f>
        <v>41</v>
      </c>
      <c r="S680" s="1">
        <f ca="1">IF(ISERROR(F668),"",VLOOKUP(A668,INDIRECT($F$8),6+(O680-1)*3))</f>
        <v>25</v>
      </c>
      <c r="T680" s="1">
        <f ca="1">IF(ISERROR(F668),"",VLOOKUP(A668,INDIRECT($F$8),7+(O680-1)*3))</f>
        <v>25</v>
      </c>
      <c r="U680" s="1">
        <f ca="1">IF(ISERROR(F668),"",VLOOKUP(A668,INDIRECT($F$8),8+(O680-1)*3))</f>
        <v>50</v>
      </c>
      <c r="V680" s="1" t="str">
        <f ca="1">IF(ISERROR(F668),"",IF(N680=0,A680,""))</f>
        <v/>
      </c>
      <c r="W680" s="1">
        <f ca="1">IF(ISERROR(F668),"",IF(ISTEXT(VLOOKUP(B668,INDIRECT($F$8),6+(O680-1)*3)),11,IF(VLOOKUP(B668,INDIRECT($F$8),6+(O680-1)*3)&lt;S680*0.3,IF(VLOOKUP(B668,INDIRECT($F$8),8+(O680-1)*3)&lt;U680*0.4,IF(AND(0.4*U680-VLOOKUP(B668,INDIRECT($F$8),8+(O680-1)*3)&lt;=5,0.3*S680-VLOOKUP(B668,INDIRECT($F$8),6+(O680-1)*3)&lt;=5),MAX(0.4*U680-VLOOKUP(B668,INDIRECT($F$8),8+(O680-1)*3),0.3*S680-VLOOKUP(B668,INDIRECT($F$8),6+(O680-1)*3)),11),IF(0.3*S680-VLOOKUP(B668,INDIRECT($F$8),6+(O680-1)*3)&lt;=5,0.3*S680-VLOOKUP(B668,INDIRECT($F$8),6+(O680-1)*3),11)),IF(VLOOKUP(B668,INDIRECT($F$8),8+(O680-1)*3)&lt;U680*0.4,IF(U680*0.4-VLOOKUP(B668,INDIRECT($F$8),8+(O680-1)*3)&lt;=5,U680*0.4-VLOOKUP(B668,INDIRECT($F$8),8+(O680-1)*3),11),0))))</f>
        <v>0</v>
      </c>
      <c r="X680" s="1" t="str">
        <f ca="1">IF(ISERROR(F668),"",IF(W680=0,"",_xlfn.TEXTJOIN("",FALSE," G+",W680," in ",A680)))</f>
        <v/>
      </c>
    </row>
    <row r="681" spans="1:24" ht="12.5" customHeight="1" x14ac:dyDescent="0.2">
      <c r="A681" s="7" t="str">
        <f ca="1">IF(ISERROR(F668),"",VLOOKUP(C668,INDIRECT($F$8),6+(O681-1)*3,0))</f>
        <v>MEP 003</v>
      </c>
      <c r="B681" s="24" t="str">
        <f ca="1">IF(ISERROR(F668),"",VLOOKUP(D668,INDIRECT($F$8),6+(O681-1)*3-Z681,0))</f>
        <v>Workshop Practices Lab</v>
      </c>
      <c r="C681" s="24"/>
      <c r="D681" s="24"/>
      <c r="E681" s="24"/>
      <c r="F681" s="7">
        <f ca="1">IF(ISERROR(F668),"",VLOOKUP(E668,INDIRECT($F$8),6+(O681-1)*3,0))</f>
        <v>2</v>
      </c>
      <c r="G681" s="25" t="str">
        <f ca="1">IF(ISERROR(F668),"",_xlfn.TEXTJOIN("/",FALSE,P681,S681))</f>
        <v>46/50</v>
      </c>
      <c r="H681" s="25"/>
      <c r="I681" s="25" t="str">
        <f ca="1">IF(ISERROR(F668),"",_xlfn.TEXTJOIN("/",FALSE,Q681,T681))</f>
        <v>45/50</v>
      </c>
      <c r="J681" s="25"/>
      <c r="K681" s="25" t="str">
        <f ca="1">IF(ISERROR(F668),"",_xlfn.TEXTJOIN("/",FALSE,R681,U681))</f>
        <v>91/100</v>
      </c>
      <c r="L681" s="25"/>
      <c r="M681" s="7" t="str">
        <f ca="1">IF(ISERROR(F668),"",IF(ISTEXT(P681),IF(P681="A","Ab",IF(P681="D","Dt",IF(P681="UFM","UFM",IF(P681="NA","")))),IF(AND(ISBLANK(P681),ISBLANK(R681)),"",IF(P681&lt;0.3*S681,"F",IF(ISBLANK(R681),"",IF(ISTEXT(R681),R681,IF(R681&gt;=0.95*U681,"O",IF(R681&gt;=0.9*U681,"A+",IF(R681&gt;=0.85*U681,"A",IF(R681&gt;=0.8*U681,"B+",IF(R681&gt;=0.75*U681,"B",IF(R681&gt;=0.7*U681,"C+",IF(R681&gt;=0.65*U681,"C",IF(R681&gt;=0.6*U681,"D+",IF(R681&gt;=0.55*U681,"D",IF(R681&gt;=0.5*U681,"E+",IF(R681&gt;=0.45*U681,"E",IF(R681&gt;=0.4*U681,"P",IF(R681&lt;0.4*U681,"F",R681)))))))))))))))))))</f>
        <v>A+</v>
      </c>
      <c r="N681" s="8">
        <f t="shared" ca="1" si="61"/>
        <v>9.5</v>
      </c>
      <c r="O681">
        <f t="shared" ca="1" si="62"/>
        <v>10</v>
      </c>
      <c r="P681" s="1">
        <f ca="1">IF(ISERROR(F668),"",IF(ISTEXT(VLOOKUP(B668,INDIRECT($F$8),6+(O681-1)*3)),(VLOOKUP(B668,INDIRECT($F$8),6+(O681-1)*3)),SUM(VLOOKUP(B668,INDIRECT($F$8),6+(O681-1)*3),IF(W686,W681,0))))</f>
        <v>46</v>
      </c>
      <c r="Q681" s="1">
        <f ca="1">IF(ISERROR(F668),"",VLOOKUP(B668,INDIRECT($F$8),7+(O681-1)*3))</f>
        <v>45</v>
      </c>
      <c r="R681" s="1">
        <f ca="1">IF(ISERROR(F668),"",SUM(P681:Q681))</f>
        <v>91</v>
      </c>
      <c r="S681" s="1">
        <f ca="1">IF(ISERROR(F668),"",VLOOKUP(A668,INDIRECT($F$8),6+(O681-1)*3))</f>
        <v>50</v>
      </c>
      <c r="T681" s="1">
        <f ca="1">IF(ISERROR(F668),"",VLOOKUP(A668,INDIRECT($F$8),7+(O681-1)*3))</f>
        <v>50</v>
      </c>
      <c r="U681" s="1">
        <f ca="1">IF(ISERROR(F668),"",VLOOKUP(A668,INDIRECT($F$8),8+(O681-1)*3))</f>
        <v>100</v>
      </c>
      <c r="V681" s="1" t="str">
        <f ca="1">IF(ISERROR(F668),"",IF(N681=0,A681,""))</f>
        <v/>
      </c>
      <c r="W681" s="1">
        <f ca="1">IF(ISERROR(F668),"",IF(ISTEXT(VLOOKUP(B668,INDIRECT($F$8),6+(O681-1)*3)),11,IF(VLOOKUP(B668,INDIRECT($F$8),6+(O681-1)*3)&lt;S681*0.3,IF(VLOOKUP(B668,INDIRECT($F$8),8+(O681-1)*3)&lt;U681*0.4,IF(AND(0.4*U681-VLOOKUP(B668,INDIRECT($F$8),8+(O681-1)*3)&lt;=5,0.3*S681-VLOOKUP(B668,INDIRECT($F$8),6+(O681-1)*3)&lt;=5),MAX(0.4*U681-VLOOKUP(B668,INDIRECT($F$8),8+(O681-1)*3),0.3*S681-VLOOKUP(B668,INDIRECT($F$8),6+(O681-1)*3)),11),IF(0.3*S681-VLOOKUP(B668,INDIRECT($F$8),6+(O681-1)*3)&lt;=5,0.3*S681-VLOOKUP(B668,INDIRECT($F$8),6+(O681-1)*3),11)),IF(VLOOKUP(B668,INDIRECT($F$8),8+(O681-1)*3)&lt;U681*0.4,IF(U681*0.4-VLOOKUP(B668,INDIRECT($F$8),8+(O681-1)*3)&lt;=5,U681*0.4-VLOOKUP(B668,INDIRECT($F$8),8+(O681-1)*3),11),0))))</f>
        <v>0</v>
      </c>
      <c r="X681" s="1" t="str">
        <f ca="1">IF(ISERROR(F668),"",IF(W681=0,"",_xlfn.TEXTJOIN("",FALSE," G+",W681," in ",A681)))</f>
        <v/>
      </c>
    </row>
    <row r="682" spans="1:24" ht="12.5" customHeight="1" x14ac:dyDescent="0.2">
      <c r="A682" s="7" t="str">
        <f ca="1">IF(ISERROR(F668),"",VLOOKUP(C668,INDIRECT($F$8),6+(O682-1)*3,0))</f>
        <v>AHP 004</v>
      </c>
      <c r="B682" s="24" t="str">
        <f ca="1">IF(ISERROR(F668),"",VLOOKUP(D668,INDIRECT($F$8),6+(O682-1)*3-Z682,0))</f>
        <v>Emerging Technologies in Engineering Lab</v>
      </c>
      <c r="C682" s="24"/>
      <c r="D682" s="24"/>
      <c r="E682" s="24"/>
      <c r="F682" s="7">
        <f ca="1">IF(ISERROR(F668),"",VLOOKUP(E668,INDIRECT($F$8),6+(O682-1)*3,0))</f>
        <v>1</v>
      </c>
      <c r="G682" s="25" t="str">
        <f ca="1">IF(ISERROR(F668),"",_xlfn.TEXTJOIN("/",FALSE,P682,S682))</f>
        <v>21/25</v>
      </c>
      <c r="H682" s="25"/>
      <c r="I682" s="25" t="str">
        <f ca="1">IF(ISERROR(F668),"",_xlfn.TEXTJOIN("/",FALSE,Q682,T682))</f>
        <v>18/25</v>
      </c>
      <c r="J682" s="25"/>
      <c r="K682" s="25" t="str">
        <f ca="1">IF(ISERROR(F668),"",_xlfn.TEXTJOIN("/",FALSE,R682,U682))</f>
        <v>39/50</v>
      </c>
      <c r="L682" s="25"/>
      <c r="M682" s="7" t="str">
        <f ca="1">IF(ISERROR(F668),"",IF(ISTEXT(P682),IF(P682="A","Ab",IF(P682="D","Dt",IF(P682="UFM","UFM",IF(P682="NA","")))),IF(AND(ISBLANK(P682),ISBLANK(R682)),"",IF(P682&lt;0.3*S682,"F",IF(ISBLANK(R682),"",IF(ISTEXT(R682),R682,IF(R682&gt;=0.95*U682,"O",IF(R682&gt;=0.9*U682,"A+",IF(R682&gt;=0.85*U682,"A",IF(R682&gt;=0.8*U682,"B+",IF(R682&gt;=0.75*U682,"B",IF(R682&gt;=0.7*U682,"C+",IF(R682&gt;=0.65*U682,"C",IF(R682&gt;=0.6*U682,"D+",IF(R682&gt;=0.55*U682,"D",IF(R682&gt;=0.5*U682,"E+",IF(R682&gt;=0.45*U682,"E",IF(R682&gt;=0.4*U682,"P",IF(R682&lt;0.4*U682,"F",R682)))))))))))))))))))</f>
        <v>B</v>
      </c>
      <c r="N682" s="8">
        <f t="shared" ca="1" si="61"/>
        <v>8</v>
      </c>
      <c r="O682">
        <f t="shared" ca="1" si="62"/>
        <v>11</v>
      </c>
      <c r="P682" s="1">
        <f ca="1">IF(ISERROR(F668),"",IF(ISTEXT(VLOOKUP(B668,INDIRECT($F$8),6+(O682-1)*3)),(VLOOKUP(B668,INDIRECT($F$8),6+(O682-1)*3)),SUM(VLOOKUP(B668,INDIRECT($F$8),6+(O682-1)*3),IF(W686,W682,0))))</f>
        <v>21</v>
      </c>
      <c r="Q682" s="1">
        <f ca="1">IF(ISERROR(F668),"",VLOOKUP(B668,INDIRECT($F$8),7+(O682-1)*3))</f>
        <v>18</v>
      </c>
      <c r="R682" s="1">
        <f ca="1">IF(ISERROR(F668),"",SUM(P682:Q682))</f>
        <v>39</v>
      </c>
      <c r="S682" s="1">
        <f ca="1">IF(ISERROR(F668),"",VLOOKUP(A668,INDIRECT($F$8),6+(O682-1)*3))</f>
        <v>25</v>
      </c>
      <c r="T682" s="1">
        <f ca="1">IF(ISERROR(F668),"",VLOOKUP(A668,INDIRECT($F$8),7+(O682-1)*3))</f>
        <v>25</v>
      </c>
      <c r="U682" s="1">
        <f ca="1">IF(ISERROR(F668),"",VLOOKUP(A668,INDIRECT($F$8),8+(O682-1)*3))</f>
        <v>50</v>
      </c>
      <c r="V682" s="1" t="str">
        <f ca="1">IF(ISERROR(F668),"",IF(N682=0,A682,""))</f>
        <v/>
      </c>
      <c r="W682" s="1">
        <f ca="1">IF(ISERROR(F668),"",IF(ISTEXT(VLOOKUP(B668,INDIRECT($F$8),6+(O682-1)*3)),11,IF(VLOOKUP(B668,INDIRECT($F$8),6+(O682-1)*3)&lt;S682*0.3,IF(VLOOKUP(B668,INDIRECT($F$8),8+(O682-1)*3)&lt;U682*0.4,IF(AND(0.4*U682-VLOOKUP(B668,INDIRECT($F$8),8+(O682-1)*3)&lt;=5,0.3*S682-VLOOKUP(B668,INDIRECT($F$8),6+(O682-1)*3)&lt;=5),MAX(0.4*U682-VLOOKUP(B668,INDIRECT($F$8),8+(O682-1)*3),0.3*S682-VLOOKUP(B668,INDIRECT($F$8),6+(O682-1)*3)),11),IF(0.3*S682-VLOOKUP(B668,INDIRECT($F$8),6+(O682-1)*3)&lt;=5,0.3*S682-VLOOKUP(B668,INDIRECT($F$8),6+(O682-1)*3),11)),IF(VLOOKUP(B668,INDIRECT($F$8),8+(O682-1)*3)&lt;U682*0.4,IF(U682*0.4-VLOOKUP(B668,INDIRECT($F$8),8+(O682-1)*3)&lt;=5,U682*0.4-VLOOKUP(B668,INDIRECT($F$8),8+(O682-1)*3),11),0))))</f>
        <v>0</v>
      </c>
      <c r="X682" s="1" t="str">
        <f ca="1">IF(ISERROR(F668),"",IF(W682=0,"",_xlfn.TEXTJOIN("",FALSE," G+",W682," in ",A682)))</f>
        <v/>
      </c>
    </row>
    <row r="683" spans="1:24" ht="12.5" customHeight="1" x14ac:dyDescent="0.2">
      <c r="A683" s="7" t="str">
        <f ca="1">IF(ISERROR(F668),"",VLOOKUP(C668,INDIRECT($F$8),6+(O683-1)*3,0))</f>
        <v>CSP 002</v>
      </c>
      <c r="B683" s="24" t="str">
        <f ca="1">IF(ISERROR(F668),"",VLOOKUP(D668,INDIRECT($F$8),6+(O683-1)*3,0))</f>
        <v>Computer Applications and IOT</v>
      </c>
      <c r="C683" s="24"/>
      <c r="D683" s="24"/>
      <c r="E683" s="24"/>
      <c r="F683" s="7">
        <f ca="1">IF(ISERROR(F668),"",VLOOKUP(E668,INDIRECT($F$8),6+(O683-1)*3,0))</f>
        <v>1</v>
      </c>
      <c r="G683" s="25" t="str">
        <f ca="1">IF(ISERROR(F668),"",_xlfn.TEXTJOIN("/",FALSE,P683,S683))</f>
        <v>24/25</v>
      </c>
      <c r="H683" s="25"/>
      <c r="I683" s="25" t="str">
        <f ca="1">IF(ISERROR(F668),"",_xlfn.TEXTJOIN("/",FALSE,Q683,T683))</f>
        <v>24/25</v>
      </c>
      <c r="J683" s="25"/>
      <c r="K683" s="25" t="str">
        <f ca="1">IF(ISERROR(F668),"",_xlfn.TEXTJOIN("/",FALSE,R683,U683))</f>
        <v>48/50</v>
      </c>
      <c r="L683" s="25"/>
      <c r="M683" s="7" t="str">
        <f ca="1">IF(ISERROR(F668),"",IF(ISTEXT(P683),IF(P683="A","Ab",IF(P683="D","Dt",IF(P683="UFM","UFM",IF(P683="NA","")))),IF(AND(ISBLANK(P683),ISBLANK(R683)),"",IF(P683&lt;0.3*S683,"F",IF(ISBLANK(R683),"",IF(ISTEXT(R683),R683,IF(R683&gt;=0.95*U683,"O",IF(R683&gt;=0.9*U683,"A+",IF(R683&gt;=0.85*U683,"A",IF(R683&gt;=0.8*U683,"B+",IF(R683&gt;=0.75*U683,"B",IF(R683&gt;=0.7*U683,"C+",IF(R683&gt;=0.65*U683,"C",IF(R683&gt;=0.6*U683,"D+",IF(R683&gt;=0.55*U683,"D",IF(R683&gt;=0.5*U683,"E+",IF(R683&gt;=0.45*U683,"E",IF(R683&gt;=0.4*U683,"P",IF(R683&lt;0.4*U683,"F",R683)))))))))))))))))))</f>
        <v>O</v>
      </c>
      <c r="N683" s="8">
        <f t="shared" ca="1" si="61"/>
        <v>10</v>
      </c>
      <c r="O683">
        <f t="shared" ca="1" si="62"/>
        <v>12</v>
      </c>
      <c r="P683" s="1">
        <f ca="1">IF(ISERROR(F668),"",IF(ISTEXT(VLOOKUP(B668,INDIRECT($F$8),6+(O683-1)*3)),(VLOOKUP(B668,INDIRECT($F$8),6+(O683-1)*3)),SUM(VLOOKUP(B668,INDIRECT($F$8),6+(O683-1)*3),IF(W686,W683,0))))</f>
        <v>24</v>
      </c>
      <c r="Q683" s="1">
        <f ca="1">IF(ISERROR(F668),"",VLOOKUP(B668,INDIRECT($F$8),7+(O683-1)*3))</f>
        <v>24</v>
      </c>
      <c r="R683" s="1">
        <f ca="1">IF(ISERROR(F668),"",SUM(P683:Q683))</f>
        <v>48</v>
      </c>
      <c r="S683" s="1">
        <f ca="1">IF(ISERROR(F668),"",VLOOKUP(A668,INDIRECT($F$8),6+(O683-1)*3))</f>
        <v>25</v>
      </c>
      <c r="T683" s="1">
        <f ca="1">IF(ISERROR(F668),"",VLOOKUP(A668,INDIRECT($F$8),7+(O683-1)*3))</f>
        <v>25</v>
      </c>
      <c r="U683" s="1">
        <f ca="1">IF(ISERROR(F668),"",VLOOKUP(A668,INDIRECT($F$8),8+(O683-1)*3))</f>
        <v>50</v>
      </c>
      <c r="V683" s="1" t="str">
        <f ca="1">IF(ISERROR(F668),"",IF(N683=0,A683,""))</f>
        <v/>
      </c>
      <c r="W683" s="1">
        <f ca="1">IF(ISERROR(F668),"",IF(ISTEXT(VLOOKUP(B668,INDIRECT($F$8),6+(O683-1)*3)),11,IF(VLOOKUP(B668,INDIRECT($F$8),6+(O683-1)*3)&lt;S683*0.3,IF(VLOOKUP(B668,INDIRECT($F$8),8+(O683-1)*3)&lt;U683*0.4,IF(AND(0.4*U683-VLOOKUP(B668,INDIRECT($F$8),8+(O683-1)*3)&lt;=5,0.3*S683-VLOOKUP(B668,INDIRECT($F$8),6+(O683-1)*3)&lt;=5),MAX(0.4*U683-VLOOKUP(B668,INDIRECT($F$8),8+(O683-1)*3),0.3*S683-VLOOKUP(B668,INDIRECT($F$8),6+(O683-1)*3)),11),IF(0.3*S683-VLOOKUP(B668,INDIRECT($F$8),6+(O683-1)*3)&lt;=5,0.3*S683-VLOOKUP(B668,INDIRECT($F$8),6+(O683-1)*3),11)),IF(VLOOKUP(B668,INDIRECT($F$8),8+(O683-1)*3)&lt;U683*0.4,IF(U683*0.4-VLOOKUP(B668,INDIRECT($F$8),8+(O683-1)*3)&lt;=5,U683*0.4-VLOOKUP(B668,INDIRECT($F$8),8+(O683-1)*3),11),0))))</f>
        <v>0</v>
      </c>
      <c r="X683" s="1" t="str">
        <f ca="1">IF(ISERROR(F668),"",IF(W683=0,"",_xlfn.TEXTJOIN("",FALSE," G+",W683," in ",A683)))</f>
        <v/>
      </c>
    </row>
    <row r="684" spans="1:24" ht="12.5" customHeight="1" x14ac:dyDescent="0.2">
      <c r="A684" s="7" t="str">
        <f ca="1">IF(ISERROR(F668),"",VLOOKUP(C668,INDIRECT($F$8),6+(O684-1)*3,0))</f>
        <v>AHP 006</v>
      </c>
      <c r="B684" s="24" t="str">
        <f ca="1">IF(ISERROR(F668),"",VLOOKUP(D668,INDIRECT($F$8),6+(O684-1)*3,0))</f>
        <v>English Language Lab ($)</v>
      </c>
      <c r="C684" s="24"/>
      <c r="D684" s="24"/>
      <c r="E684" s="24"/>
      <c r="F684" s="7">
        <f ca="1">IF(ISERROR(F668),"",VLOOKUP(E668,INDIRECT($F$8),6+(O684-1)*3,0))</f>
        <v>0</v>
      </c>
      <c r="G684" s="25" t="str">
        <f ca="1">IF(ISERROR(F668),"",_xlfn.TEXTJOIN("/",FALSE,P684,S684))</f>
        <v>17/25</v>
      </c>
      <c r="H684" s="25"/>
      <c r="I684" s="25" t="str">
        <f ca="1">IF(ISERROR(F668),"",_xlfn.TEXTJOIN("/",FALSE,Q684,T684))</f>
        <v>28/50</v>
      </c>
      <c r="J684" s="25"/>
      <c r="K684" s="25" t="str">
        <f ca="1">IF(ISERROR(F668),"",_xlfn.TEXTJOIN("/",FALSE,R684,U684))</f>
        <v>45/75</v>
      </c>
      <c r="L684" s="25"/>
      <c r="M684" s="7" t="str">
        <f ca="1">IF(ISERROR(F668),"",IF(ISTEXT(P684),IF(P684="A","Ab",IF(P684="D","Dt",IF(P684="UFM","UFM",IF(P684="NA","")))),IF(AND(ISBLANK(P684),ISBLANK(R684)),"",IF(P684&lt;0.3*S684,"F",IF(ISBLANK(R684),"",IF(ISTEXT(R684),R684,IF(R684&gt;=0.95*U684,"O",IF(R684&gt;=0.9*U684,"A+",IF(R684&gt;=0.85*U684,"A",IF(R684&gt;=0.8*U684,"B+",IF(R684&gt;=0.75*U684,"B",IF(R684&gt;=0.7*U684,"C+",IF(R684&gt;=0.65*U684,"C",IF(R684&gt;=0.6*U684,"D+",IF(R684&gt;=0.55*U684,"D",IF(R684&gt;=0.5*U684,"E+",IF(R684&gt;=0.45*U684,"E",IF(R684&gt;=0.4*U684,"P",IF(R684&lt;0.4*U684,"F",R684)))))))))))))))))))</f>
        <v>D+</v>
      </c>
      <c r="N684" s="8">
        <f ca="1">INDEX($Z$2:$Z$17,MATCH(M684,$Y$2:$Y$17,0))</f>
        <v>6.5</v>
      </c>
      <c r="O684">
        <f t="shared" ca="1" si="62"/>
        <v>13</v>
      </c>
      <c r="P684" s="1">
        <f ca="1">IF(ISERROR(F668),"",IF(ISTEXT(VLOOKUP(B668,INDIRECT($F$8),6+(O684-1)*3)),(VLOOKUP(B668,INDIRECT($F$8),6+(O684-1)*3)),SUM(VLOOKUP(B668,INDIRECT($F$8),6+(O684-1)*3),IF(W686,W684,0))))</f>
        <v>17</v>
      </c>
      <c r="Q684" s="1">
        <f ca="1">IF(ISERROR(F668),"",VLOOKUP(B668,INDIRECT($F$8),7+(O684-1)*3))</f>
        <v>28</v>
      </c>
      <c r="R684" s="1">
        <f ca="1">IF(ISERROR(F668),"",SUM(P684:Q684))</f>
        <v>45</v>
      </c>
      <c r="S684" s="1">
        <f ca="1">IF(ISERROR(F668),"",VLOOKUP(A668,INDIRECT($F$8),6+(O684-1)*3))</f>
        <v>25</v>
      </c>
      <c r="T684" s="1">
        <f ca="1">IF(ISERROR(F668),"",VLOOKUP(A668,INDIRECT($F$8),7+(O684-1)*3))</f>
        <v>50</v>
      </c>
      <c r="U684" s="1">
        <f ca="1">IF(ISERROR(F668),"",VLOOKUP(A668,INDIRECT($F$8),8+(O684-1)*3))</f>
        <v>75</v>
      </c>
      <c r="V684" s="1"/>
      <c r="W684" s="1">
        <f ca="1">IF(ISERROR(F668),"",IF(ISTEXT(VLOOKUP(B668,INDIRECT($F$8),6+(O684-1)*3)),11,IF(VLOOKUP(B668,INDIRECT($F$8),6+(O684-1)*3)&lt;S684*0.3,IF(VLOOKUP(B668,INDIRECT($F$8),8+(O684-1)*3)&lt;U684*0.4,IF(AND(0.4*U684-VLOOKUP(B668,INDIRECT($F$8),8+(O684-1)*3)&lt;=5,0.3*S684-VLOOKUP(B668,INDIRECT($F$8),6+(O684-1)*3)&lt;=5),MAX(0.4*U684-VLOOKUP(B668,INDIRECT($F$8),8+(O684-1)*3),0.3*S684-VLOOKUP(B668,INDIRECT($F$8),6+(O684-1)*3)),11),IF(0.3*S684-VLOOKUP(B668,INDIRECT($F$8),6+(O684-1)*3)&lt;=5,0.3*S684-VLOOKUP(B668,INDIRECT($F$8),6+(O684-1)*3),11)),IF(VLOOKUP(B668,INDIRECT($F$8),8+(O684-1)*3)&lt;U684*0.4,IF(U684*0.4-VLOOKUP(B668,INDIRECT($F$8),8+(O684-1)*3)&lt;=5,U684*0.4-VLOOKUP(B668,INDIRECT($F$8),8+(O684-1)*3),11),0))))</f>
        <v>0</v>
      </c>
      <c r="X684" s="1" t="str">
        <f ca="1">IF(ISERROR(F668),"",IF(W684=0,"",_xlfn.TEXTJOIN("",FALSE," G+",W684," in ",A684)))</f>
        <v/>
      </c>
    </row>
    <row r="685" spans="1:24" ht="12.5" customHeight="1" x14ac:dyDescent="0.2">
      <c r="A685" s="7" t="str">
        <f ca="1">IF(ISERROR(F668),"",VLOOKUP(C668,INDIRECT($F$8),6+(O685-1)*3-Y685,0))</f>
        <v>GP 01</v>
      </c>
      <c r="B685" s="24" t="str">
        <f ca="1">IF(ISERROR(F668),"",VLOOKUP(D668,INDIRECT($F$8),6+(O685-1)*3-Z685,0))</f>
        <v>General Proficiency ($)</v>
      </c>
      <c r="C685" s="24"/>
      <c r="D685" s="24"/>
      <c r="E685" s="24"/>
      <c r="F685" s="7">
        <f ca="1">IF(ISERROR(F668),"",VLOOKUP(E668,INDIRECT($F$8),6+(O685-1)*3-AA685,0))</f>
        <v>0</v>
      </c>
      <c r="G685" s="25" t="str">
        <f ca="1">IF(ISERROR(F668),"","-")</f>
        <v>-</v>
      </c>
      <c r="H685" s="25"/>
      <c r="I685" s="25" t="str">
        <f ca="1">IF(ISERROR(F668),"",_xlfn.TEXTJOIN("/",FALSE,Q685,T685))</f>
        <v>47/50</v>
      </c>
      <c r="J685" s="25"/>
      <c r="K685" s="25" t="str">
        <f ca="1">IF(ISERROR(F668),"",_xlfn.TEXTJOIN("/",FALSE,R685,U685))</f>
        <v>47/50</v>
      </c>
      <c r="L685" s="25"/>
      <c r="M685" s="25" t="str">
        <f ca="1">IF(ISBLANK(R685),"",IF(ISTEXT(R685),R685,IF(R685&gt;=0.8*U685,"Excellent",IF(R685&gt;=0.6*U685,"Very Good",IF(R685&gt;=0.4*U685,"Good",IF(R685&gt;=0.2*U685,"Satisfactory","Average"))))))</f>
        <v>Excellent</v>
      </c>
      <c r="N685" s="25"/>
      <c r="O685">
        <f t="shared" ca="1" si="62"/>
        <v>14</v>
      </c>
      <c r="P685" s="1">
        <f ca="1">IF(ISERROR(F668),"",IF(ISTEXT(VLOOKUP(B\28,INDIRECT($F$8),6+(O685-1)*3)),(VLOOKUP(B668,INDIRECT($F$8),6+(O685-1)*3)),SUM(VLOOKUP(B668,INDIRECT($F$8),6+(O685-1)*3),IF(W686,W686,0))))</f>
        <v>0</v>
      </c>
      <c r="Q685" s="1">
        <f ca="1">IF(ISERROR(F668),"",VLOOKUP(B668,INDIRECT($F$8),7+(O685-1)*3))</f>
        <v>47</v>
      </c>
      <c r="R685" s="1">
        <f ca="1">IF(ISERROR(F668),"",SUM(P685:Q685))</f>
        <v>47</v>
      </c>
      <c r="S685" s="1">
        <f ca="1">IF(ISERROR(F668),"",VLOOKUP(A668,INDIRECT($F$8),6+(O685-1)*3))</f>
        <v>0</v>
      </c>
      <c r="T685" s="1">
        <f ca="1">IF(ISERROR(F668),"",VLOOKUP(A668,INDIRECT($F$8),7+(O685-1)*3))</f>
        <v>50</v>
      </c>
      <c r="U685" s="1">
        <f ca="1">IF(ISERROR(F668),"",VLOOKUP(A668,INDIRECT($F$8),8+(O685-1)*3))</f>
        <v>50</v>
      </c>
      <c r="V685" s="1"/>
      <c r="W685" s="1"/>
      <c r="X685" s="1" t="str">
        <f ca="1">IF(ISERROR(F668),"",IF(W685=0,"",_xlfn.TEXTJOIN("",FALSE," G+",W685," in ",A685)))</f>
        <v/>
      </c>
    </row>
    <row r="686" spans="1:24" ht="12.5" customHeight="1" x14ac:dyDescent="0.2">
      <c r="A686" s="26" t="str">
        <f ca="1">IF(ISERROR(F668),"",A664)</f>
        <v>Total Credits/ Marks/ Total Grade Points</v>
      </c>
      <c r="B686" s="26"/>
      <c r="C686" s="26"/>
      <c r="D686" s="26"/>
      <c r="E686" s="26"/>
      <c r="F686" s="10">
        <f ca="1">IF(ISERROR(F668),"",SUM(F673:F684))</f>
        <v>23</v>
      </c>
      <c r="G686" s="27" t="str">
        <f ca="1">IF(ISERROR(F668),"",_xlfn.TEXTJOIN("/",TRUE,SUMIF(F673:F685,"&gt;0",P673:P685),SUMIF(F673:F685,"&gt;0",S673:S685)))</f>
        <v>274/575</v>
      </c>
      <c r="H686" s="27"/>
      <c r="I686" s="27" t="str">
        <f ca="1">IF(ISERROR(F668),"",_xlfn.TEXTJOIN("/",TRUE,SUMIF(F673:F685,"&gt;0",Q673:Q685),SUMIF(F673:F685,"&gt;0",T673:T685)))</f>
        <v>269/375</v>
      </c>
      <c r="J686" s="27"/>
      <c r="K686" s="27" t="str">
        <f ca="1">IF(ISERROR(F668),"",_xlfn.TEXTJOIN("/",TRUE,SUMIF(F673:F685,"&gt;0",R673:R685),SUMIF(F673:F685,"&gt;0",U673:U685)))</f>
        <v>543/950</v>
      </c>
      <c r="L686" s="27"/>
      <c r="M686" s="26">
        <f ca="1">IF(ISERROR(F668),"",SUMPRODUCT(N673:N684,F673:F684))</f>
        <v>123.5</v>
      </c>
      <c r="N686" s="26"/>
      <c r="V686" s="1" t="str">
        <f ca="1">IF(ISERROR(F668),"",_xlfn.TEXTJOIN(", ",TRUE,V673:V685))</f>
        <v>AHT 003</v>
      </c>
      <c r="W686" t="b">
        <f ca="1">IF(ISERROR(F668),"",IF(SUM(W673:W685)&lt;=W672,TRUE,FALSE))</f>
        <v>0</v>
      </c>
      <c r="X686" s="1" t="str">
        <f ca="1">IF(ISERROR(F668),"",_xlfn.TEXTJOIN(",",TRUE,X673:X685))</f>
        <v xml:space="preserve"> G+11 in AHT 003</v>
      </c>
    </row>
    <row r="687" spans="1:24" ht="12.5" customHeight="1" x14ac:dyDescent="0.2">
      <c r="A687" s="26" t="str">
        <f ca="1">IF(ISERROR(F668),"",A665)</f>
        <v>Result:</v>
      </c>
      <c r="B687" s="28" t="str" cm="1">
        <f t="array" aca="1" ref="B687" ca="1">IF(SUM(COUNTIF(M673:M684,{"Ab","Dt"}))=12, "Not Promoted to IInd Semester", IF(V686="", "PASS", "CARRY OVER"))</f>
        <v>CARRY OVER</v>
      </c>
      <c r="C687" s="28"/>
      <c r="D687" s="26" t="str">
        <f ca="1">IF(ISERROR(F668),"",D665)</f>
        <v>Remark:</v>
      </c>
      <c r="E687" s="28" t="str">
        <f ca="1">IF(ISERROR(F668),"",IF(V686="",IF(X686="","",X686),_xlfn.TEXTJOIN(" ",TRUE,"BACK IN",V686)))</f>
        <v>BACK IN AHT 003</v>
      </c>
      <c r="F687" s="28"/>
      <c r="G687" s="26" t="str">
        <f ca="1">IF(ISERROR(F668),"",G665)</f>
        <v>SGPA:</v>
      </c>
      <c r="H687" s="29">
        <f ca="1">IF(ISERROR(F668),"",M686/F686)</f>
        <v>5.3695652173913047</v>
      </c>
      <c r="I687" s="26" t="str">
        <f ca="1">IF(ISERROR(F668),"",I665)</f>
        <v>CGPA:</v>
      </c>
      <c r="J687" s="29">
        <f ca="1">IF(ISERROR(F668),"",VLOOKUP(B668,INDIRECT($F$8),12+(O685-1)*3,0))</f>
        <v>5.3695652173913047</v>
      </c>
      <c r="K687" s="28" t="str">
        <f ca="1">IF(ISERROR(F668),"",K665)</f>
        <v>Earned Credits:</v>
      </c>
      <c r="L687" s="26">
        <f ca="1">IF(ISERROR(F668),"",SUMIF(N673:N684,"&gt;0",F673:F684))</f>
        <v>19</v>
      </c>
      <c r="M687" s="28" t="str">
        <f ca="1">IF(ISERROR(F668),"",M665)</f>
        <v>Cuml. Earned Credits:</v>
      </c>
      <c r="N687" s="26">
        <f ca="1">IF(ISERROR(F668),"",VLOOKUP(B668,INDIRECT($F$8),10+(O685-1)*3,0))</f>
        <v>19</v>
      </c>
    </row>
    <row r="688" spans="1:24" ht="12.5" customHeight="1" x14ac:dyDescent="0.2">
      <c r="A688" s="26"/>
      <c r="B688" s="28"/>
      <c r="C688" s="28"/>
      <c r="D688" s="26"/>
      <c r="E688" s="28"/>
      <c r="F688" s="28"/>
      <c r="G688" s="26"/>
      <c r="H688" s="29"/>
      <c r="I688" s="26"/>
      <c r="J688" s="29"/>
      <c r="K688" s="28"/>
      <c r="L688" s="26"/>
      <c r="M688" s="28"/>
      <c r="N688" s="26"/>
    </row>
    <row r="689" spans="1:24" ht="12.5" customHeight="1" x14ac:dyDescent="0.2">
      <c r="A689" s="26"/>
      <c r="B689" s="28"/>
      <c r="C689" s="28"/>
      <c r="D689" s="26"/>
      <c r="E689" s="28"/>
      <c r="F689" s="28"/>
      <c r="G689" s="26"/>
      <c r="H689" s="29"/>
      <c r="I689" s="26"/>
      <c r="J689" s="29"/>
      <c r="K689" s="28"/>
      <c r="L689" s="26"/>
      <c r="M689" s="28"/>
      <c r="N689" s="26"/>
    </row>
    <row r="690" spans="1:24" ht="12.5" customHeight="1" x14ac:dyDescent="0.2">
      <c r="A690" s="11" t="str">
        <f>A668</f>
        <v>MM</v>
      </c>
      <c r="B690" s="11">
        <f>B668+1</f>
        <v>32</v>
      </c>
      <c r="C690" s="11" t="str">
        <f>C668</f>
        <v>SC</v>
      </c>
      <c r="D690" s="11" t="str">
        <f>D668</f>
        <v>SN</v>
      </c>
      <c r="E690" s="11" t="str">
        <f>E668</f>
        <v>C</v>
      </c>
      <c r="F690" s="11" t="str">
        <f ca="1">VLOOKUP(B690,INDIRECT($F$8),4,0)</f>
        <v>SNEHA</v>
      </c>
    </row>
    <row r="691" spans="1:24" ht="12.5" customHeight="1" x14ac:dyDescent="0.2">
      <c r="A691" s="30" t="str">
        <f ca="1">IF(ISERROR(F690),"",A669)</f>
        <v>Name:</v>
      </c>
      <c r="B691" s="30" t="str">
        <f ca="1">IFERROR(VLOOKUP(B690,INDIRECT($F$8),4,0),"")</f>
        <v>SNEHA</v>
      </c>
      <c r="C691" s="30"/>
      <c r="D691" s="30" t="str">
        <f ca="1">IF(ISERROR(F690),"",D669)</f>
        <v>Father's Name:</v>
      </c>
      <c r="E691" s="30" t="str">
        <f ca="1">IFERROR(VLOOKUP(B690,INDIRECT($F$8),5,0),"")</f>
        <v>VEER SINGH</v>
      </c>
      <c r="F691" s="30"/>
      <c r="G691" s="30" t="str">
        <f ca="1">IF(ISERROR(F690),"",G669)</f>
        <v>University Roll No:</v>
      </c>
      <c r="H691" s="30"/>
      <c r="I691" s="31">
        <f ca="1">IFERROR(VLOOKUP(B690,INDIRECT($F$8),2,0),"")</f>
        <v>250090120033</v>
      </c>
      <c r="J691" s="31"/>
      <c r="K691" s="30" t="str">
        <f ca="1">IF(ISERROR(F690),"",K669)</f>
        <v>University Enrol. No:</v>
      </c>
      <c r="L691" s="30"/>
      <c r="M691" s="31" t="str">
        <f ca="1">IFERROR(VLOOKUP(B690,INDIRECT($F$8),3,0),"")</f>
        <v>UTU/2501104270</v>
      </c>
      <c r="N691" s="31"/>
    </row>
    <row r="692" spans="1:24" ht="12.5" customHeight="1" x14ac:dyDescent="0.2">
      <c r="A692" s="30"/>
      <c r="B692" s="30"/>
      <c r="C692" s="30"/>
      <c r="D692" s="30"/>
      <c r="E692" s="30"/>
      <c r="F692" s="30"/>
      <c r="G692" s="30"/>
      <c r="H692" s="30"/>
      <c r="I692" s="31"/>
      <c r="J692" s="31"/>
      <c r="K692" s="30"/>
      <c r="L692" s="30"/>
      <c r="M692" s="31"/>
      <c r="N692" s="31"/>
    </row>
    <row r="693" spans="1:24" ht="12.5" customHeight="1" x14ac:dyDescent="0.2">
      <c r="A693" s="28" t="str">
        <f ca="1">IF(ISERROR(F690),"",A671)</f>
        <v>Subject Code</v>
      </c>
      <c r="B693" s="28" t="str">
        <f ca="1">IF(ISERROR(F690),"",B671)</f>
        <v>Subject Name</v>
      </c>
      <c r="C693" s="28"/>
      <c r="D693" s="28"/>
      <c r="E693" s="28"/>
      <c r="F693" s="28" t="str">
        <f ca="1">IF(ISERROR(F690),"",F671)</f>
        <v>Credits</v>
      </c>
      <c r="G693" s="28" t="str">
        <f ca="1">IF(ISERROR(F690),"",G671)</f>
        <v>External Marks</v>
      </c>
      <c r="H693" s="28"/>
      <c r="I693" s="28" t="str">
        <f ca="1">IF(ISERROR(F690),"",I671)</f>
        <v>Sessional Marks</v>
      </c>
      <c r="J693" s="28"/>
      <c r="K693" s="28" t="str">
        <f ca="1">IF(ISERROR(F690),"",K671)</f>
        <v>Total Marks</v>
      </c>
      <c r="L693" s="28"/>
      <c r="M693" s="28" t="str">
        <f ca="1">IF(ISERROR(F690),"",M671)</f>
        <v>Grade</v>
      </c>
      <c r="N693" s="28" t="str">
        <f ca="1">IF(ISERROR(F690),"",N671)</f>
        <v>Grade Points</v>
      </c>
    </row>
    <row r="694" spans="1:24" ht="12.5" customHeight="1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W694">
        <f ca="1">IF(ISNUMBER(MATCH($F$8,{"I","III","V","VII"},0)),10,10-INDEX(INDIRECT(_xlfn.TEXTJOIN("",TRUE,"SEM_",$G$8,"!",ADDRESS(6,4+$I$8*3+4),":",ADDRESS(5+$H$8,4+$I$8*3+4))),MATCH(INDIRECT(_xlfn.TEXTJOIN("",TRUE,"TC_",$F$8,"!",ADDRESS(ROW(I691),COLUMN(I691)))),INDIRECT(_xlfn.TEXTJOIN("",TRUE,"SEM_",$G$8,"!",ADDRESS(6,2),":",ADDRESS(5+$H$8,2))))))</f>
        <v>10</v>
      </c>
    </row>
    <row r="695" spans="1:24" ht="12.5" customHeight="1" x14ac:dyDescent="0.2">
      <c r="A695" s="7" t="str">
        <f ca="1">IF(ISERROR(F690),"",VLOOKUP(C690,INDIRECT($F$8),6+(O695-1)*3,0))</f>
        <v>AHT 002</v>
      </c>
      <c r="B695" s="24" t="str">
        <f ca="1">IF(ISERROR(F690),"",VLOOKUP(D690,INDIRECT($F$8),6+(O695-1)*3,0))</f>
        <v>Engineering Chemistry</v>
      </c>
      <c r="C695" s="24"/>
      <c r="D695" s="24"/>
      <c r="E695" s="24"/>
      <c r="F695" s="7">
        <f ca="1">IF(ISERROR(F690),"",VLOOKUP(E690,INDIRECT($F$8),6+(O695-1)*3,0))</f>
        <v>4</v>
      </c>
      <c r="G695" s="25" t="str">
        <f ca="1">IF(ISERROR(F690),"",_xlfn.TEXTJOIN("/",FALSE,P695,S695))</f>
        <v>47/100</v>
      </c>
      <c r="H695" s="25"/>
      <c r="I695" s="25" t="str">
        <f ca="1">IF(ISERROR(F690),"",_xlfn.TEXTJOIN("/",FALSE,Q695,T695))</f>
        <v>39/50</v>
      </c>
      <c r="J695" s="25"/>
      <c r="K695" s="25" t="str">
        <f ca="1">IF(ISERROR(F690),"",_xlfn.TEXTJOIN("/",FALSE,R695,U695))</f>
        <v>86/150</v>
      </c>
      <c r="L695" s="25"/>
      <c r="M695" s="7" t="str">
        <f ca="1">IF(ISERROR(F690)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D</v>
      </c>
      <c r="N695" s="8">
        <f ca="1">INDEX($Z$2:$Z$17,MATCH(M695,$Y$2:$Y$17,0))</f>
        <v>6</v>
      </c>
      <c r="O695">
        <v>1</v>
      </c>
      <c r="P695" s="1">
        <f ca="1">IF(ISERROR(F690),"",IF(ISTEXT(VLOOKUP(B690,INDIRECT($F$8),6+(O695-1)*3)),(VLOOKUP(B690,INDIRECT($F$8),6+(O695-1)*3)),SUM(VLOOKUP(B690,INDIRECT($F$8),6+(O695-1)*3),IF(W708,W695,0))))</f>
        <v>47</v>
      </c>
      <c r="Q695" s="1">
        <f ca="1">IF(ISERROR(F690),"",VLOOKUP(B690,INDIRECT($F$8),7+(O695-1)*3))</f>
        <v>39</v>
      </c>
      <c r="R695" s="1">
        <f ca="1">IF(ISERROR(F690),"",SUM(P695:Q695))</f>
        <v>86</v>
      </c>
      <c r="S695" s="1">
        <f ca="1">IF(ISERROR(F690),"",VLOOKUP(A690,INDIRECT($F$8),6+(O695-1)*3))</f>
        <v>100</v>
      </c>
      <c r="T695" s="1">
        <f ca="1">IF(ISERROR(F690),"",VLOOKUP(A690,INDIRECT($F$8),7+(O695-1)*3))</f>
        <v>50</v>
      </c>
      <c r="U695" s="1">
        <f ca="1">IF(ISERROR(F690),"",VLOOKUP(A690,INDIRECT($F$8),8+(O695-1)*3))</f>
        <v>150</v>
      </c>
      <c r="V695" s="1" t="str">
        <f ca="1">IF(ISERROR(F690),"",IF(N695=0,A695,""))</f>
        <v/>
      </c>
      <c r="W695" s="1">
        <f ca="1">IF(ISERROR(F690),"",IF(ISTEXT(VLOOKUP(B690,INDIRECT($F$8),6+(O695-1)*3)),11,IF(VLOOKUP(B690,INDIRECT($F$8),6+(O695-1)*3)&lt;S695*0.3,IF(VLOOKUP(B690,INDIRECT($F$8),8+(O695-1)*3)&lt;U695*0.4,IF(AND(0.4*U695-VLOOKUP(B690,INDIRECT($F$8),8+(O695-1)*3)&lt;=5,0.3*S695-VLOOKUP(B690,INDIRECT($F$8),6+(O695-1)*3)&lt;=5),MAX(0.4*U695-VLOOKUP(B690,INDIRECT($F$8),8+(O695-1)*3),0.3*S695-VLOOKUP(B690,INDIRECT($F$8),6+(O695-1)*3)),11),IF(0.3*S695-VLOOKUP(B690,INDIRECT($F$8),6+(O695-1)*3)&lt;=5,0.3*S695-VLOOKUP(B690,INDIRECT($F$8),6+(O695-1)*3),11)),IF(VLOOKUP(B690,INDIRECT($F$8),8+(O695-1)*3)&lt;U695*0.4,IF(U695*0.4-VLOOKUP(B690,INDIRECT($F$8),8+(O695-1)*3)&lt;=5,U695*0.4-VLOOKUP(B690,INDIRECT($F$8),8+(O695-1)*3),11),0))))</f>
        <v>0</v>
      </c>
      <c r="X695" s="1" t="str">
        <f ca="1">IF(ISERROR(F690),"",IF(W695=0,"",_xlfn.TEXTJOIN("",FALSE," G+",W695," in ",A695)))</f>
        <v/>
      </c>
    </row>
    <row r="696" spans="1:24" ht="12.5" customHeight="1" x14ac:dyDescent="0.2">
      <c r="A696" s="7" t="str">
        <f ca="1">IF(ISERROR(F690),"",VLOOKUP(C690,INDIRECT($F$8),6+(O696-1)*3,0))</f>
        <v>AHT 003</v>
      </c>
      <c r="B696" s="24" t="str">
        <f ca="1">IF(ISERROR(F690),"",VLOOKUP(D690,INDIRECT($F$8),6+(O696-1)*3,0))</f>
        <v>Introduction to Engineering Mathematics</v>
      </c>
      <c r="C696" s="24"/>
      <c r="D696" s="24"/>
      <c r="E696" s="24"/>
      <c r="F696" s="7">
        <f ca="1">IF(ISERROR(F690),"",VLOOKUP(E690,INDIRECT($F$8),6+(O696-1)*3,0))</f>
        <v>4</v>
      </c>
      <c r="G696" s="25" t="str">
        <f ca="1">IF(ISERROR(F690),"",_xlfn.TEXTJOIN("/",FALSE,P696,S696))</f>
        <v>10/100</v>
      </c>
      <c r="H696" s="25"/>
      <c r="I696" s="25" t="str">
        <f ca="1">IF(ISERROR(F690),"",_xlfn.TEXTJOIN("/",FALSE,Q696,T696))</f>
        <v>23/50</v>
      </c>
      <c r="J696" s="25"/>
      <c r="K696" s="25" t="str">
        <f ca="1">IF(ISERROR(F690),"",_xlfn.TEXTJOIN("/",FALSE,R696,U696))</f>
        <v>33/150</v>
      </c>
      <c r="L696" s="25"/>
      <c r="M696" s="7" t="str">
        <f ca="1">IF(ISERROR(F690),"",IF(ISTEXT(P696),IF(P696="A","Ab",IF(P696="D","Dt",IF(P696="UFM","UFM",IF(P696="NA","")))),IF(AND(ISBLANK(P696),ISBLANK(R696)),"",IF(P696&lt;0.3*S696,"F",IF(ISBLANK(R696),"",IF(ISTEXT(R696),R696,IF(R696&gt;=0.95*U696,"O",IF(R696&gt;=0.9*U696,"A+",IF(R696&gt;=0.85*U696,"A",IF(R696&gt;=0.8*U696,"B+",IF(R696&gt;=0.75*U696,"B",IF(R696&gt;=0.7*U696,"C+",IF(R696&gt;=0.65*U696,"C",IF(R696&gt;=0.6*U696,"D+",IF(R696&gt;=0.55*U696,"D",IF(R696&gt;=0.5*U696,"E+",IF(R696&gt;=0.45*U696,"E",IF(R696&gt;=0.4*U696,"P",IF(R696&lt;0.4*U696,"F",R696)))))))))))))))))))</f>
        <v>F</v>
      </c>
      <c r="N696" s="8">
        <f t="shared" ref="N696:N705" ca="1" si="63">INDEX($Z$2:$Z$17,MATCH(M696,$Y$2:$Y$17,0))</f>
        <v>0</v>
      </c>
      <c r="O696">
        <f>O695+1</f>
        <v>2</v>
      </c>
      <c r="P696" s="1">
        <f ca="1">IF(ISERROR(F690),"",IF(ISTEXT(VLOOKUP(B690,INDIRECT($F$8),6+(O696-1)*3)),(VLOOKUP(B690,INDIRECT($F$8),6+(O696-1)*3)),SUM(VLOOKUP(B690,INDIRECT($F$8),6+(O696-1)*3),IF(W708,W696,0))))</f>
        <v>10</v>
      </c>
      <c r="Q696" s="1">
        <f ca="1">IF(ISERROR(F690),"",VLOOKUP(B690,INDIRECT($F$8),7+(O696-1)*3))</f>
        <v>23</v>
      </c>
      <c r="R696" s="1">
        <f ca="1">IF(ISERROR(F690),"",SUM(P696:Q696))</f>
        <v>33</v>
      </c>
      <c r="S696" s="1">
        <f ca="1">IF(ISERROR(F690),"",VLOOKUP(A690,INDIRECT($F$8),6+(O696-1)*3))</f>
        <v>100</v>
      </c>
      <c r="T696" s="1">
        <f ca="1">IF(ISERROR(F690),"",VLOOKUP(A690,INDIRECT($F$8),7+(O696-1)*3))</f>
        <v>50</v>
      </c>
      <c r="U696" s="1">
        <f ca="1">IF(ISERROR(F690),"",VLOOKUP(A690,INDIRECT($F$8),8+(O696-1)*3))</f>
        <v>150</v>
      </c>
      <c r="V696" s="1" t="str">
        <f ca="1">IF(ISERROR(F690),"",IF(N696=0,A696,""))</f>
        <v>AHT 003</v>
      </c>
      <c r="W696" s="1">
        <f ca="1">IF(ISERROR(F690),"",IF(ISTEXT(VLOOKUP(B690,INDIRECT($F$8),6+(O696-1)*3)),11,IF(VLOOKUP(B690,INDIRECT($F$8),6+(O696-1)*3)&lt;S696*0.3,IF(VLOOKUP(B690,INDIRECT($F$8),8+(O696-1)*3)&lt;U696*0.4,IF(AND(0.4*U696-VLOOKUP(B690,INDIRECT($F$8),8+(O696-1)*3)&lt;=5,0.3*S696-VLOOKUP(B690,INDIRECT($F$8),6+(O696-1)*3)&lt;=5),MAX(0.4*U696-VLOOKUP(B690,INDIRECT($F$8),8+(O696-1)*3),0.3*S696-VLOOKUP(B690,INDIRECT($F$8),6+(O696-1)*3)),11),IF(0.3*S696-VLOOKUP(B690,INDIRECT($F$8),6+(O696-1)*3)&lt;=5,0.3*S696-VLOOKUP(B690,INDIRECT($F$8),6+(O696-1)*3),11)),IF(VLOOKUP(B690,INDIRECT($F$8),8+(O696-1)*3)&lt;U696*0.4,IF(U696*0.4-VLOOKUP(B690,INDIRECT($F$8),8+(O696-1)*3)&lt;=5,U696*0.4-VLOOKUP(B690,INDIRECT($F$8),8+(O696-1)*3),11),0))))</f>
        <v>11</v>
      </c>
      <c r="X696" s="1" t="str">
        <f ca="1">IF(ISERROR(F690),"",IF(W696=0,"",_xlfn.TEXTJOIN("",FALSE," G+",W696," in ",A696)))</f>
        <v xml:space="preserve"> G+11 in AHT 003</v>
      </c>
    </row>
    <row r="697" spans="1:24" ht="12.5" customHeight="1" x14ac:dyDescent="0.2">
      <c r="A697" s="7" t="str">
        <f ca="1">IF(ISERROR(F690),"",VLOOKUP(C690,INDIRECT($F$8),6+(O697-1)*3,0))</f>
        <v>ECT 001</v>
      </c>
      <c r="B697" s="24" t="str">
        <f ca="1">IF(ISERROR(F690),"",VLOOKUP(D690,INDIRECT($F$8),6+(O697-1)*3,0))</f>
        <v>Basic Electronics Engineering</v>
      </c>
      <c r="C697" s="24"/>
      <c r="D697" s="24"/>
      <c r="E697" s="24"/>
      <c r="F697" s="7">
        <f ca="1">IF(ISERROR(F690),"",VLOOKUP(E690,INDIRECT($F$8),6+(O697-1)*3,0))</f>
        <v>4</v>
      </c>
      <c r="G697" s="25" t="str">
        <f ca="1">IF(ISERROR(F690),"",_xlfn.TEXTJOIN("/",FALSE,P697,S697))</f>
        <v>41/100</v>
      </c>
      <c r="H697" s="25"/>
      <c r="I697" s="25" t="str">
        <f ca="1">IF(ISERROR(F690),"",_xlfn.TEXTJOIN("/",FALSE,Q697,T697))</f>
        <v>46/50</v>
      </c>
      <c r="J697" s="25"/>
      <c r="K697" s="25" t="str">
        <f ca="1">IF(ISERROR(F690),"",_xlfn.TEXTJOIN("/",FALSE,R697,U697))</f>
        <v>87/150</v>
      </c>
      <c r="L697" s="25"/>
      <c r="M697" s="7" t="str">
        <f ca="1">IF(ISERROR(F690),"",IF(ISTEXT(P697),IF(P697="A","Ab",IF(P697="D","Dt",IF(P697="UFM","UFM",IF(P697="NA","")))),IF(AND(ISBLANK(P697),ISBLANK(R697)),"",IF(P697&lt;0.3*S697,"F",IF(ISBLANK(R697),"",IF(ISTEXT(R697),R697,IF(R697&gt;=0.95*U697,"O",IF(R697&gt;=0.9*U697,"A+",IF(R697&gt;=0.85*U697,"A",IF(R697&gt;=0.8*U697,"B+",IF(R697&gt;=0.75*U697,"B",IF(R697&gt;=0.7*U697,"C+",IF(R697&gt;=0.65*U697,"C",IF(R697&gt;=0.6*U697,"D+",IF(R697&gt;=0.55*U697,"D",IF(R697&gt;=0.5*U697,"E+",IF(R697&gt;=0.45*U697,"E",IF(R697&gt;=0.4*U697,"P",IF(R697&lt;0.4*U697,"F",R697)))))))))))))))))))</f>
        <v>D</v>
      </c>
      <c r="N697" s="8">
        <f t="shared" ca="1" si="63"/>
        <v>6</v>
      </c>
      <c r="O697">
        <f>O696+1</f>
        <v>3</v>
      </c>
      <c r="P697" s="1">
        <f ca="1">IF(ISERROR(F690),"",IF(ISTEXT(VLOOKUP(B690,INDIRECT($F$8),6+(O697-1)*3)),(VLOOKUP(B690,INDIRECT($F$8),6+(O697-1)*3)),SUM(VLOOKUP(B690,INDIRECT($F$8),6+(O697-1)*3),IF(W708,W697,0))))</f>
        <v>41</v>
      </c>
      <c r="Q697" s="1">
        <f ca="1">IF(ISERROR(F690),"",VLOOKUP(B690,INDIRECT($F$8),7+(O697-1)*3))</f>
        <v>46</v>
      </c>
      <c r="R697" s="1">
        <f ca="1">IF(ISERROR(F690),"",SUM(P697:Q697))</f>
        <v>87</v>
      </c>
      <c r="S697" s="1">
        <f ca="1">IF(ISERROR(F690),"",VLOOKUP(A690,INDIRECT($F$8),6+(O697-1)*3))</f>
        <v>100</v>
      </c>
      <c r="T697" s="1">
        <f ca="1">IF(ISERROR(F690),"",VLOOKUP(A690,INDIRECT($F$8),7+(O697-1)*3))</f>
        <v>50</v>
      </c>
      <c r="U697" s="1">
        <f ca="1">IF(ISERROR(F690),"",VLOOKUP(A690,INDIRECT($F$8),8+(O697-1)*3))</f>
        <v>150</v>
      </c>
      <c r="V697" s="1" t="str">
        <f ca="1">IF(ISERROR(F690),"",IF(N697=0,A697,""))</f>
        <v/>
      </c>
      <c r="W697" s="1">
        <f ca="1">IF(ISERROR(F690),"",IF(ISTEXT(VLOOKUP(B690,INDIRECT($F$8),6+(O697-1)*3)),11,IF(VLOOKUP(B690,INDIRECT($F$8),6+(O697-1)*3)&lt;S697*0.3,IF(VLOOKUP(B690,INDIRECT($F$8),8+(O697-1)*3)&lt;U697*0.4,IF(AND(0.4*U697-VLOOKUP(B690,INDIRECT($F$8),8+(O697-1)*3)&lt;=5,0.3*S697-VLOOKUP(B690,INDIRECT($F$8),6+(O697-1)*3)&lt;=5),MAX(0.4*U697-VLOOKUP(B690,INDIRECT($F$8),8+(O697-1)*3),0.3*S697-VLOOKUP(B690,INDIRECT($F$8),6+(O697-1)*3)),11),IF(0.3*S697-VLOOKUP(B690,INDIRECT($F$8),6+(O697-1)*3)&lt;=5,0.3*S697-VLOOKUP(B690,INDIRECT($F$8),6+(O697-1)*3),11)),IF(VLOOKUP(B690,INDIRECT($F$8),8+(O697-1)*3)&lt;U697*0.4,IF(U697*0.4-VLOOKUP(B690,INDIRECT($F$8),8+(O697-1)*3)&lt;=5,U697*0.4-VLOOKUP(B690,INDIRECT($F$8),8+(O697-1)*3),11),0))))</f>
        <v>0</v>
      </c>
      <c r="X697" s="1" t="str">
        <f ca="1">IF(ISERROR(F690),"",IF(W697=0,"",_xlfn.TEXTJOIN("",FALSE," G+",W697," in ",A697)))</f>
        <v/>
      </c>
    </row>
    <row r="698" spans="1:24" ht="12.5" customHeight="1" x14ac:dyDescent="0.2">
      <c r="A698" s="7" t="str">
        <f ca="1">IF(ISERROR(F690),"",VLOOKUP(C690,INDIRECT($F$8),6+(O698-1)*3,0))</f>
        <v>MET 001</v>
      </c>
      <c r="B698" s="24" t="str">
        <f ca="1">IF(ISERROR(F690),"",VLOOKUP(D690,INDIRECT($F$8),6+(O698-1)*3,0))</f>
        <v>Basic Mechanical Engineering</v>
      </c>
      <c r="C698" s="24"/>
      <c r="D698" s="24"/>
      <c r="E698" s="24"/>
      <c r="F698" s="7">
        <f ca="1">IF(ISERROR(F690),"",VLOOKUP(E690,INDIRECT($F$8),6+(O698-1)*3,0))</f>
        <v>4</v>
      </c>
      <c r="G698" s="25" t="str">
        <f ca="1">IF(ISERROR(F690),"",_xlfn.TEXTJOIN("/",FALSE,P698,S698))</f>
        <v>78/100</v>
      </c>
      <c r="H698" s="25"/>
      <c r="I698" s="25" t="str">
        <f ca="1">IF(ISERROR(F690),"",_xlfn.TEXTJOIN("/",FALSE,Q698,T698))</f>
        <v>45/50</v>
      </c>
      <c r="J698" s="25"/>
      <c r="K698" s="25" t="str">
        <f ca="1">IF(ISERROR(F690),"",_xlfn.TEXTJOIN("/",FALSE,R698,U698))</f>
        <v>123/150</v>
      </c>
      <c r="L698" s="25"/>
      <c r="M698" s="7" t="str">
        <f ca="1">IF(ISERROR(F690),"",IF(ISTEXT(P698),IF(P698="A","Ab",IF(P698="D","Dt",IF(P698="UFM","UFM",IF(P698="NA","")))),IF(AND(ISBLANK(P698),ISBLANK(R698)),"",IF(P698&lt;0.3*S698,"F",IF(ISBLANK(R698),"",IF(ISTEXT(R698),R698,IF(R698&gt;=0.95*U698,"O",IF(R698&gt;=0.9*U698,"A+",IF(R698&gt;=0.85*U698,"A",IF(R698&gt;=0.8*U698,"B+",IF(R698&gt;=0.75*U698,"B",IF(R698&gt;=0.7*U698,"C+",IF(R698&gt;=0.65*U698,"C",IF(R698&gt;=0.6*U698,"D+",IF(R698&gt;=0.55*U698,"D",IF(R698&gt;=0.5*U698,"E+",IF(R698&gt;=0.45*U698,"E",IF(R698&gt;=0.4*U698,"P",IF(R698&lt;0.4*U698,"F",R698)))))))))))))))))))</f>
        <v>B+</v>
      </c>
      <c r="N698" s="8">
        <f t="shared" ca="1" si="63"/>
        <v>8.5</v>
      </c>
      <c r="O698">
        <f>O697+1</f>
        <v>4</v>
      </c>
      <c r="P698" s="1">
        <f ca="1">IF(ISERROR(F690),"",IF(ISTEXT(VLOOKUP(B690,INDIRECT($F$8),6+(O698-1)*3)),(VLOOKUP(B690,INDIRECT($F$8),6+(O698-1)*3)),SUM(VLOOKUP(B690,INDIRECT($F$8),6+(O698-1)*3),IF(W708,W698,0))))</f>
        <v>78</v>
      </c>
      <c r="Q698" s="1">
        <f ca="1">IF(ISERROR(F690),"",VLOOKUP(B690,INDIRECT($F$8),7+(O698-1)*3))</f>
        <v>45</v>
      </c>
      <c r="R698" s="1">
        <f ca="1">IF(ISERROR(F690),"",SUM(P698:Q698))</f>
        <v>123</v>
      </c>
      <c r="S698" s="1">
        <f ca="1">IF(ISERROR(F690),"",VLOOKUP(A690,INDIRECT($F$8),6+(O698-1)*3))</f>
        <v>100</v>
      </c>
      <c r="T698" s="1">
        <f ca="1">IF(ISERROR(F690),"",VLOOKUP(A690,INDIRECT($F$8),7+(O698-1)*3))</f>
        <v>50</v>
      </c>
      <c r="U698" s="1">
        <f ca="1">IF(ISERROR(F690),"",VLOOKUP(A690,INDIRECT($F$8),8+(O698-1)*3))</f>
        <v>150</v>
      </c>
      <c r="V698" s="1" t="str">
        <f ca="1">IF(ISERROR(F690),"",IF(N698=0,A698,""))</f>
        <v/>
      </c>
      <c r="W698" s="1">
        <f ca="1">IF(ISERROR(F690),"",IF(ISTEXT(VLOOKUP(B690,INDIRECT($F$8),6+(O698-1)*3)),11,IF(VLOOKUP(B690,INDIRECT($F$8),6+(O698-1)*3)&lt;S698*0.3,IF(VLOOKUP(B690,INDIRECT($F$8),8+(O698-1)*3)&lt;U698*0.4,IF(AND(0.4*U698-VLOOKUP(B690,INDIRECT($F$8),8+(O698-1)*3)&lt;=5,0.3*S698-VLOOKUP(B690,INDIRECT($F$8),6+(O698-1)*3)&lt;=5),MAX(0.4*U698-VLOOKUP(B690,INDIRECT($F$8),8+(O698-1)*3),0.3*S698-VLOOKUP(B690,INDIRECT($F$8),6+(O698-1)*3)),11),IF(0.3*S698-VLOOKUP(B690,INDIRECT($F$8),6+(O698-1)*3)&lt;=5,0.3*S698-VLOOKUP(B690,INDIRECT($F$8),6+(O698-1)*3),11)),IF(VLOOKUP(B690,INDIRECT($F$8),8+(O698-1)*3)&lt;U698*0.4,IF(U698*0.4-VLOOKUP(B690,INDIRECT($F$8),8+(O698-1)*3)&lt;=5,U698*0.4-VLOOKUP(B690,INDIRECT($F$8),8+(O698-1)*3),11),0))))</f>
        <v>0</v>
      </c>
      <c r="X698" s="1" t="str">
        <f ca="1">IF(ISERROR(F690),"",IF(W698=0,"",_xlfn.TEXTJOIN("",FALSE," G+",W698," in ",A698)))</f>
        <v/>
      </c>
    </row>
    <row r="699" spans="1:24" ht="12.5" customHeight="1" x14ac:dyDescent="0.2">
      <c r="A699" s="7" t="str">
        <f ca="1">IF(ISERROR(F690),"",VLOOKUP(C690,INDIRECT($F$8),6+(O699-1)*3,0))</f>
        <v>AHT 000</v>
      </c>
      <c r="B699" s="24" t="str">
        <f ca="1">IF(ISERROR(F690),"",VLOOKUP(D690,INDIRECT($F$8),6+(O699-1)*3,0))</f>
        <v>Basic Mathematics (Bridge Course) ($)</v>
      </c>
      <c r="C699" s="24"/>
      <c r="D699" s="24"/>
      <c r="E699" s="24"/>
      <c r="F699" s="7">
        <f ca="1">IF(ISERROR(F690),"",VLOOKUP(E690,INDIRECT($F$8),6+(O699-1)*3,0))</f>
        <v>0</v>
      </c>
      <c r="G699" s="25" t="str">
        <f ca="1">IF(ISERROR(F690),"",_xlfn.TEXTJOIN("/",FALSE,P699,S699))</f>
        <v>73/100</v>
      </c>
      <c r="H699" s="25"/>
      <c r="I699" s="25" t="str">
        <f ca="1">IF(ISERROR(F690),"",_xlfn.TEXTJOIN("/",FALSE,Q699,T699))</f>
        <v>38/50</v>
      </c>
      <c r="J699" s="25"/>
      <c r="K699" s="25" t="str">
        <f ca="1">IF(ISERROR(F690),"",_xlfn.TEXTJOIN("/",FALSE,R699,U699))</f>
        <v>111/150</v>
      </c>
      <c r="L699" s="25"/>
      <c r="M699" s="7" t="str">
        <f ca="1">IF(ISERROR(F690),"",IF(ISTEXT(P699),IF(P699="A","Ab",IF(P699="D","Dt",IF(P699="UFM","UFM",IF(P699="NA","")))),IF(AND(ISBLANK(P699),ISBLANK(R699)),"",IF(P699&lt;0.3*S699,"F",IF(ISBLANK(R699),"",IF(ISTEXT(R699),R699,IF(R699&gt;=0.95*U699,"O",IF(R699&gt;=0.9*U699,"A+",IF(R699&gt;=0.85*U699,"A",IF(R699&gt;=0.8*U699,"B+",IF(R699&gt;=0.75*U699,"B",IF(R699&gt;=0.7*U699,"C+",IF(R699&gt;=0.65*U699,"C",IF(R699&gt;=0.6*U699,"D+",IF(R699&gt;=0.55*U699,"D",IF(R699&gt;=0.5*U699,"E+",IF(R699&gt;=0.45*U699,"E",IF(R699&gt;=0.4*U699,"P",IF(R699&lt;0.4*U699,"F",R699)))))))))))))))))))</f>
        <v>C+</v>
      </c>
      <c r="N699" s="8">
        <f t="shared" ca="1" si="63"/>
        <v>7.5</v>
      </c>
      <c r="O699" cm="1">
        <f t="array" aca="1" ref="O699" ca="1">IF(NOT(ISBLANK(INDIRECT("SEM_I!R"&amp;INT((ROW(O699)-17)/22)+6))),5,
IF(NOT(ISBLANK(INDIRECT("SEM_I!U"&amp;INT((ROW(O699)-17)/22)+6))),6))</f>
        <v>5</v>
      </c>
      <c r="P699" s="1">
        <f ca="1">IF(ISERROR(F690),"",IF(ISTEXT(VLOOKUP(B690,INDIRECT($F$8),6+(O699-1)*3)),(VLOOKUP(B690,INDIRECT($F$8),6+(O699-1)*3)),SUM(VLOOKUP(B690,INDIRECT($F$8),6+(O699-1)*3),IF(W708,W699,0))))</f>
        <v>73</v>
      </c>
      <c r="Q699" s="1">
        <f ca="1">IF(ISERROR(F690),"",VLOOKUP(B690,INDIRECT($F$8),7+(O699-1)*3))</f>
        <v>38</v>
      </c>
      <c r="R699" s="1">
        <f ca="1">IF(ISERROR(F690),"",SUM(P699:Q699))</f>
        <v>111</v>
      </c>
      <c r="S699" s="1">
        <f ca="1">IF(ISERROR(F690),"",VLOOKUP(A690,INDIRECT($F$8),6+(O699-1)*3))</f>
        <v>100</v>
      </c>
      <c r="T699" s="1">
        <f ca="1">IF(ISERROR(F690),"",VLOOKUP(A690,INDIRECT($F$8),7+(O699-1)*3))</f>
        <v>50</v>
      </c>
      <c r="U699" s="1">
        <f ca="1">IF(ISERROR(F690),"",VLOOKUP(A690,INDIRECT($F$8),8+(O699-1)*3))</f>
        <v>150</v>
      </c>
      <c r="V699" s="1" t="str">
        <f ca="1">IF(ISERROR(F690),"",IF(N699=0,A699,""))</f>
        <v/>
      </c>
      <c r="W699" s="1">
        <f ca="1">IF(ISERROR(F690),"",IF(ISTEXT(VLOOKUP(B690,INDIRECT($F$8),6+(O699-1)*3)),11,IF(VLOOKUP(B690,INDIRECT($F$8),6+(O699-1)*3)&lt;S699*0.3,IF(VLOOKUP(B690,INDIRECT($F$8),8+(O699-1)*3)&lt;U699*0.4,IF(AND(0.4*U699-VLOOKUP(B690,INDIRECT($F$8),8+(O699-1)*3)&lt;=5,0.3*S699-VLOOKUP(B690,INDIRECT($F$8),6+(O699-1)*3)&lt;=5),MAX(0.4*U699-VLOOKUP(B690,INDIRECT($F$8),8+(O699-1)*3),0.3*S699-VLOOKUP(B690,INDIRECT($F$8),6+(O699-1)*3)),11),IF(0.3*S699-VLOOKUP(B690,INDIRECT($F$8),6+(O699-1)*3)&lt;=5,0.3*S699-VLOOKUP(B690,INDIRECT($F$8),6+(O699-1)*3),11)),IF(VLOOKUP(B690,INDIRECT($F$8),8+(O699-1)*3)&lt;U699*0.4,IF(U699*0.4-VLOOKUP(B690,INDIRECT($F$8),8+(O699-1)*3)&lt;=5,U699*0.4-VLOOKUP(B690,INDIRECT($F$8),8+(O699-1)*3),11),0))))</f>
        <v>0</v>
      </c>
      <c r="X699" s="1" t="str">
        <f ca="1">IF(ISERROR(F690),"",IF(W699=0,"",_xlfn.TEXTJOIN("",FALSE," G+",W699," in ",A699)))</f>
        <v/>
      </c>
    </row>
    <row r="700" spans="1:24" ht="12.5" customHeight="1" x14ac:dyDescent="0.2">
      <c r="A700" s="7" t="str">
        <f ca="1">IF(ISERROR(F690),"",VLOOKUP(C690,INDIRECT($F$8),6+(O700-1)*3,0))</f>
        <v>AHP 002</v>
      </c>
      <c r="B700" s="24" t="str">
        <f ca="1">IF(ISERROR(F690),"",VLOOKUP(D690,INDIRECT($F$8),6+(O700-1)*3,0))</f>
        <v>Engineering Chemistry Lab</v>
      </c>
      <c r="C700" s="24"/>
      <c r="D700" s="24"/>
      <c r="E700" s="24"/>
      <c r="F700" s="7">
        <f ca="1">IF(ISERROR(F690),"",VLOOKUP(E690,INDIRECT($F$8),6+(O700-1)*3,0))</f>
        <v>1</v>
      </c>
      <c r="G700" s="25" t="str">
        <f ca="1">IF(ISERROR(F690),"",_xlfn.TEXTJOIN("/",FALSE,P700,S700))</f>
        <v>19/25</v>
      </c>
      <c r="H700" s="25"/>
      <c r="I700" s="25" t="str">
        <f ca="1">IF(ISERROR(F690),"",_xlfn.TEXTJOIN("/",FALSE,Q700,T700))</f>
        <v>18/25</v>
      </c>
      <c r="J700" s="25"/>
      <c r="K700" s="25" t="str">
        <f ca="1">IF(ISERROR(F690),"",_xlfn.TEXTJOIN("/",FALSE,R700,U700))</f>
        <v>37/50</v>
      </c>
      <c r="L700" s="25"/>
      <c r="M700" s="7" t="str">
        <f ca="1">IF(ISERROR(F690),"",IF(ISTEXT(P700),IF(P700="A","Ab",IF(P700="D","Dt",IF(P700="UFM","UFM",IF(P700="NA","")))),IF(AND(ISBLANK(P700),ISBLANK(R700)),"",IF(P700&lt;0.3*S700,"F",IF(ISBLANK(R700),"",IF(ISTEXT(R700),R700,IF(R700&gt;=0.95*U700,"O",IF(R700&gt;=0.9*U700,"A+",IF(R700&gt;=0.85*U700,"A",IF(R700&gt;=0.8*U700,"B+",IF(R700&gt;=0.75*U700,"B",IF(R700&gt;=0.7*U700,"C+",IF(R700&gt;=0.65*U700,"C",IF(R700&gt;=0.6*U700,"D+",IF(R700&gt;=0.55*U700,"D",IF(R700&gt;=0.5*U700,"E+",IF(R700&gt;=0.45*U700,"E",IF(R700&gt;=0.4*U700,"P",IF(R700&lt;0.4*U700,"F",R700)))))))))))))))))))</f>
        <v>C+</v>
      </c>
      <c r="N700" s="8">
        <f t="shared" ca="1" si="63"/>
        <v>7.5</v>
      </c>
      <c r="O700">
        <f ca="1">IF(O699&gt;0,7)</f>
        <v>7</v>
      </c>
      <c r="P700" s="1">
        <f ca="1">IF(ISERROR(F690),"",IF(ISTEXT(VLOOKUP(B690,INDIRECT($F$8),6+(O700-1)*3)),(VLOOKUP(B690,INDIRECT($F$8),6+(O700-1)*3)),SUM(VLOOKUP(B690,INDIRECT($F$8),6+(O700-1)*3),IF(W708,W700,0))))</f>
        <v>19</v>
      </c>
      <c r="Q700" s="1">
        <f ca="1">IF(ISERROR(F690),"",VLOOKUP(B690,INDIRECT($F$8),7+(O700-1)*3))</f>
        <v>18</v>
      </c>
      <c r="R700" s="1">
        <f ca="1">IF(ISERROR(F690),"",SUM(P700:Q700))</f>
        <v>37</v>
      </c>
      <c r="S700" s="1">
        <f ca="1">IF(ISERROR(F690),"",VLOOKUP(A690,INDIRECT($F$8),6+(O700-1)*3))</f>
        <v>25</v>
      </c>
      <c r="T700" s="1">
        <f ca="1">IF(ISERROR(F690),"",VLOOKUP(A690,INDIRECT($F$8),7+(O700-1)*3))</f>
        <v>25</v>
      </c>
      <c r="U700" s="1">
        <f ca="1">IF(ISERROR(F690),"",VLOOKUP(A690,INDIRECT($F$8),8+(O700-1)*3))</f>
        <v>50</v>
      </c>
      <c r="V700" s="1" t="str">
        <f ca="1">IF(ISERROR(F690),"",IF(N700=0,A700,""))</f>
        <v/>
      </c>
      <c r="W700" s="1">
        <f ca="1">IF(ISERROR(F690),"",IF(ISTEXT(VLOOKUP(B690,INDIRECT($F$8),6+(O700-1)*3)),11,IF(VLOOKUP(B690,INDIRECT($F$8),6+(O700-1)*3)&lt;S700*0.3,IF(VLOOKUP(B690,INDIRECT($F$8),8+(O700-1)*3)&lt;U700*0.4,IF(AND(0.4*U700-VLOOKUP(B690,INDIRECT($F$8),8+(O700-1)*3)&lt;=5,0.3*S700-VLOOKUP(B690,INDIRECT($F$8),6+(O700-1)*3)&lt;=5),MAX(0.4*U700-VLOOKUP(B690,INDIRECT($F$8),8+(O700-1)*3),0.3*S700-VLOOKUP(B690,INDIRECT($F$8),6+(O700-1)*3)),11),IF(0.3*S700-VLOOKUP(B690,INDIRECT($F$8),6+(O700-1)*3)&lt;=5,0.3*S700-VLOOKUP(B690,INDIRECT($F$8),6+(O700-1)*3),11)),IF(VLOOKUP(B690,INDIRECT($F$8),8+(O700-1)*3)&lt;U700*0.4,IF(U700*0.4-VLOOKUP(B690,INDIRECT($F$8),8+(O700-1)*3)&lt;=5,U700*0.4-VLOOKUP(B690,INDIRECT($F$8),8+(O700-1)*3),11),0))))</f>
        <v>0</v>
      </c>
      <c r="X700" s="1" t="str">
        <f ca="1">IF(ISERROR(F690),"",IF(W700=0,"",_xlfn.TEXTJOIN("",FALSE," G+",W700," in ",A700)))</f>
        <v/>
      </c>
    </row>
    <row r="701" spans="1:24" ht="12.5" customHeight="1" x14ac:dyDescent="0.2">
      <c r="A701" s="7" t="str">
        <f ca="1">IF(ISERROR(F690),"",VLOOKUP(C690,INDIRECT($F$8),6+(O701-1)*3,0))</f>
        <v>ECP 001</v>
      </c>
      <c r="B701" s="24" t="str">
        <f ca="1">IF(ISERROR(F690),"",VLOOKUP(D690,INDIRECT($F$8),6+(O701-1)*3,0))</f>
        <v>Basic Electronics Engineering Lab</v>
      </c>
      <c r="C701" s="24"/>
      <c r="D701" s="24"/>
      <c r="E701" s="24"/>
      <c r="F701" s="7">
        <f ca="1">IF(ISERROR(F690),"",VLOOKUP(E690,INDIRECT($F$8),6+(O701-1)*3,0))</f>
        <v>1</v>
      </c>
      <c r="G701" s="25" t="str">
        <f ca="1">IF(ISERROR(F690),"",_xlfn.TEXTJOIN("/",FALSE,P701,S701))</f>
        <v>21/25</v>
      </c>
      <c r="H701" s="25"/>
      <c r="I701" s="25" t="str">
        <f ca="1">IF(ISERROR(F690),"",_xlfn.TEXTJOIN("/",FALSE,Q701,T701))</f>
        <v>23/25</v>
      </c>
      <c r="J701" s="25"/>
      <c r="K701" s="25" t="str">
        <f ca="1">IF(ISERROR(F690),"",_xlfn.TEXTJOIN("/",FALSE,R701,U701))</f>
        <v>44/50</v>
      </c>
      <c r="L701" s="25"/>
      <c r="M701" s="7" t="str">
        <f ca="1">IF(ISERROR(F690),"",IF(ISTEXT(P701),IF(P701="A","Ab",IF(P701="D","Dt",IF(P701="UFM","UFM",IF(P701="NA","")))),IF(AND(ISBLANK(P701),ISBLANK(R701)),"",IF(P701&lt;0.3*S701,"F",IF(ISBLANK(R701),"",IF(ISTEXT(R701),R701,IF(R701&gt;=0.95*U701,"O",IF(R701&gt;=0.9*U701,"A+",IF(R701&gt;=0.85*U701,"A",IF(R701&gt;=0.8*U701,"B+",IF(R701&gt;=0.75*U701,"B",IF(R701&gt;=0.7*U701,"C+",IF(R701&gt;=0.65*U701,"C",IF(R701&gt;=0.6*U701,"D+",IF(R701&gt;=0.55*U701,"D",IF(R701&gt;=0.5*U701,"E+",IF(R701&gt;=0.45*U701,"E",IF(R701&gt;=0.4*U701,"P",IF(R701&lt;0.4*U701,"F",R701)))))))))))))))))))</f>
        <v>A</v>
      </c>
      <c r="N701" s="8">
        <f t="shared" ca="1" si="63"/>
        <v>9</v>
      </c>
      <c r="O701">
        <f t="shared" ref="O701:O707" ca="1" si="64">O700+1</f>
        <v>8</v>
      </c>
      <c r="P701" s="1">
        <f ca="1">IF(ISERROR(F690),"",IF(ISTEXT(VLOOKUP(B690,INDIRECT($F$8),6+(O701-1)*3)),(VLOOKUP(B690,INDIRECT($F$8),6+(O701-1)*3)),SUM(VLOOKUP(B690,INDIRECT($F$8),6+(O701-1)*3),IF(W708,W701,0))))</f>
        <v>21</v>
      </c>
      <c r="Q701" s="1">
        <f ca="1">IF(ISERROR(F690),"",VLOOKUP(B690,INDIRECT($F$8),7+(O701-1)*3))</f>
        <v>23</v>
      </c>
      <c r="R701" s="1">
        <f ca="1">IF(ISERROR(F690),"",SUM(P701:Q701))</f>
        <v>44</v>
      </c>
      <c r="S701" s="1">
        <f ca="1">IF(ISERROR(F690),"",VLOOKUP(A690,INDIRECT($F$8),6+(O701-1)*3))</f>
        <v>25</v>
      </c>
      <c r="T701" s="1">
        <f ca="1">IF(ISERROR(F690),"",VLOOKUP(A690,INDIRECT($F$8),7+(O701-1)*3))</f>
        <v>25</v>
      </c>
      <c r="U701" s="1">
        <f ca="1">IF(ISERROR(F690),"",VLOOKUP(A690,INDIRECT($F$8),8+(O701-1)*3))</f>
        <v>50</v>
      </c>
      <c r="V701" s="1" t="str">
        <f ca="1">IF(ISERROR(F690),"",IF(N701=0,A701,""))</f>
        <v/>
      </c>
      <c r="W701" s="1">
        <f ca="1">IF(ISERROR(F690),"",IF(ISTEXT(VLOOKUP(B690,INDIRECT($F$8),6+(O701-1)*3)),11,IF(VLOOKUP(B690,INDIRECT($F$8),6+(O701-1)*3)&lt;S701*0.3,IF(VLOOKUP(B690,INDIRECT($F$8),8+(O701-1)*3)&lt;U701*0.4,IF(AND(0.4*U701-VLOOKUP(B690,INDIRECT($F$8),8+(O701-1)*3)&lt;=5,0.3*S701-VLOOKUP(B690,INDIRECT($F$8),6+(O701-1)*3)&lt;=5),MAX(0.4*U701-VLOOKUP(B690,INDIRECT($F$8),8+(O701-1)*3),0.3*S701-VLOOKUP(B690,INDIRECT($F$8),6+(O701-1)*3)),11),IF(0.3*S701-VLOOKUP(B690,INDIRECT($F$8),6+(O701-1)*3)&lt;=5,0.3*S701-VLOOKUP(B690,INDIRECT($F$8),6+(O701-1)*3),11)),IF(VLOOKUP(B690,INDIRECT($F$8),8+(O701-1)*3)&lt;U701*0.4,IF(U701*0.4-VLOOKUP(B690,INDIRECT($F$8),8+(O701-1)*3)&lt;=5,U701*0.4-VLOOKUP(B690,INDIRECT($F$8),8+(O701-1)*3),11),0))))</f>
        <v>0</v>
      </c>
      <c r="X701" s="1" t="str">
        <f ca="1">IF(ISERROR(F690),"",IF(W701=0,"",_xlfn.TEXTJOIN("",FALSE," G+",W701," in ",A701)))</f>
        <v/>
      </c>
    </row>
    <row r="702" spans="1:24" ht="12.5" customHeight="1" x14ac:dyDescent="0.2">
      <c r="A702" s="7" t="str">
        <f ca="1">IF(ISERROR(F690),"",VLOOKUP(C690,INDIRECT($F$8),6+(O702-1)*3,0))</f>
        <v>MEP 001</v>
      </c>
      <c r="B702" s="24" t="str">
        <f ca="1">IF(ISERROR(F690),"",VLOOKUP(D690,INDIRECT($F$8),6+(O702-1)*3,0))</f>
        <v>Basic Mechanical Engineering Lab</v>
      </c>
      <c r="C702" s="24"/>
      <c r="D702" s="24"/>
      <c r="E702" s="24"/>
      <c r="F702" s="7">
        <f ca="1">IF(ISERROR(F690),"",VLOOKUP(E690,INDIRECT($F$8),6+(O702-1)*3,0))</f>
        <v>1</v>
      </c>
      <c r="G702" s="25" t="str">
        <f ca="1">IF(ISERROR(F690),"",_xlfn.TEXTJOIN("/",FALSE,P702,S702))</f>
        <v>24/25</v>
      </c>
      <c r="H702" s="25"/>
      <c r="I702" s="25" t="str">
        <f ca="1">IF(ISERROR(F690),"",_xlfn.TEXTJOIN("/",FALSE,Q702,T702))</f>
        <v>24/25</v>
      </c>
      <c r="J702" s="25"/>
      <c r="K702" s="25" t="str">
        <f ca="1">IF(ISERROR(F690),"",_xlfn.TEXTJOIN("/",FALSE,R702,U702))</f>
        <v>48/50</v>
      </c>
      <c r="L702" s="25"/>
      <c r="M702" s="7" t="str">
        <f ca="1">IF(ISERROR(F690),"",IF(ISTEXT(P702),IF(P702="A","Ab",IF(P702="D","Dt",IF(P702="UFM","UFM",IF(P702="NA","")))),IF(AND(ISBLANK(P702),ISBLANK(R702)),"",IF(P702&lt;0.3*S702,"F",IF(ISBLANK(R702),"",IF(ISTEXT(R702),R702,IF(R702&gt;=0.95*U702,"O",IF(R702&gt;=0.9*U702,"A+",IF(R702&gt;=0.85*U702,"A",IF(R702&gt;=0.8*U702,"B+",IF(R702&gt;=0.75*U702,"B",IF(R702&gt;=0.7*U702,"C+",IF(R702&gt;=0.65*U702,"C",IF(R702&gt;=0.6*U702,"D+",IF(R702&gt;=0.55*U702,"D",IF(R702&gt;=0.5*U702,"E+",IF(R702&gt;=0.45*U702,"E",IF(R702&gt;=0.4*U702,"P",IF(R702&lt;0.4*U702,"F",R702)))))))))))))))))))</f>
        <v>O</v>
      </c>
      <c r="N702" s="8">
        <f t="shared" ca="1" si="63"/>
        <v>10</v>
      </c>
      <c r="O702">
        <f t="shared" ca="1" si="64"/>
        <v>9</v>
      </c>
      <c r="P702" s="1">
        <f ca="1">IF(ISERROR(F690),"",IF(ISTEXT(VLOOKUP(B690,INDIRECT($F$8),6+(O702-1)*3)),(VLOOKUP(B690,INDIRECT($F$8),6+(O702-1)*3)),SUM(VLOOKUP(B690,INDIRECT($F$8),6+(O702-1)*3),IF(W708,W702,0))))</f>
        <v>24</v>
      </c>
      <c r="Q702" s="1">
        <f ca="1">IF(ISERROR(F690),"",VLOOKUP(B690,INDIRECT($F$8),7+(O702-1)*3))</f>
        <v>24</v>
      </c>
      <c r="R702" s="1">
        <f ca="1">IF(ISERROR(F690),"",SUM(P702:Q702))</f>
        <v>48</v>
      </c>
      <c r="S702" s="1">
        <f ca="1">IF(ISERROR(F690),"",VLOOKUP(A690,INDIRECT($F$8),6+(O702-1)*3))</f>
        <v>25</v>
      </c>
      <c r="T702" s="1">
        <f ca="1">IF(ISERROR(F690),"",VLOOKUP(A690,INDIRECT($F$8),7+(O702-1)*3))</f>
        <v>25</v>
      </c>
      <c r="U702" s="1">
        <f ca="1">IF(ISERROR(F690),"",VLOOKUP(A690,INDIRECT($F$8),8+(O702-1)*3))</f>
        <v>50</v>
      </c>
      <c r="V702" s="1" t="str">
        <f ca="1">IF(ISERROR(F690),"",IF(N702=0,A702,""))</f>
        <v/>
      </c>
      <c r="W702" s="1">
        <f ca="1">IF(ISERROR(F690),"",IF(ISTEXT(VLOOKUP(B690,INDIRECT($F$8),6+(O702-1)*3)),11,IF(VLOOKUP(B690,INDIRECT($F$8),6+(O702-1)*3)&lt;S702*0.3,IF(VLOOKUP(B690,INDIRECT($F$8),8+(O702-1)*3)&lt;U702*0.4,IF(AND(0.4*U702-VLOOKUP(B690,INDIRECT($F$8),8+(O702-1)*3)&lt;=5,0.3*S702-VLOOKUP(B690,INDIRECT($F$8),6+(O702-1)*3)&lt;=5),MAX(0.4*U702-VLOOKUP(B690,INDIRECT($F$8),8+(O702-1)*3),0.3*S702-VLOOKUP(B690,INDIRECT($F$8),6+(O702-1)*3)),11),IF(0.3*S702-VLOOKUP(B690,INDIRECT($F$8),6+(O702-1)*3)&lt;=5,0.3*S702-VLOOKUP(B690,INDIRECT($F$8),6+(O702-1)*3),11)),IF(VLOOKUP(B690,INDIRECT($F$8),8+(O702-1)*3)&lt;U702*0.4,IF(U702*0.4-VLOOKUP(B690,INDIRECT($F$8),8+(O702-1)*3)&lt;=5,U702*0.4-VLOOKUP(B690,INDIRECT($F$8),8+(O702-1)*3),11),0))))</f>
        <v>0</v>
      </c>
      <c r="X702" s="1" t="str">
        <f ca="1">IF(ISERROR(F690),"",IF(W702=0,"",_xlfn.TEXTJOIN("",FALSE," G+",W702," in ",A702)))</f>
        <v/>
      </c>
    </row>
    <row r="703" spans="1:24" ht="12.5" customHeight="1" x14ac:dyDescent="0.2">
      <c r="A703" s="7" t="str">
        <f ca="1">IF(ISERROR(F690),"",VLOOKUP(C690,INDIRECT($F$8),6+(O703-1)*3,0))</f>
        <v>MEP 003</v>
      </c>
      <c r="B703" s="24" t="str">
        <f ca="1">IF(ISERROR(F690),"",VLOOKUP(D690,INDIRECT($F$8),6+(O703-1)*3-Z703,0))</f>
        <v>Workshop Practices Lab</v>
      </c>
      <c r="C703" s="24"/>
      <c r="D703" s="24"/>
      <c r="E703" s="24"/>
      <c r="F703" s="7">
        <f ca="1">IF(ISERROR(F690),"",VLOOKUP(E690,INDIRECT($F$8),6+(O703-1)*3,0))</f>
        <v>2</v>
      </c>
      <c r="G703" s="25" t="str">
        <f ca="1">IF(ISERROR(F690),"",_xlfn.TEXTJOIN("/",FALSE,P703,S703))</f>
        <v>48/50</v>
      </c>
      <c r="H703" s="25"/>
      <c r="I703" s="25" t="str">
        <f ca="1">IF(ISERROR(F690),"",_xlfn.TEXTJOIN("/",FALSE,Q703,T703))</f>
        <v>49/50</v>
      </c>
      <c r="J703" s="25"/>
      <c r="K703" s="25" t="str">
        <f ca="1">IF(ISERROR(F690),"",_xlfn.TEXTJOIN("/",FALSE,R703,U703))</f>
        <v>97/100</v>
      </c>
      <c r="L703" s="25"/>
      <c r="M703" s="7" t="str">
        <f ca="1">IF(ISERROR(F690),"",IF(ISTEXT(P703),IF(P703="A","Ab",IF(P703="D","Dt",IF(P703="UFM","UFM",IF(P703="NA","")))),IF(AND(ISBLANK(P703),ISBLANK(R703)),"",IF(P703&lt;0.3*S703,"F",IF(ISBLANK(R703),"",IF(ISTEXT(R703),R703,IF(R703&gt;=0.95*U703,"O",IF(R703&gt;=0.9*U703,"A+",IF(R703&gt;=0.85*U703,"A",IF(R703&gt;=0.8*U703,"B+",IF(R703&gt;=0.75*U703,"B",IF(R703&gt;=0.7*U703,"C+",IF(R703&gt;=0.65*U703,"C",IF(R703&gt;=0.6*U703,"D+",IF(R703&gt;=0.55*U703,"D",IF(R703&gt;=0.5*U703,"E+",IF(R703&gt;=0.45*U703,"E",IF(R703&gt;=0.4*U703,"P",IF(R703&lt;0.4*U703,"F",R703)))))))))))))))))))</f>
        <v>O</v>
      </c>
      <c r="N703" s="8">
        <f t="shared" ca="1" si="63"/>
        <v>10</v>
      </c>
      <c r="O703">
        <f t="shared" ca="1" si="64"/>
        <v>10</v>
      </c>
      <c r="P703" s="1">
        <f ca="1">IF(ISERROR(F690),"",IF(ISTEXT(VLOOKUP(B690,INDIRECT($F$8),6+(O703-1)*3)),(VLOOKUP(B690,INDIRECT($F$8),6+(O703-1)*3)),SUM(VLOOKUP(B690,INDIRECT($F$8),6+(O703-1)*3),IF(W708,W703,0))))</f>
        <v>48</v>
      </c>
      <c r="Q703" s="1">
        <f ca="1">IF(ISERROR(F690),"",VLOOKUP(B690,INDIRECT($F$8),7+(O703-1)*3))</f>
        <v>49</v>
      </c>
      <c r="R703" s="1">
        <f ca="1">IF(ISERROR(F690),"",SUM(P703:Q703))</f>
        <v>97</v>
      </c>
      <c r="S703" s="1">
        <f ca="1">IF(ISERROR(F690),"",VLOOKUP(A690,INDIRECT($F$8),6+(O703-1)*3))</f>
        <v>50</v>
      </c>
      <c r="T703" s="1">
        <f ca="1">IF(ISERROR(F690),"",VLOOKUP(A690,INDIRECT($F$8),7+(O703-1)*3))</f>
        <v>50</v>
      </c>
      <c r="U703" s="1">
        <f ca="1">IF(ISERROR(F690),"",VLOOKUP(A690,INDIRECT($F$8),8+(O703-1)*3))</f>
        <v>100</v>
      </c>
      <c r="V703" s="1" t="str">
        <f ca="1">IF(ISERROR(F690),"",IF(N703=0,A703,""))</f>
        <v/>
      </c>
      <c r="W703" s="1">
        <f ca="1">IF(ISERROR(F690),"",IF(ISTEXT(VLOOKUP(B690,INDIRECT($F$8),6+(O703-1)*3)),11,IF(VLOOKUP(B690,INDIRECT($F$8),6+(O703-1)*3)&lt;S703*0.3,IF(VLOOKUP(B690,INDIRECT($F$8),8+(O703-1)*3)&lt;U703*0.4,IF(AND(0.4*U703-VLOOKUP(B690,INDIRECT($F$8),8+(O703-1)*3)&lt;=5,0.3*S703-VLOOKUP(B690,INDIRECT($F$8),6+(O703-1)*3)&lt;=5),MAX(0.4*U703-VLOOKUP(B690,INDIRECT($F$8),8+(O703-1)*3),0.3*S703-VLOOKUP(B690,INDIRECT($F$8),6+(O703-1)*3)),11),IF(0.3*S703-VLOOKUP(B690,INDIRECT($F$8),6+(O703-1)*3)&lt;=5,0.3*S703-VLOOKUP(B690,INDIRECT($F$8),6+(O703-1)*3),11)),IF(VLOOKUP(B690,INDIRECT($F$8),8+(O703-1)*3)&lt;U703*0.4,IF(U703*0.4-VLOOKUP(B690,INDIRECT($F$8),8+(O703-1)*3)&lt;=5,U703*0.4-VLOOKUP(B690,INDIRECT($F$8),8+(O703-1)*3),11),0))))</f>
        <v>0</v>
      </c>
      <c r="X703" s="1" t="str">
        <f ca="1">IF(ISERROR(F690),"",IF(W703=0,"",_xlfn.TEXTJOIN("",FALSE," G+",W703," in ",A703)))</f>
        <v/>
      </c>
    </row>
    <row r="704" spans="1:24" ht="12.5" customHeight="1" x14ac:dyDescent="0.2">
      <c r="A704" s="7" t="str">
        <f ca="1">IF(ISERROR(F690),"",VLOOKUP(C690,INDIRECT($F$8),6+(O704-1)*3,0))</f>
        <v>AHP 004</v>
      </c>
      <c r="B704" s="24" t="str">
        <f ca="1">IF(ISERROR(F690),"",VLOOKUP(D690,INDIRECT($F$8),6+(O704-1)*3-Z704,0))</f>
        <v>Emerging Technologies in Engineering Lab</v>
      </c>
      <c r="C704" s="24"/>
      <c r="D704" s="24"/>
      <c r="E704" s="24"/>
      <c r="F704" s="7">
        <f ca="1">IF(ISERROR(F690),"",VLOOKUP(E690,INDIRECT($F$8),6+(O704-1)*3,0))</f>
        <v>1</v>
      </c>
      <c r="G704" s="25" t="str">
        <f ca="1">IF(ISERROR(F690),"",_xlfn.TEXTJOIN("/",FALSE,P704,S704))</f>
        <v>23/25</v>
      </c>
      <c r="H704" s="25"/>
      <c r="I704" s="25" t="str">
        <f ca="1">IF(ISERROR(F690),"",_xlfn.TEXTJOIN("/",FALSE,Q704,T704))</f>
        <v>25/25</v>
      </c>
      <c r="J704" s="25"/>
      <c r="K704" s="25" t="str">
        <f ca="1">IF(ISERROR(F690),"",_xlfn.TEXTJOIN("/",FALSE,R704,U704))</f>
        <v>48/50</v>
      </c>
      <c r="L704" s="25"/>
      <c r="M704" s="7" t="str">
        <f ca="1">IF(ISERROR(F690),"",IF(ISTEXT(P704),IF(P704="A","Ab",IF(P704="D","Dt",IF(P704="UFM","UFM",IF(P704="NA","")))),IF(AND(ISBLANK(P704),ISBLANK(R704)),"",IF(P704&lt;0.3*S704,"F",IF(ISBLANK(R704),"",IF(ISTEXT(R704),R704,IF(R704&gt;=0.95*U704,"O",IF(R704&gt;=0.9*U704,"A+",IF(R704&gt;=0.85*U704,"A",IF(R704&gt;=0.8*U704,"B+",IF(R704&gt;=0.75*U704,"B",IF(R704&gt;=0.7*U704,"C+",IF(R704&gt;=0.65*U704,"C",IF(R704&gt;=0.6*U704,"D+",IF(R704&gt;=0.55*U704,"D",IF(R704&gt;=0.5*U704,"E+",IF(R704&gt;=0.45*U704,"E",IF(R704&gt;=0.4*U704,"P",IF(R704&lt;0.4*U704,"F",R704)))))))))))))))))))</f>
        <v>O</v>
      </c>
      <c r="N704" s="8">
        <f t="shared" ca="1" si="63"/>
        <v>10</v>
      </c>
      <c r="O704">
        <f t="shared" ca="1" si="64"/>
        <v>11</v>
      </c>
      <c r="P704" s="1">
        <f ca="1">IF(ISERROR(F690),"",IF(ISTEXT(VLOOKUP(B690,INDIRECT($F$8),6+(O704-1)*3)),(VLOOKUP(B690,INDIRECT($F$8),6+(O704-1)*3)),SUM(VLOOKUP(B690,INDIRECT($F$8),6+(O704-1)*3),IF(W708,W704,0))))</f>
        <v>23</v>
      </c>
      <c r="Q704" s="1">
        <f ca="1">IF(ISERROR(F690),"",VLOOKUP(B690,INDIRECT($F$8),7+(O704-1)*3))</f>
        <v>25</v>
      </c>
      <c r="R704" s="1">
        <f ca="1">IF(ISERROR(F690),"",SUM(P704:Q704))</f>
        <v>48</v>
      </c>
      <c r="S704" s="1">
        <f ca="1">IF(ISERROR(F690),"",VLOOKUP(A690,INDIRECT($F$8),6+(O704-1)*3))</f>
        <v>25</v>
      </c>
      <c r="T704" s="1">
        <f ca="1">IF(ISERROR(F690),"",VLOOKUP(A690,INDIRECT($F$8),7+(O704-1)*3))</f>
        <v>25</v>
      </c>
      <c r="U704" s="1">
        <f ca="1">IF(ISERROR(F690),"",VLOOKUP(A690,INDIRECT($F$8),8+(O704-1)*3))</f>
        <v>50</v>
      </c>
      <c r="V704" s="1" t="str">
        <f ca="1">IF(ISERROR(F690),"",IF(N704=0,A704,""))</f>
        <v/>
      </c>
      <c r="W704" s="1">
        <f ca="1">IF(ISERROR(F690),"",IF(ISTEXT(VLOOKUP(B690,INDIRECT($F$8),6+(O704-1)*3)),11,IF(VLOOKUP(B690,INDIRECT($F$8),6+(O704-1)*3)&lt;S704*0.3,IF(VLOOKUP(B690,INDIRECT($F$8),8+(O704-1)*3)&lt;U704*0.4,IF(AND(0.4*U704-VLOOKUP(B690,INDIRECT($F$8),8+(O704-1)*3)&lt;=5,0.3*S704-VLOOKUP(B690,INDIRECT($F$8),6+(O704-1)*3)&lt;=5),MAX(0.4*U704-VLOOKUP(B690,INDIRECT($F$8),8+(O704-1)*3),0.3*S704-VLOOKUP(B690,INDIRECT($F$8),6+(O704-1)*3)),11),IF(0.3*S704-VLOOKUP(B690,INDIRECT($F$8),6+(O704-1)*3)&lt;=5,0.3*S704-VLOOKUP(B690,INDIRECT($F$8),6+(O704-1)*3),11)),IF(VLOOKUP(B690,INDIRECT($F$8),8+(O704-1)*3)&lt;U704*0.4,IF(U704*0.4-VLOOKUP(B690,INDIRECT($F$8),8+(O704-1)*3)&lt;=5,U704*0.4-VLOOKUP(B690,INDIRECT($F$8),8+(O704-1)*3),11),0))))</f>
        <v>0</v>
      </c>
      <c r="X704" s="1" t="str">
        <f ca="1">IF(ISERROR(F690),"",IF(W704=0,"",_xlfn.TEXTJOIN("",FALSE," G+",W704," in ",A704)))</f>
        <v/>
      </c>
    </row>
    <row r="705" spans="1:24" ht="12.5" customHeight="1" x14ac:dyDescent="0.2">
      <c r="A705" s="7" t="str">
        <f ca="1">IF(ISERROR(F690),"",VLOOKUP(C690,INDIRECT($F$8),6+(O705-1)*3,0))</f>
        <v>CSP 002</v>
      </c>
      <c r="B705" s="24" t="str">
        <f ca="1">IF(ISERROR(F690),"",VLOOKUP(D690,INDIRECT($F$8),6+(O705-1)*3,0))</f>
        <v>Computer Applications and IOT</v>
      </c>
      <c r="C705" s="24"/>
      <c r="D705" s="24"/>
      <c r="E705" s="24"/>
      <c r="F705" s="7">
        <f ca="1">IF(ISERROR(F690),"",VLOOKUP(E690,INDIRECT($F$8),6+(O705-1)*3,0))</f>
        <v>1</v>
      </c>
      <c r="G705" s="25" t="str">
        <f ca="1">IF(ISERROR(F690),"",_xlfn.TEXTJOIN("/",FALSE,P705,S705))</f>
        <v>23/25</v>
      </c>
      <c r="H705" s="25"/>
      <c r="I705" s="25" t="str">
        <f ca="1">IF(ISERROR(F690),"",_xlfn.TEXTJOIN("/",FALSE,Q705,T705))</f>
        <v>23/25</v>
      </c>
      <c r="J705" s="25"/>
      <c r="K705" s="25" t="str">
        <f ca="1">IF(ISERROR(F690),"",_xlfn.TEXTJOIN("/",FALSE,R705,U705))</f>
        <v>46/50</v>
      </c>
      <c r="L705" s="25"/>
      <c r="M705" s="7" t="str">
        <f ca="1">IF(ISERROR(F690),"",IF(ISTEXT(P705),IF(P705="A","Ab",IF(P705="D","Dt",IF(P705="UFM","UFM",IF(P705="NA","")))),IF(AND(ISBLANK(P705),ISBLANK(R705)),"",IF(P705&lt;0.3*S705,"F",IF(ISBLANK(R705),"",IF(ISTEXT(R705),R705,IF(R705&gt;=0.95*U705,"O",IF(R705&gt;=0.9*U705,"A+",IF(R705&gt;=0.85*U705,"A",IF(R705&gt;=0.8*U705,"B+",IF(R705&gt;=0.75*U705,"B",IF(R705&gt;=0.7*U705,"C+",IF(R705&gt;=0.65*U705,"C",IF(R705&gt;=0.6*U705,"D+",IF(R705&gt;=0.55*U705,"D",IF(R705&gt;=0.5*U705,"E+",IF(R705&gt;=0.45*U705,"E",IF(R705&gt;=0.4*U705,"P",IF(R705&lt;0.4*U705,"F",R705)))))))))))))))))))</f>
        <v>A+</v>
      </c>
      <c r="N705" s="8">
        <f t="shared" ca="1" si="63"/>
        <v>9.5</v>
      </c>
      <c r="O705">
        <f t="shared" ca="1" si="64"/>
        <v>12</v>
      </c>
      <c r="P705" s="1">
        <f ca="1">IF(ISERROR(F690),"",IF(ISTEXT(VLOOKUP(B690,INDIRECT($F$8),6+(O705-1)*3)),(VLOOKUP(B690,INDIRECT($F$8),6+(O705-1)*3)),SUM(VLOOKUP(B690,INDIRECT($F$8),6+(O705-1)*3),IF(W708,W705,0))))</f>
        <v>23</v>
      </c>
      <c r="Q705" s="1">
        <f ca="1">IF(ISERROR(F690),"",VLOOKUP(B690,INDIRECT($F$8),7+(O705-1)*3))</f>
        <v>23</v>
      </c>
      <c r="R705" s="1">
        <f ca="1">IF(ISERROR(F690),"",SUM(P705:Q705))</f>
        <v>46</v>
      </c>
      <c r="S705" s="1">
        <f ca="1">IF(ISERROR(F690),"",VLOOKUP(A690,INDIRECT($F$8),6+(O705-1)*3))</f>
        <v>25</v>
      </c>
      <c r="T705" s="1">
        <f ca="1">IF(ISERROR(F690),"",VLOOKUP(A690,INDIRECT($F$8),7+(O705-1)*3))</f>
        <v>25</v>
      </c>
      <c r="U705" s="1">
        <f ca="1">IF(ISERROR(F690),"",VLOOKUP(A690,INDIRECT($F$8),8+(O705-1)*3))</f>
        <v>50</v>
      </c>
      <c r="V705" s="1" t="str">
        <f ca="1">IF(ISERROR(F690),"",IF(N705=0,A705,""))</f>
        <v/>
      </c>
      <c r="W705" s="1">
        <f ca="1">IF(ISERROR(F690),"",IF(ISTEXT(VLOOKUP(B690,INDIRECT($F$8),6+(O705-1)*3)),11,IF(VLOOKUP(B690,INDIRECT($F$8),6+(O705-1)*3)&lt;S705*0.3,IF(VLOOKUP(B690,INDIRECT($F$8),8+(O705-1)*3)&lt;U705*0.4,IF(AND(0.4*U705-VLOOKUP(B690,INDIRECT($F$8),8+(O705-1)*3)&lt;=5,0.3*S705-VLOOKUP(B690,INDIRECT($F$8),6+(O705-1)*3)&lt;=5),MAX(0.4*U705-VLOOKUP(B690,INDIRECT($F$8),8+(O705-1)*3),0.3*S705-VLOOKUP(B690,INDIRECT($F$8),6+(O705-1)*3)),11),IF(0.3*S705-VLOOKUP(B690,INDIRECT($F$8),6+(O705-1)*3)&lt;=5,0.3*S705-VLOOKUP(B690,INDIRECT($F$8),6+(O705-1)*3),11)),IF(VLOOKUP(B690,INDIRECT($F$8),8+(O705-1)*3)&lt;U705*0.4,IF(U705*0.4-VLOOKUP(B690,INDIRECT($F$8),8+(O705-1)*3)&lt;=5,U705*0.4-VLOOKUP(B690,INDIRECT($F$8),8+(O705-1)*3),11),0))))</f>
        <v>0</v>
      </c>
      <c r="X705" s="1" t="str">
        <f ca="1">IF(ISERROR(F690),"",IF(W705=0,"",_xlfn.TEXTJOIN("",FALSE," G+",W705," in ",A705)))</f>
        <v/>
      </c>
    </row>
    <row r="706" spans="1:24" ht="12.5" customHeight="1" x14ac:dyDescent="0.2">
      <c r="A706" s="7" t="str">
        <f ca="1">IF(ISERROR(F690),"",VLOOKUP(C690,INDIRECT($F$8),6+(O706-1)*3,0))</f>
        <v>AHP 006</v>
      </c>
      <c r="B706" s="24" t="str">
        <f ca="1">IF(ISERROR(F690),"",VLOOKUP(D690,INDIRECT($F$8),6+(O706-1)*3,0))</f>
        <v>English Language Lab ($)</v>
      </c>
      <c r="C706" s="24"/>
      <c r="D706" s="24"/>
      <c r="E706" s="24"/>
      <c r="F706" s="7">
        <f ca="1">IF(ISERROR(F690),"",VLOOKUP(E690,INDIRECT($F$8),6+(O706-1)*3,0))</f>
        <v>0</v>
      </c>
      <c r="G706" s="25" t="str">
        <f ca="1">IF(ISERROR(F690),"",_xlfn.TEXTJOIN("/",FALSE,P706,S706))</f>
        <v>16/25</v>
      </c>
      <c r="H706" s="25"/>
      <c r="I706" s="25" t="str">
        <f ca="1">IF(ISERROR(F690),"",_xlfn.TEXTJOIN("/",FALSE,Q706,T706))</f>
        <v>35/50</v>
      </c>
      <c r="J706" s="25"/>
      <c r="K706" s="25" t="str">
        <f ca="1">IF(ISERROR(F690),"",_xlfn.TEXTJOIN("/",FALSE,R706,U706))</f>
        <v>51/75</v>
      </c>
      <c r="L706" s="25"/>
      <c r="M706" s="7" t="str">
        <f ca="1">IF(ISERROR(F690)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C</v>
      </c>
      <c r="N706" s="8">
        <f ca="1">INDEX($Z$2:$Z$17,MATCH(M706,$Y$2:$Y$17,0))</f>
        <v>7</v>
      </c>
      <c r="O706">
        <f t="shared" ca="1" si="64"/>
        <v>13</v>
      </c>
      <c r="P706" s="1">
        <f ca="1">IF(ISERROR(F690),"",IF(ISTEXT(VLOOKUP(B690,INDIRECT($F$8),6+(O706-1)*3)),(VLOOKUP(B690,INDIRECT($F$8),6+(O706-1)*3)),SUM(VLOOKUP(B690,INDIRECT($F$8),6+(O706-1)*3),IF(W708,W706,0))))</f>
        <v>16</v>
      </c>
      <c r="Q706" s="1">
        <f ca="1">IF(ISERROR(F690),"",VLOOKUP(B690,INDIRECT($F$8),7+(O706-1)*3))</f>
        <v>35</v>
      </c>
      <c r="R706" s="1">
        <f ca="1">IF(ISERROR(F690),"",SUM(P706:Q706))</f>
        <v>51</v>
      </c>
      <c r="S706" s="1">
        <f ca="1">IF(ISERROR(F690),"",VLOOKUP(A690,INDIRECT($F$8),6+(O706-1)*3))</f>
        <v>25</v>
      </c>
      <c r="T706" s="1">
        <f ca="1">IF(ISERROR(F690),"",VLOOKUP(A690,INDIRECT($F$8),7+(O706-1)*3))</f>
        <v>50</v>
      </c>
      <c r="U706" s="1">
        <f ca="1">IF(ISERROR(F690),"",VLOOKUP(A690,INDIRECT($F$8),8+(O706-1)*3))</f>
        <v>75</v>
      </c>
      <c r="V706" s="1"/>
      <c r="W706" s="1">
        <f ca="1">IF(ISERROR(F690),"",IF(ISTEXT(VLOOKUP(B690,INDIRECT($F$8),6+(O706-1)*3)),11,IF(VLOOKUP(B690,INDIRECT($F$8),6+(O706-1)*3)&lt;S706*0.3,IF(VLOOKUP(B690,INDIRECT($F$8),8+(O706-1)*3)&lt;U706*0.4,IF(AND(0.4*U706-VLOOKUP(B690,INDIRECT($F$8),8+(O706-1)*3)&lt;=5,0.3*S706-VLOOKUP(B690,INDIRECT($F$8),6+(O706-1)*3)&lt;=5),MAX(0.4*U706-VLOOKUP(B690,INDIRECT($F$8),8+(O706-1)*3),0.3*S706-VLOOKUP(B690,INDIRECT($F$8),6+(O706-1)*3)),11),IF(0.3*S706-VLOOKUP(B690,INDIRECT($F$8),6+(O706-1)*3)&lt;=5,0.3*S706-VLOOKUP(B690,INDIRECT($F$8),6+(O706-1)*3),11)),IF(VLOOKUP(B690,INDIRECT($F$8),8+(O706-1)*3)&lt;U706*0.4,IF(U706*0.4-VLOOKUP(B690,INDIRECT($F$8),8+(O706-1)*3)&lt;=5,U706*0.4-VLOOKUP(B690,INDIRECT($F$8),8+(O706-1)*3),11),0))))</f>
        <v>0</v>
      </c>
      <c r="X706" s="1" t="str">
        <f ca="1">IF(ISERROR(F690),"",IF(W706=0,"",_xlfn.TEXTJOIN("",FALSE," G+",W706," in ",A706)))</f>
        <v/>
      </c>
    </row>
    <row r="707" spans="1:24" ht="12.5" customHeight="1" x14ac:dyDescent="0.2">
      <c r="A707" s="7" t="str">
        <f ca="1">IF(ISERROR(F690),"",VLOOKUP(C690,INDIRECT($F$8),6+(O707-1)*3-Y707,0))</f>
        <v>GP 01</v>
      </c>
      <c r="B707" s="24" t="str">
        <f ca="1">IF(ISERROR(F690),"",VLOOKUP(D690,INDIRECT($F$8),6+(O707-1)*3-Z707,0))</f>
        <v>General Proficiency ($)</v>
      </c>
      <c r="C707" s="24"/>
      <c r="D707" s="24"/>
      <c r="E707" s="24"/>
      <c r="F707" s="7">
        <f ca="1">IF(ISERROR(F690),"",VLOOKUP(E690,INDIRECT($F$8),6+(O707-1)*3-AA707,0))</f>
        <v>0</v>
      </c>
      <c r="G707" s="25" t="str">
        <f ca="1">IF(ISERROR(F690),"","-")</f>
        <v>-</v>
      </c>
      <c r="H707" s="25"/>
      <c r="I707" s="25" t="str">
        <f ca="1">IF(ISERROR(F690),"",_xlfn.TEXTJOIN("/",FALSE,Q707,T707))</f>
        <v>47/50</v>
      </c>
      <c r="J707" s="25"/>
      <c r="K707" s="25" t="str">
        <f ca="1">IF(ISERROR(F690),"",_xlfn.TEXTJOIN("/",FALSE,R707,U707))</f>
        <v>47/50</v>
      </c>
      <c r="L707" s="25"/>
      <c r="M707" s="25" t="str">
        <f ca="1">IF(ISBLANK(R707),"",IF(ISTEXT(R707),R707,IF(R707&gt;=0.8*U707,"Excellent",IF(R707&gt;=0.6*U707,"Very Good",IF(R707&gt;=0.4*U707,"Good",IF(R707&gt;=0.2*U707,"Satisfactory","Average"))))))</f>
        <v>Excellent</v>
      </c>
      <c r="N707" s="25"/>
      <c r="O707">
        <f t="shared" ca="1" si="64"/>
        <v>14</v>
      </c>
      <c r="P707" s="1">
        <f ca="1">IF(ISERROR(F690),"",IF(ISTEXT(VLOOKUP(B\28,INDIRECT($F$8),6+(O707-1)*3)),(VLOOKUP(B690,INDIRECT($F$8),6+(O707-1)*3)),SUM(VLOOKUP(B690,INDIRECT($F$8),6+(O707-1)*3),IF(W708,W708,0))))</f>
        <v>0</v>
      </c>
      <c r="Q707" s="1">
        <f ca="1">IF(ISERROR(F690),"",VLOOKUP(B690,INDIRECT($F$8),7+(O707-1)*3))</f>
        <v>47</v>
      </c>
      <c r="R707" s="1">
        <f ca="1">IF(ISERROR(F690),"",SUM(P707:Q707))</f>
        <v>47</v>
      </c>
      <c r="S707" s="1">
        <f ca="1">IF(ISERROR(F690),"",VLOOKUP(A690,INDIRECT($F$8),6+(O707-1)*3))</f>
        <v>0</v>
      </c>
      <c r="T707" s="1">
        <f ca="1">IF(ISERROR(F690),"",VLOOKUP(A690,INDIRECT($F$8),7+(O707-1)*3))</f>
        <v>50</v>
      </c>
      <c r="U707" s="1">
        <f ca="1">IF(ISERROR(F690),"",VLOOKUP(A690,INDIRECT($F$8),8+(O707-1)*3))</f>
        <v>50</v>
      </c>
      <c r="V707" s="1"/>
      <c r="W707" s="1"/>
      <c r="X707" s="1" t="str">
        <f ca="1">IF(ISERROR(F690),"",IF(W707=0,"",_xlfn.TEXTJOIN("",FALSE," G+",W707," in ",A707)))</f>
        <v/>
      </c>
    </row>
    <row r="708" spans="1:24" ht="12.5" customHeight="1" x14ac:dyDescent="0.2">
      <c r="A708" s="26" t="str">
        <f ca="1">IF(ISERROR(F690),"",A686)</f>
        <v>Total Credits/ Marks/ Total Grade Points</v>
      </c>
      <c r="B708" s="26"/>
      <c r="C708" s="26"/>
      <c r="D708" s="26"/>
      <c r="E708" s="26"/>
      <c r="F708" s="10">
        <f ca="1">IF(ISERROR(F690),"",SUM(F695:F706))</f>
        <v>23</v>
      </c>
      <c r="G708" s="27" t="str">
        <f ca="1">IF(ISERROR(F690),"",_xlfn.TEXTJOIN("/",TRUE,SUMIF(F695:F707,"&gt;0",P695:P707),SUMIF(F695:F707,"&gt;0",S695:S707)))</f>
        <v>334/575</v>
      </c>
      <c r="H708" s="27"/>
      <c r="I708" s="27" t="str">
        <f ca="1">IF(ISERROR(F690),"",_xlfn.TEXTJOIN("/",TRUE,SUMIF(F695:F707,"&gt;0",Q695:Q707),SUMIF(F695:F707,"&gt;0",T695:T707)))</f>
        <v>315/375</v>
      </c>
      <c r="J708" s="27"/>
      <c r="K708" s="27" t="str">
        <f ca="1">IF(ISERROR(F690),"",_xlfn.TEXTJOIN("/",TRUE,SUMIF(F695:F707,"&gt;0",R695:R707),SUMIF(F695:F707,"&gt;0",U695:U707)))</f>
        <v>649/950</v>
      </c>
      <c r="L708" s="27"/>
      <c r="M708" s="26">
        <f ca="1">IF(ISERROR(F690),"",SUMPRODUCT(N695:N706,F695:F706))</f>
        <v>148</v>
      </c>
      <c r="N708" s="26"/>
      <c r="V708" s="1" t="str">
        <f ca="1">IF(ISERROR(F690),"",_xlfn.TEXTJOIN(", ",TRUE,V695:V707))</f>
        <v>AHT 003</v>
      </c>
      <c r="W708" t="b">
        <f ca="1">IF(ISERROR(F690),"",IF(SUM(W695:W707)&lt;=W694,TRUE,FALSE))</f>
        <v>0</v>
      </c>
      <c r="X708" s="1" t="str">
        <f ca="1">IF(ISERROR(F690),"",_xlfn.TEXTJOIN(",",TRUE,X695:X707))</f>
        <v xml:space="preserve"> G+11 in AHT 003</v>
      </c>
    </row>
    <row r="709" spans="1:24" ht="12.5" customHeight="1" x14ac:dyDescent="0.2">
      <c r="A709" s="26" t="str">
        <f ca="1">IF(ISERROR(F690),"",A687)</f>
        <v>Result:</v>
      </c>
      <c r="B709" s="28" t="str" cm="1">
        <f t="array" aca="1" ref="B709" ca="1">IF(SUM(COUNTIF(M695:M706,{"Ab","Dt"}))=12, "Not Promoted to IInd Semester", IF(V708="", "PASS", "CARRY OVER"))</f>
        <v>CARRY OVER</v>
      </c>
      <c r="C709" s="28"/>
      <c r="D709" s="26" t="str">
        <f ca="1">IF(ISERROR(F690),"",D687)</f>
        <v>Remark:</v>
      </c>
      <c r="E709" s="28" t="str">
        <f ca="1">IF(ISERROR(F690),"",IF(V708="",IF(X708="","",X708),_xlfn.TEXTJOIN(" ",TRUE,"BACK IN",V708)))</f>
        <v>BACK IN AHT 003</v>
      </c>
      <c r="F709" s="28"/>
      <c r="G709" s="26" t="str">
        <f ca="1">IF(ISERROR(F690),"",G687)</f>
        <v>SGPA:</v>
      </c>
      <c r="H709" s="29">
        <f ca="1">IF(ISERROR(F690),"",M708/F708)</f>
        <v>6.4347826086956523</v>
      </c>
      <c r="I709" s="26" t="str">
        <f ca="1">IF(ISERROR(F690),"",I687)</f>
        <v>CGPA:</v>
      </c>
      <c r="J709" s="29">
        <f ca="1">IF(ISERROR(F690),"",VLOOKUP(B690,INDIRECT($F$8),12+(O707-1)*3,0))</f>
        <v>6.4347826086956523</v>
      </c>
      <c r="K709" s="28" t="str">
        <f ca="1">IF(ISERROR(F690),"",K687)</f>
        <v>Earned Credits:</v>
      </c>
      <c r="L709" s="26">
        <f ca="1">IF(ISERROR(F690),"",SUMIF(N695:N706,"&gt;0",F695:F706))</f>
        <v>19</v>
      </c>
      <c r="M709" s="28" t="str">
        <f ca="1">IF(ISERROR(F690),"",M687)</f>
        <v>Cuml. Earned Credits:</v>
      </c>
      <c r="N709" s="26">
        <f ca="1">IF(ISERROR(F690),"",VLOOKUP(B690,INDIRECT($F$8),10+(O707-1)*3,0))</f>
        <v>19</v>
      </c>
    </row>
    <row r="710" spans="1:24" ht="12.5" customHeight="1" x14ac:dyDescent="0.2">
      <c r="A710" s="26"/>
      <c r="B710" s="28"/>
      <c r="C710" s="28"/>
      <c r="D710" s="26"/>
      <c r="E710" s="28"/>
      <c r="F710" s="28"/>
      <c r="G710" s="26"/>
      <c r="H710" s="29"/>
      <c r="I710" s="26"/>
      <c r="J710" s="29"/>
      <c r="K710" s="28"/>
      <c r="L710" s="26"/>
      <c r="M710" s="28"/>
      <c r="N710" s="26"/>
    </row>
    <row r="711" spans="1:24" ht="12.5" customHeight="1" x14ac:dyDescent="0.2">
      <c r="A711" s="26"/>
      <c r="B711" s="28"/>
      <c r="C711" s="28"/>
      <c r="D711" s="26"/>
      <c r="E711" s="28"/>
      <c r="F711" s="28"/>
      <c r="G711" s="26"/>
      <c r="H711" s="29"/>
      <c r="I711" s="26"/>
      <c r="J711" s="29"/>
      <c r="K711" s="28"/>
      <c r="L711" s="26"/>
      <c r="M711" s="28"/>
      <c r="N711" s="26"/>
    </row>
    <row r="712" spans="1:24" ht="12.5" customHeight="1" x14ac:dyDescent="0.2">
      <c r="A712" s="11" t="str">
        <f>A690</f>
        <v>MM</v>
      </c>
      <c r="B712" s="11">
        <f>B690+1</f>
        <v>33</v>
      </c>
      <c r="C712" s="11" t="str">
        <f>C690</f>
        <v>SC</v>
      </c>
      <c r="D712" s="11" t="str">
        <f>D690</f>
        <v>SN</v>
      </c>
      <c r="E712" s="11" t="str">
        <f>E690</f>
        <v>C</v>
      </c>
      <c r="F712" s="11" t="str">
        <f ca="1">VLOOKUP(B712,INDIRECT($F$8),4,0)</f>
        <v>SRISHTI RAWAT</v>
      </c>
    </row>
    <row r="713" spans="1:24" ht="12.5" customHeight="1" x14ac:dyDescent="0.2">
      <c r="A713" s="30" t="str">
        <f ca="1">IF(ISERROR(F712),"",A691)</f>
        <v>Name:</v>
      </c>
      <c r="B713" s="30" t="str">
        <f ca="1">IFERROR(VLOOKUP(B712,INDIRECT($F$8),4,0),"")</f>
        <v>SRISHTI RAWAT</v>
      </c>
      <c r="C713" s="30"/>
      <c r="D713" s="30" t="str">
        <f ca="1">IF(ISERROR(F712),"",D691)</f>
        <v>Father's Name:</v>
      </c>
      <c r="E713" s="30" t="str">
        <f ca="1">IFERROR(VLOOKUP(B712,INDIRECT($F$8),5,0),"")</f>
        <v>AJAY PAL SINGH RAWAT</v>
      </c>
      <c r="F713" s="30"/>
      <c r="G713" s="30" t="str">
        <f ca="1">IF(ISERROR(F712),"",G691)</f>
        <v>University Roll No:</v>
      </c>
      <c r="H713" s="30"/>
      <c r="I713" s="31">
        <f ca="1">IFERROR(VLOOKUP(B712,INDIRECT($F$8),2,0),"")</f>
        <v>250090120034</v>
      </c>
      <c r="J713" s="31"/>
      <c r="K713" s="30" t="str">
        <f ca="1">IF(ISERROR(F712),"",K691)</f>
        <v>University Enrol. No:</v>
      </c>
      <c r="L713" s="30"/>
      <c r="M713" s="31" t="str">
        <f ca="1">IFERROR(VLOOKUP(B712,INDIRECT($F$8),3,0),"")</f>
        <v>UTU/2501103849</v>
      </c>
      <c r="N713" s="31"/>
    </row>
    <row r="714" spans="1:24" ht="12.5" customHeight="1" x14ac:dyDescent="0.2">
      <c r="A714" s="30"/>
      <c r="B714" s="30"/>
      <c r="C714" s="30"/>
      <c r="D714" s="30"/>
      <c r="E714" s="30"/>
      <c r="F714" s="30"/>
      <c r="G714" s="30"/>
      <c r="H714" s="30"/>
      <c r="I714" s="31"/>
      <c r="J714" s="31"/>
      <c r="K714" s="30"/>
      <c r="L714" s="30"/>
      <c r="M714" s="31"/>
      <c r="N714" s="31"/>
    </row>
    <row r="715" spans="1:24" ht="12.5" customHeight="1" x14ac:dyDescent="0.2">
      <c r="A715" s="28" t="str">
        <f ca="1">IF(ISERROR(F712),"",A693)</f>
        <v>Subject Code</v>
      </c>
      <c r="B715" s="28" t="str">
        <f ca="1">IF(ISERROR(F712),"",B693)</f>
        <v>Subject Name</v>
      </c>
      <c r="C715" s="28"/>
      <c r="D715" s="28"/>
      <c r="E715" s="28"/>
      <c r="F715" s="28" t="str">
        <f ca="1">IF(ISERROR(F712),"",F693)</f>
        <v>Credits</v>
      </c>
      <c r="G715" s="28" t="str">
        <f ca="1">IF(ISERROR(F712),"",G693)</f>
        <v>External Marks</v>
      </c>
      <c r="H715" s="28"/>
      <c r="I715" s="28" t="str">
        <f ca="1">IF(ISERROR(F712),"",I693)</f>
        <v>Sessional Marks</v>
      </c>
      <c r="J715" s="28"/>
      <c r="K715" s="28" t="str">
        <f ca="1">IF(ISERROR(F712),"",K693)</f>
        <v>Total Marks</v>
      </c>
      <c r="L715" s="28"/>
      <c r="M715" s="28" t="str">
        <f ca="1">IF(ISERROR(F712),"",M693)</f>
        <v>Grade</v>
      </c>
      <c r="N715" s="28" t="str">
        <f ca="1">IF(ISERROR(F712),"",N693)</f>
        <v>Grade Points</v>
      </c>
    </row>
    <row r="716" spans="1:24" ht="12.5" customHeight="1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W716">
        <f ca="1">IF(ISNUMBER(MATCH($F$8,{"I","III","V","VII"},0)),10,10-INDEX(INDIRECT(_xlfn.TEXTJOIN("",TRUE,"SEM_",$G$8,"!",ADDRESS(6,4+$I$8*3+4),":",ADDRESS(5+$H$8,4+$I$8*3+4))),MATCH(INDIRECT(_xlfn.TEXTJOIN("",TRUE,"TC_",$F$8,"!",ADDRESS(ROW(I713),COLUMN(I713)))),INDIRECT(_xlfn.TEXTJOIN("",TRUE,"SEM_",$G$8,"!",ADDRESS(6,2),":",ADDRESS(5+$H$8,2))))))</f>
        <v>10</v>
      </c>
    </row>
    <row r="717" spans="1:24" ht="12.5" customHeight="1" x14ac:dyDescent="0.2">
      <c r="A717" s="7" t="str">
        <f ca="1">IF(ISERROR(F712),"",VLOOKUP(C712,INDIRECT($F$8),6+(O717-1)*3,0))</f>
        <v>AHT 002</v>
      </c>
      <c r="B717" s="24" t="str">
        <f ca="1">IF(ISERROR(F712),"",VLOOKUP(D712,INDIRECT($F$8),6+(O717-1)*3,0))</f>
        <v>Engineering Chemistry</v>
      </c>
      <c r="C717" s="24"/>
      <c r="D717" s="24"/>
      <c r="E717" s="24"/>
      <c r="F717" s="7">
        <f ca="1">IF(ISERROR(F712),"",VLOOKUP(E712,INDIRECT($F$8),6+(O717-1)*3,0))</f>
        <v>4</v>
      </c>
      <c r="G717" s="25" t="str">
        <f ca="1">IF(ISERROR(F712),"",_xlfn.TEXTJOIN("/",FALSE,P717,S717))</f>
        <v>40/100</v>
      </c>
      <c r="H717" s="25"/>
      <c r="I717" s="25" t="str">
        <f ca="1">IF(ISERROR(F712),"",_xlfn.TEXTJOIN("/",FALSE,Q717,T717))</f>
        <v>32/50</v>
      </c>
      <c r="J717" s="25"/>
      <c r="K717" s="25" t="str">
        <f ca="1">IF(ISERROR(F712),"",_xlfn.TEXTJOIN("/",FALSE,R717,U717))</f>
        <v>72/150</v>
      </c>
      <c r="L717" s="25"/>
      <c r="M717" s="7" t="str">
        <f ca="1">IF(ISERROR(F712),"",IF(ISTEXT(P717),IF(P717="A","Ab",IF(P717="D","Dt",IF(P717="UFM","UFM",IF(P717="NA","")))),IF(AND(ISBLANK(P717),ISBLANK(R717)),"",IF(P717&lt;0.3*S717,"F",IF(ISBLANK(R717),"",IF(ISTEXT(R717),R717,IF(R717&gt;=0.95*U717,"O",IF(R717&gt;=0.9*U717,"A+",IF(R717&gt;=0.85*U717,"A",IF(R717&gt;=0.8*U717,"B+",IF(R717&gt;=0.75*U717,"B",IF(R717&gt;=0.7*U717,"C+",IF(R717&gt;=0.65*U717,"C",IF(R717&gt;=0.6*U717,"D+",IF(R717&gt;=0.55*U717,"D",IF(R717&gt;=0.5*U717,"E+",IF(R717&gt;=0.45*U717,"E",IF(R717&gt;=0.4*U717,"P",IF(R717&lt;0.4*U717,"F",R717)))))))))))))))))))</f>
        <v>E</v>
      </c>
      <c r="N717" s="8">
        <f ca="1">INDEX($Z$2:$Z$17,MATCH(M717,$Y$2:$Y$17,0))</f>
        <v>5</v>
      </c>
      <c r="O717">
        <v>1</v>
      </c>
      <c r="P717" s="1">
        <f ca="1">IF(ISERROR(F712),"",IF(ISTEXT(VLOOKUP(B712,INDIRECT($F$8),6+(O717-1)*3)),(VLOOKUP(B712,INDIRECT($F$8),6+(O717-1)*3)),SUM(VLOOKUP(B712,INDIRECT($F$8),6+(O717-1)*3),IF(W730,W717,0))))</f>
        <v>40</v>
      </c>
      <c r="Q717" s="1">
        <f ca="1">IF(ISERROR(F712),"",VLOOKUP(B712,INDIRECT($F$8),7+(O717-1)*3))</f>
        <v>32</v>
      </c>
      <c r="R717" s="1">
        <f ca="1">IF(ISERROR(F712),"",SUM(P717:Q717))</f>
        <v>72</v>
      </c>
      <c r="S717" s="1">
        <f ca="1">IF(ISERROR(F712),"",VLOOKUP(A712,INDIRECT($F$8),6+(O717-1)*3))</f>
        <v>100</v>
      </c>
      <c r="T717" s="1">
        <f ca="1">IF(ISERROR(F712),"",VLOOKUP(A712,INDIRECT($F$8),7+(O717-1)*3))</f>
        <v>50</v>
      </c>
      <c r="U717" s="1">
        <f ca="1">IF(ISERROR(F712),"",VLOOKUP(A712,INDIRECT($F$8),8+(O717-1)*3))</f>
        <v>150</v>
      </c>
      <c r="V717" s="1" t="str">
        <f ca="1">IF(ISERROR(F712),"",IF(N717=0,A717,""))</f>
        <v/>
      </c>
      <c r="W717" s="1">
        <f ca="1">IF(ISERROR(F712),"",IF(ISTEXT(VLOOKUP(B712,INDIRECT($F$8),6+(O717-1)*3)),11,IF(VLOOKUP(B712,INDIRECT($F$8),6+(O717-1)*3)&lt;S717*0.3,IF(VLOOKUP(B712,INDIRECT($F$8),8+(O717-1)*3)&lt;U717*0.4,IF(AND(0.4*U717-VLOOKUP(B712,INDIRECT($F$8),8+(O717-1)*3)&lt;=5,0.3*S717-VLOOKUP(B712,INDIRECT($F$8),6+(O717-1)*3)&lt;=5),MAX(0.4*U717-VLOOKUP(B712,INDIRECT($F$8),8+(O717-1)*3),0.3*S717-VLOOKUP(B712,INDIRECT($F$8),6+(O717-1)*3)),11),IF(0.3*S717-VLOOKUP(B712,INDIRECT($F$8),6+(O717-1)*3)&lt;=5,0.3*S717-VLOOKUP(B712,INDIRECT($F$8),6+(O717-1)*3),11)),IF(VLOOKUP(B712,INDIRECT($F$8),8+(O717-1)*3)&lt;U717*0.4,IF(U717*0.4-VLOOKUP(B712,INDIRECT($F$8),8+(O717-1)*3)&lt;=5,U717*0.4-VLOOKUP(B712,INDIRECT($F$8),8+(O717-1)*3),11),0))))</f>
        <v>0</v>
      </c>
      <c r="X717" s="1" t="str">
        <f ca="1">IF(ISERROR(F712),"",IF(W717=0,"",_xlfn.TEXTJOIN("",FALSE," G+",W717," in ",A717)))</f>
        <v/>
      </c>
    </row>
    <row r="718" spans="1:24" ht="12.5" customHeight="1" x14ac:dyDescent="0.2">
      <c r="A718" s="7" t="str">
        <f ca="1">IF(ISERROR(F712),"",VLOOKUP(C712,INDIRECT($F$8),6+(O718-1)*3,0))</f>
        <v>AHT 003</v>
      </c>
      <c r="B718" s="24" t="str">
        <f ca="1">IF(ISERROR(F712),"",VLOOKUP(D712,INDIRECT($F$8),6+(O718-1)*3,0))</f>
        <v>Introduction to Engineering Mathematics</v>
      </c>
      <c r="C718" s="24"/>
      <c r="D718" s="24"/>
      <c r="E718" s="24"/>
      <c r="F718" s="7">
        <f ca="1">IF(ISERROR(F712),"",VLOOKUP(E712,INDIRECT($F$8),6+(O718-1)*3,0))</f>
        <v>4</v>
      </c>
      <c r="G718" s="25" t="str">
        <f ca="1">IF(ISERROR(F712),"",_xlfn.TEXTJOIN("/",FALSE,P718,S718))</f>
        <v>16/100</v>
      </c>
      <c r="H718" s="25"/>
      <c r="I718" s="25" t="str">
        <f ca="1">IF(ISERROR(F712),"",_xlfn.TEXTJOIN("/",FALSE,Q718,T718))</f>
        <v>18/50</v>
      </c>
      <c r="J718" s="25"/>
      <c r="K718" s="25" t="str">
        <f ca="1">IF(ISERROR(F712),"",_xlfn.TEXTJOIN("/",FALSE,R718,U718))</f>
        <v>34/150</v>
      </c>
      <c r="L718" s="25"/>
      <c r="M718" s="7" t="str">
        <f ca="1">IF(ISERROR(F712),"",IF(ISTEXT(P718),IF(P718="A","Ab",IF(P718="D","Dt",IF(P718="UFM","UFM",IF(P718="NA","")))),IF(AND(ISBLANK(P718),ISBLANK(R718)),"",IF(P718&lt;0.3*S718,"F",IF(ISBLANK(R718),"",IF(ISTEXT(R718),R718,IF(R718&gt;=0.95*U718,"O",IF(R718&gt;=0.9*U718,"A+",IF(R718&gt;=0.85*U718,"A",IF(R718&gt;=0.8*U718,"B+",IF(R718&gt;=0.75*U718,"B",IF(R718&gt;=0.7*U718,"C+",IF(R718&gt;=0.65*U718,"C",IF(R718&gt;=0.6*U718,"D+",IF(R718&gt;=0.55*U718,"D",IF(R718&gt;=0.5*U718,"E+",IF(R718&gt;=0.45*U718,"E",IF(R718&gt;=0.4*U718,"P",IF(R718&lt;0.4*U718,"F",R718)))))))))))))))))))</f>
        <v>F</v>
      </c>
      <c r="N718" s="8">
        <f t="shared" ref="N718:N727" ca="1" si="65">INDEX($Z$2:$Z$17,MATCH(M718,$Y$2:$Y$17,0))</f>
        <v>0</v>
      </c>
      <c r="O718">
        <f>O717+1</f>
        <v>2</v>
      </c>
      <c r="P718" s="1">
        <f ca="1">IF(ISERROR(F712),"",IF(ISTEXT(VLOOKUP(B712,INDIRECT($F$8),6+(O718-1)*3)),(VLOOKUP(B712,INDIRECT($F$8),6+(O718-1)*3)),SUM(VLOOKUP(B712,INDIRECT($F$8),6+(O718-1)*3),IF(W730,W718,0))))</f>
        <v>16</v>
      </c>
      <c r="Q718" s="1">
        <f ca="1">IF(ISERROR(F712),"",VLOOKUP(B712,INDIRECT($F$8),7+(O718-1)*3))</f>
        <v>18</v>
      </c>
      <c r="R718" s="1">
        <f ca="1">IF(ISERROR(F712),"",SUM(P718:Q718))</f>
        <v>34</v>
      </c>
      <c r="S718" s="1">
        <f ca="1">IF(ISERROR(F712),"",VLOOKUP(A712,INDIRECT($F$8),6+(O718-1)*3))</f>
        <v>100</v>
      </c>
      <c r="T718" s="1">
        <f ca="1">IF(ISERROR(F712),"",VLOOKUP(A712,INDIRECT($F$8),7+(O718-1)*3))</f>
        <v>50</v>
      </c>
      <c r="U718" s="1">
        <f ca="1">IF(ISERROR(F712),"",VLOOKUP(A712,INDIRECT($F$8),8+(O718-1)*3))</f>
        <v>150</v>
      </c>
      <c r="V718" s="1" t="str">
        <f ca="1">IF(ISERROR(F712),"",IF(N718=0,A718,""))</f>
        <v>AHT 003</v>
      </c>
      <c r="W718" s="1">
        <f ca="1">IF(ISERROR(F712),"",IF(ISTEXT(VLOOKUP(B712,INDIRECT($F$8),6+(O718-1)*3)),11,IF(VLOOKUP(B712,INDIRECT($F$8),6+(O718-1)*3)&lt;S718*0.3,IF(VLOOKUP(B712,INDIRECT($F$8),8+(O718-1)*3)&lt;U718*0.4,IF(AND(0.4*U718-VLOOKUP(B712,INDIRECT($F$8),8+(O718-1)*3)&lt;=5,0.3*S718-VLOOKUP(B712,INDIRECT($F$8),6+(O718-1)*3)&lt;=5),MAX(0.4*U718-VLOOKUP(B712,INDIRECT($F$8),8+(O718-1)*3),0.3*S718-VLOOKUP(B712,INDIRECT($F$8),6+(O718-1)*3)),11),IF(0.3*S718-VLOOKUP(B712,INDIRECT($F$8),6+(O718-1)*3)&lt;=5,0.3*S718-VLOOKUP(B712,INDIRECT($F$8),6+(O718-1)*3),11)),IF(VLOOKUP(B712,INDIRECT($F$8),8+(O718-1)*3)&lt;U718*0.4,IF(U718*0.4-VLOOKUP(B712,INDIRECT($F$8),8+(O718-1)*3)&lt;=5,U718*0.4-VLOOKUP(B712,INDIRECT($F$8),8+(O718-1)*3),11),0))))</f>
        <v>11</v>
      </c>
      <c r="X718" s="1" t="str">
        <f ca="1">IF(ISERROR(F712),"",IF(W718=0,"",_xlfn.TEXTJOIN("",FALSE," G+",W718," in ",A718)))</f>
        <v xml:space="preserve"> G+11 in AHT 003</v>
      </c>
    </row>
    <row r="719" spans="1:24" ht="12.5" customHeight="1" x14ac:dyDescent="0.2">
      <c r="A719" s="7" t="str">
        <f ca="1">IF(ISERROR(F712),"",VLOOKUP(C712,INDIRECT($F$8),6+(O719-1)*3,0))</f>
        <v>ECT 001</v>
      </c>
      <c r="B719" s="24" t="str">
        <f ca="1">IF(ISERROR(F712),"",VLOOKUP(D712,INDIRECT($F$8),6+(O719-1)*3,0))</f>
        <v>Basic Electronics Engineering</v>
      </c>
      <c r="C719" s="24"/>
      <c r="D719" s="24"/>
      <c r="E719" s="24"/>
      <c r="F719" s="7">
        <f ca="1">IF(ISERROR(F712),"",VLOOKUP(E712,INDIRECT($F$8),6+(O719-1)*3,0))</f>
        <v>4</v>
      </c>
      <c r="G719" s="25" t="str">
        <f ca="1">IF(ISERROR(F712),"",_xlfn.TEXTJOIN("/",FALSE,P719,S719))</f>
        <v>32/100</v>
      </c>
      <c r="H719" s="25"/>
      <c r="I719" s="25" t="str">
        <f ca="1">IF(ISERROR(F712),"",_xlfn.TEXTJOIN("/",FALSE,Q719,T719))</f>
        <v>42/50</v>
      </c>
      <c r="J719" s="25"/>
      <c r="K719" s="25" t="str">
        <f ca="1">IF(ISERROR(F712),"",_xlfn.TEXTJOIN("/",FALSE,R719,U719))</f>
        <v>74/150</v>
      </c>
      <c r="L719" s="25"/>
      <c r="M719" s="7" t="str">
        <f ca="1">IF(ISERROR(F712),"",IF(ISTEXT(P719),IF(P719="A","Ab",IF(P719="D","Dt",IF(P719="UFM","UFM",IF(P719="NA","")))),IF(AND(ISBLANK(P719),ISBLANK(R719)),"",IF(P719&lt;0.3*S719,"F",IF(ISBLANK(R719),"",IF(ISTEXT(R719),R719,IF(R719&gt;=0.95*U719,"O",IF(R719&gt;=0.9*U719,"A+",IF(R719&gt;=0.85*U719,"A",IF(R719&gt;=0.8*U719,"B+",IF(R719&gt;=0.75*U719,"B",IF(R719&gt;=0.7*U719,"C+",IF(R719&gt;=0.65*U719,"C",IF(R719&gt;=0.6*U719,"D+",IF(R719&gt;=0.55*U719,"D",IF(R719&gt;=0.5*U719,"E+",IF(R719&gt;=0.45*U719,"E",IF(R719&gt;=0.4*U719,"P",IF(R719&lt;0.4*U719,"F",R719)))))))))))))))))))</f>
        <v>E</v>
      </c>
      <c r="N719" s="8">
        <f t="shared" ca="1" si="65"/>
        <v>5</v>
      </c>
      <c r="O719">
        <f>O718+1</f>
        <v>3</v>
      </c>
      <c r="P719" s="1">
        <f ca="1">IF(ISERROR(F712),"",IF(ISTEXT(VLOOKUP(B712,INDIRECT($F$8),6+(O719-1)*3)),(VLOOKUP(B712,INDIRECT($F$8),6+(O719-1)*3)),SUM(VLOOKUP(B712,INDIRECT($F$8),6+(O719-1)*3),IF(W730,W719,0))))</f>
        <v>32</v>
      </c>
      <c r="Q719" s="1">
        <f ca="1">IF(ISERROR(F712),"",VLOOKUP(B712,INDIRECT($F$8),7+(O719-1)*3))</f>
        <v>42</v>
      </c>
      <c r="R719" s="1">
        <f ca="1">IF(ISERROR(F712),"",SUM(P719:Q719))</f>
        <v>74</v>
      </c>
      <c r="S719" s="1">
        <f ca="1">IF(ISERROR(F712),"",VLOOKUP(A712,INDIRECT($F$8),6+(O719-1)*3))</f>
        <v>100</v>
      </c>
      <c r="T719" s="1">
        <f ca="1">IF(ISERROR(F712),"",VLOOKUP(A712,INDIRECT($F$8),7+(O719-1)*3))</f>
        <v>50</v>
      </c>
      <c r="U719" s="1">
        <f ca="1">IF(ISERROR(F712),"",VLOOKUP(A712,INDIRECT($F$8),8+(O719-1)*3))</f>
        <v>150</v>
      </c>
      <c r="V719" s="1" t="str">
        <f ca="1">IF(ISERROR(F712),"",IF(N719=0,A719,""))</f>
        <v/>
      </c>
      <c r="W719" s="1">
        <f ca="1">IF(ISERROR(F712),"",IF(ISTEXT(VLOOKUP(B712,INDIRECT($F$8),6+(O719-1)*3)),11,IF(VLOOKUP(B712,INDIRECT($F$8),6+(O719-1)*3)&lt;S719*0.3,IF(VLOOKUP(B712,INDIRECT($F$8),8+(O719-1)*3)&lt;U719*0.4,IF(AND(0.4*U719-VLOOKUP(B712,INDIRECT($F$8),8+(O719-1)*3)&lt;=5,0.3*S719-VLOOKUP(B712,INDIRECT($F$8),6+(O719-1)*3)&lt;=5),MAX(0.4*U719-VLOOKUP(B712,INDIRECT($F$8),8+(O719-1)*3),0.3*S719-VLOOKUP(B712,INDIRECT($F$8),6+(O719-1)*3)),11),IF(0.3*S719-VLOOKUP(B712,INDIRECT($F$8),6+(O719-1)*3)&lt;=5,0.3*S719-VLOOKUP(B712,INDIRECT($F$8),6+(O719-1)*3),11)),IF(VLOOKUP(B712,INDIRECT($F$8),8+(O719-1)*3)&lt;U719*0.4,IF(U719*0.4-VLOOKUP(B712,INDIRECT($F$8),8+(O719-1)*3)&lt;=5,U719*0.4-VLOOKUP(B712,INDIRECT($F$8),8+(O719-1)*3),11),0))))</f>
        <v>0</v>
      </c>
      <c r="X719" s="1" t="str">
        <f ca="1">IF(ISERROR(F712),"",IF(W719=0,"",_xlfn.TEXTJOIN("",FALSE," G+",W719," in ",A719)))</f>
        <v/>
      </c>
    </row>
    <row r="720" spans="1:24" ht="12.5" customHeight="1" x14ac:dyDescent="0.2">
      <c r="A720" s="7" t="str">
        <f ca="1">IF(ISERROR(F712),"",VLOOKUP(C712,INDIRECT($F$8),6+(O720-1)*3,0))</f>
        <v>MET 001</v>
      </c>
      <c r="B720" s="24" t="str">
        <f ca="1">IF(ISERROR(F712),"",VLOOKUP(D712,INDIRECT($F$8),6+(O720-1)*3,0))</f>
        <v>Basic Mechanical Engineering</v>
      </c>
      <c r="C720" s="24"/>
      <c r="D720" s="24"/>
      <c r="E720" s="24"/>
      <c r="F720" s="7">
        <f ca="1">IF(ISERROR(F712),"",VLOOKUP(E712,INDIRECT($F$8),6+(O720-1)*3,0))</f>
        <v>4</v>
      </c>
      <c r="G720" s="25" t="str">
        <f ca="1">IF(ISERROR(F712),"",_xlfn.TEXTJOIN("/",FALSE,P720,S720))</f>
        <v>41/100</v>
      </c>
      <c r="H720" s="25"/>
      <c r="I720" s="25" t="str">
        <f ca="1">IF(ISERROR(F712),"",_xlfn.TEXTJOIN("/",FALSE,Q720,T720))</f>
        <v>29/50</v>
      </c>
      <c r="J720" s="25"/>
      <c r="K720" s="25" t="str">
        <f ca="1">IF(ISERROR(F712),"",_xlfn.TEXTJOIN("/",FALSE,R720,U720))</f>
        <v>70/150</v>
      </c>
      <c r="L720" s="25"/>
      <c r="M720" s="7" t="str">
        <f ca="1">IF(ISERROR(F712),"",IF(ISTEXT(P720),IF(P720="A","Ab",IF(P720="D","Dt",IF(P720="UFM","UFM",IF(P720="NA","")))),IF(AND(ISBLANK(P720),ISBLANK(R720)),"",IF(P720&lt;0.3*S720,"F",IF(ISBLANK(R720),"",IF(ISTEXT(R720),R720,IF(R720&gt;=0.95*U720,"O",IF(R720&gt;=0.9*U720,"A+",IF(R720&gt;=0.85*U720,"A",IF(R720&gt;=0.8*U720,"B+",IF(R720&gt;=0.75*U720,"B",IF(R720&gt;=0.7*U720,"C+",IF(R720&gt;=0.65*U720,"C",IF(R720&gt;=0.6*U720,"D+",IF(R720&gt;=0.55*U720,"D",IF(R720&gt;=0.5*U720,"E+",IF(R720&gt;=0.45*U720,"E",IF(R720&gt;=0.4*U720,"P",IF(R720&lt;0.4*U720,"F",R720)))))))))))))))))))</f>
        <v>E</v>
      </c>
      <c r="N720" s="8">
        <f t="shared" ca="1" si="65"/>
        <v>5</v>
      </c>
      <c r="O720">
        <f>O719+1</f>
        <v>4</v>
      </c>
      <c r="P720" s="1">
        <f ca="1">IF(ISERROR(F712),"",IF(ISTEXT(VLOOKUP(B712,INDIRECT($F$8),6+(O720-1)*3)),(VLOOKUP(B712,INDIRECT($F$8),6+(O720-1)*3)),SUM(VLOOKUP(B712,INDIRECT($F$8),6+(O720-1)*3),IF(W730,W720,0))))</f>
        <v>41</v>
      </c>
      <c r="Q720" s="1">
        <f ca="1">IF(ISERROR(F712),"",VLOOKUP(B712,INDIRECT($F$8),7+(O720-1)*3))</f>
        <v>29</v>
      </c>
      <c r="R720" s="1">
        <f ca="1">IF(ISERROR(F712),"",SUM(P720:Q720))</f>
        <v>70</v>
      </c>
      <c r="S720" s="1">
        <f ca="1">IF(ISERROR(F712),"",VLOOKUP(A712,INDIRECT($F$8),6+(O720-1)*3))</f>
        <v>100</v>
      </c>
      <c r="T720" s="1">
        <f ca="1">IF(ISERROR(F712),"",VLOOKUP(A712,INDIRECT($F$8),7+(O720-1)*3))</f>
        <v>50</v>
      </c>
      <c r="U720" s="1">
        <f ca="1">IF(ISERROR(F712),"",VLOOKUP(A712,INDIRECT($F$8),8+(O720-1)*3))</f>
        <v>150</v>
      </c>
      <c r="V720" s="1" t="str">
        <f ca="1">IF(ISERROR(F712),"",IF(N720=0,A720,""))</f>
        <v/>
      </c>
      <c r="W720" s="1">
        <f ca="1">IF(ISERROR(F712),"",IF(ISTEXT(VLOOKUP(B712,INDIRECT($F$8),6+(O720-1)*3)),11,IF(VLOOKUP(B712,INDIRECT($F$8),6+(O720-1)*3)&lt;S720*0.3,IF(VLOOKUP(B712,INDIRECT($F$8),8+(O720-1)*3)&lt;U720*0.4,IF(AND(0.4*U720-VLOOKUP(B712,INDIRECT($F$8),8+(O720-1)*3)&lt;=5,0.3*S720-VLOOKUP(B712,INDIRECT($F$8),6+(O720-1)*3)&lt;=5),MAX(0.4*U720-VLOOKUP(B712,INDIRECT($F$8),8+(O720-1)*3),0.3*S720-VLOOKUP(B712,INDIRECT($F$8),6+(O720-1)*3)),11),IF(0.3*S720-VLOOKUP(B712,INDIRECT($F$8),6+(O720-1)*3)&lt;=5,0.3*S720-VLOOKUP(B712,INDIRECT($F$8),6+(O720-1)*3),11)),IF(VLOOKUP(B712,INDIRECT($F$8),8+(O720-1)*3)&lt;U720*0.4,IF(U720*0.4-VLOOKUP(B712,INDIRECT($F$8),8+(O720-1)*3)&lt;=5,U720*0.4-VLOOKUP(B712,INDIRECT($F$8),8+(O720-1)*3),11),0))))</f>
        <v>0</v>
      </c>
      <c r="X720" s="1" t="str">
        <f ca="1">IF(ISERROR(F712),"",IF(W720=0,"",_xlfn.TEXTJOIN("",FALSE," G+",W720," in ",A720)))</f>
        <v/>
      </c>
    </row>
    <row r="721" spans="1:24" ht="12.5" customHeight="1" x14ac:dyDescent="0.2">
      <c r="A721" s="7" t="str">
        <f ca="1">IF(ISERROR(F712),"",VLOOKUP(C712,INDIRECT($F$8),6+(O721-1)*3,0))</f>
        <v>AHT 000</v>
      </c>
      <c r="B721" s="24" t="str">
        <f ca="1">IF(ISERROR(F712),"",VLOOKUP(D712,INDIRECT($F$8),6+(O721-1)*3,0))</f>
        <v>Basic Mathematics (Bridge Course) ($)</v>
      </c>
      <c r="C721" s="24"/>
      <c r="D721" s="24"/>
      <c r="E721" s="24"/>
      <c r="F721" s="7">
        <f ca="1">IF(ISERROR(F712),"",VLOOKUP(E712,INDIRECT($F$8),6+(O721-1)*3,0))</f>
        <v>0</v>
      </c>
      <c r="G721" s="25" t="str">
        <f ca="1">IF(ISERROR(F712),"",_xlfn.TEXTJOIN("/",FALSE,P721,S721))</f>
        <v>70/100</v>
      </c>
      <c r="H721" s="25"/>
      <c r="I721" s="25" t="str">
        <f ca="1">IF(ISERROR(F712),"",_xlfn.TEXTJOIN("/",FALSE,Q721,T721))</f>
        <v>36/50</v>
      </c>
      <c r="J721" s="25"/>
      <c r="K721" s="25" t="str">
        <f ca="1">IF(ISERROR(F712),"",_xlfn.TEXTJOIN("/",FALSE,R721,U721))</f>
        <v>106/150</v>
      </c>
      <c r="L721" s="25"/>
      <c r="M721" s="7" t="str">
        <f ca="1">IF(ISERROR(F712),"",IF(ISTEXT(P721),IF(P721="A","Ab",IF(P721="D","Dt",IF(P721="UFM","UFM",IF(P721="NA","")))),IF(AND(ISBLANK(P721),ISBLANK(R721)),"",IF(P721&lt;0.3*S721,"F",IF(ISBLANK(R721),"",IF(ISTEXT(R721),R721,IF(R721&gt;=0.95*U721,"O",IF(R721&gt;=0.9*U721,"A+",IF(R721&gt;=0.85*U721,"A",IF(R721&gt;=0.8*U721,"B+",IF(R721&gt;=0.75*U721,"B",IF(R721&gt;=0.7*U721,"C+",IF(R721&gt;=0.65*U721,"C",IF(R721&gt;=0.6*U721,"D+",IF(R721&gt;=0.55*U721,"D",IF(R721&gt;=0.5*U721,"E+",IF(R721&gt;=0.45*U721,"E",IF(R721&gt;=0.4*U721,"P",IF(R721&lt;0.4*U721,"F",R721)))))))))))))))))))</f>
        <v>C+</v>
      </c>
      <c r="N721" s="8">
        <f t="shared" ca="1" si="65"/>
        <v>7.5</v>
      </c>
      <c r="O721" cm="1">
        <f t="array" aca="1" ref="O721" ca="1">IF(NOT(ISBLANK(INDIRECT("SEM_I!R"&amp;INT((ROW(O721)-17)/22)+6))),5,
IF(NOT(ISBLANK(INDIRECT("SEM_I!U"&amp;INT((ROW(O721)-17)/22)+6))),6))</f>
        <v>5</v>
      </c>
      <c r="P721" s="1">
        <f ca="1">IF(ISERROR(F712),"",IF(ISTEXT(VLOOKUP(B712,INDIRECT($F$8),6+(O721-1)*3)),(VLOOKUP(B712,INDIRECT($F$8),6+(O721-1)*3)),SUM(VLOOKUP(B712,INDIRECT($F$8),6+(O721-1)*3),IF(W730,W721,0))))</f>
        <v>70</v>
      </c>
      <c r="Q721" s="1">
        <f ca="1">IF(ISERROR(F712),"",VLOOKUP(B712,INDIRECT($F$8),7+(O721-1)*3))</f>
        <v>36</v>
      </c>
      <c r="R721" s="1">
        <f ca="1">IF(ISERROR(F712),"",SUM(P721:Q721))</f>
        <v>106</v>
      </c>
      <c r="S721" s="1">
        <f ca="1">IF(ISERROR(F712),"",VLOOKUP(A712,INDIRECT($F$8),6+(O721-1)*3))</f>
        <v>100</v>
      </c>
      <c r="T721" s="1">
        <f ca="1">IF(ISERROR(F712),"",VLOOKUP(A712,INDIRECT($F$8),7+(O721-1)*3))</f>
        <v>50</v>
      </c>
      <c r="U721" s="1">
        <f ca="1">IF(ISERROR(F712),"",VLOOKUP(A712,INDIRECT($F$8),8+(O721-1)*3))</f>
        <v>150</v>
      </c>
      <c r="V721" s="1" t="str">
        <f ca="1">IF(ISERROR(F712),"",IF(N721=0,A721,""))</f>
        <v/>
      </c>
      <c r="W721" s="1">
        <f ca="1">IF(ISERROR(F712),"",IF(ISTEXT(VLOOKUP(B712,INDIRECT($F$8),6+(O721-1)*3)),11,IF(VLOOKUP(B712,INDIRECT($F$8),6+(O721-1)*3)&lt;S721*0.3,IF(VLOOKUP(B712,INDIRECT($F$8),8+(O721-1)*3)&lt;U721*0.4,IF(AND(0.4*U721-VLOOKUP(B712,INDIRECT($F$8),8+(O721-1)*3)&lt;=5,0.3*S721-VLOOKUP(B712,INDIRECT($F$8),6+(O721-1)*3)&lt;=5),MAX(0.4*U721-VLOOKUP(B712,INDIRECT($F$8),8+(O721-1)*3),0.3*S721-VLOOKUP(B712,INDIRECT($F$8),6+(O721-1)*3)),11),IF(0.3*S721-VLOOKUP(B712,INDIRECT($F$8),6+(O721-1)*3)&lt;=5,0.3*S721-VLOOKUP(B712,INDIRECT($F$8),6+(O721-1)*3),11)),IF(VLOOKUP(B712,INDIRECT($F$8),8+(O721-1)*3)&lt;U721*0.4,IF(U721*0.4-VLOOKUP(B712,INDIRECT($F$8),8+(O721-1)*3)&lt;=5,U721*0.4-VLOOKUP(B712,INDIRECT($F$8),8+(O721-1)*3),11),0))))</f>
        <v>0</v>
      </c>
      <c r="X721" s="1" t="str">
        <f ca="1">IF(ISERROR(F712),"",IF(W721=0,"",_xlfn.TEXTJOIN("",FALSE," G+",W721," in ",A721)))</f>
        <v/>
      </c>
    </row>
    <row r="722" spans="1:24" ht="12.5" customHeight="1" x14ac:dyDescent="0.2">
      <c r="A722" s="7" t="str">
        <f ca="1">IF(ISERROR(F712),"",VLOOKUP(C712,INDIRECT($F$8),6+(O722-1)*3,0))</f>
        <v>AHP 002</v>
      </c>
      <c r="B722" s="24" t="str">
        <f ca="1">IF(ISERROR(F712),"",VLOOKUP(D712,INDIRECT($F$8),6+(O722-1)*3,0))</f>
        <v>Engineering Chemistry Lab</v>
      </c>
      <c r="C722" s="24"/>
      <c r="D722" s="24"/>
      <c r="E722" s="24"/>
      <c r="F722" s="7">
        <f ca="1">IF(ISERROR(F712),"",VLOOKUP(E712,INDIRECT($F$8),6+(O722-1)*3,0))</f>
        <v>1</v>
      </c>
      <c r="G722" s="25" t="str">
        <f ca="1">IF(ISERROR(F712),"",_xlfn.TEXTJOIN("/",FALSE,P722,S722))</f>
        <v>17/25</v>
      </c>
      <c r="H722" s="25"/>
      <c r="I722" s="25" t="str">
        <f ca="1">IF(ISERROR(F712),"",_xlfn.TEXTJOIN("/",FALSE,Q722,T722))</f>
        <v>14/25</v>
      </c>
      <c r="J722" s="25"/>
      <c r="K722" s="25" t="str">
        <f ca="1">IF(ISERROR(F712),"",_xlfn.TEXTJOIN("/",FALSE,R722,U722))</f>
        <v>31/50</v>
      </c>
      <c r="L722" s="25"/>
      <c r="M722" s="7" t="str">
        <f ca="1">IF(ISERROR(F712),"",IF(ISTEXT(P722),IF(P722="A","Ab",IF(P722="D","Dt",IF(P722="UFM","UFM",IF(P722="NA","")))),IF(AND(ISBLANK(P722),ISBLANK(R722)),"",IF(P722&lt;0.3*S722,"F",IF(ISBLANK(R722),"",IF(ISTEXT(R722),R722,IF(R722&gt;=0.95*U722,"O",IF(R722&gt;=0.9*U722,"A+",IF(R722&gt;=0.85*U722,"A",IF(R722&gt;=0.8*U722,"B+",IF(R722&gt;=0.75*U722,"B",IF(R722&gt;=0.7*U722,"C+",IF(R722&gt;=0.65*U722,"C",IF(R722&gt;=0.6*U722,"D+",IF(R722&gt;=0.55*U722,"D",IF(R722&gt;=0.5*U722,"E+",IF(R722&gt;=0.45*U722,"E",IF(R722&gt;=0.4*U722,"P",IF(R722&lt;0.4*U722,"F",R722)))))))))))))))))))</f>
        <v>D+</v>
      </c>
      <c r="N722" s="8">
        <f t="shared" ca="1" si="65"/>
        <v>6.5</v>
      </c>
      <c r="O722">
        <f ca="1">IF(O721&gt;0,7)</f>
        <v>7</v>
      </c>
      <c r="P722" s="1">
        <f ca="1">IF(ISERROR(F712),"",IF(ISTEXT(VLOOKUP(B712,INDIRECT($F$8),6+(O722-1)*3)),(VLOOKUP(B712,INDIRECT($F$8),6+(O722-1)*3)),SUM(VLOOKUP(B712,INDIRECT($F$8),6+(O722-1)*3),IF(W730,W722,0))))</f>
        <v>17</v>
      </c>
      <c r="Q722" s="1">
        <f ca="1">IF(ISERROR(F712),"",VLOOKUP(B712,INDIRECT($F$8),7+(O722-1)*3))</f>
        <v>14</v>
      </c>
      <c r="R722" s="1">
        <f ca="1">IF(ISERROR(F712),"",SUM(P722:Q722))</f>
        <v>31</v>
      </c>
      <c r="S722" s="1">
        <f ca="1">IF(ISERROR(F712),"",VLOOKUP(A712,INDIRECT($F$8),6+(O722-1)*3))</f>
        <v>25</v>
      </c>
      <c r="T722" s="1">
        <f ca="1">IF(ISERROR(F712),"",VLOOKUP(A712,INDIRECT($F$8),7+(O722-1)*3))</f>
        <v>25</v>
      </c>
      <c r="U722" s="1">
        <f ca="1">IF(ISERROR(F712),"",VLOOKUP(A712,INDIRECT($F$8),8+(O722-1)*3))</f>
        <v>50</v>
      </c>
      <c r="V722" s="1" t="str">
        <f ca="1">IF(ISERROR(F712),"",IF(N722=0,A722,""))</f>
        <v/>
      </c>
      <c r="W722" s="1">
        <f ca="1">IF(ISERROR(F712),"",IF(ISTEXT(VLOOKUP(B712,INDIRECT($F$8),6+(O722-1)*3)),11,IF(VLOOKUP(B712,INDIRECT($F$8),6+(O722-1)*3)&lt;S722*0.3,IF(VLOOKUP(B712,INDIRECT($F$8),8+(O722-1)*3)&lt;U722*0.4,IF(AND(0.4*U722-VLOOKUP(B712,INDIRECT($F$8),8+(O722-1)*3)&lt;=5,0.3*S722-VLOOKUP(B712,INDIRECT($F$8),6+(O722-1)*3)&lt;=5),MAX(0.4*U722-VLOOKUP(B712,INDIRECT($F$8),8+(O722-1)*3),0.3*S722-VLOOKUP(B712,INDIRECT($F$8),6+(O722-1)*3)),11),IF(0.3*S722-VLOOKUP(B712,INDIRECT($F$8),6+(O722-1)*3)&lt;=5,0.3*S722-VLOOKUP(B712,INDIRECT($F$8),6+(O722-1)*3),11)),IF(VLOOKUP(B712,INDIRECT($F$8),8+(O722-1)*3)&lt;U722*0.4,IF(U722*0.4-VLOOKUP(B712,INDIRECT($F$8),8+(O722-1)*3)&lt;=5,U722*0.4-VLOOKUP(B712,INDIRECT($F$8),8+(O722-1)*3),11),0))))</f>
        <v>0</v>
      </c>
      <c r="X722" s="1" t="str">
        <f ca="1">IF(ISERROR(F712),"",IF(W722=0,"",_xlfn.TEXTJOIN("",FALSE," G+",W722," in ",A722)))</f>
        <v/>
      </c>
    </row>
    <row r="723" spans="1:24" ht="12.5" customHeight="1" x14ac:dyDescent="0.2">
      <c r="A723" s="7" t="str">
        <f ca="1">IF(ISERROR(F712),"",VLOOKUP(C712,INDIRECT($F$8),6+(O723-1)*3,0))</f>
        <v>ECP 001</v>
      </c>
      <c r="B723" s="24" t="str">
        <f ca="1">IF(ISERROR(F712),"",VLOOKUP(D712,INDIRECT($F$8),6+(O723-1)*3,0))</f>
        <v>Basic Electronics Engineering Lab</v>
      </c>
      <c r="C723" s="24"/>
      <c r="D723" s="24"/>
      <c r="E723" s="24"/>
      <c r="F723" s="7">
        <f ca="1">IF(ISERROR(F712),"",VLOOKUP(E712,INDIRECT($F$8),6+(O723-1)*3,0))</f>
        <v>1</v>
      </c>
      <c r="G723" s="25" t="str">
        <f ca="1">IF(ISERROR(F712),"",_xlfn.TEXTJOIN("/",FALSE,P723,S723))</f>
        <v>16/25</v>
      </c>
      <c r="H723" s="25"/>
      <c r="I723" s="25" t="str">
        <f ca="1">IF(ISERROR(F712),"",_xlfn.TEXTJOIN("/",FALSE,Q723,T723))</f>
        <v>15/25</v>
      </c>
      <c r="J723" s="25"/>
      <c r="K723" s="25" t="str">
        <f ca="1">IF(ISERROR(F712),"",_xlfn.TEXTJOIN("/",FALSE,R723,U723))</f>
        <v>31/50</v>
      </c>
      <c r="L723" s="25"/>
      <c r="M723" s="7" t="str">
        <f ca="1">IF(ISERROR(F712),"",IF(ISTEXT(P723),IF(P723="A","Ab",IF(P723="D","Dt",IF(P723="UFM","UFM",IF(P723="NA","")))),IF(AND(ISBLANK(P723),ISBLANK(R723)),"",IF(P723&lt;0.3*S723,"F",IF(ISBLANK(R723),"",IF(ISTEXT(R723),R723,IF(R723&gt;=0.95*U723,"O",IF(R723&gt;=0.9*U723,"A+",IF(R723&gt;=0.85*U723,"A",IF(R723&gt;=0.8*U723,"B+",IF(R723&gt;=0.75*U723,"B",IF(R723&gt;=0.7*U723,"C+",IF(R723&gt;=0.65*U723,"C",IF(R723&gt;=0.6*U723,"D+",IF(R723&gt;=0.55*U723,"D",IF(R723&gt;=0.5*U723,"E+",IF(R723&gt;=0.45*U723,"E",IF(R723&gt;=0.4*U723,"P",IF(R723&lt;0.4*U723,"F",R723)))))))))))))))))))</f>
        <v>D+</v>
      </c>
      <c r="N723" s="8">
        <f t="shared" ca="1" si="65"/>
        <v>6.5</v>
      </c>
      <c r="O723">
        <f t="shared" ref="O723:O729" ca="1" si="66">O722+1</f>
        <v>8</v>
      </c>
      <c r="P723" s="1">
        <f ca="1">IF(ISERROR(F712),"",IF(ISTEXT(VLOOKUP(B712,INDIRECT($F$8),6+(O723-1)*3)),(VLOOKUP(B712,INDIRECT($F$8),6+(O723-1)*3)),SUM(VLOOKUP(B712,INDIRECT($F$8),6+(O723-1)*3),IF(W730,W723,0))))</f>
        <v>16</v>
      </c>
      <c r="Q723" s="1">
        <f ca="1">IF(ISERROR(F712),"",VLOOKUP(B712,INDIRECT($F$8),7+(O723-1)*3))</f>
        <v>15</v>
      </c>
      <c r="R723" s="1">
        <f ca="1">IF(ISERROR(F712),"",SUM(P723:Q723))</f>
        <v>31</v>
      </c>
      <c r="S723" s="1">
        <f ca="1">IF(ISERROR(F712),"",VLOOKUP(A712,INDIRECT($F$8),6+(O723-1)*3))</f>
        <v>25</v>
      </c>
      <c r="T723" s="1">
        <f ca="1">IF(ISERROR(F712),"",VLOOKUP(A712,INDIRECT($F$8),7+(O723-1)*3))</f>
        <v>25</v>
      </c>
      <c r="U723" s="1">
        <f ca="1">IF(ISERROR(F712),"",VLOOKUP(A712,INDIRECT($F$8),8+(O723-1)*3))</f>
        <v>50</v>
      </c>
      <c r="V723" s="1" t="str">
        <f ca="1">IF(ISERROR(F712),"",IF(N723=0,A723,""))</f>
        <v/>
      </c>
      <c r="W723" s="1">
        <f ca="1">IF(ISERROR(F712),"",IF(ISTEXT(VLOOKUP(B712,INDIRECT($F$8),6+(O723-1)*3)),11,IF(VLOOKUP(B712,INDIRECT($F$8),6+(O723-1)*3)&lt;S723*0.3,IF(VLOOKUP(B712,INDIRECT($F$8),8+(O723-1)*3)&lt;U723*0.4,IF(AND(0.4*U723-VLOOKUP(B712,INDIRECT($F$8),8+(O723-1)*3)&lt;=5,0.3*S723-VLOOKUP(B712,INDIRECT($F$8),6+(O723-1)*3)&lt;=5),MAX(0.4*U723-VLOOKUP(B712,INDIRECT($F$8),8+(O723-1)*3),0.3*S723-VLOOKUP(B712,INDIRECT($F$8),6+(O723-1)*3)),11),IF(0.3*S723-VLOOKUP(B712,INDIRECT($F$8),6+(O723-1)*3)&lt;=5,0.3*S723-VLOOKUP(B712,INDIRECT($F$8),6+(O723-1)*3),11)),IF(VLOOKUP(B712,INDIRECT($F$8),8+(O723-1)*3)&lt;U723*0.4,IF(U723*0.4-VLOOKUP(B712,INDIRECT($F$8),8+(O723-1)*3)&lt;=5,U723*0.4-VLOOKUP(B712,INDIRECT($F$8),8+(O723-1)*3),11),0))))</f>
        <v>0</v>
      </c>
      <c r="X723" s="1" t="str">
        <f ca="1">IF(ISERROR(F712),"",IF(W723=0,"",_xlfn.TEXTJOIN("",FALSE," G+",W723," in ",A723)))</f>
        <v/>
      </c>
    </row>
    <row r="724" spans="1:24" ht="12.5" customHeight="1" x14ac:dyDescent="0.2">
      <c r="A724" s="7" t="str">
        <f ca="1">IF(ISERROR(F712),"",VLOOKUP(C712,INDIRECT($F$8),6+(O724-1)*3,0))</f>
        <v>MEP 001</v>
      </c>
      <c r="B724" s="24" t="str">
        <f ca="1">IF(ISERROR(F712),"",VLOOKUP(D712,INDIRECT($F$8),6+(O724-1)*3,0))</f>
        <v>Basic Mechanical Engineering Lab</v>
      </c>
      <c r="C724" s="24"/>
      <c r="D724" s="24"/>
      <c r="E724" s="24"/>
      <c r="F724" s="7">
        <f ca="1">IF(ISERROR(F712),"",VLOOKUP(E712,INDIRECT($F$8),6+(O724-1)*3,0))</f>
        <v>1</v>
      </c>
      <c r="G724" s="25" t="str">
        <f ca="1">IF(ISERROR(F712),"",_xlfn.TEXTJOIN("/",FALSE,P724,S724))</f>
        <v>22/25</v>
      </c>
      <c r="H724" s="25"/>
      <c r="I724" s="25" t="str">
        <f ca="1">IF(ISERROR(F712),"",_xlfn.TEXTJOIN("/",FALSE,Q724,T724))</f>
        <v>20/25</v>
      </c>
      <c r="J724" s="25"/>
      <c r="K724" s="25" t="str">
        <f ca="1">IF(ISERROR(F712),"",_xlfn.TEXTJOIN("/",FALSE,R724,U724))</f>
        <v>42/50</v>
      </c>
      <c r="L724" s="25"/>
      <c r="M724" s="7" t="str">
        <f ca="1">IF(ISERROR(F712),"",IF(ISTEXT(P724),IF(P724="A","Ab",IF(P724="D","Dt",IF(P724="UFM","UFM",IF(P724="NA","")))),IF(AND(ISBLANK(P724),ISBLANK(R724)),"",IF(P724&lt;0.3*S724,"F",IF(ISBLANK(R724),"",IF(ISTEXT(R724),R724,IF(R724&gt;=0.95*U724,"O",IF(R724&gt;=0.9*U724,"A+",IF(R724&gt;=0.85*U724,"A",IF(R724&gt;=0.8*U724,"B+",IF(R724&gt;=0.75*U724,"B",IF(R724&gt;=0.7*U724,"C+",IF(R724&gt;=0.65*U724,"C",IF(R724&gt;=0.6*U724,"D+",IF(R724&gt;=0.55*U724,"D",IF(R724&gt;=0.5*U724,"E+",IF(R724&gt;=0.45*U724,"E",IF(R724&gt;=0.4*U724,"P",IF(R724&lt;0.4*U724,"F",R724)))))))))))))))))))</f>
        <v>B+</v>
      </c>
      <c r="N724" s="8">
        <f t="shared" ca="1" si="65"/>
        <v>8.5</v>
      </c>
      <c r="O724">
        <f t="shared" ca="1" si="66"/>
        <v>9</v>
      </c>
      <c r="P724" s="1">
        <f ca="1">IF(ISERROR(F712),"",IF(ISTEXT(VLOOKUP(B712,INDIRECT($F$8),6+(O724-1)*3)),(VLOOKUP(B712,INDIRECT($F$8),6+(O724-1)*3)),SUM(VLOOKUP(B712,INDIRECT($F$8),6+(O724-1)*3),IF(W730,W724,0))))</f>
        <v>22</v>
      </c>
      <c r="Q724" s="1">
        <f ca="1">IF(ISERROR(F712),"",VLOOKUP(B712,INDIRECT($F$8),7+(O724-1)*3))</f>
        <v>20</v>
      </c>
      <c r="R724" s="1">
        <f ca="1">IF(ISERROR(F712),"",SUM(P724:Q724))</f>
        <v>42</v>
      </c>
      <c r="S724" s="1">
        <f ca="1">IF(ISERROR(F712),"",VLOOKUP(A712,INDIRECT($F$8),6+(O724-1)*3))</f>
        <v>25</v>
      </c>
      <c r="T724" s="1">
        <f ca="1">IF(ISERROR(F712),"",VLOOKUP(A712,INDIRECT($F$8),7+(O724-1)*3))</f>
        <v>25</v>
      </c>
      <c r="U724" s="1">
        <f ca="1">IF(ISERROR(F712),"",VLOOKUP(A712,INDIRECT($F$8),8+(O724-1)*3))</f>
        <v>50</v>
      </c>
      <c r="V724" s="1" t="str">
        <f ca="1">IF(ISERROR(F712),"",IF(N724=0,A724,""))</f>
        <v/>
      </c>
      <c r="W724" s="1">
        <f ca="1">IF(ISERROR(F712),"",IF(ISTEXT(VLOOKUP(B712,INDIRECT($F$8),6+(O724-1)*3)),11,IF(VLOOKUP(B712,INDIRECT($F$8),6+(O724-1)*3)&lt;S724*0.3,IF(VLOOKUP(B712,INDIRECT($F$8),8+(O724-1)*3)&lt;U724*0.4,IF(AND(0.4*U724-VLOOKUP(B712,INDIRECT($F$8),8+(O724-1)*3)&lt;=5,0.3*S724-VLOOKUP(B712,INDIRECT($F$8),6+(O724-1)*3)&lt;=5),MAX(0.4*U724-VLOOKUP(B712,INDIRECT($F$8),8+(O724-1)*3),0.3*S724-VLOOKUP(B712,INDIRECT($F$8),6+(O724-1)*3)),11),IF(0.3*S724-VLOOKUP(B712,INDIRECT($F$8),6+(O724-1)*3)&lt;=5,0.3*S724-VLOOKUP(B712,INDIRECT($F$8),6+(O724-1)*3),11)),IF(VLOOKUP(B712,INDIRECT($F$8),8+(O724-1)*3)&lt;U724*0.4,IF(U724*0.4-VLOOKUP(B712,INDIRECT($F$8),8+(O724-1)*3)&lt;=5,U724*0.4-VLOOKUP(B712,INDIRECT($F$8),8+(O724-1)*3),11),0))))</f>
        <v>0</v>
      </c>
      <c r="X724" s="1" t="str">
        <f ca="1">IF(ISERROR(F712),"",IF(W724=0,"",_xlfn.TEXTJOIN("",FALSE," G+",W724," in ",A724)))</f>
        <v/>
      </c>
    </row>
    <row r="725" spans="1:24" ht="12.5" customHeight="1" x14ac:dyDescent="0.2">
      <c r="A725" s="7" t="str">
        <f ca="1">IF(ISERROR(F712),"",VLOOKUP(C712,INDIRECT($F$8),6+(O725-1)*3,0))</f>
        <v>MEP 003</v>
      </c>
      <c r="B725" s="24" t="str">
        <f ca="1">IF(ISERROR(F712),"",VLOOKUP(D712,INDIRECT($F$8),6+(O725-1)*3-Z725,0))</f>
        <v>Workshop Practices Lab</v>
      </c>
      <c r="C725" s="24"/>
      <c r="D725" s="24"/>
      <c r="E725" s="24"/>
      <c r="F725" s="7">
        <f ca="1">IF(ISERROR(F712),"",VLOOKUP(E712,INDIRECT($F$8),6+(O725-1)*3,0))</f>
        <v>2</v>
      </c>
      <c r="G725" s="25" t="str">
        <f ca="1">IF(ISERROR(F712),"",_xlfn.TEXTJOIN("/",FALSE,P725,S725))</f>
        <v>44/50</v>
      </c>
      <c r="H725" s="25"/>
      <c r="I725" s="25" t="str">
        <f ca="1">IF(ISERROR(F712),"",_xlfn.TEXTJOIN("/",FALSE,Q725,T725))</f>
        <v>42/50</v>
      </c>
      <c r="J725" s="25"/>
      <c r="K725" s="25" t="str">
        <f ca="1">IF(ISERROR(F712),"",_xlfn.TEXTJOIN("/",FALSE,R725,U725))</f>
        <v>86/100</v>
      </c>
      <c r="L725" s="25"/>
      <c r="M725" s="7" t="str">
        <f ca="1">IF(ISERROR(F712),"",IF(ISTEXT(P725),IF(P725="A","Ab",IF(P725="D","Dt",IF(P725="UFM","UFM",IF(P725="NA","")))),IF(AND(ISBLANK(P725),ISBLANK(R725)),"",IF(P725&lt;0.3*S725,"F",IF(ISBLANK(R725),"",IF(ISTEXT(R725),R725,IF(R725&gt;=0.95*U725,"O",IF(R725&gt;=0.9*U725,"A+",IF(R725&gt;=0.85*U725,"A",IF(R725&gt;=0.8*U725,"B+",IF(R725&gt;=0.75*U725,"B",IF(R725&gt;=0.7*U725,"C+",IF(R725&gt;=0.65*U725,"C",IF(R725&gt;=0.6*U725,"D+",IF(R725&gt;=0.55*U725,"D",IF(R725&gt;=0.5*U725,"E+",IF(R725&gt;=0.45*U725,"E",IF(R725&gt;=0.4*U725,"P",IF(R725&lt;0.4*U725,"F",R725)))))))))))))))))))</f>
        <v>A</v>
      </c>
      <c r="N725" s="8">
        <f t="shared" ca="1" si="65"/>
        <v>9</v>
      </c>
      <c r="O725">
        <f t="shared" ca="1" si="66"/>
        <v>10</v>
      </c>
      <c r="P725" s="1">
        <f ca="1">IF(ISERROR(F712),"",IF(ISTEXT(VLOOKUP(B712,INDIRECT($F$8),6+(O725-1)*3)),(VLOOKUP(B712,INDIRECT($F$8),6+(O725-1)*3)),SUM(VLOOKUP(B712,INDIRECT($F$8),6+(O725-1)*3),IF(W730,W725,0))))</f>
        <v>44</v>
      </c>
      <c r="Q725" s="1">
        <f ca="1">IF(ISERROR(F712),"",VLOOKUP(B712,INDIRECT($F$8),7+(O725-1)*3))</f>
        <v>42</v>
      </c>
      <c r="R725" s="1">
        <f ca="1">IF(ISERROR(F712),"",SUM(P725:Q725))</f>
        <v>86</v>
      </c>
      <c r="S725" s="1">
        <f ca="1">IF(ISERROR(F712),"",VLOOKUP(A712,INDIRECT($F$8),6+(O725-1)*3))</f>
        <v>50</v>
      </c>
      <c r="T725" s="1">
        <f ca="1">IF(ISERROR(F712),"",VLOOKUP(A712,INDIRECT($F$8),7+(O725-1)*3))</f>
        <v>50</v>
      </c>
      <c r="U725" s="1">
        <f ca="1">IF(ISERROR(F712),"",VLOOKUP(A712,INDIRECT($F$8),8+(O725-1)*3))</f>
        <v>100</v>
      </c>
      <c r="V725" s="1" t="str">
        <f ca="1">IF(ISERROR(F712),"",IF(N725=0,A725,""))</f>
        <v/>
      </c>
      <c r="W725" s="1">
        <f ca="1">IF(ISERROR(F712),"",IF(ISTEXT(VLOOKUP(B712,INDIRECT($F$8),6+(O725-1)*3)),11,IF(VLOOKUP(B712,INDIRECT($F$8),6+(O725-1)*3)&lt;S725*0.3,IF(VLOOKUP(B712,INDIRECT($F$8),8+(O725-1)*3)&lt;U725*0.4,IF(AND(0.4*U725-VLOOKUP(B712,INDIRECT($F$8),8+(O725-1)*3)&lt;=5,0.3*S725-VLOOKUP(B712,INDIRECT($F$8),6+(O725-1)*3)&lt;=5),MAX(0.4*U725-VLOOKUP(B712,INDIRECT($F$8),8+(O725-1)*3),0.3*S725-VLOOKUP(B712,INDIRECT($F$8),6+(O725-1)*3)),11),IF(0.3*S725-VLOOKUP(B712,INDIRECT($F$8),6+(O725-1)*3)&lt;=5,0.3*S725-VLOOKUP(B712,INDIRECT($F$8),6+(O725-1)*3),11)),IF(VLOOKUP(B712,INDIRECT($F$8),8+(O725-1)*3)&lt;U725*0.4,IF(U725*0.4-VLOOKUP(B712,INDIRECT($F$8),8+(O725-1)*3)&lt;=5,U725*0.4-VLOOKUP(B712,INDIRECT($F$8),8+(O725-1)*3),11),0))))</f>
        <v>0</v>
      </c>
      <c r="X725" s="1" t="str">
        <f ca="1">IF(ISERROR(F712),"",IF(W725=0,"",_xlfn.TEXTJOIN("",FALSE," G+",W725," in ",A725)))</f>
        <v/>
      </c>
    </row>
    <row r="726" spans="1:24" ht="12.5" customHeight="1" x14ac:dyDescent="0.2">
      <c r="A726" s="7" t="str">
        <f ca="1">IF(ISERROR(F712),"",VLOOKUP(C712,INDIRECT($F$8),6+(O726-1)*3,0))</f>
        <v>AHP 004</v>
      </c>
      <c r="B726" s="24" t="str">
        <f ca="1">IF(ISERROR(F712),"",VLOOKUP(D712,INDIRECT($F$8),6+(O726-1)*3-Z726,0))</f>
        <v>Emerging Technologies in Engineering Lab</v>
      </c>
      <c r="C726" s="24"/>
      <c r="D726" s="24"/>
      <c r="E726" s="24"/>
      <c r="F726" s="7">
        <f ca="1">IF(ISERROR(F712),"",VLOOKUP(E712,INDIRECT($F$8),6+(O726-1)*3,0))</f>
        <v>1</v>
      </c>
      <c r="G726" s="25" t="str">
        <f ca="1">IF(ISERROR(F712),"",_xlfn.TEXTJOIN("/",FALSE,P726,S726))</f>
        <v>21/25</v>
      </c>
      <c r="H726" s="25"/>
      <c r="I726" s="25" t="str">
        <f ca="1">IF(ISERROR(F712),"",_xlfn.TEXTJOIN("/",FALSE,Q726,T726))</f>
        <v>20/25</v>
      </c>
      <c r="J726" s="25"/>
      <c r="K726" s="25" t="str">
        <f ca="1">IF(ISERROR(F712),"",_xlfn.TEXTJOIN("/",FALSE,R726,U726))</f>
        <v>41/50</v>
      </c>
      <c r="L726" s="25"/>
      <c r="M726" s="7" t="str">
        <f ca="1">IF(ISERROR(F712),"",IF(ISTEXT(P726),IF(P726="A","Ab",IF(P726="D","Dt",IF(P726="UFM","UFM",IF(P726="NA","")))),IF(AND(ISBLANK(P726),ISBLANK(R726)),"",IF(P726&lt;0.3*S726,"F",IF(ISBLANK(R726),"",IF(ISTEXT(R726),R726,IF(R726&gt;=0.95*U726,"O",IF(R726&gt;=0.9*U726,"A+",IF(R726&gt;=0.85*U726,"A",IF(R726&gt;=0.8*U726,"B+",IF(R726&gt;=0.75*U726,"B",IF(R726&gt;=0.7*U726,"C+",IF(R726&gt;=0.65*U726,"C",IF(R726&gt;=0.6*U726,"D+",IF(R726&gt;=0.55*U726,"D",IF(R726&gt;=0.5*U726,"E+",IF(R726&gt;=0.45*U726,"E",IF(R726&gt;=0.4*U726,"P",IF(R726&lt;0.4*U726,"F",R726)))))))))))))))))))</f>
        <v>B+</v>
      </c>
      <c r="N726" s="8">
        <f t="shared" ca="1" si="65"/>
        <v>8.5</v>
      </c>
      <c r="O726">
        <f t="shared" ca="1" si="66"/>
        <v>11</v>
      </c>
      <c r="P726" s="1">
        <f ca="1">IF(ISERROR(F712),"",IF(ISTEXT(VLOOKUP(B712,INDIRECT($F$8),6+(O726-1)*3)),(VLOOKUP(B712,INDIRECT($F$8),6+(O726-1)*3)),SUM(VLOOKUP(B712,INDIRECT($F$8),6+(O726-1)*3),IF(W730,W726,0))))</f>
        <v>21</v>
      </c>
      <c r="Q726" s="1">
        <f ca="1">IF(ISERROR(F712),"",VLOOKUP(B712,INDIRECT($F$8),7+(O726-1)*3))</f>
        <v>20</v>
      </c>
      <c r="R726" s="1">
        <f ca="1">IF(ISERROR(F712),"",SUM(P726:Q726))</f>
        <v>41</v>
      </c>
      <c r="S726" s="1">
        <f ca="1">IF(ISERROR(F712),"",VLOOKUP(A712,INDIRECT($F$8),6+(O726-1)*3))</f>
        <v>25</v>
      </c>
      <c r="T726" s="1">
        <f ca="1">IF(ISERROR(F712),"",VLOOKUP(A712,INDIRECT($F$8),7+(O726-1)*3))</f>
        <v>25</v>
      </c>
      <c r="U726" s="1">
        <f ca="1">IF(ISERROR(F712),"",VLOOKUP(A712,INDIRECT($F$8),8+(O726-1)*3))</f>
        <v>50</v>
      </c>
      <c r="V726" s="1" t="str">
        <f ca="1">IF(ISERROR(F712),"",IF(N726=0,A726,""))</f>
        <v/>
      </c>
      <c r="W726" s="1">
        <f ca="1">IF(ISERROR(F712),"",IF(ISTEXT(VLOOKUP(B712,INDIRECT($F$8),6+(O726-1)*3)),11,IF(VLOOKUP(B712,INDIRECT($F$8),6+(O726-1)*3)&lt;S726*0.3,IF(VLOOKUP(B712,INDIRECT($F$8),8+(O726-1)*3)&lt;U726*0.4,IF(AND(0.4*U726-VLOOKUP(B712,INDIRECT($F$8),8+(O726-1)*3)&lt;=5,0.3*S726-VLOOKUP(B712,INDIRECT($F$8),6+(O726-1)*3)&lt;=5),MAX(0.4*U726-VLOOKUP(B712,INDIRECT($F$8),8+(O726-1)*3),0.3*S726-VLOOKUP(B712,INDIRECT($F$8),6+(O726-1)*3)),11),IF(0.3*S726-VLOOKUP(B712,INDIRECT($F$8),6+(O726-1)*3)&lt;=5,0.3*S726-VLOOKUP(B712,INDIRECT($F$8),6+(O726-1)*3),11)),IF(VLOOKUP(B712,INDIRECT($F$8),8+(O726-1)*3)&lt;U726*0.4,IF(U726*0.4-VLOOKUP(B712,INDIRECT($F$8),8+(O726-1)*3)&lt;=5,U726*0.4-VLOOKUP(B712,INDIRECT($F$8),8+(O726-1)*3),11),0))))</f>
        <v>0</v>
      </c>
      <c r="X726" s="1" t="str">
        <f ca="1">IF(ISERROR(F712),"",IF(W726=0,"",_xlfn.TEXTJOIN("",FALSE," G+",W726," in ",A726)))</f>
        <v/>
      </c>
    </row>
    <row r="727" spans="1:24" ht="12.5" customHeight="1" x14ac:dyDescent="0.2">
      <c r="A727" s="7" t="str">
        <f ca="1">IF(ISERROR(F712),"",VLOOKUP(C712,INDIRECT($F$8),6+(O727-1)*3,0))</f>
        <v>CSP 002</v>
      </c>
      <c r="B727" s="24" t="str">
        <f ca="1">IF(ISERROR(F712),"",VLOOKUP(D712,INDIRECT($F$8),6+(O727-1)*3,0))</f>
        <v>Computer Applications and IOT</v>
      </c>
      <c r="C727" s="24"/>
      <c r="D727" s="24"/>
      <c r="E727" s="24"/>
      <c r="F727" s="7">
        <f ca="1">IF(ISERROR(F712),"",VLOOKUP(E712,INDIRECT($F$8),6+(O727-1)*3,0))</f>
        <v>1</v>
      </c>
      <c r="G727" s="25" t="str">
        <f ca="1">IF(ISERROR(F712),"",_xlfn.TEXTJOIN("/",FALSE,P727,S727))</f>
        <v>22/25</v>
      </c>
      <c r="H727" s="25"/>
      <c r="I727" s="25" t="str">
        <f ca="1">IF(ISERROR(F712),"",_xlfn.TEXTJOIN("/",FALSE,Q727,T727))</f>
        <v>22/25</v>
      </c>
      <c r="J727" s="25"/>
      <c r="K727" s="25" t="str">
        <f ca="1">IF(ISERROR(F712),"",_xlfn.TEXTJOIN("/",FALSE,R727,U727))</f>
        <v>44/50</v>
      </c>
      <c r="L727" s="25"/>
      <c r="M727" s="7" t="str">
        <f ca="1">IF(ISERROR(F712)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A</v>
      </c>
      <c r="N727" s="8">
        <f t="shared" ca="1" si="65"/>
        <v>9</v>
      </c>
      <c r="O727">
        <f t="shared" ca="1" si="66"/>
        <v>12</v>
      </c>
      <c r="P727" s="1">
        <f ca="1">IF(ISERROR(F712),"",IF(ISTEXT(VLOOKUP(B712,INDIRECT($F$8),6+(O727-1)*3)),(VLOOKUP(B712,INDIRECT($F$8),6+(O727-1)*3)),SUM(VLOOKUP(B712,INDIRECT($F$8),6+(O727-1)*3),IF(W730,W727,0))))</f>
        <v>22</v>
      </c>
      <c r="Q727" s="1">
        <f ca="1">IF(ISERROR(F712),"",VLOOKUP(B712,INDIRECT($F$8),7+(O727-1)*3))</f>
        <v>22</v>
      </c>
      <c r="R727" s="1">
        <f ca="1">IF(ISERROR(F712),"",SUM(P727:Q727))</f>
        <v>44</v>
      </c>
      <c r="S727" s="1">
        <f ca="1">IF(ISERROR(F712),"",VLOOKUP(A712,INDIRECT($F$8),6+(O727-1)*3))</f>
        <v>25</v>
      </c>
      <c r="T727" s="1">
        <f ca="1">IF(ISERROR(F712),"",VLOOKUP(A712,INDIRECT($F$8),7+(O727-1)*3))</f>
        <v>25</v>
      </c>
      <c r="U727" s="1">
        <f ca="1">IF(ISERROR(F712),"",VLOOKUP(A712,INDIRECT($F$8),8+(O727-1)*3))</f>
        <v>50</v>
      </c>
      <c r="V727" s="1" t="str">
        <f ca="1">IF(ISERROR(F712),"",IF(N727=0,A727,""))</f>
        <v/>
      </c>
      <c r="W727" s="1">
        <f ca="1">IF(ISERROR(F712),"",IF(ISTEXT(VLOOKUP(B712,INDIRECT($F$8),6+(O727-1)*3)),11,IF(VLOOKUP(B712,INDIRECT($F$8),6+(O727-1)*3)&lt;S727*0.3,IF(VLOOKUP(B712,INDIRECT($F$8),8+(O727-1)*3)&lt;U727*0.4,IF(AND(0.4*U727-VLOOKUP(B712,INDIRECT($F$8),8+(O727-1)*3)&lt;=5,0.3*S727-VLOOKUP(B712,INDIRECT($F$8),6+(O727-1)*3)&lt;=5),MAX(0.4*U727-VLOOKUP(B712,INDIRECT($F$8),8+(O727-1)*3),0.3*S727-VLOOKUP(B712,INDIRECT($F$8),6+(O727-1)*3)),11),IF(0.3*S727-VLOOKUP(B712,INDIRECT($F$8),6+(O727-1)*3)&lt;=5,0.3*S727-VLOOKUP(B712,INDIRECT($F$8),6+(O727-1)*3),11)),IF(VLOOKUP(B712,INDIRECT($F$8),8+(O727-1)*3)&lt;U727*0.4,IF(U727*0.4-VLOOKUP(B712,INDIRECT($F$8),8+(O727-1)*3)&lt;=5,U727*0.4-VLOOKUP(B712,INDIRECT($F$8),8+(O727-1)*3),11),0))))</f>
        <v>0</v>
      </c>
      <c r="X727" s="1" t="str">
        <f ca="1">IF(ISERROR(F712),"",IF(W727=0,"",_xlfn.TEXTJOIN("",FALSE," G+",W727," in ",A727)))</f>
        <v/>
      </c>
    </row>
    <row r="728" spans="1:24" ht="12.5" customHeight="1" x14ac:dyDescent="0.2">
      <c r="A728" s="7" t="str">
        <f ca="1">IF(ISERROR(F712),"",VLOOKUP(C712,INDIRECT($F$8),6+(O728-1)*3,0))</f>
        <v>AHP 006</v>
      </c>
      <c r="B728" s="24" t="str">
        <f ca="1">IF(ISERROR(F712),"",VLOOKUP(D712,INDIRECT($F$8),6+(O728-1)*3,0))</f>
        <v>English Language Lab ($)</v>
      </c>
      <c r="C728" s="24"/>
      <c r="D728" s="24"/>
      <c r="E728" s="24"/>
      <c r="F728" s="7">
        <f ca="1">IF(ISERROR(F712),"",VLOOKUP(E712,INDIRECT($F$8),6+(O728-1)*3,0))</f>
        <v>0</v>
      </c>
      <c r="G728" s="25" t="str">
        <f ca="1">IF(ISERROR(F712),"",_xlfn.TEXTJOIN("/",FALSE,P728,S728))</f>
        <v>17/25</v>
      </c>
      <c r="H728" s="25"/>
      <c r="I728" s="25" t="str">
        <f ca="1">IF(ISERROR(F712),"",_xlfn.TEXTJOIN("/",FALSE,Q728,T728))</f>
        <v>35/50</v>
      </c>
      <c r="J728" s="25"/>
      <c r="K728" s="25" t="str">
        <f ca="1">IF(ISERROR(F712),"",_xlfn.TEXTJOIN("/",FALSE,R728,U728))</f>
        <v>52/75</v>
      </c>
      <c r="L728" s="25"/>
      <c r="M728" s="7" t="str">
        <f ca="1">IF(ISERROR(F712)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C</v>
      </c>
      <c r="N728" s="8">
        <f ca="1">INDEX($Z$2:$Z$17,MATCH(M728,$Y$2:$Y$17,0))</f>
        <v>7</v>
      </c>
      <c r="O728">
        <f t="shared" ca="1" si="66"/>
        <v>13</v>
      </c>
      <c r="P728" s="1">
        <f ca="1">IF(ISERROR(F712),"",IF(ISTEXT(VLOOKUP(B712,INDIRECT($F$8),6+(O728-1)*3)),(VLOOKUP(B712,INDIRECT($F$8),6+(O728-1)*3)),SUM(VLOOKUP(B712,INDIRECT($F$8),6+(O728-1)*3),IF(W730,W728,0))))</f>
        <v>17</v>
      </c>
      <c r="Q728" s="1">
        <f ca="1">IF(ISERROR(F712),"",VLOOKUP(B712,INDIRECT($F$8),7+(O728-1)*3))</f>
        <v>35</v>
      </c>
      <c r="R728" s="1">
        <f ca="1">IF(ISERROR(F712),"",SUM(P728:Q728))</f>
        <v>52</v>
      </c>
      <c r="S728" s="1">
        <f ca="1">IF(ISERROR(F712),"",VLOOKUP(A712,INDIRECT($F$8),6+(O728-1)*3))</f>
        <v>25</v>
      </c>
      <c r="T728" s="1">
        <f ca="1">IF(ISERROR(F712),"",VLOOKUP(A712,INDIRECT($F$8),7+(O728-1)*3))</f>
        <v>50</v>
      </c>
      <c r="U728" s="1">
        <f ca="1">IF(ISERROR(F712),"",VLOOKUP(A712,INDIRECT($F$8),8+(O728-1)*3))</f>
        <v>75</v>
      </c>
      <c r="V728" s="1"/>
      <c r="W728" s="1">
        <f ca="1">IF(ISERROR(F712),"",IF(ISTEXT(VLOOKUP(B712,INDIRECT($F$8),6+(O728-1)*3)),11,IF(VLOOKUP(B712,INDIRECT($F$8),6+(O728-1)*3)&lt;S728*0.3,IF(VLOOKUP(B712,INDIRECT($F$8),8+(O728-1)*3)&lt;U728*0.4,IF(AND(0.4*U728-VLOOKUP(B712,INDIRECT($F$8),8+(O728-1)*3)&lt;=5,0.3*S728-VLOOKUP(B712,INDIRECT($F$8),6+(O728-1)*3)&lt;=5),MAX(0.4*U728-VLOOKUP(B712,INDIRECT($F$8),8+(O728-1)*3),0.3*S728-VLOOKUP(B712,INDIRECT($F$8),6+(O728-1)*3)),11),IF(0.3*S728-VLOOKUP(B712,INDIRECT($F$8),6+(O728-1)*3)&lt;=5,0.3*S728-VLOOKUP(B712,INDIRECT($F$8),6+(O728-1)*3),11)),IF(VLOOKUP(B712,INDIRECT($F$8),8+(O728-1)*3)&lt;U728*0.4,IF(U728*0.4-VLOOKUP(B712,INDIRECT($F$8),8+(O728-1)*3)&lt;=5,U728*0.4-VLOOKUP(B712,INDIRECT($F$8),8+(O728-1)*3),11),0))))</f>
        <v>0</v>
      </c>
      <c r="X728" s="1" t="str">
        <f ca="1">IF(ISERROR(F712),"",IF(W728=0,"",_xlfn.TEXTJOIN("",FALSE," G+",W728," in ",A728)))</f>
        <v/>
      </c>
    </row>
    <row r="729" spans="1:24" ht="12.5" customHeight="1" x14ac:dyDescent="0.2">
      <c r="A729" s="7" t="str">
        <f ca="1">IF(ISERROR(F712),"",VLOOKUP(C712,INDIRECT($F$8),6+(O729-1)*3-Y729,0))</f>
        <v>GP 01</v>
      </c>
      <c r="B729" s="24" t="str">
        <f ca="1">IF(ISERROR(F712),"",VLOOKUP(D712,INDIRECT($F$8),6+(O729-1)*3-Z729,0))</f>
        <v>General Proficiency ($)</v>
      </c>
      <c r="C729" s="24"/>
      <c r="D729" s="24"/>
      <c r="E729" s="24"/>
      <c r="F729" s="7">
        <f ca="1">IF(ISERROR(F712),"",VLOOKUP(E712,INDIRECT($F$8),6+(O729-1)*3-AA729,0))</f>
        <v>0</v>
      </c>
      <c r="G729" s="25" t="str">
        <f ca="1">IF(ISERROR(F712),"","-")</f>
        <v>-</v>
      </c>
      <c r="H729" s="25"/>
      <c r="I729" s="25" t="str">
        <f ca="1">IF(ISERROR(F712),"",_xlfn.TEXTJOIN("/",FALSE,Q729,T729))</f>
        <v>47/50</v>
      </c>
      <c r="J729" s="25"/>
      <c r="K729" s="25" t="str">
        <f ca="1">IF(ISERROR(F712),"",_xlfn.TEXTJOIN("/",FALSE,R729,U729))</f>
        <v>47/50</v>
      </c>
      <c r="L729" s="25"/>
      <c r="M729" s="25" t="str">
        <f ca="1">IF(ISBLANK(R729),"",IF(ISTEXT(R729),R729,IF(R729&gt;=0.8*U729,"Excellent",IF(R729&gt;=0.6*U729,"Very Good",IF(R729&gt;=0.4*U729,"Good",IF(R729&gt;=0.2*U729,"Satisfactory","Average"))))))</f>
        <v>Excellent</v>
      </c>
      <c r="N729" s="25"/>
      <c r="O729">
        <f t="shared" ca="1" si="66"/>
        <v>14</v>
      </c>
      <c r="P729" s="1">
        <f ca="1">IF(ISERROR(F712),"",IF(ISTEXT(VLOOKUP(B\28,INDIRECT($F$8),6+(O729-1)*3)),(VLOOKUP(B712,INDIRECT($F$8),6+(O729-1)*3)),SUM(VLOOKUP(B712,INDIRECT($F$8),6+(O729-1)*3),IF(W730,W730,0))))</f>
        <v>0</v>
      </c>
      <c r="Q729" s="1">
        <f ca="1">IF(ISERROR(F712),"",VLOOKUP(B712,INDIRECT($F$8),7+(O729-1)*3))</f>
        <v>47</v>
      </c>
      <c r="R729" s="1">
        <f ca="1">IF(ISERROR(F712),"",SUM(P729:Q729))</f>
        <v>47</v>
      </c>
      <c r="S729" s="1">
        <f ca="1">IF(ISERROR(F712),"",VLOOKUP(A712,INDIRECT($F$8),6+(O729-1)*3))</f>
        <v>0</v>
      </c>
      <c r="T729" s="1">
        <f ca="1">IF(ISERROR(F712),"",VLOOKUP(A712,INDIRECT($F$8),7+(O729-1)*3))</f>
        <v>50</v>
      </c>
      <c r="U729" s="1">
        <f ca="1">IF(ISERROR(F712),"",VLOOKUP(A712,INDIRECT($F$8),8+(O729-1)*3))</f>
        <v>50</v>
      </c>
      <c r="V729" s="1"/>
      <c r="W729" s="1"/>
      <c r="X729" s="1" t="str">
        <f ca="1">IF(ISERROR(F712),"",IF(W729=0,"",_xlfn.TEXTJOIN("",FALSE," G+",W729," in ",A729)))</f>
        <v/>
      </c>
    </row>
    <row r="730" spans="1:24" ht="12.5" customHeight="1" x14ac:dyDescent="0.2">
      <c r="A730" s="26" t="str">
        <f ca="1">IF(ISERROR(F712),"",A708)</f>
        <v>Total Credits/ Marks/ Total Grade Points</v>
      </c>
      <c r="B730" s="26"/>
      <c r="C730" s="26"/>
      <c r="D730" s="26"/>
      <c r="E730" s="26"/>
      <c r="F730" s="10">
        <f ca="1">IF(ISERROR(F712),"",SUM(F717:F728))</f>
        <v>23</v>
      </c>
      <c r="G730" s="27" t="str">
        <f ca="1">IF(ISERROR(F712),"",_xlfn.TEXTJOIN("/",TRUE,SUMIF(F717:F729,"&gt;0",P717:P729),SUMIF(F717:F729,"&gt;0",S717:S729)))</f>
        <v>271/575</v>
      </c>
      <c r="H730" s="27"/>
      <c r="I730" s="27" t="str">
        <f ca="1">IF(ISERROR(F712),"",_xlfn.TEXTJOIN("/",TRUE,SUMIF(F717:F729,"&gt;0",Q717:Q729),SUMIF(F717:F729,"&gt;0",T717:T729)))</f>
        <v>254/375</v>
      </c>
      <c r="J730" s="27"/>
      <c r="K730" s="27" t="str">
        <f ca="1">IF(ISERROR(F712),"",_xlfn.TEXTJOIN("/",TRUE,SUMIF(F717:F729,"&gt;0",R717:R729),SUMIF(F717:F729,"&gt;0",U717:U729)))</f>
        <v>525/950</v>
      </c>
      <c r="L730" s="27"/>
      <c r="M730" s="26">
        <f ca="1">IF(ISERROR(F712),"",SUMPRODUCT(N717:N728,F717:F728))</f>
        <v>117</v>
      </c>
      <c r="N730" s="26"/>
      <c r="V730" s="1" t="str">
        <f ca="1">IF(ISERROR(F712),"",_xlfn.TEXTJOIN(", ",TRUE,V717:V729))</f>
        <v>AHT 003</v>
      </c>
      <c r="W730" t="b">
        <f ca="1">IF(ISERROR(F712),"",IF(SUM(W717:W729)&lt;=W716,TRUE,FALSE))</f>
        <v>0</v>
      </c>
      <c r="X730" s="1" t="str">
        <f ca="1">IF(ISERROR(F712),"",_xlfn.TEXTJOIN(",",TRUE,X717:X729))</f>
        <v xml:space="preserve"> G+11 in AHT 003</v>
      </c>
    </row>
    <row r="731" spans="1:24" ht="12.5" customHeight="1" x14ac:dyDescent="0.2">
      <c r="A731" s="26" t="str">
        <f ca="1">IF(ISERROR(F712),"",A709)</f>
        <v>Result:</v>
      </c>
      <c r="B731" s="28" t="str" cm="1">
        <f t="array" aca="1" ref="B731" ca="1">IF(SUM(COUNTIF(M717:M728,{"Ab","Dt"}))=12, "Not Promoted to IInd Semester", IF(V730="", "PASS", "CARRY OVER"))</f>
        <v>CARRY OVER</v>
      </c>
      <c r="C731" s="28"/>
      <c r="D731" s="26" t="str">
        <f ca="1">IF(ISERROR(F712),"",D709)</f>
        <v>Remark:</v>
      </c>
      <c r="E731" s="28" t="str">
        <f ca="1">IF(ISERROR(F712),"",IF(V730="",IF(X730="","",X730),_xlfn.TEXTJOIN(" ",TRUE,"BACK IN",V730)))</f>
        <v>BACK IN AHT 003</v>
      </c>
      <c r="F731" s="28"/>
      <c r="G731" s="26" t="str">
        <f ca="1">IF(ISERROR(F712),"",G709)</f>
        <v>SGPA:</v>
      </c>
      <c r="H731" s="29">
        <f ca="1">IF(ISERROR(F712),"",M730/F730)</f>
        <v>5.0869565217391308</v>
      </c>
      <c r="I731" s="26" t="str">
        <f ca="1">IF(ISERROR(F712),"",I709)</f>
        <v>CGPA:</v>
      </c>
      <c r="J731" s="29">
        <f ca="1">IF(ISERROR(F712),"",VLOOKUP(B712,INDIRECT($F$8),12+(O729-1)*3,0))</f>
        <v>5.0869565217391308</v>
      </c>
      <c r="K731" s="28" t="str">
        <f ca="1">IF(ISERROR(F712),"",K709)</f>
        <v>Earned Credits:</v>
      </c>
      <c r="L731" s="26">
        <f ca="1">IF(ISERROR(F712),"",SUMIF(N717:N728,"&gt;0",F717:F728))</f>
        <v>19</v>
      </c>
      <c r="M731" s="28" t="str">
        <f ca="1">IF(ISERROR(F712),"",M709)</f>
        <v>Cuml. Earned Credits:</v>
      </c>
      <c r="N731" s="26">
        <f ca="1">IF(ISERROR(F712),"",VLOOKUP(B712,INDIRECT($F$8),10+(O729-1)*3,0))</f>
        <v>19</v>
      </c>
    </row>
    <row r="732" spans="1:24" ht="12.5" customHeight="1" x14ac:dyDescent="0.2">
      <c r="A732" s="26"/>
      <c r="B732" s="28"/>
      <c r="C732" s="28"/>
      <c r="D732" s="26"/>
      <c r="E732" s="28"/>
      <c r="F732" s="28"/>
      <c r="G732" s="26"/>
      <c r="H732" s="29"/>
      <c r="I732" s="26"/>
      <c r="J732" s="29"/>
      <c r="K732" s="28"/>
      <c r="L732" s="26"/>
      <c r="M732" s="28"/>
      <c r="N732" s="26"/>
    </row>
    <row r="733" spans="1:24" ht="12.5" customHeight="1" x14ac:dyDescent="0.2">
      <c r="A733" s="26"/>
      <c r="B733" s="28"/>
      <c r="C733" s="28"/>
      <c r="D733" s="26"/>
      <c r="E733" s="28"/>
      <c r="F733" s="28"/>
      <c r="G733" s="26"/>
      <c r="H733" s="29"/>
      <c r="I733" s="26"/>
      <c r="J733" s="29"/>
      <c r="K733" s="28"/>
      <c r="L733" s="26"/>
      <c r="M733" s="28"/>
      <c r="N733" s="26"/>
    </row>
    <row r="734" spans="1:24" ht="12.5" customHeight="1" x14ac:dyDescent="0.2">
      <c r="A734" s="11" t="str">
        <f>A712</f>
        <v>MM</v>
      </c>
      <c r="B734" s="11">
        <f>B712+1</f>
        <v>34</v>
      </c>
      <c r="C734" s="11" t="str">
        <f>C712</f>
        <v>SC</v>
      </c>
      <c r="D734" s="11" t="str">
        <f>D712</f>
        <v>SN</v>
      </c>
      <c r="E734" s="11" t="str">
        <f>E712</f>
        <v>C</v>
      </c>
      <c r="F734" s="11" t="str">
        <f ca="1">VLOOKUP(B734,INDIRECT($F$8),4,0)</f>
        <v>SUCHETA SINGH</v>
      </c>
    </row>
    <row r="735" spans="1:24" ht="12.5" customHeight="1" x14ac:dyDescent="0.2">
      <c r="A735" s="30" t="str">
        <f ca="1">IF(ISERROR(F734),"",A713)</f>
        <v>Name:</v>
      </c>
      <c r="B735" s="30" t="str">
        <f ca="1">IFERROR(VLOOKUP(B734,INDIRECT($F$8),4,0),"")</f>
        <v>SUCHETA SINGH</v>
      </c>
      <c r="C735" s="30"/>
      <c r="D735" s="30" t="str">
        <f ca="1">IF(ISERROR(F734),"",D713)</f>
        <v>Father's Name:</v>
      </c>
      <c r="E735" s="30" t="str">
        <f ca="1">IFERROR(VLOOKUP(B734,INDIRECT($F$8),5,0),"")</f>
        <v>GHANENDRA SINGH</v>
      </c>
      <c r="F735" s="30"/>
      <c r="G735" s="30" t="str">
        <f ca="1">IF(ISERROR(F734),"",G713)</f>
        <v>University Roll No:</v>
      </c>
      <c r="H735" s="30"/>
      <c r="I735" s="31">
        <f ca="1">IFERROR(VLOOKUP(B734,INDIRECT($F$8),2,0),"")</f>
        <v>250090120035</v>
      </c>
      <c r="J735" s="31"/>
      <c r="K735" s="30" t="str">
        <f ca="1">IF(ISERROR(F734),"",K713)</f>
        <v>University Enrol. No:</v>
      </c>
      <c r="L735" s="30"/>
      <c r="M735" s="31" t="str">
        <f ca="1">IFERROR(VLOOKUP(B734,INDIRECT($F$8),3,0),"")</f>
        <v>UTU/2501103675</v>
      </c>
      <c r="N735" s="31"/>
    </row>
    <row r="736" spans="1:24" ht="12.5" customHeight="1" x14ac:dyDescent="0.2">
      <c r="A736" s="30"/>
      <c r="B736" s="30"/>
      <c r="C736" s="30"/>
      <c r="D736" s="30"/>
      <c r="E736" s="30"/>
      <c r="F736" s="30"/>
      <c r="G736" s="30"/>
      <c r="H736" s="30"/>
      <c r="I736" s="31"/>
      <c r="J736" s="31"/>
      <c r="K736" s="30"/>
      <c r="L736" s="30"/>
      <c r="M736" s="31"/>
      <c r="N736" s="31"/>
    </row>
    <row r="737" spans="1:24" ht="12.5" customHeight="1" x14ac:dyDescent="0.2">
      <c r="A737" s="28" t="str">
        <f ca="1">IF(ISERROR(F734),"",A715)</f>
        <v>Subject Code</v>
      </c>
      <c r="B737" s="28" t="str">
        <f ca="1">IF(ISERROR(F734),"",B715)</f>
        <v>Subject Name</v>
      </c>
      <c r="C737" s="28"/>
      <c r="D737" s="28"/>
      <c r="E737" s="28"/>
      <c r="F737" s="28" t="str">
        <f ca="1">IF(ISERROR(F734),"",F715)</f>
        <v>Credits</v>
      </c>
      <c r="G737" s="28" t="str">
        <f ca="1">IF(ISERROR(F734),"",G715)</f>
        <v>External Marks</v>
      </c>
      <c r="H737" s="28"/>
      <c r="I737" s="28" t="str">
        <f ca="1">IF(ISERROR(F734),"",I715)</f>
        <v>Sessional Marks</v>
      </c>
      <c r="J737" s="28"/>
      <c r="K737" s="28" t="str">
        <f ca="1">IF(ISERROR(F734),"",K715)</f>
        <v>Total Marks</v>
      </c>
      <c r="L737" s="28"/>
      <c r="M737" s="28" t="str">
        <f ca="1">IF(ISERROR(F734),"",M715)</f>
        <v>Grade</v>
      </c>
      <c r="N737" s="28" t="str">
        <f ca="1">IF(ISERROR(F734),"",N715)</f>
        <v>Grade Points</v>
      </c>
    </row>
    <row r="738" spans="1:24" ht="12.5" customHeight="1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W738">
        <f ca="1">IF(ISNUMBER(MATCH($F$8,{"I","III","V","VII"},0)),10,10-INDEX(INDIRECT(_xlfn.TEXTJOIN("",TRUE,"SEM_",$G$8,"!",ADDRESS(6,4+$I$8*3+4),":",ADDRESS(5+$H$8,4+$I$8*3+4))),MATCH(INDIRECT(_xlfn.TEXTJOIN("",TRUE,"TC_",$F$8,"!",ADDRESS(ROW(I735),COLUMN(I735)))),INDIRECT(_xlfn.TEXTJOIN("",TRUE,"SEM_",$G$8,"!",ADDRESS(6,2),":",ADDRESS(5+$H$8,2))))))</f>
        <v>10</v>
      </c>
    </row>
    <row r="739" spans="1:24" ht="12.5" customHeight="1" x14ac:dyDescent="0.2">
      <c r="A739" s="7" t="str">
        <f ca="1">IF(ISERROR(F734),"",VLOOKUP(C734,INDIRECT($F$8),6+(O739-1)*3,0))</f>
        <v>AHT 002</v>
      </c>
      <c r="B739" s="24" t="str">
        <f ca="1">IF(ISERROR(F734),"",VLOOKUP(D734,INDIRECT($F$8),6+(O739-1)*3,0))</f>
        <v>Engineering Chemistry</v>
      </c>
      <c r="C739" s="24"/>
      <c r="D739" s="24"/>
      <c r="E739" s="24"/>
      <c r="F739" s="7">
        <f ca="1">IF(ISERROR(F734),"",VLOOKUP(E734,INDIRECT($F$8),6+(O739-1)*3,0))</f>
        <v>4</v>
      </c>
      <c r="G739" s="25" t="str">
        <f ca="1">IF(ISERROR(F734),"",_xlfn.TEXTJOIN("/",FALSE,P739,S739))</f>
        <v>48/100</v>
      </c>
      <c r="H739" s="25"/>
      <c r="I739" s="25" t="str">
        <f ca="1">IF(ISERROR(F734),"",_xlfn.TEXTJOIN("/",FALSE,Q739,T739))</f>
        <v>30/50</v>
      </c>
      <c r="J739" s="25"/>
      <c r="K739" s="25" t="str">
        <f ca="1">IF(ISERROR(F734),"",_xlfn.TEXTJOIN("/",FALSE,R739,U739))</f>
        <v>78/150</v>
      </c>
      <c r="L739" s="25"/>
      <c r="M739" s="7" t="str">
        <f ca="1">IF(ISERROR(F734),"",IF(ISTEXT(P739),IF(P739="A","Ab",IF(P739="D","Dt",IF(P739="UFM","UFM",IF(P739="NA","")))),IF(AND(ISBLANK(P739),ISBLANK(R739)),"",IF(P739&lt;0.3*S739,"F",IF(ISBLANK(R739),"",IF(ISTEXT(R739),R739,IF(R739&gt;=0.95*U739,"O",IF(R739&gt;=0.9*U739,"A+",IF(R739&gt;=0.85*U739,"A",IF(R739&gt;=0.8*U739,"B+",IF(R739&gt;=0.75*U739,"B",IF(R739&gt;=0.7*U739,"C+",IF(R739&gt;=0.65*U739,"C",IF(R739&gt;=0.6*U739,"D+",IF(R739&gt;=0.55*U739,"D",IF(R739&gt;=0.5*U739,"E+",IF(R739&gt;=0.45*U739,"E",IF(R739&gt;=0.4*U739,"P",IF(R739&lt;0.4*U739,"F",R739)))))))))))))))))))</f>
        <v>E+</v>
      </c>
      <c r="N739" s="8">
        <f ca="1">INDEX($Z$2:$Z$17,MATCH(M739,$Y$2:$Y$17,0))</f>
        <v>5.5</v>
      </c>
      <c r="O739">
        <v>1</v>
      </c>
      <c r="P739" s="1">
        <f ca="1">IF(ISERROR(F734),"",IF(ISTEXT(VLOOKUP(B734,INDIRECT($F$8),6+(O739-1)*3)),(VLOOKUP(B734,INDIRECT($F$8),6+(O739-1)*3)),SUM(VLOOKUP(B734,INDIRECT($F$8),6+(O739-1)*3),IF(W752,W739,0))))</f>
        <v>48</v>
      </c>
      <c r="Q739" s="1">
        <f ca="1">IF(ISERROR(F734),"",VLOOKUP(B734,INDIRECT($F$8),7+(O739-1)*3))</f>
        <v>30</v>
      </c>
      <c r="R739" s="1">
        <f ca="1">IF(ISERROR(F734),"",SUM(P739:Q739))</f>
        <v>78</v>
      </c>
      <c r="S739" s="1">
        <f ca="1">IF(ISERROR(F734),"",VLOOKUP(A734,INDIRECT($F$8),6+(O739-1)*3))</f>
        <v>100</v>
      </c>
      <c r="T739" s="1">
        <f ca="1">IF(ISERROR(F734),"",VLOOKUP(A734,INDIRECT($F$8),7+(O739-1)*3))</f>
        <v>50</v>
      </c>
      <c r="U739" s="1">
        <f ca="1">IF(ISERROR(F734),"",VLOOKUP(A734,INDIRECT($F$8),8+(O739-1)*3))</f>
        <v>150</v>
      </c>
      <c r="V739" s="1" t="str">
        <f ca="1">IF(ISERROR(F734),"",IF(N739=0,A739,""))</f>
        <v/>
      </c>
      <c r="W739" s="1">
        <f ca="1">IF(ISERROR(F734),"",IF(ISTEXT(VLOOKUP(B734,INDIRECT($F$8),6+(O739-1)*3)),11,IF(VLOOKUP(B734,INDIRECT($F$8),6+(O739-1)*3)&lt;S739*0.3,IF(VLOOKUP(B734,INDIRECT($F$8),8+(O739-1)*3)&lt;U739*0.4,IF(AND(0.4*U739-VLOOKUP(B734,INDIRECT($F$8),8+(O739-1)*3)&lt;=5,0.3*S739-VLOOKUP(B734,INDIRECT($F$8),6+(O739-1)*3)&lt;=5),MAX(0.4*U739-VLOOKUP(B734,INDIRECT($F$8),8+(O739-1)*3),0.3*S739-VLOOKUP(B734,INDIRECT($F$8),6+(O739-1)*3)),11),IF(0.3*S739-VLOOKUP(B734,INDIRECT($F$8),6+(O739-1)*3)&lt;=5,0.3*S739-VLOOKUP(B734,INDIRECT($F$8),6+(O739-1)*3),11)),IF(VLOOKUP(B734,INDIRECT($F$8),8+(O739-1)*3)&lt;U739*0.4,IF(U739*0.4-VLOOKUP(B734,INDIRECT($F$8),8+(O739-1)*3)&lt;=5,U739*0.4-VLOOKUP(B734,INDIRECT($F$8),8+(O739-1)*3),11),0))))</f>
        <v>0</v>
      </c>
      <c r="X739" s="1" t="str">
        <f ca="1">IF(ISERROR(F734),"",IF(W739=0,"",_xlfn.TEXTJOIN("",FALSE," G+",W739," in ",A739)))</f>
        <v/>
      </c>
    </row>
    <row r="740" spans="1:24" ht="12.5" customHeight="1" x14ac:dyDescent="0.2">
      <c r="A740" s="7" t="str">
        <f ca="1">IF(ISERROR(F734),"",VLOOKUP(C734,INDIRECT($F$8),6+(O740-1)*3,0))</f>
        <v>AHT 003</v>
      </c>
      <c r="B740" s="24" t="str">
        <f ca="1">IF(ISERROR(F734),"",VLOOKUP(D734,INDIRECT($F$8),6+(O740-1)*3,0))</f>
        <v>Introduction to Engineering Mathematics</v>
      </c>
      <c r="C740" s="24"/>
      <c r="D740" s="24"/>
      <c r="E740" s="24"/>
      <c r="F740" s="7">
        <f ca="1">IF(ISERROR(F734),"",VLOOKUP(E734,INDIRECT($F$8),6+(O740-1)*3,0))</f>
        <v>4</v>
      </c>
      <c r="G740" s="25" t="str">
        <f ca="1">IF(ISERROR(F734),"",_xlfn.TEXTJOIN("/",FALSE,P740,S740))</f>
        <v>12/100</v>
      </c>
      <c r="H740" s="25"/>
      <c r="I740" s="25" t="str">
        <f ca="1">IF(ISERROR(F734),"",_xlfn.TEXTJOIN("/",FALSE,Q740,T740))</f>
        <v>18/50</v>
      </c>
      <c r="J740" s="25"/>
      <c r="K740" s="25" t="str">
        <f ca="1">IF(ISERROR(F734),"",_xlfn.TEXTJOIN("/",FALSE,R740,U740))</f>
        <v>30/150</v>
      </c>
      <c r="L740" s="25"/>
      <c r="M740" s="7" t="str">
        <f ca="1">IF(ISERROR(F734),"",IF(ISTEXT(P740),IF(P740="A","Ab",IF(P740="D","Dt",IF(P740="UFM","UFM",IF(P740="NA","")))),IF(AND(ISBLANK(P740),ISBLANK(R740)),"",IF(P740&lt;0.3*S740,"F",IF(ISBLANK(R740),"",IF(ISTEXT(R740),R740,IF(R740&gt;=0.95*U740,"O",IF(R740&gt;=0.9*U740,"A+",IF(R740&gt;=0.85*U740,"A",IF(R740&gt;=0.8*U740,"B+",IF(R740&gt;=0.75*U740,"B",IF(R740&gt;=0.7*U740,"C+",IF(R740&gt;=0.65*U740,"C",IF(R740&gt;=0.6*U740,"D+",IF(R740&gt;=0.55*U740,"D",IF(R740&gt;=0.5*U740,"E+",IF(R740&gt;=0.45*U740,"E",IF(R740&gt;=0.4*U740,"P",IF(R740&lt;0.4*U740,"F",R740)))))))))))))))))))</f>
        <v>F</v>
      </c>
      <c r="N740" s="8">
        <f t="shared" ref="N740:N749" ca="1" si="67">INDEX($Z$2:$Z$17,MATCH(M740,$Y$2:$Y$17,0))</f>
        <v>0</v>
      </c>
      <c r="O740">
        <f>O739+1</f>
        <v>2</v>
      </c>
      <c r="P740" s="1">
        <f ca="1">IF(ISERROR(F734),"",IF(ISTEXT(VLOOKUP(B734,INDIRECT($F$8),6+(O740-1)*3)),(VLOOKUP(B734,INDIRECT($F$8),6+(O740-1)*3)),SUM(VLOOKUP(B734,INDIRECT($F$8),6+(O740-1)*3),IF(W752,W740,0))))</f>
        <v>12</v>
      </c>
      <c r="Q740" s="1">
        <f ca="1">IF(ISERROR(F734),"",VLOOKUP(B734,INDIRECT($F$8),7+(O740-1)*3))</f>
        <v>18</v>
      </c>
      <c r="R740" s="1">
        <f ca="1">IF(ISERROR(F734),"",SUM(P740:Q740))</f>
        <v>30</v>
      </c>
      <c r="S740" s="1">
        <f ca="1">IF(ISERROR(F734),"",VLOOKUP(A734,INDIRECT($F$8),6+(O740-1)*3))</f>
        <v>100</v>
      </c>
      <c r="T740" s="1">
        <f ca="1">IF(ISERROR(F734),"",VLOOKUP(A734,INDIRECT($F$8),7+(O740-1)*3))</f>
        <v>50</v>
      </c>
      <c r="U740" s="1">
        <f ca="1">IF(ISERROR(F734),"",VLOOKUP(A734,INDIRECT($F$8),8+(O740-1)*3))</f>
        <v>150</v>
      </c>
      <c r="V740" s="1" t="str">
        <f ca="1">IF(ISERROR(F734),"",IF(N740=0,A740,""))</f>
        <v>AHT 003</v>
      </c>
      <c r="W740" s="1">
        <f ca="1">IF(ISERROR(F734),"",IF(ISTEXT(VLOOKUP(B734,INDIRECT($F$8),6+(O740-1)*3)),11,IF(VLOOKUP(B734,INDIRECT($F$8),6+(O740-1)*3)&lt;S740*0.3,IF(VLOOKUP(B734,INDIRECT($F$8),8+(O740-1)*3)&lt;U740*0.4,IF(AND(0.4*U740-VLOOKUP(B734,INDIRECT($F$8),8+(O740-1)*3)&lt;=5,0.3*S740-VLOOKUP(B734,INDIRECT($F$8),6+(O740-1)*3)&lt;=5),MAX(0.4*U740-VLOOKUP(B734,INDIRECT($F$8),8+(O740-1)*3),0.3*S740-VLOOKUP(B734,INDIRECT($F$8),6+(O740-1)*3)),11),IF(0.3*S740-VLOOKUP(B734,INDIRECT($F$8),6+(O740-1)*3)&lt;=5,0.3*S740-VLOOKUP(B734,INDIRECT($F$8),6+(O740-1)*3),11)),IF(VLOOKUP(B734,INDIRECT($F$8),8+(O740-1)*3)&lt;U740*0.4,IF(U740*0.4-VLOOKUP(B734,INDIRECT($F$8),8+(O740-1)*3)&lt;=5,U740*0.4-VLOOKUP(B734,INDIRECT($F$8),8+(O740-1)*3),11),0))))</f>
        <v>11</v>
      </c>
      <c r="X740" s="1" t="str">
        <f ca="1">IF(ISERROR(F734),"",IF(W740=0,"",_xlfn.TEXTJOIN("",FALSE," G+",W740," in ",A740)))</f>
        <v xml:space="preserve"> G+11 in AHT 003</v>
      </c>
    </row>
    <row r="741" spans="1:24" ht="12.5" customHeight="1" x14ac:dyDescent="0.2">
      <c r="A741" s="7" t="str">
        <f ca="1">IF(ISERROR(F734),"",VLOOKUP(C734,INDIRECT($F$8),6+(O741-1)*3,0))</f>
        <v>ECT 001</v>
      </c>
      <c r="B741" s="24" t="str">
        <f ca="1">IF(ISERROR(F734),"",VLOOKUP(D734,INDIRECT($F$8),6+(O741-1)*3,0))</f>
        <v>Basic Electronics Engineering</v>
      </c>
      <c r="C741" s="24"/>
      <c r="D741" s="24"/>
      <c r="E741" s="24"/>
      <c r="F741" s="7">
        <f ca="1">IF(ISERROR(F734),"",VLOOKUP(E734,INDIRECT($F$8),6+(O741-1)*3,0))</f>
        <v>4</v>
      </c>
      <c r="G741" s="25" t="str">
        <f ca="1">IF(ISERROR(F734),"",_xlfn.TEXTJOIN("/",FALSE,P741,S741))</f>
        <v>38/100</v>
      </c>
      <c r="H741" s="25"/>
      <c r="I741" s="25" t="str">
        <f ca="1">IF(ISERROR(F734),"",_xlfn.TEXTJOIN("/",FALSE,Q741,T741))</f>
        <v>45/50</v>
      </c>
      <c r="J741" s="25"/>
      <c r="K741" s="25" t="str">
        <f ca="1">IF(ISERROR(F734),"",_xlfn.TEXTJOIN("/",FALSE,R741,U741))</f>
        <v>83/150</v>
      </c>
      <c r="L741" s="25"/>
      <c r="M741" s="7" t="str">
        <f ca="1">IF(ISERROR(F734),"",IF(ISTEXT(P741),IF(P741="A","Ab",IF(P741="D","Dt",IF(P741="UFM","UFM",IF(P741="NA","")))),IF(AND(ISBLANK(P741),ISBLANK(R741)),"",IF(P741&lt;0.3*S741,"F",IF(ISBLANK(R741),"",IF(ISTEXT(R741),R741,IF(R741&gt;=0.95*U741,"O",IF(R741&gt;=0.9*U741,"A+",IF(R741&gt;=0.85*U741,"A",IF(R741&gt;=0.8*U741,"B+",IF(R741&gt;=0.75*U741,"B",IF(R741&gt;=0.7*U741,"C+",IF(R741&gt;=0.65*U741,"C",IF(R741&gt;=0.6*U741,"D+",IF(R741&gt;=0.55*U741,"D",IF(R741&gt;=0.5*U741,"E+",IF(R741&gt;=0.45*U741,"E",IF(R741&gt;=0.4*U741,"P",IF(R741&lt;0.4*U741,"F",R741)))))))))))))))))))</f>
        <v>D</v>
      </c>
      <c r="N741" s="8">
        <f t="shared" ca="1" si="67"/>
        <v>6</v>
      </c>
      <c r="O741">
        <f>O740+1</f>
        <v>3</v>
      </c>
      <c r="P741" s="1">
        <f ca="1">IF(ISERROR(F734),"",IF(ISTEXT(VLOOKUP(B734,INDIRECT($F$8),6+(O741-1)*3)),(VLOOKUP(B734,INDIRECT($F$8),6+(O741-1)*3)),SUM(VLOOKUP(B734,INDIRECT($F$8),6+(O741-1)*3),IF(W752,W741,0))))</f>
        <v>38</v>
      </c>
      <c r="Q741" s="1">
        <f ca="1">IF(ISERROR(F734),"",VLOOKUP(B734,INDIRECT($F$8),7+(O741-1)*3))</f>
        <v>45</v>
      </c>
      <c r="R741" s="1">
        <f ca="1">IF(ISERROR(F734),"",SUM(P741:Q741))</f>
        <v>83</v>
      </c>
      <c r="S741" s="1">
        <f ca="1">IF(ISERROR(F734),"",VLOOKUP(A734,INDIRECT($F$8),6+(O741-1)*3))</f>
        <v>100</v>
      </c>
      <c r="T741" s="1">
        <f ca="1">IF(ISERROR(F734),"",VLOOKUP(A734,INDIRECT($F$8),7+(O741-1)*3))</f>
        <v>50</v>
      </c>
      <c r="U741" s="1">
        <f ca="1">IF(ISERROR(F734),"",VLOOKUP(A734,INDIRECT($F$8),8+(O741-1)*3))</f>
        <v>150</v>
      </c>
      <c r="V741" s="1" t="str">
        <f ca="1">IF(ISERROR(F734),"",IF(N741=0,A741,""))</f>
        <v/>
      </c>
      <c r="W741" s="1">
        <f ca="1">IF(ISERROR(F734),"",IF(ISTEXT(VLOOKUP(B734,INDIRECT($F$8),6+(O741-1)*3)),11,IF(VLOOKUP(B734,INDIRECT($F$8),6+(O741-1)*3)&lt;S741*0.3,IF(VLOOKUP(B734,INDIRECT($F$8),8+(O741-1)*3)&lt;U741*0.4,IF(AND(0.4*U741-VLOOKUP(B734,INDIRECT($F$8),8+(O741-1)*3)&lt;=5,0.3*S741-VLOOKUP(B734,INDIRECT($F$8),6+(O741-1)*3)&lt;=5),MAX(0.4*U741-VLOOKUP(B734,INDIRECT($F$8),8+(O741-1)*3),0.3*S741-VLOOKUP(B734,INDIRECT($F$8),6+(O741-1)*3)),11),IF(0.3*S741-VLOOKUP(B734,INDIRECT($F$8),6+(O741-1)*3)&lt;=5,0.3*S741-VLOOKUP(B734,INDIRECT($F$8),6+(O741-1)*3),11)),IF(VLOOKUP(B734,INDIRECT($F$8),8+(O741-1)*3)&lt;U741*0.4,IF(U741*0.4-VLOOKUP(B734,INDIRECT($F$8),8+(O741-1)*3)&lt;=5,U741*0.4-VLOOKUP(B734,INDIRECT($F$8),8+(O741-1)*3),11),0))))</f>
        <v>0</v>
      </c>
      <c r="X741" s="1" t="str">
        <f ca="1">IF(ISERROR(F734),"",IF(W741=0,"",_xlfn.TEXTJOIN("",FALSE," G+",W741," in ",A741)))</f>
        <v/>
      </c>
    </row>
    <row r="742" spans="1:24" ht="12.5" customHeight="1" x14ac:dyDescent="0.2">
      <c r="A742" s="7" t="str">
        <f ca="1">IF(ISERROR(F734),"",VLOOKUP(C734,INDIRECT($F$8),6+(O742-1)*3,0))</f>
        <v>MET 001</v>
      </c>
      <c r="B742" s="24" t="str">
        <f ca="1">IF(ISERROR(F734),"",VLOOKUP(D734,INDIRECT($F$8),6+(O742-1)*3,0))</f>
        <v>Basic Mechanical Engineering</v>
      </c>
      <c r="C742" s="24"/>
      <c r="D742" s="24"/>
      <c r="E742" s="24"/>
      <c r="F742" s="7">
        <f ca="1">IF(ISERROR(F734),"",VLOOKUP(E734,INDIRECT($F$8),6+(O742-1)*3,0))</f>
        <v>4</v>
      </c>
      <c r="G742" s="25" t="str">
        <f ca="1">IF(ISERROR(F734),"",_xlfn.TEXTJOIN("/",FALSE,P742,S742))</f>
        <v>74/100</v>
      </c>
      <c r="H742" s="25"/>
      <c r="I742" s="25" t="str">
        <f ca="1">IF(ISERROR(F734),"",_xlfn.TEXTJOIN("/",FALSE,Q742,T742))</f>
        <v>34/50</v>
      </c>
      <c r="J742" s="25"/>
      <c r="K742" s="25" t="str">
        <f ca="1">IF(ISERROR(F734),"",_xlfn.TEXTJOIN("/",FALSE,R742,U742))</f>
        <v>108/150</v>
      </c>
      <c r="L742" s="25"/>
      <c r="M742" s="7" t="str">
        <f ca="1">IF(ISERROR(F734),"",IF(ISTEXT(P742),IF(P742="A","Ab",IF(P742="D","Dt",IF(P742="UFM","UFM",IF(P742="NA","")))),IF(AND(ISBLANK(P742),ISBLANK(R742)),"",IF(P742&lt;0.3*S742,"F",IF(ISBLANK(R742),"",IF(ISTEXT(R742),R742,IF(R742&gt;=0.95*U742,"O",IF(R742&gt;=0.9*U742,"A+",IF(R742&gt;=0.85*U742,"A",IF(R742&gt;=0.8*U742,"B+",IF(R742&gt;=0.75*U742,"B",IF(R742&gt;=0.7*U742,"C+",IF(R742&gt;=0.65*U742,"C",IF(R742&gt;=0.6*U742,"D+",IF(R742&gt;=0.55*U742,"D",IF(R742&gt;=0.5*U742,"E+",IF(R742&gt;=0.45*U742,"E",IF(R742&gt;=0.4*U742,"P",IF(R742&lt;0.4*U742,"F",R742)))))))))))))))))))</f>
        <v>C+</v>
      </c>
      <c r="N742" s="8">
        <f t="shared" ca="1" si="67"/>
        <v>7.5</v>
      </c>
      <c r="O742">
        <f>O741+1</f>
        <v>4</v>
      </c>
      <c r="P742" s="1">
        <f ca="1">IF(ISERROR(F734),"",IF(ISTEXT(VLOOKUP(B734,INDIRECT($F$8),6+(O742-1)*3)),(VLOOKUP(B734,INDIRECT($F$8),6+(O742-1)*3)),SUM(VLOOKUP(B734,INDIRECT($F$8),6+(O742-1)*3),IF(W752,W742,0))))</f>
        <v>74</v>
      </c>
      <c r="Q742" s="1">
        <f ca="1">IF(ISERROR(F734),"",VLOOKUP(B734,INDIRECT($F$8),7+(O742-1)*3))</f>
        <v>34</v>
      </c>
      <c r="R742" s="1">
        <f ca="1">IF(ISERROR(F734),"",SUM(P742:Q742))</f>
        <v>108</v>
      </c>
      <c r="S742" s="1">
        <f ca="1">IF(ISERROR(F734),"",VLOOKUP(A734,INDIRECT($F$8),6+(O742-1)*3))</f>
        <v>100</v>
      </c>
      <c r="T742" s="1">
        <f ca="1">IF(ISERROR(F734),"",VLOOKUP(A734,INDIRECT($F$8),7+(O742-1)*3))</f>
        <v>50</v>
      </c>
      <c r="U742" s="1">
        <f ca="1">IF(ISERROR(F734),"",VLOOKUP(A734,INDIRECT($F$8),8+(O742-1)*3))</f>
        <v>150</v>
      </c>
      <c r="V742" s="1" t="str">
        <f ca="1">IF(ISERROR(F734),"",IF(N742=0,A742,""))</f>
        <v/>
      </c>
      <c r="W742" s="1">
        <f ca="1">IF(ISERROR(F734),"",IF(ISTEXT(VLOOKUP(B734,INDIRECT($F$8),6+(O742-1)*3)),11,IF(VLOOKUP(B734,INDIRECT($F$8),6+(O742-1)*3)&lt;S742*0.3,IF(VLOOKUP(B734,INDIRECT($F$8),8+(O742-1)*3)&lt;U742*0.4,IF(AND(0.4*U742-VLOOKUP(B734,INDIRECT($F$8),8+(O742-1)*3)&lt;=5,0.3*S742-VLOOKUP(B734,INDIRECT($F$8),6+(O742-1)*3)&lt;=5),MAX(0.4*U742-VLOOKUP(B734,INDIRECT($F$8),8+(O742-1)*3),0.3*S742-VLOOKUP(B734,INDIRECT($F$8),6+(O742-1)*3)),11),IF(0.3*S742-VLOOKUP(B734,INDIRECT($F$8),6+(O742-1)*3)&lt;=5,0.3*S742-VLOOKUP(B734,INDIRECT($F$8),6+(O742-1)*3),11)),IF(VLOOKUP(B734,INDIRECT($F$8),8+(O742-1)*3)&lt;U742*0.4,IF(U742*0.4-VLOOKUP(B734,INDIRECT($F$8),8+(O742-1)*3)&lt;=5,U742*0.4-VLOOKUP(B734,INDIRECT($F$8),8+(O742-1)*3),11),0))))</f>
        <v>0</v>
      </c>
      <c r="X742" s="1" t="str">
        <f ca="1">IF(ISERROR(F734),"",IF(W742=0,"",_xlfn.TEXTJOIN("",FALSE," G+",W742," in ",A742)))</f>
        <v/>
      </c>
    </row>
    <row r="743" spans="1:24" ht="12.5" customHeight="1" x14ac:dyDescent="0.2">
      <c r="A743" s="7" t="str">
        <f ca="1">IF(ISERROR(F734),"",VLOOKUP(C734,INDIRECT($F$8),6+(O743-1)*3,0))</f>
        <v>AHT 000</v>
      </c>
      <c r="B743" s="24" t="str">
        <f ca="1">IF(ISERROR(F734),"",VLOOKUP(D734,INDIRECT($F$8),6+(O743-1)*3,0))</f>
        <v>Basic Mathematics (Bridge Course) ($)</v>
      </c>
      <c r="C743" s="24"/>
      <c r="D743" s="24"/>
      <c r="E743" s="24"/>
      <c r="F743" s="7">
        <f ca="1">IF(ISERROR(F734),"",VLOOKUP(E734,INDIRECT($F$8),6+(O743-1)*3,0))</f>
        <v>0</v>
      </c>
      <c r="G743" s="25" t="str">
        <f ca="1">IF(ISERROR(F734),"",_xlfn.TEXTJOIN("/",FALSE,P743,S743))</f>
        <v>74/100</v>
      </c>
      <c r="H743" s="25"/>
      <c r="I743" s="25" t="str">
        <f ca="1">IF(ISERROR(F734),"",_xlfn.TEXTJOIN("/",FALSE,Q743,T743))</f>
        <v>33/50</v>
      </c>
      <c r="J743" s="25"/>
      <c r="K743" s="25" t="str">
        <f ca="1">IF(ISERROR(F734),"",_xlfn.TEXTJOIN("/",FALSE,R743,U743))</f>
        <v>107/150</v>
      </c>
      <c r="L743" s="25"/>
      <c r="M743" s="7" t="str">
        <f ca="1">IF(ISERROR(F734),"",IF(ISTEXT(P743),IF(P743="A","Ab",IF(P743="D","Dt",IF(P743="UFM","UFM",IF(P743="NA","")))),IF(AND(ISBLANK(P743),ISBLANK(R743)),"",IF(P743&lt;0.3*S743,"F",IF(ISBLANK(R743),"",IF(ISTEXT(R743),R743,IF(R743&gt;=0.95*U743,"O",IF(R743&gt;=0.9*U743,"A+",IF(R743&gt;=0.85*U743,"A",IF(R743&gt;=0.8*U743,"B+",IF(R743&gt;=0.75*U743,"B",IF(R743&gt;=0.7*U743,"C+",IF(R743&gt;=0.65*U743,"C",IF(R743&gt;=0.6*U743,"D+",IF(R743&gt;=0.55*U743,"D",IF(R743&gt;=0.5*U743,"E+",IF(R743&gt;=0.45*U743,"E",IF(R743&gt;=0.4*U743,"P",IF(R743&lt;0.4*U743,"F",R743)))))))))))))))))))</f>
        <v>C+</v>
      </c>
      <c r="N743" s="8">
        <f t="shared" ca="1" si="67"/>
        <v>7.5</v>
      </c>
      <c r="O743" cm="1">
        <f t="array" aca="1" ref="O743" ca="1">IF(NOT(ISBLANK(INDIRECT("SEM_I!R"&amp;INT((ROW(O743)-17)/22)+6))),5,
IF(NOT(ISBLANK(INDIRECT("SEM_I!U"&amp;INT((ROW(O743)-17)/22)+6))),6))</f>
        <v>5</v>
      </c>
      <c r="P743" s="1">
        <f ca="1">IF(ISERROR(F734),"",IF(ISTEXT(VLOOKUP(B734,INDIRECT($F$8),6+(O743-1)*3)),(VLOOKUP(B734,INDIRECT($F$8),6+(O743-1)*3)),SUM(VLOOKUP(B734,INDIRECT($F$8),6+(O743-1)*3),IF(W752,W743,0))))</f>
        <v>74</v>
      </c>
      <c r="Q743" s="1">
        <f ca="1">IF(ISERROR(F734),"",VLOOKUP(B734,INDIRECT($F$8),7+(O743-1)*3))</f>
        <v>33</v>
      </c>
      <c r="R743" s="1">
        <f ca="1">IF(ISERROR(F734),"",SUM(P743:Q743))</f>
        <v>107</v>
      </c>
      <c r="S743" s="1">
        <f ca="1">IF(ISERROR(F734),"",VLOOKUP(A734,INDIRECT($F$8),6+(O743-1)*3))</f>
        <v>100</v>
      </c>
      <c r="T743" s="1">
        <f ca="1">IF(ISERROR(F734),"",VLOOKUP(A734,INDIRECT($F$8),7+(O743-1)*3))</f>
        <v>50</v>
      </c>
      <c r="U743" s="1">
        <f ca="1">IF(ISERROR(F734),"",VLOOKUP(A734,INDIRECT($F$8),8+(O743-1)*3))</f>
        <v>150</v>
      </c>
      <c r="V743" s="1" t="str">
        <f ca="1">IF(ISERROR(F734),"",IF(N743=0,A743,""))</f>
        <v/>
      </c>
      <c r="W743" s="1">
        <f ca="1">IF(ISERROR(F734),"",IF(ISTEXT(VLOOKUP(B734,INDIRECT($F$8),6+(O743-1)*3)),11,IF(VLOOKUP(B734,INDIRECT($F$8),6+(O743-1)*3)&lt;S743*0.3,IF(VLOOKUP(B734,INDIRECT($F$8),8+(O743-1)*3)&lt;U743*0.4,IF(AND(0.4*U743-VLOOKUP(B734,INDIRECT($F$8),8+(O743-1)*3)&lt;=5,0.3*S743-VLOOKUP(B734,INDIRECT($F$8),6+(O743-1)*3)&lt;=5),MAX(0.4*U743-VLOOKUP(B734,INDIRECT($F$8),8+(O743-1)*3),0.3*S743-VLOOKUP(B734,INDIRECT($F$8),6+(O743-1)*3)),11),IF(0.3*S743-VLOOKUP(B734,INDIRECT($F$8),6+(O743-1)*3)&lt;=5,0.3*S743-VLOOKUP(B734,INDIRECT($F$8),6+(O743-1)*3),11)),IF(VLOOKUP(B734,INDIRECT($F$8),8+(O743-1)*3)&lt;U743*0.4,IF(U743*0.4-VLOOKUP(B734,INDIRECT($F$8),8+(O743-1)*3)&lt;=5,U743*0.4-VLOOKUP(B734,INDIRECT($F$8),8+(O743-1)*3),11),0))))</f>
        <v>0</v>
      </c>
      <c r="X743" s="1" t="str">
        <f ca="1">IF(ISERROR(F734),"",IF(W743=0,"",_xlfn.TEXTJOIN("",FALSE," G+",W743," in ",A743)))</f>
        <v/>
      </c>
    </row>
    <row r="744" spans="1:24" ht="12.5" customHeight="1" x14ac:dyDescent="0.2">
      <c r="A744" s="7" t="str">
        <f ca="1">IF(ISERROR(F734),"",VLOOKUP(C734,INDIRECT($F$8),6+(O744-1)*3,0))</f>
        <v>AHP 002</v>
      </c>
      <c r="B744" s="24" t="str">
        <f ca="1">IF(ISERROR(F734),"",VLOOKUP(D734,INDIRECT($F$8),6+(O744-1)*3,0))</f>
        <v>Engineering Chemistry Lab</v>
      </c>
      <c r="C744" s="24"/>
      <c r="D744" s="24"/>
      <c r="E744" s="24"/>
      <c r="F744" s="7">
        <f ca="1">IF(ISERROR(F734),"",VLOOKUP(E734,INDIRECT($F$8),6+(O744-1)*3,0))</f>
        <v>1</v>
      </c>
      <c r="G744" s="25" t="str">
        <f ca="1">IF(ISERROR(F734),"",_xlfn.TEXTJOIN("/",FALSE,P744,S744))</f>
        <v>21/25</v>
      </c>
      <c r="H744" s="25"/>
      <c r="I744" s="25" t="str">
        <f ca="1">IF(ISERROR(F734),"",_xlfn.TEXTJOIN("/",FALSE,Q744,T744))</f>
        <v>18/25</v>
      </c>
      <c r="J744" s="25"/>
      <c r="K744" s="25" t="str">
        <f ca="1">IF(ISERROR(F734),"",_xlfn.TEXTJOIN("/",FALSE,R744,U744))</f>
        <v>39/50</v>
      </c>
      <c r="L744" s="25"/>
      <c r="M744" s="7" t="str">
        <f ca="1">IF(ISERROR(F734),"",IF(ISTEXT(P744),IF(P744="A","Ab",IF(P744="D","Dt",IF(P744="UFM","UFM",IF(P744="NA","")))),IF(AND(ISBLANK(P744),ISBLANK(R744)),"",IF(P744&lt;0.3*S744,"F",IF(ISBLANK(R744),"",IF(ISTEXT(R744),R744,IF(R744&gt;=0.95*U744,"O",IF(R744&gt;=0.9*U744,"A+",IF(R744&gt;=0.85*U744,"A",IF(R744&gt;=0.8*U744,"B+",IF(R744&gt;=0.75*U744,"B",IF(R744&gt;=0.7*U744,"C+",IF(R744&gt;=0.65*U744,"C",IF(R744&gt;=0.6*U744,"D+",IF(R744&gt;=0.55*U744,"D",IF(R744&gt;=0.5*U744,"E+",IF(R744&gt;=0.45*U744,"E",IF(R744&gt;=0.4*U744,"P",IF(R744&lt;0.4*U744,"F",R744)))))))))))))))))))</f>
        <v>B</v>
      </c>
      <c r="N744" s="8">
        <f t="shared" ca="1" si="67"/>
        <v>8</v>
      </c>
      <c r="O744">
        <f ca="1">IF(O743&gt;0,7)</f>
        <v>7</v>
      </c>
      <c r="P744" s="1">
        <f ca="1">IF(ISERROR(F734),"",IF(ISTEXT(VLOOKUP(B734,INDIRECT($F$8),6+(O744-1)*3)),(VLOOKUP(B734,INDIRECT($F$8),6+(O744-1)*3)),SUM(VLOOKUP(B734,INDIRECT($F$8),6+(O744-1)*3),IF(W752,W744,0))))</f>
        <v>21</v>
      </c>
      <c r="Q744" s="1">
        <f ca="1">IF(ISERROR(F734),"",VLOOKUP(B734,INDIRECT($F$8),7+(O744-1)*3))</f>
        <v>18</v>
      </c>
      <c r="R744" s="1">
        <f ca="1">IF(ISERROR(F734),"",SUM(P744:Q744))</f>
        <v>39</v>
      </c>
      <c r="S744" s="1">
        <f ca="1">IF(ISERROR(F734),"",VLOOKUP(A734,INDIRECT($F$8),6+(O744-1)*3))</f>
        <v>25</v>
      </c>
      <c r="T744" s="1">
        <f ca="1">IF(ISERROR(F734),"",VLOOKUP(A734,INDIRECT($F$8),7+(O744-1)*3))</f>
        <v>25</v>
      </c>
      <c r="U744" s="1">
        <f ca="1">IF(ISERROR(F734),"",VLOOKUP(A734,INDIRECT($F$8),8+(O744-1)*3))</f>
        <v>50</v>
      </c>
      <c r="V744" s="1" t="str">
        <f ca="1">IF(ISERROR(F734),"",IF(N744=0,A744,""))</f>
        <v/>
      </c>
      <c r="W744" s="1">
        <f ca="1">IF(ISERROR(F734),"",IF(ISTEXT(VLOOKUP(B734,INDIRECT($F$8),6+(O744-1)*3)),11,IF(VLOOKUP(B734,INDIRECT($F$8),6+(O744-1)*3)&lt;S744*0.3,IF(VLOOKUP(B734,INDIRECT($F$8),8+(O744-1)*3)&lt;U744*0.4,IF(AND(0.4*U744-VLOOKUP(B734,INDIRECT($F$8),8+(O744-1)*3)&lt;=5,0.3*S744-VLOOKUP(B734,INDIRECT($F$8),6+(O744-1)*3)&lt;=5),MAX(0.4*U744-VLOOKUP(B734,INDIRECT($F$8),8+(O744-1)*3),0.3*S744-VLOOKUP(B734,INDIRECT($F$8),6+(O744-1)*3)),11),IF(0.3*S744-VLOOKUP(B734,INDIRECT($F$8),6+(O744-1)*3)&lt;=5,0.3*S744-VLOOKUP(B734,INDIRECT($F$8),6+(O744-1)*3),11)),IF(VLOOKUP(B734,INDIRECT($F$8),8+(O744-1)*3)&lt;U744*0.4,IF(U744*0.4-VLOOKUP(B734,INDIRECT($F$8),8+(O744-1)*3)&lt;=5,U744*0.4-VLOOKUP(B734,INDIRECT($F$8),8+(O744-1)*3),11),0))))</f>
        <v>0</v>
      </c>
      <c r="X744" s="1" t="str">
        <f ca="1">IF(ISERROR(F734),"",IF(W744=0,"",_xlfn.TEXTJOIN("",FALSE," G+",W744," in ",A744)))</f>
        <v/>
      </c>
    </row>
    <row r="745" spans="1:24" ht="12.5" customHeight="1" x14ac:dyDescent="0.2">
      <c r="A745" s="7" t="str">
        <f ca="1">IF(ISERROR(F734),"",VLOOKUP(C734,INDIRECT($F$8),6+(O745-1)*3,0))</f>
        <v>ECP 001</v>
      </c>
      <c r="B745" s="24" t="str">
        <f ca="1">IF(ISERROR(F734),"",VLOOKUP(D734,INDIRECT($F$8),6+(O745-1)*3,0))</f>
        <v>Basic Electronics Engineering Lab</v>
      </c>
      <c r="C745" s="24"/>
      <c r="D745" s="24"/>
      <c r="E745" s="24"/>
      <c r="F745" s="7">
        <f ca="1">IF(ISERROR(F734),"",VLOOKUP(E734,INDIRECT($F$8),6+(O745-1)*3,0))</f>
        <v>1</v>
      </c>
      <c r="G745" s="25" t="str">
        <f ca="1">IF(ISERROR(F734),"",_xlfn.TEXTJOIN("/",FALSE,P745,S745))</f>
        <v>22/25</v>
      </c>
      <c r="H745" s="25"/>
      <c r="I745" s="25" t="str">
        <f ca="1">IF(ISERROR(F734),"",_xlfn.TEXTJOIN("/",FALSE,Q745,T745))</f>
        <v>23/25</v>
      </c>
      <c r="J745" s="25"/>
      <c r="K745" s="25" t="str">
        <f ca="1">IF(ISERROR(F734),"",_xlfn.TEXTJOIN("/",FALSE,R745,U745))</f>
        <v>45/50</v>
      </c>
      <c r="L745" s="25"/>
      <c r="M745" s="7" t="str">
        <f ca="1">IF(ISERROR(F734),"",IF(ISTEXT(P745),IF(P745="A","Ab",IF(P745="D","Dt",IF(P745="UFM","UFM",IF(P745="NA","")))),IF(AND(ISBLANK(P745),ISBLANK(R745)),"",IF(P745&lt;0.3*S745,"F",IF(ISBLANK(R745),"",IF(ISTEXT(R745),R745,IF(R745&gt;=0.95*U745,"O",IF(R745&gt;=0.9*U745,"A+",IF(R745&gt;=0.85*U745,"A",IF(R745&gt;=0.8*U745,"B+",IF(R745&gt;=0.75*U745,"B",IF(R745&gt;=0.7*U745,"C+",IF(R745&gt;=0.65*U745,"C",IF(R745&gt;=0.6*U745,"D+",IF(R745&gt;=0.55*U745,"D",IF(R745&gt;=0.5*U745,"E+",IF(R745&gt;=0.45*U745,"E",IF(R745&gt;=0.4*U745,"P",IF(R745&lt;0.4*U745,"F",R745)))))))))))))))))))</f>
        <v>A+</v>
      </c>
      <c r="N745" s="8">
        <f t="shared" ca="1" si="67"/>
        <v>9.5</v>
      </c>
      <c r="O745">
        <f t="shared" ref="O745:O751" ca="1" si="68">O744+1</f>
        <v>8</v>
      </c>
      <c r="P745" s="1">
        <f ca="1">IF(ISERROR(F734),"",IF(ISTEXT(VLOOKUP(B734,INDIRECT($F$8),6+(O745-1)*3)),(VLOOKUP(B734,INDIRECT($F$8),6+(O745-1)*3)),SUM(VLOOKUP(B734,INDIRECT($F$8),6+(O745-1)*3),IF(W752,W745,0))))</f>
        <v>22</v>
      </c>
      <c r="Q745" s="1">
        <f ca="1">IF(ISERROR(F734),"",VLOOKUP(B734,INDIRECT($F$8),7+(O745-1)*3))</f>
        <v>23</v>
      </c>
      <c r="R745" s="1">
        <f ca="1">IF(ISERROR(F734),"",SUM(P745:Q745))</f>
        <v>45</v>
      </c>
      <c r="S745" s="1">
        <f ca="1">IF(ISERROR(F734),"",VLOOKUP(A734,INDIRECT($F$8),6+(O745-1)*3))</f>
        <v>25</v>
      </c>
      <c r="T745" s="1">
        <f ca="1">IF(ISERROR(F734),"",VLOOKUP(A734,INDIRECT($F$8),7+(O745-1)*3))</f>
        <v>25</v>
      </c>
      <c r="U745" s="1">
        <f ca="1">IF(ISERROR(F734),"",VLOOKUP(A734,INDIRECT($F$8),8+(O745-1)*3))</f>
        <v>50</v>
      </c>
      <c r="V745" s="1" t="str">
        <f ca="1">IF(ISERROR(F734),"",IF(N745=0,A745,""))</f>
        <v/>
      </c>
      <c r="W745" s="1">
        <f ca="1">IF(ISERROR(F734),"",IF(ISTEXT(VLOOKUP(B734,INDIRECT($F$8),6+(O745-1)*3)),11,IF(VLOOKUP(B734,INDIRECT($F$8),6+(O745-1)*3)&lt;S745*0.3,IF(VLOOKUP(B734,INDIRECT($F$8),8+(O745-1)*3)&lt;U745*0.4,IF(AND(0.4*U745-VLOOKUP(B734,INDIRECT($F$8),8+(O745-1)*3)&lt;=5,0.3*S745-VLOOKUP(B734,INDIRECT($F$8),6+(O745-1)*3)&lt;=5),MAX(0.4*U745-VLOOKUP(B734,INDIRECT($F$8),8+(O745-1)*3),0.3*S745-VLOOKUP(B734,INDIRECT($F$8),6+(O745-1)*3)),11),IF(0.3*S745-VLOOKUP(B734,INDIRECT($F$8),6+(O745-1)*3)&lt;=5,0.3*S745-VLOOKUP(B734,INDIRECT($F$8),6+(O745-1)*3),11)),IF(VLOOKUP(B734,INDIRECT($F$8),8+(O745-1)*3)&lt;U745*0.4,IF(U745*0.4-VLOOKUP(B734,INDIRECT($F$8),8+(O745-1)*3)&lt;=5,U745*0.4-VLOOKUP(B734,INDIRECT($F$8),8+(O745-1)*3),11),0))))</f>
        <v>0</v>
      </c>
      <c r="X745" s="1" t="str">
        <f ca="1">IF(ISERROR(F734),"",IF(W745=0,"",_xlfn.TEXTJOIN("",FALSE," G+",W745," in ",A745)))</f>
        <v/>
      </c>
    </row>
    <row r="746" spans="1:24" ht="12.5" customHeight="1" x14ac:dyDescent="0.2">
      <c r="A746" s="7" t="str">
        <f ca="1">IF(ISERROR(F734),"",VLOOKUP(C734,INDIRECT($F$8),6+(O746-1)*3,0))</f>
        <v>MEP 001</v>
      </c>
      <c r="B746" s="24" t="str">
        <f ca="1">IF(ISERROR(F734),"",VLOOKUP(D734,INDIRECT($F$8),6+(O746-1)*3,0))</f>
        <v>Basic Mechanical Engineering Lab</v>
      </c>
      <c r="C746" s="24"/>
      <c r="D746" s="24"/>
      <c r="E746" s="24"/>
      <c r="F746" s="7">
        <f ca="1">IF(ISERROR(F734),"",VLOOKUP(E734,INDIRECT($F$8),6+(O746-1)*3,0))</f>
        <v>1</v>
      </c>
      <c r="G746" s="25" t="str">
        <f ca="1">IF(ISERROR(F734),"",_xlfn.TEXTJOIN("/",FALSE,P746,S746))</f>
        <v>24/25</v>
      </c>
      <c r="H746" s="25"/>
      <c r="I746" s="25" t="str">
        <f ca="1">IF(ISERROR(F734),"",_xlfn.TEXTJOIN("/",FALSE,Q746,T746))</f>
        <v>24/25</v>
      </c>
      <c r="J746" s="25"/>
      <c r="K746" s="25" t="str">
        <f ca="1">IF(ISERROR(F734),"",_xlfn.TEXTJOIN("/",FALSE,R746,U746))</f>
        <v>48/50</v>
      </c>
      <c r="L746" s="25"/>
      <c r="M746" s="7" t="str">
        <f ca="1">IF(ISERROR(F734),"",IF(ISTEXT(P746),IF(P746="A","Ab",IF(P746="D","Dt",IF(P746="UFM","UFM",IF(P746="NA","")))),IF(AND(ISBLANK(P746),ISBLANK(R746)),"",IF(P746&lt;0.3*S746,"F",IF(ISBLANK(R746),"",IF(ISTEXT(R746),R746,IF(R746&gt;=0.95*U746,"O",IF(R746&gt;=0.9*U746,"A+",IF(R746&gt;=0.85*U746,"A",IF(R746&gt;=0.8*U746,"B+",IF(R746&gt;=0.75*U746,"B",IF(R746&gt;=0.7*U746,"C+",IF(R746&gt;=0.65*U746,"C",IF(R746&gt;=0.6*U746,"D+",IF(R746&gt;=0.55*U746,"D",IF(R746&gt;=0.5*U746,"E+",IF(R746&gt;=0.45*U746,"E",IF(R746&gt;=0.4*U746,"P",IF(R746&lt;0.4*U746,"F",R746)))))))))))))))))))</f>
        <v>O</v>
      </c>
      <c r="N746" s="8">
        <f t="shared" ca="1" si="67"/>
        <v>10</v>
      </c>
      <c r="O746">
        <f t="shared" ca="1" si="68"/>
        <v>9</v>
      </c>
      <c r="P746" s="1">
        <f ca="1">IF(ISERROR(F734),"",IF(ISTEXT(VLOOKUP(B734,INDIRECT($F$8),6+(O746-1)*3)),(VLOOKUP(B734,INDIRECT($F$8),6+(O746-1)*3)),SUM(VLOOKUP(B734,INDIRECT($F$8),6+(O746-1)*3),IF(W752,W746,0))))</f>
        <v>24</v>
      </c>
      <c r="Q746" s="1">
        <f ca="1">IF(ISERROR(F734),"",VLOOKUP(B734,INDIRECT($F$8),7+(O746-1)*3))</f>
        <v>24</v>
      </c>
      <c r="R746" s="1">
        <f ca="1">IF(ISERROR(F734),"",SUM(P746:Q746))</f>
        <v>48</v>
      </c>
      <c r="S746" s="1">
        <f ca="1">IF(ISERROR(F734),"",VLOOKUP(A734,INDIRECT($F$8),6+(O746-1)*3))</f>
        <v>25</v>
      </c>
      <c r="T746" s="1">
        <f ca="1">IF(ISERROR(F734),"",VLOOKUP(A734,INDIRECT($F$8),7+(O746-1)*3))</f>
        <v>25</v>
      </c>
      <c r="U746" s="1">
        <f ca="1">IF(ISERROR(F734),"",VLOOKUP(A734,INDIRECT($F$8),8+(O746-1)*3))</f>
        <v>50</v>
      </c>
      <c r="V746" s="1" t="str">
        <f ca="1">IF(ISERROR(F734),"",IF(N746=0,A746,""))</f>
        <v/>
      </c>
      <c r="W746" s="1">
        <f ca="1">IF(ISERROR(F734),"",IF(ISTEXT(VLOOKUP(B734,INDIRECT($F$8),6+(O746-1)*3)),11,IF(VLOOKUP(B734,INDIRECT($F$8),6+(O746-1)*3)&lt;S746*0.3,IF(VLOOKUP(B734,INDIRECT($F$8),8+(O746-1)*3)&lt;U746*0.4,IF(AND(0.4*U746-VLOOKUP(B734,INDIRECT($F$8),8+(O746-1)*3)&lt;=5,0.3*S746-VLOOKUP(B734,INDIRECT($F$8),6+(O746-1)*3)&lt;=5),MAX(0.4*U746-VLOOKUP(B734,INDIRECT($F$8),8+(O746-1)*3),0.3*S746-VLOOKUP(B734,INDIRECT($F$8),6+(O746-1)*3)),11),IF(0.3*S746-VLOOKUP(B734,INDIRECT($F$8),6+(O746-1)*3)&lt;=5,0.3*S746-VLOOKUP(B734,INDIRECT($F$8),6+(O746-1)*3),11)),IF(VLOOKUP(B734,INDIRECT($F$8),8+(O746-1)*3)&lt;U746*0.4,IF(U746*0.4-VLOOKUP(B734,INDIRECT($F$8),8+(O746-1)*3)&lt;=5,U746*0.4-VLOOKUP(B734,INDIRECT($F$8),8+(O746-1)*3),11),0))))</f>
        <v>0</v>
      </c>
      <c r="X746" s="1" t="str">
        <f ca="1">IF(ISERROR(F734),"",IF(W746=0,"",_xlfn.TEXTJOIN("",FALSE," G+",W746," in ",A746)))</f>
        <v/>
      </c>
    </row>
    <row r="747" spans="1:24" ht="12.5" customHeight="1" x14ac:dyDescent="0.2">
      <c r="A747" s="7" t="str">
        <f ca="1">IF(ISERROR(F734),"",VLOOKUP(C734,INDIRECT($F$8),6+(O747-1)*3,0))</f>
        <v>MEP 003</v>
      </c>
      <c r="B747" s="24" t="str">
        <f ca="1">IF(ISERROR(F734),"",VLOOKUP(D734,INDIRECT($F$8),6+(O747-1)*3-Z747,0))</f>
        <v>Workshop Practices Lab</v>
      </c>
      <c r="C747" s="24"/>
      <c r="D747" s="24"/>
      <c r="E747" s="24"/>
      <c r="F747" s="7">
        <f ca="1">IF(ISERROR(F734),"",VLOOKUP(E734,INDIRECT($F$8),6+(O747-1)*3,0))</f>
        <v>2</v>
      </c>
      <c r="G747" s="25" t="str">
        <f ca="1">IF(ISERROR(F734),"",_xlfn.TEXTJOIN("/",FALSE,P747,S747))</f>
        <v>44/50</v>
      </c>
      <c r="H747" s="25"/>
      <c r="I747" s="25" t="str">
        <f ca="1">IF(ISERROR(F734),"",_xlfn.TEXTJOIN("/",FALSE,Q747,T747))</f>
        <v>42/50</v>
      </c>
      <c r="J747" s="25"/>
      <c r="K747" s="25" t="str">
        <f ca="1">IF(ISERROR(F734),"",_xlfn.TEXTJOIN("/",FALSE,R747,U747))</f>
        <v>86/100</v>
      </c>
      <c r="L747" s="25"/>
      <c r="M747" s="7" t="str">
        <f ca="1">IF(ISERROR(F734),"",IF(ISTEXT(P747),IF(P747="A","Ab",IF(P747="D","Dt",IF(P747="UFM","UFM",IF(P747="NA","")))),IF(AND(ISBLANK(P747),ISBLANK(R747)),"",IF(P747&lt;0.3*S747,"F",IF(ISBLANK(R747),"",IF(ISTEXT(R747),R747,IF(R747&gt;=0.95*U747,"O",IF(R747&gt;=0.9*U747,"A+",IF(R747&gt;=0.85*U747,"A",IF(R747&gt;=0.8*U747,"B+",IF(R747&gt;=0.75*U747,"B",IF(R747&gt;=0.7*U747,"C+",IF(R747&gt;=0.65*U747,"C",IF(R747&gt;=0.6*U747,"D+",IF(R747&gt;=0.55*U747,"D",IF(R747&gt;=0.5*U747,"E+",IF(R747&gt;=0.45*U747,"E",IF(R747&gt;=0.4*U747,"P",IF(R747&lt;0.4*U747,"F",R747)))))))))))))))))))</f>
        <v>A</v>
      </c>
      <c r="N747" s="8">
        <f t="shared" ca="1" si="67"/>
        <v>9</v>
      </c>
      <c r="O747">
        <f t="shared" ca="1" si="68"/>
        <v>10</v>
      </c>
      <c r="P747" s="1">
        <f ca="1">IF(ISERROR(F734),"",IF(ISTEXT(VLOOKUP(B734,INDIRECT($F$8),6+(O747-1)*3)),(VLOOKUP(B734,INDIRECT($F$8),6+(O747-1)*3)),SUM(VLOOKUP(B734,INDIRECT($F$8),6+(O747-1)*3),IF(W752,W747,0))))</f>
        <v>44</v>
      </c>
      <c r="Q747" s="1">
        <f ca="1">IF(ISERROR(F734),"",VLOOKUP(B734,INDIRECT($F$8),7+(O747-1)*3))</f>
        <v>42</v>
      </c>
      <c r="R747" s="1">
        <f ca="1">IF(ISERROR(F734),"",SUM(P747:Q747))</f>
        <v>86</v>
      </c>
      <c r="S747" s="1">
        <f ca="1">IF(ISERROR(F734),"",VLOOKUP(A734,INDIRECT($F$8),6+(O747-1)*3))</f>
        <v>50</v>
      </c>
      <c r="T747" s="1">
        <f ca="1">IF(ISERROR(F734),"",VLOOKUP(A734,INDIRECT($F$8),7+(O747-1)*3))</f>
        <v>50</v>
      </c>
      <c r="U747" s="1">
        <f ca="1">IF(ISERROR(F734),"",VLOOKUP(A734,INDIRECT($F$8),8+(O747-1)*3))</f>
        <v>100</v>
      </c>
      <c r="V747" s="1" t="str">
        <f ca="1">IF(ISERROR(F734),"",IF(N747=0,A747,""))</f>
        <v/>
      </c>
      <c r="W747" s="1">
        <f ca="1">IF(ISERROR(F734),"",IF(ISTEXT(VLOOKUP(B734,INDIRECT($F$8),6+(O747-1)*3)),11,IF(VLOOKUP(B734,INDIRECT($F$8),6+(O747-1)*3)&lt;S747*0.3,IF(VLOOKUP(B734,INDIRECT($F$8),8+(O747-1)*3)&lt;U747*0.4,IF(AND(0.4*U747-VLOOKUP(B734,INDIRECT($F$8),8+(O747-1)*3)&lt;=5,0.3*S747-VLOOKUP(B734,INDIRECT($F$8),6+(O747-1)*3)&lt;=5),MAX(0.4*U747-VLOOKUP(B734,INDIRECT($F$8),8+(O747-1)*3),0.3*S747-VLOOKUP(B734,INDIRECT($F$8),6+(O747-1)*3)),11),IF(0.3*S747-VLOOKUP(B734,INDIRECT($F$8),6+(O747-1)*3)&lt;=5,0.3*S747-VLOOKUP(B734,INDIRECT($F$8),6+(O747-1)*3),11)),IF(VLOOKUP(B734,INDIRECT($F$8),8+(O747-1)*3)&lt;U747*0.4,IF(U747*0.4-VLOOKUP(B734,INDIRECT($F$8),8+(O747-1)*3)&lt;=5,U747*0.4-VLOOKUP(B734,INDIRECT($F$8),8+(O747-1)*3),11),0))))</f>
        <v>0</v>
      </c>
      <c r="X747" s="1" t="str">
        <f ca="1">IF(ISERROR(F734),"",IF(W747=0,"",_xlfn.TEXTJOIN("",FALSE," G+",W747," in ",A747)))</f>
        <v/>
      </c>
    </row>
    <row r="748" spans="1:24" ht="12.5" customHeight="1" x14ac:dyDescent="0.2">
      <c r="A748" s="7" t="str">
        <f ca="1">IF(ISERROR(F734),"",VLOOKUP(C734,INDIRECT($F$8),6+(O748-1)*3,0))</f>
        <v>AHP 004</v>
      </c>
      <c r="B748" s="24" t="str">
        <f ca="1">IF(ISERROR(F734),"",VLOOKUP(D734,INDIRECT($F$8),6+(O748-1)*3-Z748,0))</f>
        <v>Emerging Technologies in Engineering Lab</v>
      </c>
      <c r="C748" s="24"/>
      <c r="D748" s="24"/>
      <c r="E748" s="24"/>
      <c r="F748" s="7">
        <f ca="1">IF(ISERROR(F734),"",VLOOKUP(E734,INDIRECT($F$8),6+(O748-1)*3,0))</f>
        <v>1</v>
      </c>
      <c r="G748" s="25" t="str">
        <f ca="1">IF(ISERROR(F734),"",_xlfn.TEXTJOIN("/",FALSE,P748,S748))</f>
        <v>24/25</v>
      </c>
      <c r="H748" s="25"/>
      <c r="I748" s="25" t="str">
        <f ca="1">IF(ISERROR(F734),"",_xlfn.TEXTJOIN("/",FALSE,Q748,T748))</f>
        <v>24/25</v>
      </c>
      <c r="J748" s="25"/>
      <c r="K748" s="25" t="str">
        <f ca="1">IF(ISERROR(F734),"",_xlfn.TEXTJOIN("/",FALSE,R748,U748))</f>
        <v>48/50</v>
      </c>
      <c r="L748" s="25"/>
      <c r="M748" s="7" t="str">
        <f ca="1">IF(ISERROR(F734)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O</v>
      </c>
      <c r="N748" s="8">
        <f t="shared" ca="1" si="67"/>
        <v>10</v>
      </c>
      <c r="O748">
        <f t="shared" ca="1" si="68"/>
        <v>11</v>
      </c>
      <c r="P748" s="1">
        <f ca="1">IF(ISERROR(F734),"",IF(ISTEXT(VLOOKUP(B734,INDIRECT($F$8),6+(O748-1)*3)),(VLOOKUP(B734,INDIRECT($F$8),6+(O748-1)*3)),SUM(VLOOKUP(B734,INDIRECT($F$8),6+(O748-1)*3),IF(W752,W748,0))))</f>
        <v>24</v>
      </c>
      <c r="Q748" s="1">
        <f ca="1">IF(ISERROR(F734),"",VLOOKUP(B734,INDIRECT($F$8),7+(O748-1)*3))</f>
        <v>24</v>
      </c>
      <c r="R748" s="1">
        <f ca="1">IF(ISERROR(F734),"",SUM(P748:Q748))</f>
        <v>48</v>
      </c>
      <c r="S748" s="1">
        <f ca="1">IF(ISERROR(F734),"",VLOOKUP(A734,INDIRECT($F$8),6+(O748-1)*3))</f>
        <v>25</v>
      </c>
      <c r="T748" s="1">
        <f ca="1">IF(ISERROR(F734),"",VLOOKUP(A734,INDIRECT($F$8),7+(O748-1)*3))</f>
        <v>25</v>
      </c>
      <c r="U748" s="1">
        <f ca="1">IF(ISERROR(F734),"",VLOOKUP(A734,INDIRECT($F$8),8+(O748-1)*3))</f>
        <v>50</v>
      </c>
      <c r="V748" s="1" t="str">
        <f ca="1">IF(ISERROR(F734),"",IF(N748=0,A748,""))</f>
        <v/>
      </c>
      <c r="W748" s="1">
        <f ca="1">IF(ISERROR(F734),"",IF(ISTEXT(VLOOKUP(B734,INDIRECT($F$8),6+(O748-1)*3)),11,IF(VLOOKUP(B734,INDIRECT($F$8),6+(O748-1)*3)&lt;S748*0.3,IF(VLOOKUP(B734,INDIRECT($F$8),8+(O748-1)*3)&lt;U748*0.4,IF(AND(0.4*U748-VLOOKUP(B734,INDIRECT($F$8),8+(O748-1)*3)&lt;=5,0.3*S748-VLOOKUP(B734,INDIRECT($F$8),6+(O748-1)*3)&lt;=5),MAX(0.4*U748-VLOOKUP(B734,INDIRECT($F$8),8+(O748-1)*3),0.3*S748-VLOOKUP(B734,INDIRECT($F$8),6+(O748-1)*3)),11),IF(0.3*S748-VLOOKUP(B734,INDIRECT($F$8),6+(O748-1)*3)&lt;=5,0.3*S748-VLOOKUP(B734,INDIRECT($F$8),6+(O748-1)*3),11)),IF(VLOOKUP(B734,INDIRECT($F$8),8+(O748-1)*3)&lt;U748*0.4,IF(U748*0.4-VLOOKUP(B734,INDIRECT($F$8),8+(O748-1)*3)&lt;=5,U748*0.4-VLOOKUP(B734,INDIRECT($F$8),8+(O748-1)*3),11),0))))</f>
        <v>0</v>
      </c>
      <c r="X748" s="1" t="str">
        <f ca="1">IF(ISERROR(F734),"",IF(W748=0,"",_xlfn.TEXTJOIN("",FALSE," G+",W748," in ",A748)))</f>
        <v/>
      </c>
    </row>
    <row r="749" spans="1:24" ht="12.5" customHeight="1" x14ac:dyDescent="0.2">
      <c r="A749" s="7" t="str">
        <f ca="1">IF(ISERROR(F734),"",VLOOKUP(C734,INDIRECT($F$8),6+(O749-1)*3,0))</f>
        <v>CSP 002</v>
      </c>
      <c r="B749" s="24" t="str">
        <f ca="1">IF(ISERROR(F734),"",VLOOKUP(D734,INDIRECT($F$8),6+(O749-1)*3,0))</f>
        <v>Computer Applications and IOT</v>
      </c>
      <c r="C749" s="24"/>
      <c r="D749" s="24"/>
      <c r="E749" s="24"/>
      <c r="F749" s="7">
        <f ca="1">IF(ISERROR(F734),"",VLOOKUP(E734,INDIRECT($F$8),6+(O749-1)*3,0))</f>
        <v>1</v>
      </c>
      <c r="G749" s="25" t="str">
        <f ca="1">IF(ISERROR(F734),"",_xlfn.TEXTJOIN("/",FALSE,P749,S749))</f>
        <v>23/25</v>
      </c>
      <c r="H749" s="25"/>
      <c r="I749" s="25" t="str">
        <f ca="1">IF(ISERROR(F734),"",_xlfn.TEXTJOIN("/",FALSE,Q749,T749))</f>
        <v>23/25</v>
      </c>
      <c r="J749" s="25"/>
      <c r="K749" s="25" t="str">
        <f ca="1">IF(ISERROR(F734),"",_xlfn.TEXTJOIN("/",FALSE,R749,U749))</f>
        <v>46/50</v>
      </c>
      <c r="L749" s="25"/>
      <c r="M749" s="7" t="str">
        <f ca="1">IF(ISERROR(F734)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A+</v>
      </c>
      <c r="N749" s="8">
        <f t="shared" ca="1" si="67"/>
        <v>9.5</v>
      </c>
      <c r="O749">
        <f t="shared" ca="1" si="68"/>
        <v>12</v>
      </c>
      <c r="P749" s="1">
        <f ca="1">IF(ISERROR(F734),"",IF(ISTEXT(VLOOKUP(B734,INDIRECT($F$8),6+(O749-1)*3)),(VLOOKUP(B734,INDIRECT($F$8),6+(O749-1)*3)),SUM(VLOOKUP(B734,INDIRECT($F$8),6+(O749-1)*3),IF(W752,W749,0))))</f>
        <v>23</v>
      </c>
      <c r="Q749" s="1">
        <f ca="1">IF(ISERROR(F734),"",VLOOKUP(B734,INDIRECT($F$8),7+(O749-1)*3))</f>
        <v>23</v>
      </c>
      <c r="R749" s="1">
        <f ca="1">IF(ISERROR(F734),"",SUM(P749:Q749))</f>
        <v>46</v>
      </c>
      <c r="S749" s="1">
        <f ca="1">IF(ISERROR(F734),"",VLOOKUP(A734,INDIRECT($F$8),6+(O749-1)*3))</f>
        <v>25</v>
      </c>
      <c r="T749" s="1">
        <f ca="1">IF(ISERROR(F734),"",VLOOKUP(A734,INDIRECT($F$8),7+(O749-1)*3))</f>
        <v>25</v>
      </c>
      <c r="U749" s="1">
        <f ca="1">IF(ISERROR(F734),"",VLOOKUP(A734,INDIRECT($F$8),8+(O749-1)*3))</f>
        <v>50</v>
      </c>
      <c r="V749" s="1" t="str">
        <f ca="1">IF(ISERROR(F734),"",IF(N749=0,A749,""))</f>
        <v/>
      </c>
      <c r="W749" s="1">
        <f ca="1">IF(ISERROR(F734),"",IF(ISTEXT(VLOOKUP(B734,INDIRECT($F$8),6+(O749-1)*3)),11,IF(VLOOKUP(B734,INDIRECT($F$8),6+(O749-1)*3)&lt;S749*0.3,IF(VLOOKUP(B734,INDIRECT($F$8),8+(O749-1)*3)&lt;U749*0.4,IF(AND(0.4*U749-VLOOKUP(B734,INDIRECT($F$8),8+(O749-1)*3)&lt;=5,0.3*S749-VLOOKUP(B734,INDIRECT($F$8),6+(O749-1)*3)&lt;=5),MAX(0.4*U749-VLOOKUP(B734,INDIRECT($F$8),8+(O749-1)*3),0.3*S749-VLOOKUP(B734,INDIRECT($F$8),6+(O749-1)*3)),11),IF(0.3*S749-VLOOKUP(B734,INDIRECT($F$8),6+(O749-1)*3)&lt;=5,0.3*S749-VLOOKUP(B734,INDIRECT($F$8),6+(O749-1)*3),11)),IF(VLOOKUP(B734,INDIRECT($F$8),8+(O749-1)*3)&lt;U749*0.4,IF(U749*0.4-VLOOKUP(B734,INDIRECT($F$8),8+(O749-1)*3)&lt;=5,U749*0.4-VLOOKUP(B734,INDIRECT($F$8),8+(O749-1)*3),11),0))))</f>
        <v>0</v>
      </c>
      <c r="X749" s="1" t="str">
        <f ca="1">IF(ISERROR(F734),"",IF(W749=0,"",_xlfn.TEXTJOIN("",FALSE," G+",W749," in ",A749)))</f>
        <v/>
      </c>
    </row>
    <row r="750" spans="1:24" ht="12.5" customHeight="1" x14ac:dyDescent="0.2">
      <c r="A750" s="7" t="str">
        <f ca="1">IF(ISERROR(F734),"",VLOOKUP(C734,INDIRECT($F$8),6+(O750-1)*3,0))</f>
        <v>AHP 006</v>
      </c>
      <c r="B750" s="24" t="str">
        <f ca="1">IF(ISERROR(F734),"",VLOOKUP(D734,INDIRECT($F$8),6+(O750-1)*3,0))</f>
        <v>English Language Lab ($)</v>
      </c>
      <c r="C750" s="24"/>
      <c r="D750" s="24"/>
      <c r="E750" s="24"/>
      <c r="F750" s="7">
        <f ca="1">IF(ISERROR(F734),"",VLOOKUP(E734,INDIRECT($F$8),6+(O750-1)*3,0))</f>
        <v>0</v>
      </c>
      <c r="G750" s="25" t="str">
        <f ca="1">IF(ISERROR(F734),"",_xlfn.TEXTJOIN("/",FALSE,P750,S750))</f>
        <v>19/25</v>
      </c>
      <c r="H750" s="25"/>
      <c r="I750" s="25" t="str">
        <f ca="1">IF(ISERROR(F734),"",_xlfn.TEXTJOIN("/",FALSE,Q750,T750))</f>
        <v>38/50</v>
      </c>
      <c r="J750" s="25"/>
      <c r="K750" s="25" t="str">
        <f ca="1">IF(ISERROR(F734),"",_xlfn.TEXTJOIN("/",FALSE,R750,U750))</f>
        <v>57/75</v>
      </c>
      <c r="L750" s="25"/>
      <c r="M750" s="7" t="str">
        <f ca="1">IF(ISERROR(F734)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B</v>
      </c>
      <c r="N750" s="8">
        <f ca="1">INDEX($Z$2:$Z$17,MATCH(M750,$Y$2:$Y$17,0))</f>
        <v>8</v>
      </c>
      <c r="O750">
        <f t="shared" ca="1" si="68"/>
        <v>13</v>
      </c>
      <c r="P750" s="1">
        <f ca="1">IF(ISERROR(F734),"",IF(ISTEXT(VLOOKUP(B734,INDIRECT($F$8),6+(O750-1)*3)),(VLOOKUP(B734,INDIRECT($F$8),6+(O750-1)*3)),SUM(VLOOKUP(B734,INDIRECT($F$8),6+(O750-1)*3),IF(W752,W750,0))))</f>
        <v>19</v>
      </c>
      <c r="Q750" s="1">
        <f ca="1">IF(ISERROR(F734),"",VLOOKUP(B734,INDIRECT($F$8),7+(O750-1)*3))</f>
        <v>38</v>
      </c>
      <c r="R750" s="1">
        <f ca="1">IF(ISERROR(F734),"",SUM(P750:Q750))</f>
        <v>57</v>
      </c>
      <c r="S750" s="1">
        <f ca="1">IF(ISERROR(F734),"",VLOOKUP(A734,INDIRECT($F$8),6+(O750-1)*3))</f>
        <v>25</v>
      </c>
      <c r="T750" s="1">
        <f ca="1">IF(ISERROR(F734),"",VLOOKUP(A734,INDIRECT($F$8),7+(O750-1)*3))</f>
        <v>50</v>
      </c>
      <c r="U750" s="1">
        <f ca="1">IF(ISERROR(F734),"",VLOOKUP(A734,INDIRECT($F$8),8+(O750-1)*3))</f>
        <v>75</v>
      </c>
      <c r="V750" s="1"/>
      <c r="W750" s="1">
        <f ca="1">IF(ISERROR(F734),"",IF(ISTEXT(VLOOKUP(B734,INDIRECT($F$8),6+(O750-1)*3)),11,IF(VLOOKUP(B734,INDIRECT($F$8),6+(O750-1)*3)&lt;S750*0.3,IF(VLOOKUP(B734,INDIRECT($F$8),8+(O750-1)*3)&lt;U750*0.4,IF(AND(0.4*U750-VLOOKUP(B734,INDIRECT($F$8),8+(O750-1)*3)&lt;=5,0.3*S750-VLOOKUP(B734,INDIRECT($F$8),6+(O750-1)*3)&lt;=5),MAX(0.4*U750-VLOOKUP(B734,INDIRECT($F$8),8+(O750-1)*3),0.3*S750-VLOOKUP(B734,INDIRECT($F$8),6+(O750-1)*3)),11),IF(0.3*S750-VLOOKUP(B734,INDIRECT($F$8),6+(O750-1)*3)&lt;=5,0.3*S750-VLOOKUP(B734,INDIRECT($F$8),6+(O750-1)*3),11)),IF(VLOOKUP(B734,INDIRECT($F$8),8+(O750-1)*3)&lt;U750*0.4,IF(U750*0.4-VLOOKUP(B734,INDIRECT($F$8),8+(O750-1)*3)&lt;=5,U750*0.4-VLOOKUP(B734,INDIRECT($F$8),8+(O750-1)*3),11),0))))</f>
        <v>0</v>
      </c>
      <c r="X750" s="1" t="str">
        <f ca="1">IF(ISERROR(F734),"",IF(W750=0,"",_xlfn.TEXTJOIN("",FALSE," G+",W750," in ",A750)))</f>
        <v/>
      </c>
    </row>
    <row r="751" spans="1:24" ht="12.5" customHeight="1" x14ac:dyDescent="0.2">
      <c r="A751" s="7" t="str">
        <f ca="1">IF(ISERROR(F734),"",VLOOKUP(C734,INDIRECT($F$8),6+(O751-1)*3-Y751,0))</f>
        <v>GP 01</v>
      </c>
      <c r="B751" s="24" t="str">
        <f ca="1">IF(ISERROR(F734),"",VLOOKUP(D734,INDIRECT($F$8),6+(O751-1)*3-Z751,0))</f>
        <v>General Proficiency ($)</v>
      </c>
      <c r="C751" s="24"/>
      <c r="D751" s="24"/>
      <c r="E751" s="24"/>
      <c r="F751" s="7">
        <f ca="1">IF(ISERROR(F734),"",VLOOKUP(E734,INDIRECT($F$8),6+(O751-1)*3-AA751,0))</f>
        <v>0</v>
      </c>
      <c r="G751" s="25" t="str">
        <f ca="1">IF(ISERROR(F734),"","-")</f>
        <v>-</v>
      </c>
      <c r="H751" s="25"/>
      <c r="I751" s="25" t="str">
        <f ca="1">IF(ISERROR(F734),"",_xlfn.TEXTJOIN("/",FALSE,Q751,T751))</f>
        <v>47/50</v>
      </c>
      <c r="J751" s="25"/>
      <c r="K751" s="25" t="str">
        <f ca="1">IF(ISERROR(F734),"",_xlfn.TEXTJOIN("/",FALSE,R751,U751))</f>
        <v>47/50</v>
      </c>
      <c r="L751" s="25"/>
      <c r="M751" s="25" t="str">
        <f ca="1">IF(ISBLANK(R751),"",IF(ISTEXT(R751),R751,IF(R751&gt;=0.8*U751,"Excellent",IF(R751&gt;=0.6*U751,"Very Good",IF(R751&gt;=0.4*U751,"Good",IF(R751&gt;=0.2*U751,"Satisfactory","Average"))))))</f>
        <v>Excellent</v>
      </c>
      <c r="N751" s="25"/>
      <c r="O751">
        <f t="shared" ca="1" si="68"/>
        <v>14</v>
      </c>
      <c r="P751" s="1">
        <f ca="1">IF(ISERROR(F734),"",IF(ISTEXT(VLOOKUP(B\28,INDIRECT($F$8),6+(O751-1)*3)),(VLOOKUP(B734,INDIRECT($F$8),6+(O751-1)*3)),SUM(VLOOKUP(B734,INDIRECT($F$8),6+(O751-1)*3),IF(W752,W752,0))))</f>
        <v>0</v>
      </c>
      <c r="Q751" s="1">
        <f ca="1">IF(ISERROR(F734),"",VLOOKUP(B734,INDIRECT($F$8),7+(O751-1)*3))</f>
        <v>47</v>
      </c>
      <c r="R751" s="1">
        <f ca="1">IF(ISERROR(F734),"",SUM(P751:Q751))</f>
        <v>47</v>
      </c>
      <c r="S751" s="1">
        <f ca="1">IF(ISERROR(F734),"",VLOOKUP(A734,INDIRECT($F$8),6+(O751-1)*3))</f>
        <v>0</v>
      </c>
      <c r="T751" s="1">
        <f ca="1">IF(ISERROR(F734),"",VLOOKUP(A734,INDIRECT($F$8),7+(O751-1)*3))</f>
        <v>50</v>
      </c>
      <c r="U751" s="1">
        <f ca="1">IF(ISERROR(F734),"",VLOOKUP(A734,INDIRECT($F$8),8+(O751-1)*3))</f>
        <v>50</v>
      </c>
      <c r="V751" s="1"/>
      <c r="W751" s="1"/>
      <c r="X751" s="1" t="str">
        <f ca="1">IF(ISERROR(F734),"",IF(W751=0,"",_xlfn.TEXTJOIN("",FALSE," G+",W751," in ",A751)))</f>
        <v/>
      </c>
    </row>
    <row r="752" spans="1:24" ht="12.5" customHeight="1" x14ac:dyDescent="0.2">
      <c r="A752" s="26" t="str">
        <f ca="1">IF(ISERROR(F734),"",A730)</f>
        <v>Total Credits/ Marks/ Total Grade Points</v>
      </c>
      <c r="B752" s="26"/>
      <c r="C752" s="26"/>
      <c r="D752" s="26"/>
      <c r="E752" s="26"/>
      <c r="F752" s="10">
        <f ca="1">IF(ISERROR(F734),"",SUM(F739:F750))</f>
        <v>23</v>
      </c>
      <c r="G752" s="27" t="str">
        <f ca="1">IF(ISERROR(F734),"",_xlfn.TEXTJOIN("/",TRUE,SUMIF(F739:F751,"&gt;0",P739:P751),SUMIF(F739:F751,"&gt;0",S739:S751)))</f>
        <v>330/575</v>
      </c>
      <c r="H752" s="27"/>
      <c r="I752" s="27" t="str">
        <f ca="1">IF(ISERROR(F734),"",_xlfn.TEXTJOIN("/",TRUE,SUMIF(F739:F751,"&gt;0",Q739:Q751),SUMIF(F739:F751,"&gt;0",T739:T751)))</f>
        <v>281/375</v>
      </c>
      <c r="J752" s="27"/>
      <c r="K752" s="27" t="str">
        <f ca="1">IF(ISERROR(F734),"",_xlfn.TEXTJOIN("/",TRUE,SUMIF(F739:F751,"&gt;0",R739:R751),SUMIF(F739:F751,"&gt;0",U739:U751)))</f>
        <v>611/950</v>
      </c>
      <c r="L752" s="27"/>
      <c r="M752" s="26">
        <f ca="1">IF(ISERROR(F734),"",SUMPRODUCT(N739:N750,F739:F750))</f>
        <v>141</v>
      </c>
      <c r="N752" s="26"/>
      <c r="V752" s="1" t="str">
        <f ca="1">IF(ISERROR(F734),"",_xlfn.TEXTJOIN(", ",TRUE,V739:V751))</f>
        <v>AHT 003</v>
      </c>
      <c r="W752" t="b">
        <f ca="1">IF(ISERROR(F734),"",IF(SUM(W739:W751)&lt;=W738,TRUE,FALSE))</f>
        <v>0</v>
      </c>
      <c r="X752" s="1" t="str">
        <f ca="1">IF(ISERROR(F734),"",_xlfn.TEXTJOIN(",",TRUE,X739:X751))</f>
        <v xml:space="preserve"> G+11 in AHT 003</v>
      </c>
    </row>
    <row r="753" spans="1:24" ht="12.5" customHeight="1" x14ac:dyDescent="0.2">
      <c r="A753" s="26" t="str">
        <f ca="1">IF(ISERROR(F734),"",A731)</f>
        <v>Result:</v>
      </c>
      <c r="B753" s="28" t="str" cm="1">
        <f t="array" aca="1" ref="B753" ca="1">IF(SUM(COUNTIF(M739:M750,{"Ab","Dt"}))=12, "Not Promoted to IInd Semester", IF(V752="", "PASS", "CARRY OVER"))</f>
        <v>CARRY OVER</v>
      </c>
      <c r="C753" s="28"/>
      <c r="D753" s="26" t="str">
        <f ca="1">IF(ISERROR(F734),"",D731)</f>
        <v>Remark:</v>
      </c>
      <c r="E753" s="28" t="str">
        <f ca="1">IF(ISERROR(F734),"",IF(V752="",IF(X752="","",X752),_xlfn.TEXTJOIN(" ",TRUE,"BACK IN",V752)))</f>
        <v>BACK IN AHT 003</v>
      </c>
      <c r="F753" s="28"/>
      <c r="G753" s="26" t="str">
        <f ca="1">IF(ISERROR(F734),"",G731)</f>
        <v>SGPA:</v>
      </c>
      <c r="H753" s="29">
        <f ca="1">IF(ISERROR(F734),"",M752/F752)</f>
        <v>6.1304347826086953</v>
      </c>
      <c r="I753" s="26" t="str">
        <f ca="1">IF(ISERROR(F734),"",I731)</f>
        <v>CGPA:</v>
      </c>
      <c r="J753" s="29">
        <f ca="1">IF(ISERROR(F734),"",VLOOKUP(B734,INDIRECT($F$8),12+(O751-1)*3,0))</f>
        <v>6.1304347826086953</v>
      </c>
      <c r="K753" s="28" t="str">
        <f ca="1">IF(ISERROR(F734),"",K731)</f>
        <v>Earned Credits:</v>
      </c>
      <c r="L753" s="26">
        <f ca="1">IF(ISERROR(F734),"",SUMIF(N739:N750,"&gt;0",F739:F750))</f>
        <v>19</v>
      </c>
      <c r="M753" s="28" t="str">
        <f ca="1">IF(ISERROR(F734),"",M731)</f>
        <v>Cuml. Earned Credits:</v>
      </c>
      <c r="N753" s="26">
        <f ca="1">IF(ISERROR(F734),"",VLOOKUP(B734,INDIRECT($F$8),10+(O751-1)*3,0))</f>
        <v>19</v>
      </c>
    </row>
    <row r="754" spans="1:24" ht="12.5" customHeight="1" x14ac:dyDescent="0.2">
      <c r="A754" s="26"/>
      <c r="B754" s="28"/>
      <c r="C754" s="28"/>
      <c r="D754" s="26"/>
      <c r="E754" s="28"/>
      <c r="F754" s="28"/>
      <c r="G754" s="26"/>
      <c r="H754" s="29"/>
      <c r="I754" s="26"/>
      <c r="J754" s="29"/>
      <c r="K754" s="28"/>
      <c r="L754" s="26"/>
      <c r="M754" s="28"/>
      <c r="N754" s="26"/>
    </row>
    <row r="755" spans="1:24" ht="12.5" customHeight="1" x14ac:dyDescent="0.2">
      <c r="A755" s="26"/>
      <c r="B755" s="28"/>
      <c r="C755" s="28"/>
      <c r="D755" s="26"/>
      <c r="E755" s="28"/>
      <c r="F755" s="28"/>
      <c r="G755" s="26"/>
      <c r="H755" s="29"/>
      <c r="I755" s="26"/>
      <c r="J755" s="29"/>
      <c r="K755" s="28"/>
      <c r="L755" s="26"/>
      <c r="M755" s="28"/>
      <c r="N755" s="26"/>
    </row>
    <row r="756" spans="1:24" ht="12.5" customHeight="1" x14ac:dyDescent="0.2">
      <c r="A756" s="11" t="str">
        <f>A734</f>
        <v>MM</v>
      </c>
      <c r="B756" s="11">
        <f>B734+1</f>
        <v>35</v>
      </c>
      <c r="C756" s="11" t="str">
        <f>C734</f>
        <v>SC</v>
      </c>
      <c r="D756" s="11" t="str">
        <f>D734</f>
        <v>SN</v>
      </c>
      <c r="E756" s="11" t="str">
        <f>E734</f>
        <v>C</v>
      </c>
      <c r="F756" s="11" t="str">
        <f ca="1">VLOOKUP(B756,INDIRECT($F$8),4,0)</f>
        <v>SUHANI RAWAT</v>
      </c>
    </row>
    <row r="757" spans="1:24" ht="12.5" customHeight="1" x14ac:dyDescent="0.2">
      <c r="A757" s="30" t="str">
        <f ca="1">IF(ISERROR(F756),"",A735)</f>
        <v>Name:</v>
      </c>
      <c r="B757" s="30" t="str">
        <f ca="1">IFERROR(VLOOKUP(B756,INDIRECT($F$8),4,0),"")</f>
        <v>SUHANI RAWAT</v>
      </c>
      <c r="C757" s="30"/>
      <c r="D757" s="30" t="str">
        <f ca="1">IF(ISERROR(F756),"",D735)</f>
        <v>Father's Name:</v>
      </c>
      <c r="E757" s="30" t="str">
        <f ca="1">IFERROR(VLOOKUP(B756,INDIRECT($F$8),5,0),"")</f>
        <v>YOGAMBER SINGH</v>
      </c>
      <c r="F757" s="30"/>
      <c r="G757" s="30" t="str">
        <f ca="1">IF(ISERROR(F756),"",G735)</f>
        <v>University Roll No:</v>
      </c>
      <c r="H757" s="30"/>
      <c r="I757" s="31">
        <f ca="1">IFERROR(VLOOKUP(B756,INDIRECT($F$8),2,0),"")</f>
        <v>250090120036</v>
      </c>
      <c r="J757" s="31"/>
      <c r="K757" s="30" t="str">
        <f ca="1">IF(ISERROR(F756),"",K735)</f>
        <v>University Enrol. No:</v>
      </c>
      <c r="L757" s="30"/>
      <c r="M757" s="31" t="str">
        <f ca="1">IFERROR(VLOOKUP(B756,INDIRECT($F$8),3,0),"")</f>
        <v>UTU/2501103788</v>
      </c>
      <c r="N757" s="31"/>
    </row>
    <row r="758" spans="1:24" ht="12.5" customHeight="1" x14ac:dyDescent="0.2">
      <c r="A758" s="30"/>
      <c r="B758" s="30"/>
      <c r="C758" s="30"/>
      <c r="D758" s="30"/>
      <c r="E758" s="30"/>
      <c r="F758" s="30"/>
      <c r="G758" s="30"/>
      <c r="H758" s="30"/>
      <c r="I758" s="31"/>
      <c r="J758" s="31"/>
      <c r="K758" s="30"/>
      <c r="L758" s="30"/>
      <c r="M758" s="31"/>
      <c r="N758" s="31"/>
    </row>
    <row r="759" spans="1:24" ht="12.5" customHeight="1" x14ac:dyDescent="0.2">
      <c r="A759" s="28" t="str">
        <f ca="1">IF(ISERROR(F756),"",A737)</f>
        <v>Subject Code</v>
      </c>
      <c r="B759" s="28" t="str">
        <f ca="1">IF(ISERROR(F756),"",B737)</f>
        <v>Subject Name</v>
      </c>
      <c r="C759" s="28"/>
      <c r="D759" s="28"/>
      <c r="E759" s="28"/>
      <c r="F759" s="28" t="str">
        <f ca="1">IF(ISERROR(F756),"",F737)</f>
        <v>Credits</v>
      </c>
      <c r="G759" s="28" t="str">
        <f ca="1">IF(ISERROR(F756),"",G737)</f>
        <v>External Marks</v>
      </c>
      <c r="H759" s="28"/>
      <c r="I759" s="28" t="str">
        <f ca="1">IF(ISERROR(F756),"",I737)</f>
        <v>Sessional Marks</v>
      </c>
      <c r="J759" s="28"/>
      <c r="K759" s="28" t="str">
        <f ca="1">IF(ISERROR(F756),"",K737)</f>
        <v>Total Marks</v>
      </c>
      <c r="L759" s="28"/>
      <c r="M759" s="28" t="str">
        <f ca="1">IF(ISERROR(F756),"",M737)</f>
        <v>Grade</v>
      </c>
      <c r="N759" s="28" t="str">
        <f ca="1">IF(ISERROR(F756),"",N737)</f>
        <v>Grade Points</v>
      </c>
    </row>
    <row r="760" spans="1:24" ht="12.5" customHeight="1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W760">
        <f ca="1">IF(ISNUMBER(MATCH($F$8,{"I","III","V","VII"},0)),10,10-INDEX(INDIRECT(_xlfn.TEXTJOIN("",TRUE,"SEM_",$G$8,"!",ADDRESS(6,4+$I$8*3+4),":",ADDRESS(5+$H$8,4+$I$8*3+4))),MATCH(INDIRECT(_xlfn.TEXTJOIN("",TRUE,"TC_",$F$8,"!",ADDRESS(ROW(I757),COLUMN(I757)))),INDIRECT(_xlfn.TEXTJOIN("",TRUE,"SEM_",$G$8,"!",ADDRESS(6,2),":",ADDRESS(5+$H$8,2))))))</f>
        <v>10</v>
      </c>
    </row>
    <row r="761" spans="1:24" ht="12.5" customHeight="1" x14ac:dyDescent="0.2">
      <c r="A761" s="7" t="str">
        <f ca="1">IF(ISERROR(F756),"",VLOOKUP(C756,INDIRECT($F$8),6+(O761-1)*3,0))</f>
        <v>AHT 002</v>
      </c>
      <c r="B761" s="24" t="str">
        <f ca="1">IF(ISERROR(F756),"",VLOOKUP(D756,INDIRECT($F$8),6+(O761-1)*3,0))</f>
        <v>Engineering Chemistry</v>
      </c>
      <c r="C761" s="24"/>
      <c r="D761" s="24"/>
      <c r="E761" s="24"/>
      <c r="F761" s="7">
        <f ca="1">IF(ISERROR(F756),"",VLOOKUP(E756,INDIRECT($F$8),6+(O761-1)*3,0))</f>
        <v>4</v>
      </c>
      <c r="G761" s="25" t="str">
        <f ca="1">IF(ISERROR(F756),"",_xlfn.TEXTJOIN("/",FALSE,P761,S761))</f>
        <v>69/100</v>
      </c>
      <c r="H761" s="25"/>
      <c r="I761" s="25" t="str">
        <f ca="1">IF(ISERROR(F756),"",_xlfn.TEXTJOIN("/",FALSE,Q761,T761))</f>
        <v>36/50</v>
      </c>
      <c r="J761" s="25"/>
      <c r="K761" s="25" t="str">
        <f ca="1">IF(ISERROR(F756),"",_xlfn.TEXTJOIN("/",FALSE,R761,U761))</f>
        <v>105/150</v>
      </c>
      <c r="L761" s="25"/>
      <c r="M761" s="7" t="str">
        <f ca="1">IF(ISERROR(F756),"",IF(ISTEXT(P761),IF(P761="A","Ab",IF(P761="D","Dt",IF(P761="UFM","UFM",IF(P761="NA","")))),IF(AND(ISBLANK(P761),ISBLANK(R761)),"",IF(P761&lt;0.3*S761,"F",IF(ISBLANK(R761),"",IF(ISTEXT(R761),R761,IF(R761&gt;=0.95*U761,"O",IF(R761&gt;=0.9*U761,"A+",IF(R761&gt;=0.85*U761,"A",IF(R761&gt;=0.8*U761,"B+",IF(R761&gt;=0.75*U761,"B",IF(R761&gt;=0.7*U761,"C+",IF(R761&gt;=0.65*U761,"C",IF(R761&gt;=0.6*U761,"D+",IF(R761&gt;=0.55*U761,"D",IF(R761&gt;=0.5*U761,"E+",IF(R761&gt;=0.45*U761,"E",IF(R761&gt;=0.4*U761,"P",IF(R761&lt;0.4*U761,"F",R761)))))))))))))))))))</f>
        <v>C+</v>
      </c>
      <c r="N761" s="8">
        <f ca="1">INDEX($Z$2:$Z$17,MATCH(M761,$Y$2:$Y$17,0))</f>
        <v>7.5</v>
      </c>
      <c r="O761">
        <v>1</v>
      </c>
      <c r="P761" s="1">
        <f ca="1">IF(ISERROR(F756),"",IF(ISTEXT(VLOOKUP(B756,INDIRECT($F$8),6+(O761-1)*3)),(VLOOKUP(B756,INDIRECT($F$8),6+(O761-1)*3)),SUM(VLOOKUP(B756,INDIRECT($F$8),6+(O761-1)*3),IF(W774,W761,0))))</f>
        <v>69</v>
      </c>
      <c r="Q761" s="1">
        <f ca="1">IF(ISERROR(F756),"",VLOOKUP(B756,INDIRECT($F$8),7+(O761-1)*3))</f>
        <v>36</v>
      </c>
      <c r="R761" s="1">
        <f ca="1">IF(ISERROR(F756),"",SUM(P761:Q761))</f>
        <v>105</v>
      </c>
      <c r="S761" s="1">
        <f ca="1">IF(ISERROR(F756),"",VLOOKUP(A756,INDIRECT($F$8),6+(O761-1)*3))</f>
        <v>100</v>
      </c>
      <c r="T761" s="1">
        <f ca="1">IF(ISERROR(F756),"",VLOOKUP(A756,INDIRECT($F$8),7+(O761-1)*3))</f>
        <v>50</v>
      </c>
      <c r="U761" s="1">
        <f ca="1">IF(ISERROR(F756),"",VLOOKUP(A756,INDIRECT($F$8),8+(O761-1)*3))</f>
        <v>150</v>
      </c>
      <c r="V761" s="1" t="str">
        <f ca="1">IF(ISERROR(F756),"",IF(N761=0,A761,""))</f>
        <v/>
      </c>
      <c r="W761" s="1">
        <f ca="1">IF(ISERROR(F756),"",IF(ISTEXT(VLOOKUP(B756,INDIRECT($F$8),6+(O761-1)*3)),11,IF(VLOOKUP(B756,INDIRECT($F$8),6+(O761-1)*3)&lt;S761*0.3,IF(VLOOKUP(B756,INDIRECT($F$8),8+(O761-1)*3)&lt;U761*0.4,IF(AND(0.4*U761-VLOOKUP(B756,INDIRECT($F$8),8+(O761-1)*3)&lt;=5,0.3*S761-VLOOKUP(B756,INDIRECT($F$8),6+(O761-1)*3)&lt;=5),MAX(0.4*U761-VLOOKUP(B756,INDIRECT($F$8),8+(O761-1)*3),0.3*S761-VLOOKUP(B756,INDIRECT($F$8),6+(O761-1)*3)),11),IF(0.3*S761-VLOOKUP(B756,INDIRECT($F$8),6+(O761-1)*3)&lt;=5,0.3*S761-VLOOKUP(B756,INDIRECT($F$8),6+(O761-1)*3),11)),IF(VLOOKUP(B756,INDIRECT($F$8),8+(O761-1)*3)&lt;U761*0.4,IF(U761*0.4-VLOOKUP(B756,INDIRECT($F$8),8+(O761-1)*3)&lt;=5,U761*0.4-VLOOKUP(B756,INDIRECT($F$8),8+(O761-1)*3),11),0))))</f>
        <v>0</v>
      </c>
      <c r="X761" s="1" t="str">
        <f ca="1">IF(ISERROR(F756),"",IF(W761=0,"",_xlfn.TEXTJOIN("",FALSE," G+",W761," in ",A761)))</f>
        <v/>
      </c>
    </row>
    <row r="762" spans="1:24" ht="12.5" customHeight="1" x14ac:dyDescent="0.2">
      <c r="A762" s="7" t="str">
        <f ca="1">IF(ISERROR(F756),"",VLOOKUP(C756,INDIRECT($F$8),6+(O762-1)*3,0))</f>
        <v>AHT 003</v>
      </c>
      <c r="B762" s="24" t="str">
        <f ca="1">IF(ISERROR(F756),"",VLOOKUP(D756,INDIRECT($F$8),6+(O762-1)*3,0))</f>
        <v>Introduction to Engineering Mathematics</v>
      </c>
      <c r="C762" s="24"/>
      <c r="D762" s="24"/>
      <c r="E762" s="24"/>
      <c r="F762" s="7">
        <f ca="1">IF(ISERROR(F756),"",VLOOKUP(E756,INDIRECT($F$8),6+(O762-1)*3,0))</f>
        <v>4</v>
      </c>
      <c r="G762" s="25" t="str">
        <f ca="1">IF(ISERROR(F756),"",_xlfn.TEXTJOIN("/",FALSE,P762,S762))</f>
        <v>25/100</v>
      </c>
      <c r="H762" s="25"/>
      <c r="I762" s="25" t="str">
        <f ca="1">IF(ISERROR(F756),"",_xlfn.TEXTJOIN("/",FALSE,Q762,T762))</f>
        <v>25/50</v>
      </c>
      <c r="J762" s="25"/>
      <c r="K762" s="25" t="str">
        <f ca="1">IF(ISERROR(F756),"",_xlfn.TEXTJOIN("/",FALSE,R762,U762))</f>
        <v>50/150</v>
      </c>
      <c r="L762" s="25"/>
      <c r="M762" s="7" t="str">
        <f ca="1">IF(ISERROR(F756),"",IF(ISTEXT(P762),IF(P762="A","Ab",IF(P762="D","Dt",IF(P762="UFM","UFM",IF(P762="NA","")))),IF(AND(ISBLANK(P762),ISBLANK(R762)),"",IF(P762&lt;0.3*S762,"F",IF(ISBLANK(R762),"",IF(ISTEXT(R762),R762,IF(R762&gt;=0.95*U762,"O",IF(R762&gt;=0.9*U762,"A+",IF(R762&gt;=0.85*U762,"A",IF(R762&gt;=0.8*U762,"B+",IF(R762&gt;=0.75*U762,"B",IF(R762&gt;=0.7*U762,"C+",IF(R762&gt;=0.65*U762,"C",IF(R762&gt;=0.6*U762,"D+",IF(R762&gt;=0.55*U762,"D",IF(R762&gt;=0.5*U762,"E+",IF(R762&gt;=0.45*U762,"E",IF(R762&gt;=0.4*U762,"P",IF(R762&lt;0.4*U762,"F",R762)))))))))))))))))))</f>
        <v>F</v>
      </c>
      <c r="N762" s="8">
        <f t="shared" ref="N762:N771" ca="1" si="69">INDEX($Z$2:$Z$17,MATCH(M762,$Y$2:$Y$17,0))</f>
        <v>0</v>
      </c>
      <c r="O762">
        <f>O761+1</f>
        <v>2</v>
      </c>
      <c r="P762" s="1">
        <f ca="1">IF(ISERROR(F756),"",IF(ISTEXT(VLOOKUP(B756,INDIRECT($F$8),6+(O762-1)*3)),(VLOOKUP(B756,INDIRECT($F$8),6+(O762-1)*3)),SUM(VLOOKUP(B756,INDIRECT($F$8),6+(O762-1)*3),IF(W774,W762,0))))</f>
        <v>25</v>
      </c>
      <c r="Q762" s="1">
        <f ca="1">IF(ISERROR(F756),"",VLOOKUP(B756,INDIRECT($F$8),7+(O762-1)*3))</f>
        <v>25</v>
      </c>
      <c r="R762" s="1">
        <f ca="1">IF(ISERROR(F756),"",SUM(P762:Q762))</f>
        <v>50</v>
      </c>
      <c r="S762" s="1">
        <f ca="1">IF(ISERROR(F756),"",VLOOKUP(A756,INDIRECT($F$8),6+(O762-1)*3))</f>
        <v>100</v>
      </c>
      <c r="T762" s="1">
        <f ca="1">IF(ISERROR(F756),"",VLOOKUP(A756,INDIRECT($F$8),7+(O762-1)*3))</f>
        <v>50</v>
      </c>
      <c r="U762" s="1">
        <f ca="1">IF(ISERROR(F756),"",VLOOKUP(A756,INDIRECT($F$8),8+(O762-1)*3))</f>
        <v>150</v>
      </c>
      <c r="V762" s="1" t="str">
        <f ca="1">IF(ISERROR(F756),"",IF(N762=0,A762,""))</f>
        <v>AHT 003</v>
      </c>
      <c r="W762" s="1">
        <f ca="1">IF(ISERROR(F756),"",IF(ISTEXT(VLOOKUP(B756,INDIRECT($F$8),6+(O762-1)*3)),11,IF(VLOOKUP(B756,INDIRECT($F$8),6+(O762-1)*3)&lt;S762*0.3,IF(VLOOKUP(B756,INDIRECT($F$8),8+(O762-1)*3)&lt;U762*0.4,IF(AND(0.4*U762-VLOOKUP(B756,INDIRECT($F$8),8+(O762-1)*3)&lt;=5,0.3*S762-VLOOKUP(B756,INDIRECT($F$8),6+(O762-1)*3)&lt;=5),MAX(0.4*U762-VLOOKUP(B756,INDIRECT($F$8),8+(O762-1)*3),0.3*S762-VLOOKUP(B756,INDIRECT($F$8),6+(O762-1)*3)),11),IF(0.3*S762-VLOOKUP(B756,INDIRECT($F$8),6+(O762-1)*3)&lt;=5,0.3*S762-VLOOKUP(B756,INDIRECT($F$8),6+(O762-1)*3),11)),IF(VLOOKUP(B756,INDIRECT($F$8),8+(O762-1)*3)&lt;U762*0.4,IF(U762*0.4-VLOOKUP(B756,INDIRECT($F$8),8+(O762-1)*3)&lt;=5,U762*0.4-VLOOKUP(B756,INDIRECT($F$8),8+(O762-1)*3),11),0))))</f>
        <v>11</v>
      </c>
      <c r="X762" s="1" t="str">
        <f ca="1">IF(ISERROR(F756),"",IF(W762=0,"",_xlfn.TEXTJOIN("",FALSE," G+",W762," in ",A762)))</f>
        <v xml:space="preserve"> G+11 in AHT 003</v>
      </c>
    </row>
    <row r="763" spans="1:24" ht="12.5" customHeight="1" x14ac:dyDescent="0.2">
      <c r="A763" s="7" t="str">
        <f ca="1">IF(ISERROR(F756),"",VLOOKUP(C756,INDIRECT($F$8),6+(O763-1)*3,0))</f>
        <v>ECT 001</v>
      </c>
      <c r="B763" s="24" t="str">
        <f ca="1">IF(ISERROR(F756),"",VLOOKUP(D756,INDIRECT($F$8),6+(O763-1)*3,0))</f>
        <v>Basic Electronics Engineering</v>
      </c>
      <c r="C763" s="24"/>
      <c r="D763" s="24"/>
      <c r="E763" s="24"/>
      <c r="F763" s="7">
        <f ca="1">IF(ISERROR(F756),"",VLOOKUP(E756,INDIRECT($F$8),6+(O763-1)*3,0))</f>
        <v>4</v>
      </c>
      <c r="G763" s="25" t="str">
        <f ca="1">IF(ISERROR(F756),"",_xlfn.TEXTJOIN("/",FALSE,P763,S763))</f>
        <v>69/100</v>
      </c>
      <c r="H763" s="25"/>
      <c r="I763" s="25" t="str">
        <f ca="1">IF(ISERROR(F756),"",_xlfn.TEXTJOIN("/",FALSE,Q763,T763))</f>
        <v>48/50</v>
      </c>
      <c r="J763" s="25"/>
      <c r="K763" s="25" t="str">
        <f ca="1">IF(ISERROR(F756),"",_xlfn.TEXTJOIN("/",FALSE,R763,U763))</f>
        <v>117/150</v>
      </c>
      <c r="L763" s="25"/>
      <c r="M763" s="7" t="str">
        <f ca="1">IF(ISERROR(F756),"",IF(ISTEXT(P763),IF(P763="A","Ab",IF(P763="D","Dt",IF(P763="UFM","UFM",IF(P763="NA","")))),IF(AND(ISBLANK(P763),ISBLANK(R763)),"",IF(P763&lt;0.3*S763,"F",IF(ISBLANK(R763),"",IF(ISTEXT(R763),R763,IF(R763&gt;=0.95*U763,"O",IF(R763&gt;=0.9*U763,"A+",IF(R763&gt;=0.85*U763,"A",IF(R763&gt;=0.8*U763,"B+",IF(R763&gt;=0.75*U763,"B",IF(R763&gt;=0.7*U763,"C+",IF(R763&gt;=0.65*U763,"C",IF(R763&gt;=0.6*U763,"D+",IF(R763&gt;=0.55*U763,"D",IF(R763&gt;=0.5*U763,"E+",IF(R763&gt;=0.45*U763,"E",IF(R763&gt;=0.4*U763,"P",IF(R763&lt;0.4*U763,"F",R763)))))))))))))))))))</f>
        <v>B</v>
      </c>
      <c r="N763" s="8">
        <f t="shared" ca="1" si="69"/>
        <v>8</v>
      </c>
      <c r="O763">
        <f>O762+1</f>
        <v>3</v>
      </c>
      <c r="P763" s="1">
        <f ca="1">IF(ISERROR(F756),"",IF(ISTEXT(VLOOKUP(B756,INDIRECT($F$8),6+(O763-1)*3)),(VLOOKUP(B756,INDIRECT($F$8),6+(O763-1)*3)),SUM(VLOOKUP(B756,INDIRECT($F$8),6+(O763-1)*3),IF(W774,W763,0))))</f>
        <v>69</v>
      </c>
      <c r="Q763" s="1">
        <f ca="1">IF(ISERROR(F756),"",VLOOKUP(B756,INDIRECT($F$8),7+(O763-1)*3))</f>
        <v>48</v>
      </c>
      <c r="R763" s="1">
        <f ca="1">IF(ISERROR(F756),"",SUM(P763:Q763))</f>
        <v>117</v>
      </c>
      <c r="S763" s="1">
        <f ca="1">IF(ISERROR(F756),"",VLOOKUP(A756,INDIRECT($F$8),6+(O763-1)*3))</f>
        <v>100</v>
      </c>
      <c r="T763" s="1">
        <f ca="1">IF(ISERROR(F756),"",VLOOKUP(A756,INDIRECT($F$8),7+(O763-1)*3))</f>
        <v>50</v>
      </c>
      <c r="U763" s="1">
        <f ca="1">IF(ISERROR(F756),"",VLOOKUP(A756,INDIRECT($F$8),8+(O763-1)*3))</f>
        <v>150</v>
      </c>
      <c r="V763" s="1" t="str">
        <f ca="1">IF(ISERROR(F756),"",IF(N763=0,A763,""))</f>
        <v/>
      </c>
      <c r="W763" s="1">
        <f ca="1">IF(ISERROR(F756),"",IF(ISTEXT(VLOOKUP(B756,INDIRECT($F$8),6+(O763-1)*3)),11,IF(VLOOKUP(B756,INDIRECT($F$8),6+(O763-1)*3)&lt;S763*0.3,IF(VLOOKUP(B756,INDIRECT($F$8),8+(O763-1)*3)&lt;U763*0.4,IF(AND(0.4*U763-VLOOKUP(B756,INDIRECT($F$8),8+(O763-1)*3)&lt;=5,0.3*S763-VLOOKUP(B756,INDIRECT($F$8),6+(O763-1)*3)&lt;=5),MAX(0.4*U763-VLOOKUP(B756,INDIRECT($F$8),8+(O763-1)*3),0.3*S763-VLOOKUP(B756,INDIRECT($F$8),6+(O763-1)*3)),11),IF(0.3*S763-VLOOKUP(B756,INDIRECT($F$8),6+(O763-1)*3)&lt;=5,0.3*S763-VLOOKUP(B756,INDIRECT($F$8),6+(O763-1)*3),11)),IF(VLOOKUP(B756,INDIRECT($F$8),8+(O763-1)*3)&lt;U763*0.4,IF(U763*0.4-VLOOKUP(B756,INDIRECT($F$8),8+(O763-1)*3)&lt;=5,U763*0.4-VLOOKUP(B756,INDIRECT($F$8),8+(O763-1)*3),11),0))))</f>
        <v>0</v>
      </c>
      <c r="X763" s="1" t="str">
        <f ca="1">IF(ISERROR(F756),"",IF(W763=0,"",_xlfn.TEXTJOIN("",FALSE," G+",W763," in ",A763)))</f>
        <v/>
      </c>
    </row>
    <row r="764" spans="1:24" ht="12.5" customHeight="1" x14ac:dyDescent="0.2">
      <c r="A764" s="7" t="str">
        <f ca="1">IF(ISERROR(F756),"",VLOOKUP(C756,INDIRECT($F$8),6+(O764-1)*3,0))</f>
        <v>MET 001</v>
      </c>
      <c r="B764" s="24" t="str">
        <f ca="1">IF(ISERROR(F756),"",VLOOKUP(D756,INDIRECT($F$8),6+(O764-1)*3,0))</f>
        <v>Basic Mechanical Engineering</v>
      </c>
      <c r="C764" s="24"/>
      <c r="D764" s="24"/>
      <c r="E764" s="24"/>
      <c r="F764" s="7">
        <f ca="1">IF(ISERROR(F756),"",VLOOKUP(E756,INDIRECT($F$8),6+(O764-1)*3,0))</f>
        <v>4</v>
      </c>
      <c r="G764" s="25" t="str">
        <f ca="1">IF(ISERROR(F756),"",_xlfn.TEXTJOIN("/",FALSE,P764,S764))</f>
        <v>61/100</v>
      </c>
      <c r="H764" s="25"/>
      <c r="I764" s="25" t="str">
        <f ca="1">IF(ISERROR(F756),"",_xlfn.TEXTJOIN("/",FALSE,Q764,T764))</f>
        <v>43/50</v>
      </c>
      <c r="J764" s="25"/>
      <c r="K764" s="25" t="str">
        <f ca="1">IF(ISERROR(F756),"",_xlfn.TEXTJOIN("/",FALSE,R764,U764))</f>
        <v>104/150</v>
      </c>
      <c r="L764" s="25"/>
      <c r="M764" s="7" t="str">
        <f ca="1">IF(ISERROR(F756),"",IF(ISTEXT(P764),IF(P764="A","Ab",IF(P764="D","Dt",IF(P764="UFM","UFM",IF(P764="NA","")))),IF(AND(ISBLANK(P764),ISBLANK(R764)),"",IF(P764&lt;0.3*S764,"F",IF(ISBLANK(R764),"",IF(ISTEXT(R764),R764,IF(R764&gt;=0.95*U764,"O",IF(R764&gt;=0.9*U764,"A+",IF(R764&gt;=0.85*U764,"A",IF(R764&gt;=0.8*U764,"B+",IF(R764&gt;=0.75*U764,"B",IF(R764&gt;=0.7*U764,"C+",IF(R764&gt;=0.65*U764,"C",IF(R764&gt;=0.6*U764,"D+",IF(R764&gt;=0.55*U764,"D",IF(R764&gt;=0.5*U764,"E+",IF(R764&gt;=0.45*U764,"E",IF(R764&gt;=0.4*U764,"P",IF(R764&lt;0.4*U764,"F",R764)))))))))))))))))))</f>
        <v>C</v>
      </c>
      <c r="N764" s="8">
        <f t="shared" ca="1" si="69"/>
        <v>7</v>
      </c>
      <c r="O764">
        <f>O763+1</f>
        <v>4</v>
      </c>
      <c r="P764" s="1">
        <f ca="1">IF(ISERROR(F756),"",IF(ISTEXT(VLOOKUP(B756,INDIRECT($F$8),6+(O764-1)*3)),(VLOOKUP(B756,INDIRECT($F$8),6+(O764-1)*3)),SUM(VLOOKUP(B756,INDIRECT($F$8),6+(O764-1)*3),IF(W774,W764,0))))</f>
        <v>61</v>
      </c>
      <c r="Q764" s="1">
        <f ca="1">IF(ISERROR(F756),"",VLOOKUP(B756,INDIRECT($F$8),7+(O764-1)*3))</f>
        <v>43</v>
      </c>
      <c r="R764" s="1">
        <f ca="1">IF(ISERROR(F756),"",SUM(P764:Q764))</f>
        <v>104</v>
      </c>
      <c r="S764" s="1">
        <f ca="1">IF(ISERROR(F756),"",VLOOKUP(A756,INDIRECT($F$8),6+(O764-1)*3))</f>
        <v>100</v>
      </c>
      <c r="T764" s="1">
        <f ca="1">IF(ISERROR(F756),"",VLOOKUP(A756,INDIRECT($F$8),7+(O764-1)*3))</f>
        <v>50</v>
      </c>
      <c r="U764" s="1">
        <f ca="1">IF(ISERROR(F756),"",VLOOKUP(A756,INDIRECT($F$8),8+(O764-1)*3))</f>
        <v>150</v>
      </c>
      <c r="V764" s="1" t="str">
        <f ca="1">IF(ISERROR(F756),"",IF(N764=0,A764,""))</f>
        <v/>
      </c>
      <c r="W764" s="1">
        <f ca="1">IF(ISERROR(F756),"",IF(ISTEXT(VLOOKUP(B756,INDIRECT($F$8),6+(O764-1)*3)),11,IF(VLOOKUP(B756,INDIRECT($F$8),6+(O764-1)*3)&lt;S764*0.3,IF(VLOOKUP(B756,INDIRECT($F$8),8+(O764-1)*3)&lt;U764*0.4,IF(AND(0.4*U764-VLOOKUP(B756,INDIRECT($F$8),8+(O764-1)*3)&lt;=5,0.3*S764-VLOOKUP(B756,INDIRECT($F$8),6+(O764-1)*3)&lt;=5),MAX(0.4*U764-VLOOKUP(B756,INDIRECT($F$8),8+(O764-1)*3),0.3*S764-VLOOKUP(B756,INDIRECT($F$8),6+(O764-1)*3)),11),IF(0.3*S764-VLOOKUP(B756,INDIRECT($F$8),6+(O764-1)*3)&lt;=5,0.3*S764-VLOOKUP(B756,INDIRECT($F$8),6+(O764-1)*3),11)),IF(VLOOKUP(B756,INDIRECT($F$8),8+(O764-1)*3)&lt;U764*0.4,IF(U764*0.4-VLOOKUP(B756,INDIRECT($F$8),8+(O764-1)*3)&lt;=5,U764*0.4-VLOOKUP(B756,INDIRECT($F$8),8+(O764-1)*3),11),0))))</f>
        <v>0</v>
      </c>
      <c r="X764" s="1" t="str">
        <f ca="1">IF(ISERROR(F756),"",IF(W764=0,"",_xlfn.TEXTJOIN("",FALSE," G+",W764," in ",A764)))</f>
        <v/>
      </c>
    </row>
    <row r="765" spans="1:24" ht="12.5" customHeight="1" x14ac:dyDescent="0.2">
      <c r="A765" s="7" t="str">
        <f ca="1">IF(ISERROR(F756),"",VLOOKUP(C756,INDIRECT($F$8),6+(O765-1)*3,0))</f>
        <v>AHT 000</v>
      </c>
      <c r="B765" s="24" t="str">
        <f ca="1">IF(ISERROR(F756),"",VLOOKUP(D756,INDIRECT($F$8),6+(O765-1)*3,0))</f>
        <v>Basic Mathematics (Bridge Course) ($)</v>
      </c>
      <c r="C765" s="24"/>
      <c r="D765" s="24"/>
      <c r="E765" s="24"/>
      <c r="F765" s="7">
        <f ca="1">IF(ISERROR(F756),"",VLOOKUP(E756,INDIRECT($F$8),6+(O765-1)*3,0))</f>
        <v>0</v>
      </c>
      <c r="G765" s="25" t="str">
        <f ca="1">IF(ISERROR(F756),"",_xlfn.TEXTJOIN("/",FALSE,P765,S765))</f>
        <v>90/100</v>
      </c>
      <c r="H765" s="25"/>
      <c r="I765" s="25" t="str">
        <f ca="1">IF(ISERROR(F756),"",_xlfn.TEXTJOIN("/",FALSE,Q765,T765))</f>
        <v>40/50</v>
      </c>
      <c r="J765" s="25"/>
      <c r="K765" s="25" t="str">
        <f ca="1">IF(ISERROR(F756),"",_xlfn.TEXTJOIN("/",FALSE,R765,U765))</f>
        <v>130/150</v>
      </c>
      <c r="L765" s="25"/>
      <c r="M765" s="7" t="str">
        <f ca="1">IF(ISERROR(F756),"",IF(ISTEXT(P765),IF(P765="A","Ab",IF(P765="D","Dt",IF(P765="UFM","UFM",IF(P765="NA","")))),IF(AND(ISBLANK(P765),ISBLANK(R765)),"",IF(P765&lt;0.3*S765,"F",IF(ISBLANK(R765),"",IF(ISTEXT(R765),R765,IF(R765&gt;=0.95*U765,"O",IF(R765&gt;=0.9*U765,"A+",IF(R765&gt;=0.85*U765,"A",IF(R765&gt;=0.8*U765,"B+",IF(R765&gt;=0.75*U765,"B",IF(R765&gt;=0.7*U765,"C+",IF(R765&gt;=0.65*U765,"C",IF(R765&gt;=0.6*U765,"D+",IF(R765&gt;=0.55*U765,"D",IF(R765&gt;=0.5*U765,"E+",IF(R765&gt;=0.45*U765,"E",IF(R765&gt;=0.4*U765,"P",IF(R765&lt;0.4*U765,"F",R765)))))))))))))))))))</f>
        <v>A</v>
      </c>
      <c r="N765" s="8">
        <f t="shared" ca="1" si="69"/>
        <v>9</v>
      </c>
      <c r="O765" cm="1">
        <f t="array" aca="1" ref="O765" ca="1">IF(NOT(ISBLANK(INDIRECT("SEM_I!R"&amp;INT((ROW(O765)-17)/22)+6))),5,
IF(NOT(ISBLANK(INDIRECT("SEM_I!U"&amp;INT((ROW(O765)-17)/22)+6))),6))</f>
        <v>5</v>
      </c>
      <c r="P765" s="1">
        <f ca="1">IF(ISERROR(F756),"",IF(ISTEXT(VLOOKUP(B756,INDIRECT($F$8),6+(O765-1)*3)),(VLOOKUP(B756,INDIRECT($F$8),6+(O765-1)*3)),SUM(VLOOKUP(B756,INDIRECT($F$8),6+(O765-1)*3),IF(W774,W765,0))))</f>
        <v>90</v>
      </c>
      <c r="Q765" s="1">
        <f ca="1">IF(ISERROR(F756),"",VLOOKUP(B756,INDIRECT($F$8),7+(O765-1)*3))</f>
        <v>40</v>
      </c>
      <c r="R765" s="1">
        <f ca="1">IF(ISERROR(F756),"",SUM(P765:Q765))</f>
        <v>130</v>
      </c>
      <c r="S765" s="1">
        <f ca="1">IF(ISERROR(F756),"",VLOOKUP(A756,INDIRECT($F$8),6+(O765-1)*3))</f>
        <v>100</v>
      </c>
      <c r="T765" s="1">
        <f ca="1">IF(ISERROR(F756),"",VLOOKUP(A756,INDIRECT($F$8),7+(O765-1)*3))</f>
        <v>50</v>
      </c>
      <c r="U765" s="1">
        <f ca="1">IF(ISERROR(F756),"",VLOOKUP(A756,INDIRECT($F$8),8+(O765-1)*3))</f>
        <v>150</v>
      </c>
      <c r="V765" s="1" t="str">
        <f ca="1">IF(ISERROR(F756),"",IF(N765=0,A765,""))</f>
        <v/>
      </c>
      <c r="W765" s="1">
        <f ca="1">IF(ISERROR(F756),"",IF(ISTEXT(VLOOKUP(B756,INDIRECT($F$8),6+(O765-1)*3)),11,IF(VLOOKUP(B756,INDIRECT($F$8),6+(O765-1)*3)&lt;S765*0.3,IF(VLOOKUP(B756,INDIRECT($F$8),8+(O765-1)*3)&lt;U765*0.4,IF(AND(0.4*U765-VLOOKUP(B756,INDIRECT($F$8),8+(O765-1)*3)&lt;=5,0.3*S765-VLOOKUP(B756,INDIRECT($F$8),6+(O765-1)*3)&lt;=5),MAX(0.4*U765-VLOOKUP(B756,INDIRECT($F$8),8+(O765-1)*3),0.3*S765-VLOOKUP(B756,INDIRECT($F$8),6+(O765-1)*3)),11),IF(0.3*S765-VLOOKUP(B756,INDIRECT($F$8),6+(O765-1)*3)&lt;=5,0.3*S765-VLOOKUP(B756,INDIRECT($F$8),6+(O765-1)*3),11)),IF(VLOOKUP(B756,INDIRECT($F$8),8+(O765-1)*3)&lt;U765*0.4,IF(U765*0.4-VLOOKUP(B756,INDIRECT($F$8),8+(O765-1)*3)&lt;=5,U765*0.4-VLOOKUP(B756,INDIRECT($F$8),8+(O765-1)*3),11),0))))</f>
        <v>0</v>
      </c>
      <c r="X765" s="1" t="str">
        <f ca="1">IF(ISERROR(F756),"",IF(W765=0,"",_xlfn.TEXTJOIN("",FALSE," G+",W765," in ",A765)))</f>
        <v/>
      </c>
    </row>
    <row r="766" spans="1:24" ht="12.5" customHeight="1" x14ac:dyDescent="0.2">
      <c r="A766" s="7" t="str">
        <f ca="1">IF(ISERROR(F756),"",VLOOKUP(C756,INDIRECT($F$8),6+(O766-1)*3,0))</f>
        <v>AHP 002</v>
      </c>
      <c r="B766" s="24" t="str">
        <f ca="1">IF(ISERROR(F756),"",VLOOKUP(D756,INDIRECT($F$8),6+(O766-1)*3,0))</f>
        <v>Engineering Chemistry Lab</v>
      </c>
      <c r="C766" s="24"/>
      <c r="D766" s="24"/>
      <c r="E766" s="24"/>
      <c r="F766" s="7">
        <f ca="1">IF(ISERROR(F756),"",VLOOKUP(E756,INDIRECT($F$8),6+(O766-1)*3,0))</f>
        <v>1</v>
      </c>
      <c r="G766" s="25" t="str">
        <f ca="1">IF(ISERROR(F756),"",_xlfn.TEXTJOIN("/",FALSE,P766,S766))</f>
        <v>17/25</v>
      </c>
      <c r="H766" s="25"/>
      <c r="I766" s="25" t="str">
        <f ca="1">IF(ISERROR(F756),"",_xlfn.TEXTJOIN("/",FALSE,Q766,T766))</f>
        <v>17/25</v>
      </c>
      <c r="J766" s="25"/>
      <c r="K766" s="25" t="str">
        <f ca="1">IF(ISERROR(F756),"",_xlfn.TEXTJOIN("/",FALSE,R766,U766))</f>
        <v>34/50</v>
      </c>
      <c r="L766" s="25"/>
      <c r="M766" s="7" t="str">
        <f ca="1">IF(ISERROR(F756),"",IF(ISTEXT(P766),IF(P766="A","Ab",IF(P766="D","Dt",IF(P766="UFM","UFM",IF(P766="NA","")))),IF(AND(ISBLANK(P766),ISBLANK(R766)),"",IF(P766&lt;0.3*S766,"F",IF(ISBLANK(R766),"",IF(ISTEXT(R766),R766,IF(R766&gt;=0.95*U766,"O",IF(R766&gt;=0.9*U766,"A+",IF(R766&gt;=0.85*U766,"A",IF(R766&gt;=0.8*U766,"B+",IF(R766&gt;=0.75*U766,"B",IF(R766&gt;=0.7*U766,"C+",IF(R766&gt;=0.65*U766,"C",IF(R766&gt;=0.6*U766,"D+",IF(R766&gt;=0.55*U766,"D",IF(R766&gt;=0.5*U766,"E+",IF(R766&gt;=0.45*U766,"E",IF(R766&gt;=0.4*U766,"P",IF(R766&lt;0.4*U766,"F",R766)))))))))))))))))))</f>
        <v>C</v>
      </c>
      <c r="N766" s="8">
        <f t="shared" ca="1" si="69"/>
        <v>7</v>
      </c>
      <c r="O766">
        <f ca="1">IF(O765&gt;0,7)</f>
        <v>7</v>
      </c>
      <c r="P766" s="1">
        <f ca="1">IF(ISERROR(F756),"",IF(ISTEXT(VLOOKUP(B756,INDIRECT($F$8),6+(O766-1)*3)),(VLOOKUP(B756,INDIRECT($F$8),6+(O766-1)*3)),SUM(VLOOKUP(B756,INDIRECT($F$8),6+(O766-1)*3),IF(W774,W766,0))))</f>
        <v>17</v>
      </c>
      <c r="Q766" s="1">
        <f ca="1">IF(ISERROR(F756),"",VLOOKUP(B756,INDIRECT($F$8),7+(O766-1)*3))</f>
        <v>17</v>
      </c>
      <c r="R766" s="1">
        <f ca="1">IF(ISERROR(F756),"",SUM(P766:Q766))</f>
        <v>34</v>
      </c>
      <c r="S766" s="1">
        <f ca="1">IF(ISERROR(F756),"",VLOOKUP(A756,INDIRECT($F$8),6+(O766-1)*3))</f>
        <v>25</v>
      </c>
      <c r="T766" s="1">
        <f ca="1">IF(ISERROR(F756),"",VLOOKUP(A756,INDIRECT($F$8),7+(O766-1)*3))</f>
        <v>25</v>
      </c>
      <c r="U766" s="1">
        <f ca="1">IF(ISERROR(F756),"",VLOOKUP(A756,INDIRECT($F$8),8+(O766-1)*3))</f>
        <v>50</v>
      </c>
      <c r="V766" s="1" t="str">
        <f ca="1">IF(ISERROR(F756),"",IF(N766=0,A766,""))</f>
        <v/>
      </c>
      <c r="W766" s="1">
        <f ca="1">IF(ISERROR(F756),"",IF(ISTEXT(VLOOKUP(B756,INDIRECT($F$8),6+(O766-1)*3)),11,IF(VLOOKUP(B756,INDIRECT($F$8),6+(O766-1)*3)&lt;S766*0.3,IF(VLOOKUP(B756,INDIRECT($F$8),8+(O766-1)*3)&lt;U766*0.4,IF(AND(0.4*U766-VLOOKUP(B756,INDIRECT($F$8),8+(O766-1)*3)&lt;=5,0.3*S766-VLOOKUP(B756,INDIRECT($F$8),6+(O766-1)*3)&lt;=5),MAX(0.4*U766-VLOOKUP(B756,INDIRECT($F$8),8+(O766-1)*3),0.3*S766-VLOOKUP(B756,INDIRECT($F$8),6+(O766-1)*3)),11),IF(0.3*S766-VLOOKUP(B756,INDIRECT($F$8),6+(O766-1)*3)&lt;=5,0.3*S766-VLOOKUP(B756,INDIRECT($F$8),6+(O766-1)*3),11)),IF(VLOOKUP(B756,INDIRECT($F$8),8+(O766-1)*3)&lt;U766*0.4,IF(U766*0.4-VLOOKUP(B756,INDIRECT($F$8),8+(O766-1)*3)&lt;=5,U766*0.4-VLOOKUP(B756,INDIRECT($F$8),8+(O766-1)*3),11),0))))</f>
        <v>0</v>
      </c>
      <c r="X766" s="1" t="str">
        <f ca="1">IF(ISERROR(F756),"",IF(W766=0,"",_xlfn.TEXTJOIN("",FALSE," G+",W766," in ",A766)))</f>
        <v/>
      </c>
    </row>
    <row r="767" spans="1:24" ht="12.5" customHeight="1" x14ac:dyDescent="0.2">
      <c r="A767" s="7" t="str">
        <f ca="1">IF(ISERROR(F756),"",VLOOKUP(C756,INDIRECT($F$8),6+(O767-1)*3,0))</f>
        <v>ECP 001</v>
      </c>
      <c r="B767" s="24" t="str">
        <f ca="1">IF(ISERROR(F756),"",VLOOKUP(D756,INDIRECT($F$8),6+(O767-1)*3,0))</f>
        <v>Basic Electronics Engineering Lab</v>
      </c>
      <c r="C767" s="24"/>
      <c r="D767" s="24"/>
      <c r="E767" s="24"/>
      <c r="F767" s="7">
        <f ca="1">IF(ISERROR(F756),"",VLOOKUP(E756,INDIRECT($F$8),6+(O767-1)*3,0))</f>
        <v>1</v>
      </c>
      <c r="G767" s="25" t="str">
        <f ca="1">IF(ISERROR(F756),"",_xlfn.TEXTJOIN("/",FALSE,P767,S767))</f>
        <v>20/25</v>
      </c>
      <c r="H767" s="25"/>
      <c r="I767" s="25" t="str">
        <f ca="1">IF(ISERROR(F756),"",_xlfn.TEXTJOIN("/",FALSE,Q767,T767))</f>
        <v>22/25</v>
      </c>
      <c r="J767" s="25"/>
      <c r="K767" s="25" t="str">
        <f ca="1">IF(ISERROR(F756),"",_xlfn.TEXTJOIN("/",FALSE,R767,U767))</f>
        <v>42/50</v>
      </c>
      <c r="L767" s="25"/>
      <c r="M767" s="7" t="str">
        <f ca="1">IF(ISERROR(F756),"",IF(ISTEXT(P767),IF(P767="A","Ab",IF(P767="D","Dt",IF(P767="UFM","UFM",IF(P767="NA","")))),IF(AND(ISBLANK(P767),ISBLANK(R767)),"",IF(P767&lt;0.3*S767,"F",IF(ISBLANK(R767),"",IF(ISTEXT(R767),R767,IF(R767&gt;=0.95*U767,"O",IF(R767&gt;=0.9*U767,"A+",IF(R767&gt;=0.85*U767,"A",IF(R767&gt;=0.8*U767,"B+",IF(R767&gt;=0.75*U767,"B",IF(R767&gt;=0.7*U767,"C+",IF(R767&gt;=0.65*U767,"C",IF(R767&gt;=0.6*U767,"D+",IF(R767&gt;=0.55*U767,"D",IF(R767&gt;=0.5*U767,"E+",IF(R767&gt;=0.45*U767,"E",IF(R767&gt;=0.4*U767,"P",IF(R767&lt;0.4*U767,"F",R767)))))))))))))))))))</f>
        <v>B+</v>
      </c>
      <c r="N767" s="8">
        <f t="shared" ca="1" si="69"/>
        <v>8.5</v>
      </c>
      <c r="O767">
        <f t="shared" ref="O767:O773" ca="1" si="70">O766+1</f>
        <v>8</v>
      </c>
      <c r="P767" s="1">
        <f ca="1">IF(ISERROR(F756),"",IF(ISTEXT(VLOOKUP(B756,INDIRECT($F$8),6+(O767-1)*3)),(VLOOKUP(B756,INDIRECT($F$8),6+(O767-1)*3)),SUM(VLOOKUP(B756,INDIRECT($F$8),6+(O767-1)*3),IF(W774,W767,0))))</f>
        <v>20</v>
      </c>
      <c r="Q767" s="1">
        <f ca="1">IF(ISERROR(F756),"",VLOOKUP(B756,INDIRECT($F$8),7+(O767-1)*3))</f>
        <v>22</v>
      </c>
      <c r="R767" s="1">
        <f ca="1">IF(ISERROR(F756),"",SUM(P767:Q767))</f>
        <v>42</v>
      </c>
      <c r="S767" s="1">
        <f ca="1">IF(ISERROR(F756),"",VLOOKUP(A756,INDIRECT($F$8),6+(O767-1)*3))</f>
        <v>25</v>
      </c>
      <c r="T767" s="1">
        <f ca="1">IF(ISERROR(F756),"",VLOOKUP(A756,INDIRECT($F$8),7+(O767-1)*3))</f>
        <v>25</v>
      </c>
      <c r="U767" s="1">
        <f ca="1">IF(ISERROR(F756),"",VLOOKUP(A756,INDIRECT($F$8),8+(O767-1)*3))</f>
        <v>50</v>
      </c>
      <c r="V767" s="1" t="str">
        <f ca="1">IF(ISERROR(F756),"",IF(N767=0,A767,""))</f>
        <v/>
      </c>
      <c r="W767" s="1">
        <f ca="1">IF(ISERROR(F756),"",IF(ISTEXT(VLOOKUP(B756,INDIRECT($F$8),6+(O767-1)*3)),11,IF(VLOOKUP(B756,INDIRECT($F$8),6+(O767-1)*3)&lt;S767*0.3,IF(VLOOKUP(B756,INDIRECT($F$8),8+(O767-1)*3)&lt;U767*0.4,IF(AND(0.4*U767-VLOOKUP(B756,INDIRECT($F$8),8+(O767-1)*3)&lt;=5,0.3*S767-VLOOKUP(B756,INDIRECT($F$8),6+(O767-1)*3)&lt;=5),MAX(0.4*U767-VLOOKUP(B756,INDIRECT($F$8),8+(O767-1)*3),0.3*S767-VLOOKUP(B756,INDIRECT($F$8),6+(O767-1)*3)),11),IF(0.3*S767-VLOOKUP(B756,INDIRECT($F$8),6+(O767-1)*3)&lt;=5,0.3*S767-VLOOKUP(B756,INDIRECT($F$8),6+(O767-1)*3),11)),IF(VLOOKUP(B756,INDIRECT($F$8),8+(O767-1)*3)&lt;U767*0.4,IF(U767*0.4-VLOOKUP(B756,INDIRECT($F$8),8+(O767-1)*3)&lt;=5,U767*0.4-VLOOKUP(B756,INDIRECT($F$8),8+(O767-1)*3),11),0))))</f>
        <v>0</v>
      </c>
      <c r="X767" s="1" t="str">
        <f ca="1">IF(ISERROR(F756),"",IF(W767=0,"",_xlfn.TEXTJOIN("",FALSE," G+",W767," in ",A767)))</f>
        <v/>
      </c>
    </row>
    <row r="768" spans="1:24" ht="12.5" customHeight="1" x14ac:dyDescent="0.2">
      <c r="A768" s="7" t="str">
        <f ca="1">IF(ISERROR(F756),"",VLOOKUP(C756,INDIRECT($F$8),6+(O768-1)*3,0))</f>
        <v>MEP 001</v>
      </c>
      <c r="B768" s="24" t="str">
        <f ca="1">IF(ISERROR(F756),"",VLOOKUP(D756,INDIRECT($F$8),6+(O768-1)*3,0))</f>
        <v>Basic Mechanical Engineering Lab</v>
      </c>
      <c r="C768" s="24"/>
      <c r="D768" s="24"/>
      <c r="E768" s="24"/>
      <c r="F768" s="7">
        <f ca="1">IF(ISERROR(F756),"",VLOOKUP(E756,INDIRECT($F$8),6+(O768-1)*3,0))</f>
        <v>1</v>
      </c>
      <c r="G768" s="25" t="str">
        <f ca="1">IF(ISERROR(F756),"",_xlfn.TEXTJOIN("/",FALSE,P768,S768))</f>
        <v>24/25</v>
      </c>
      <c r="H768" s="25"/>
      <c r="I768" s="25" t="str">
        <f ca="1">IF(ISERROR(F756),"",_xlfn.TEXTJOIN("/",FALSE,Q768,T768))</f>
        <v>25/25</v>
      </c>
      <c r="J768" s="25"/>
      <c r="K768" s="25" t="str">
        <f ca="1">IF(ISERROR(F756),"",_xlfn.TEXTJOIN("/",FALSE,R768,U768))</f>
        <v>49/50</v>
      </c>
      <c r="L768" s="25"/>
      <c r="M768" s="7" t="str">
        <f ca="1">IF(ISERROR(F756),"",IF(ISTEXT(P768),IF(P768="A","Ab",IF(P768="D","Dt",IF(P768="UFM","UFM",IF(P768="NA","")))),IF(AND(ISBLANK(P768),ISBLANK(R768)),"",IF(P768&lt;0.3*S768,"F",IF(ISBLANK(R768),"",IF(ISTEXT(R768),R768,IF(R768&gt;=0.95*U768,"O",IF(R768&gt;=0.9*U768,"A+",IF(R768&gt;=0.85*U768,"A",IF(R768&gt;=0.8*U768,"B+",IF(R768&gt;=0.75*U768,"B",IF(R768&gt;=0.7*U768,"C+",IF(R768&gt;=0.65*U768,"C",IF(R768&gt;=0.6*U768,"D+",IF(R768&gt;=0.55*U768,"D",IF(R768&gt;=0.5*U768,"E+",IF(R768&gt;=0.45*U768,"E",IF(R768&gt;=0.4*U768,"P",IF(R768&lt;0.4*U768,"F",R768)))))))))))))))))))</f>
        <v>O</v>
      </c>
      <c r="N768" s="8">
        <f t="shared" ca="1" si="69"/>
        <v>10</v>
      </c>
      <c r="O768">
        <f t="shared" ca="1" si="70"/>
        <v>9</v>
      </c>
      <c r="P768" s="1">
        <f ca="1">IF(ISERROR(F756),"",IF(ISTEXT(VLOOKUP(B756,INDIRECT($F$8),6+(O768-1)*3)),(VLOOKUP(B756,INDIRECT($F$8),6+(O768-1)*3)),SUM(VLOOKUP(B756,INDIRECT($F$8),6+(O768-1)*3),IF(W774,W768,0))))</f>
        <v>24</v>
      </c>
      <c r="Q768" s="1">
        <f ca="1">IF(ISERROR(F756),"",VLOOKUP(B756,INDIRECT($F$8),7+(O768-1)*3))</f>
        <v>25</v>
      </c>
      <c r="R768" s="1">
        <f ca="1">IF(ISERROR(F756),"",SUM(P768:Q768))</f>
        <v>49</v>
      </c>
      <c r="S768" s="1">
        <f ca="1">IF(ISERROR(F756),"",VLOOKUP(A756,INDIRECT($F$8),6+(O768-1)*3))</f>
        <v>25</v>
      </c>
      <c r="T768" s="1">
        <f ca="1">IF(ISERROR(F756),"",VLOOKUP(A756,INDIRECT($F$8),7+(O768-1)*3))</f>
        <v>25</v>
      </c>
      <c r="U768" s="1">
        <f ca="1">IF(ISERROR(F756),"",VLOOKUP(A756,INDIRECT($F$8),8+(O768-1)*3))</f>
        <v>50</v>
      </c>
      <c r="V768" s="1" t="str">
        <f ca="1">IF(ISERROR(F756),"",IF(N768=0,A768,""))</f>
        <v/>
      </c>
      <c r="W768" s="1">
        <f ca="1">IF(ISERROR(F756),"",IF(ISTEXT(VLOOKUP(B756,INDIRECT($F$8),6+(O768-1)*3)),11,IF(VLOOKUP(B756,INDIRECT($F$8),6+(O768-1)*3)&lt;S768*0.3,IF(VLOOKUP(B756,INDIRECT($F$8),8+(O768-1)*3)&lt;U768*0.4,IF(AND(0.4*U768-VLOOKUP(B756,INDIRECT($F$8),8+(O768-1)*3)&lt;=5,0.3*S768-VLOOKUP(B756,INDIRECT($F$8),6+(O768-1)*3)&lt;=5),MAX(0.4*U768-VLOOKUP(B756,INDIRECT($F$8),8+(O768-1)*3),0.3*S768-VLOOKUP(B756,INDIRECT($F$8),6+(O768-1)*3)),11),IF(0.3*S768-VLOOKUP(B756,INDIRECT($F$8),6+(O768-1)*3)&lt;=5,0.3*S768-VLOOKUP(B756,INDIRECT($F$8),6+(O768-1)*3),11)),IF(VLOOKUP(B756,INDIRECT($F$8),8+(O768-1)*3)&lt;U768*0.4,IF(U768*0.4-VLOOKUP(B756,INDIRECT($F$8),8+(O768-1)*3)&lt;=5,U768*0.4-VLOOKUP(B756,INDIRECT($F$8),8+(O768-1)*3),11),0))))</f>
        <v>0</v>
      </c>
      <c r="X768" s="1" t="str">
        <f ca="1">IF(ISERROR(F756),"",IF(W768=0,"",_xlfn.TEXTJOIN("",FALSE," G+",W768," in ",A768)))</f>
        <v/>
      </c>
    </row>
    <row r="769" spans="1:24" ht="12.5" customHeight="1" x14ac:dyDescent="0.2">
      <c r="A769" s="7" t="str">
        <f ca="1">IF(ISERROR(F756),"",VLOOKUP(C756,INDIRECT($F$8),6+(O769-1)*3,0))</f>
        <v>MEP 003</v>
      </c>
      <c r="B769" s="24" t="str">
        <f ca="1">IF(ISERROR(F756),"",VLOOKUP(D756,INDIRECT($F$8),6+(O769-1)*3-Z769,0))</f>
        <v>Workshop Practices Lab</v>
      </c>
      <c r="C769" s="24"/>
      <c r="D769" s="24"/>
      <c r="E769" s="24"/>
      <c r="F769" s="7">
        <f ca="1">IF(ISERROR(F756),"",VLOOKUP(E756,INDIRECT($F$8),6+(O769-1)*3,0))</f>
        <v>2</v>
      </c>
      <c r="G769" s="25" t="str">
        <f ca="1">IF(ISERROR(F756),"",_xlfn.TEXTJOIN("/",FALSE,P769,S769))</f>
        <v>45/50</v>
      </c>
      <c r="H769" s="25"/>
      <c r="I769" s="25" t="str">
        <f ca="1">IF(ISERROR(F756),"",_xlfn.TEXTJOIN("/",FALSE,Q769,T769))</f>
        <v>40/50</v>
      </c>
      <c r="J769" s="25"/>
      <c r="K769" s="25" t="str">
        <f ca="1">IF(ISERROR(F756),"",_xlfn.TEXTJOIN("/",FALSE,R769,U769))</f>
        <v>85/100</v>
      </c>
      <c r="L769" s="25"/>
      <c r="M769" s="7" t="str">
        <f ca="1">IF(ISERROR(F756)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A</v>
      </c>
      <c r="N769" s="8">
        <f t="shared" ca="1" si="69"/>
        <v>9</v>
      </c>
      <c r="O769">
        <f t="shared" ca="1" si="70"/>
        <v>10</v>
      </c>
      <c r="P769" s="1">
        <f ca="1">IF(ISERROR(F756),"",IF(ISTEXT(VLOOKUP(B756,INDIRECT($F$8),6+(O769-1)*3)),(VLOOKUP(B756,INDIRECT($F$8),6+(O769-1)*3)),SUM(VLOOKUP(B756,INDIRECT($F$8),6+(O769-1)*3),IF(W774,W769,0))))</f>
        <v>45</v>
      </c>
      <c r="Q769" s="1">
        <f ca="1">IF(ISERROR(F756),"",VLOOKUP(B756,INDIRECT($F$8),7+(O769-1)*3))</f>
        <v>40</v>
      </c>
      <c r="R769" s="1">
        <f ca="1">IF(ISERROR(F756),"",SUM(P769:Q769))</f>
        <v>85</v>
      </c>
      <c r="S769" s="1">
        <f ca="1">IF(ISERROR(F756),"",VLOOKUP(A756,INDIRECT($F$8),6+(O769-1)*3))</f>
        <v>50</v>
      </c>
      <c r="T769" s="1">
        <f ca="1">IF(ISERROR(F756),"",VLOOKUP(A756,INDIRECT($F$8),7+(O769-1)*3))</f>
        <v>50</v>
      </c>
      <c r="U769" s="1">
        <f ca="1">IF(ISERROR(F756),"",VLOOKUP(A756,INDIRECT($F$8),8+(O769-1)*3))</f>
        <v>100</v>
      </c>
      <c r="V769" s="1" t="str">
        <f ca="1">IF(ISERROR(F756),"",IF(N769=0,A769,""))</f>
        <v/>
      </c>
      <c r="W769" s="1">
        <f ca="1">IF(ISERROR(F756),"",IF(ISTEXT(VLOOKUP(B756,INDIRECT($F$8),6+(O769-1)*3)),11,IF(VLOOKUP(B756,INDIRECT($F$8),6+(O769-1)*3)&lt;S769*0.3,IF(VLOOKUP(B756,INDIRECT($F$8),8+(O769-1)*3)&lt;U769*0.4,IF(AND(0.4*U769-VLOOKUP(B756,INDIRECT($F$8),8+(O769-1)*3)&lt;=5,0.3*S769-VLOOKUP(B756,INDIRECT($F$8),6+(O769-1)*3)&lt;=5),MAX(0.4*U769-VLOOKUP(B756,INDIRECT($F$8),8+(O769-1)*3),0.3*S769-VLOOKUP(B756,INDIRECT($F$8),6+(O769-1)*3)),11),IF(0.3*S769-VLOOKUP(B756,INDIRECT($F$8),6+(O769-1)*3)&lt;=5,0.3*S769-VLOOKUP(B756,INDIRECT($F$8),6+(O769-1)*3),11)),IF(VLOOKUP(B756,INDIRECT($F$8),8+(O769-1)*3)&lt;U769*0.4,IF(U769*0.4-VLOOKUP(B756,INDIRECT($F$8),8+(O769-1)*3)&lt;=5,U769*0.4-VLOOKUP(B756,INDIRECT($F$8),8+(O769-1)*3),11),0))))</f>
        <v>0</v>
      </c>
      <c r="X769" s="1" t="str">
        <f ca="1">IF(ISERROR(F756),"",IF(W769=0,"",_xlfn.TEXTJOIN("",FALSE," G+",W769," in ",A769)))</f>
        <v/>
      </c>
    </row>
    <row r="770" spans="1:24" ht="12.5" customHeight="1" x14ac:dyDescent="0.2">
      <c r="A770" s="7" t="str">
        <f ca="1">IF(ISERROR(F756),"",VLOOKUP(C756,INDIRECT($F$8),6+(O770-1)*3,0))</f>
        <v>AHP 004</v>
      </c>
      <c r="B770" s="24" t="str">
        <f ca="1">IF(ISERROR(F756),"",VLOOKUP(D756,INDIRECT($F$8),6+(O770-1)*3-Z770,0))</f>
        <v>Emerging Technologies in Engineering Lab</v>
      </c>
      <c r="C770" s="24"/>
      <c r="D770" s="24"/>
      <c r="E770" s="24"/>
      <c r="F770" s="7">
        <f ca="1">IF(ISERROR(F756),"",VLOOKUP(E756,INDIRECT($F$8),6+(O770-1)*3,0))</f>
        <v>1</v>
      </c>
      <c r="G770" s="25" t="str">
        <f ca="1">IF(ISERROR(F756),"",_xlfn.TEXTJOIN("/",FALSE,P770,S770))</f>
        <v>24/25</v>
      </c>
      <c r="H770" s="25"/>
      <c r="I770" s="25" t="str">
        <f ca="1">IF(ISERROR(F756),"",_xlfn.TEXTJOIN("/",FALSE,Q770,T770))</f>
        <v>24/25</v>
      </c>
      <c r="J770" s="25"/>
      <c r="K770" s="25" t="str">
        <f ca="1">IF(ISERROR(F756),"",_xlfn.TEXTJOIN("/",FALSE,R770,U770))</f>
        <v>48/50</v>
      </c>
      <c r="L770" s="25"/>
      <c r="M770" s="7" t="str">
        <f ca="1">IF(ISERROR(F756)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O</v>
      </c>
      <c r="N770" s="8">
        <f t="shared" ca="1" si="69"/>
        <v>10</v>
      </c>
      <c r="O770">
        <f t="shared" ca="1" si="70"/>
        <v>11</v>
      </c>
      <c r="P770" s="1">
        <f ca="1">IF(ISERROR(F756),"",IF(ISTEXT(VLOOKUP(B756,INDIRECT($F$8),6+(O770-1)*3)),(VLOOKUP(B756,INDIRECT($F$8),6+(O770-1)*3)),SUM(VLOOKUP(B756,INDIRECT($F$8),6+(O770-1)*3),IF(W774,W770,0))))</f>
        <v>24</v>
      </c>
      <c r="Q770" s="1">
        <f ca="1">IF(ISERROR(F756),"",VLOOKUP(B756,INDIRECT($F$8),7+(O770-1)*3))</f>
        <v>24</v>
      </c>
      <c r="R770" s="1">
        <f ca="1">IF(ISERROR(F756),"",SUM(P770:Q770))</f>
        <v>48</v>
      </c>
      <c r="S770" s="1">
        <f ca="1">IF(ISERROR(F756),"",VLOOKUP(A756,INDIRECT($F$8),6+(O770-1)*3))</f>
        <v>25</v>
      </c>
      <c r="T770" s="1">
        <f ca="1">IF(ISERROR(F756),"",VLOOKUP(A756,INDIRECT($F$8),7+(O770-1)*3))</f>
        <v>25</v>
      </c>
      <c r="U770" s="1">
        <f ca="1">IF(ISERROR(F756),"",VLOOKUP(A756,INDIRECT($F$8),8+(O770-1)*3))</f>
        <v>50</v>
      </c>
      <c r="V770" s="1" t="str">
        <f ca="1">IF(ISERROR(F756),"",IF(N770=0,A770,""))</f>
        <v/>
      </c>
      <c r="W770" s="1">
        <f ca="1">IF(ISERROR(F756),"",IF(ISTEXT(VLOOKUP(B756,INDIRECT($F$8),6+(O770-1)*3)),11,IF(VLOOKUP(B756,INDIRECT($F$8),6+(O770-1)*3)&lt;S770*0.3,IF(VLOOKUP(B756,INDIRECT($F$8),8+(O770-1)*3)&lt;U770*0.4,IF(AND(0.4*U770-VLOOKUP(B756,INDIRECT($F$8),8+(O770-1)*3)&lt;=5,0.3*S770-VLOOKUP(B756,INDIRECT($F$8),6+(O770-1)*3)&lt;=5),MAX(0.4*U770-VLOOKUP(B756,INDIRECT($F$8),8+(O770-1)*3),0.3*S770-VLOOKUP(B756,INDIRECT($F$8),6+(O770-1)*3)),11),IF(0.3*S770-VLOOKUP(B756,INDIRECT($F$8),6+(O770-1)*3)&lt;=5,0.3*S770-VLOOKUP(B756,INDIRECT($F$8),6+(O770-1)*3),11)),IF(VLOOKUP(B756,INDIRECT($F$8),8+(O770-1)*3)&lt;U770*0.4,IF(U770*0.4-VLOOKUP(B756,INDIRECT($F$8),8+(O770-1)*3)&lt;=5,U770*0.4-VLOOKUP(B756,INDIRECT($F$8),8+(O770-1)*3),11),0))))</f>
        <v>0</v>
      </c>
      <c r="X770" s="1" t="str">
        <f ca="1">IF(ISERROR(F756),"",IF(W770=0,"",_xlfn.TEXTJOIN("",FALSE," G+",W770," in ",A770)))</f>
        <v/>
      </c>
    </row>
    <row r="771" spans="1:24" ht="12.5" customHeight="1" x14ac:dyDescent="0.2">
      <c r="A771" s="7" t="str">
        <f ca="1">IF(ISERROR(F756),"",VLOOKUP(C756,INDIRECT($F$8),6+(O771-1)*3,0))</f>
        <v>CSP 002</v>
      </c>
      <c r="B771" s="24" t="str">
        <f ca="1">IF(ISERROR(F756),"",VLOOKUP(D756,INDIRECT($F$8),6+(O771-1)*3,0))</f>
        <v>Computer Applications and IOT</v>
      </c>
      <c r="C771" s="24"/>
      <c r="D771" s="24"/>
      <c r="E771" s="24"/>
      <c r="F771" s="7">
        <f ca="1">IF(ISERROR(F756),"",VLOOKUP(E756,INDIRECT($F$8),6+(O771-1)*3,0))</f>
        <v>1</v>
      </c>
      <c r="G771" s="25" t="str">
        <f ca="1">IF(ISERROR(F756),"",_xlfn.TEXTJOIN("/",FALSE,P771,S771))</f>
        <v>25/25</v>
      </c>
      <c r="H771" s="25"/>
      <c r="I771" s="25" t="str">
        <f ca="1">IF(ISERROR(F756),"",_xlfn.TEXTJOIN("/",FALSE,Q771,T771))</f>
        <v>25/25</v>
      </c>
      <c r="J771" s="25"/>
      <c r="K771" s="25" t="str">
        <f ca="1">IF(ISERROR(F756),"",_xlfn.TEXTJOIN("/",FALSE,R771,U771))</f>
        <v>50/50</v>
      </c>
      <c r="L771" s="25"/>
      <c r="M771" s="7" t="str">
        <f ca="1">IF(ISERROR(F756)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O</v>
      </c>
      <c r="N771" s="8">
        <f t="shared" ca="1" si="69"/>
        <v>10</v>
      </c>
      <c r="O771">
        <f t="shared" ca="1" si="70"/>
        <v>12</v>
      </c>
      <c r="P771" s="1">
        <f ca="1">IF(ISERROR(F756),"",IF(ISTEXT(VLOOKUP(B756,INDIRECT($F$8),6+(O771-1)*3)),(VLOOKUP(B756,INDIRECT($F$8),6+(O771-1)*3)),SUM(VLOOKUP(B756,INDIRECT($F$8),6+(O771-1)*3),IF(W774,W771,0))))</f>
        <v>25</v>
      </c>
      <c r="Q771" s="1">
        <f ca="1">IF(ISERROR(F756),"",VLOOKUP(B756,INDIRECT($F$8),7+(O771-1)*3))</f>
        <v>25</v>
      </c>
      <c r="R771" s="1">
        <f ca="1">IF(ISERROR(F756),"",SUM(P771:Q771))</f>
        <v>50</v>
      </c>
      <c r="S771" s="1">
        <f ca="1">IF(ISERROR(F756),"",VLOOKUP(A756,INDIRECT($F$8),6+(O771-1)*3))</f>
        <v>25</v>
      </c>
      <c r="T771" s="1">
        <f ca="1">IF(ISERROR(F756),"",VLOOKUP(A756,INDIRECT($F$8),7+(O771-1)*3))</f>
        <v>25</v>
      </c>
      <c r="U771" s="1">
        <f ca="1">IF(ISERROR(F756),"",VLOOKUP(A756,INDIRECT($F$8),8+(O771-1)*3))</f>
        <v>50</v>
      </c>
      <c r="V771" s="1" t="str">
        <f ca="1">IF(ISERROR(F756),"",IF(N771=0,A771,""))</f>
        <v/>
      </c>
      <c r="W771" s="1">
        <f ca="1">IF(ISERROR(F756),"",IF(ISTEXT(VLOOKUP(B756,INDIRECT($F$8),6+(O771-1)*3)),11,IF(VLOOKUP(B756,INDIRECT($F$8),6+(O771-1)*3)&lt;S771*0.3,IF(VLOOKUP(B756,INDIRECT($F$8),8+(O771-1)*3)&lt;U771*0.4,IF(AND(0.4*U771-VLOOKUP(B756,INDIRECT($F$8),8+(O771-1)*3)&lt;=5,0.3*S771-VLOOKUP(B756,INDIRECT($F$8),6+(O771-1)*3)&lt;=5),MAX(0.4*U771-VLOOKUP(B756,INDIRECT($F$8),8+(O771-1)*3),0.3*S771-VLOOKUP(B756,INDIRECT($F$8),6+(O771-1)*3)),11),IF(0.3*S771-VLOOKUP(B756,INDIRECT($F$8),6+(O771-1)*3)&lt;=5,0.3*S771-VLOOKUP(B756,INDIRECT($F$8),6+(O771-1)*3),11)),IF(VLOOKUP(B756,INDIRECT($F$8),8+(O771-1)*3)&lt;U771*0.4,IF(U771*0.4-VLOOKUP(B756,INDIRECT($F$8),8+(O771-1)*3)&lt;=5,U771*0.4-VLOOKUP(B756,INDIRECT($F$8),8+(O771-1)*3),11),0))))</f>
        <v>0</v>
      </c>
      <c r="X771" s="1" t="str">
        <f ca="1">IF(ISERROR(F756),"",IF(W771=0,"",_xlfn.TEXTJOIN("",FALSE," G+",W771," in ",A771)))</f>
        <v/>
      </c>
    </row>
    <row r="772" spans="1:24" ht="12.5" customHeight="1" x14ac:dyDescent="0.2">
      <c r="A772" s="7" t="str">
        <f ca="1">IF(ISERROR(F756),"",VLOOKUP(C756,INDIRECT($F$8),6+(O772-1)*3,0))</f>
        <v>AHP 006</v>
      </c>
      <c r="B772" s="24" t="str">
        <f ca="1">IF(ISERROR(F756),"",VLOOKUP(D756,INDIRECT($F$8),6+(O772-1)*3,0))</f>
        <v>English Language Lab ($)</v>
      </c>
      <c r="C772" s="24"/>
      <c r="D772" s="24"/>
      <c r="E772" s="24"/>
      <c r="F772" s="7">
        <f ca="1">IF(ISERROR(F756),"",VLOOKUP(E756,INDIRECT($F$8),6+(O772-1)*3,0))</f>
        <v>0</v>
      </c>
      <c r="G772" s="25" t="str">
        <f ca="1">IF(ISERROR(F756),"",_xlfn.TEXTJOIN("/",FALSE,P772,S772))</f>
        <v>19/25</v>
      </c>
      <c r="H772" s="25"/>
      <c r="I772" s="25" t="str">
        <f ca="1">IF(ISERROR(F756),"",_xlfn.TEXTJOIN("/",FALSE,Q772,T772))</f>
        <v>39/50</v>
      </c>
      <c r="J772" s="25"/>
      <c r="K772" s="25" t="str">
        <f ca="1">IF(ISERROR(F756),"",_xlfn.TEXTJOIN("/",FALSE,R772,U772))</f>
        <v>58/75</v>
      </c>
      <c r="L772" s="25"/>
      <c r="M772" s="7" t="str">
        <f ca="1">IF(ISERROR(F756)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B</v>
      </c>
      <c r="N772" s="8">
        <f ca="1">INDEX($Z$2:$Z$17,MATCH(M772,$Y$2:$Y$17,0))</f>
        <v>8</v>
      </c>
      <c r="O772">
        <f t="shared" ca="1" si="70"/>
        <v>13</v>
      </c>
      <c r="P772" s="1">
        <f ca="1">IF(ISERROR(F756),"",IF(ISTEXT(VLOOKUP(B756,INDIRECT($F$8),6+(O772-1)*3)),(VLOOKUP(B756,INDIRECT($F$8),6+(O772-1)*3)),SUM(VLOOKUP(B756,INDIRECT($F$8),6+(O772-1)*3),IF(W774,W772,0))))</f>
        <v>19</v>
      </c>
      <c r="Q772" s="1">
        <f ca="1">IF(ISERROR(F756),"",VLOOKUP(B756,INDIRECT($F$8),7+(O772-1)*3))</f>
        <v>39</v>
      </c>
      <c r="R772" s="1">
        <f ca="1">IF(ISERROR(F756),"",SUM(P772:Q772))</f>
        <v>58</v>
      </c>
      <c r="S772" s="1">
        <f ca="1">IF(ISERROR(F756),"",VLOOKUP(A756,INDIRECT($F$8),6+(O772-1)*3))</f>
        <v>25</v>
      </c>
      <c r="T772" s="1">
        <f ca="1">IF(ISERROR(F756),"",VLOOKUP(A756,INDIRECT($F$8),7+(O772-1)*3))</f>
        <v>50</v>
      </c>
      <c r="U772" s="1">
        <f ca="1">IF(ISERROR(F756),"",VLOOKUP(A756,INDIRECT($F$8),8+(O772-1)*3))</f>
        <v>75</v>
      </c>
      <c r="V772" s="1"/>
      <c r="W772" s="1">
        <f ca="1">IF(ISERROR(F756),"",IF(ISTEXT(VLOOKUP(B756,INDIRECT($F$8),6+(O772-1)*3)),11,IF(VLOOKUP(B756,INDIRECT($F$8),6+(O772-1)*3)&lt;S772*0.3,IF(VLOOKUP(B756,INDIRECT($F$8),8+(O772-1)*3)&lt;U772*0.4,IF(AND(0.4*U772-VLOOKUP(B756,INDIRECT($F$8),8+(O772-1)*3)&lt;=5,0.3*S772-VLOOKUP(B756,INDIRECT($F$8),6+(O772-1)*3)&lt;=5),MAX(0.4*U772-VLOOKUP(B756,INDIRECT($F$8),8+(O772-1)*3),0.3*S772-VLOOKUP(B756,INDIRECT($F$8),6+(O772-1)*3)),11),IF(0.3*S772-VLOOKUP(B756,INDIRECT($F$8),6+(O772-1)*3)&lt;=5,0.3*S772-VLOOKUP(B756,INDIRECT($F$8),6+(O772-1)*3),11)),IF(VLOOKUP(B756,INDIRECT($F$8),8+(O772-1)*3)&lt;U772*0.4,IF(U772*0.4-VLOOKUP(B756,INDIRECT($F$8),8+(O772-1)*3)&lt;=5,U772*0.4-VLOOKUP(B756,INDIRECT($F$8),8+(O772-1)*3),11),0))))</f>
        <v>0</v>
      </c>
      <c r="X772" s="1" t="str">
        <f ca="1">IF(ISERROR(F756),"",IF(W772=0,"",_xlfn.TEXTJOIN("",FALSE," G+",W772," in ",A772)))</f>
        <v/>
      </c>
    </row>
    <row r="773" spans="1:24" ht="12.5" customHeight="1" x14ac:dyDescent="0.2">
      <c r="A773" s="7" t="str">
        <f ca="1">IF(ISERROR(F756),"",VLOOKUP(C756,INDIRECT($F$8),6+(O773-1)*3-Y773,0))</f>
        <v>GP 01</v>
      </c>
      <c r="B773" s="24" t="str">
        <f ca="1">IF(ISERROR(F756),"",VLOOKUP(D756,INDIRECT($F$8),6+(O773-1)*3-Z773,0))</f>
        <v>General Proficiency ($)</v>
      </c>
      <c r="C773" s="24"/>
      <c r="D773" s="24"/>
      <c r="E773" s="24"/>
      <c r="F773" s="7">
        <f ca="1">IF(ISERROR(F756),"",VLOOKUP(E756,INDIRECT($F$8),6+(O773-1)*3-AA773,0))</f>
        <v>0</v>
      </c>
      <c r="G773" s="25" t="str">
        <f ca="1">IF(ISERROR(F756),"","-")</f>
        <v>-</v>
      </c>
      <c r="H773" s="25"/>
      <c r="I773" s="25" t="str">
        <f ca="1">IF(ISERROR(F756),"",_xlfn.TEXTJOIN("/",FALSE,Q773,T773))</f>
        <v>47/50</v>
      </c>
      <c r="J773" s="25"/>
      <c r="K773" s="25" t="str">
        <f ca="1">IF(ISERROR(F756),"",_xlfn.TEXTJOIN("/",FALSE,R773,U773))</f>
        <v>47/50</v>
      </c>
      <c r="L773" s="25"/>
      <c r="M773" s="25" t="str">
        <f ca="1">IF(ISBLANK(R773),"",IF(ISTEXT(R773),R773,IF(R773&gt;=0.8*U773,"Excellent",IF(R773&gt;=0.6*U773,"Very Good",IF(R773&gt;=0.4*U773,"Good",IF(R773&gt;=0.2*U773,"Satisfactory","Average"))))))</f>
        <v>Excellent</v>
      </c>
      <c r="N773" s="25"/>
      <c r="O773">
        <f t="shared" ca="1" si="70"/>
        <v>14</v>
      </c>
      <c r="P773" s="1">
        <f ca="1">IF(ISERROR(F756),"",IF(ISTEXT(VLOOKUP(B\28,INDIRECT($F$8),6+(O773-1)*3)),(VLOOKUP(B756,INDIRECT($F$8),6+(O773-1)*3)),SUM(VLOOKUP(B756,INDIRECT($F$8),6+(O773-1)*3),IF(W774,W774,0))))</f>
        <v>0</v>
      </c>
      <c r="Q773" s="1">
        <f ca="1">IF(ISERROR(F756),"",VLOOKUP(B756,INDIRECT($F$8),7+(O773-1)*3))</f>
        <v>47</v>
      </c>
      <c r="R773" s="1">
        <f ca="1">IF(ISERROR(F756),"",SUM(P773:Q773))</f>
        <v>47</v>
      </c>
      <c r="S773" s="1">
        <f ca="1">IF(ISERROR(F756),"",VLOOKUP(A756,INDIRECT($F$8),6+(O773-1)*3))</f>
        <v>0</v>
      </c>
      <c r="T773" s="1">
        <f ca="1">IF(ISERROR(F756),"",VLOOKUP(A756,INDIRECT($F$8),7+(O773-1)*3))</f>
        <v>50</v>
      </c>
      <c r="U773" s="1">
        <f ca="1">IF(ISERROR(F756),"",VLOOKUP(A756,INDIRECT($F$8),8+(O773-1)*3))</f>
        <v>50</v>
      </c>
      <c r="V773" s="1"/>
      <c r="W773" s="1"/>
      <c r="X773" s="1" t="str">
        <f ca="1">IF(ISERROR(F756),"",IF(W773=0,"",_xlfn.TEXTJOIN("",FALSE," G+",W773," in ",A773)))</f>
        <v/>
      </c>
    </row>
    <row r="774" spans="1:24" ht="12.5" customHeight="1" x14ac:dyDescent="0.2">
      <c r="A774" s="26" t="str">
        <f ca="1">IF(ISERROR(F756),"",A752)</f>
        <v>Total Credits/ Marks/ Total Grade Points</v>
      </c>
      <c r="B774" s="26"/>
      <c r="C774" s="26"/>
      <c r="D774" s="26"/>
      <c r="E774" s="26"/>
      <c r="F774" s="10">
        <f ca="1">IF(ISERROR(F756),"",SUM(F761:F772))</f>
        <v>23</v>
      </c>
      <c r="G774" s="27" t="str">
        <f ca="1">IF(ISERROR(F756),"",_xlfn.TEXTJOIN("/",TRUE,SUMIF(F761:F773,"&gt;0",P761:P773),SUMIF(F761:F773,"&gt;0",S761:S773)))</f>
        <v>379/575</v>
      </c>
      <c r="H774" s="27"/>
      <c r="I774" s="27" t="str">
        <f ca="1">IF(ISERROR(F756),"",_xlfn.TEXTJOIN("/",TRUE,SUMIF(F761:F773,"&gt;0",Q761:Q773),SUMIF(F761:F773,"&gt;0",T761:T773)))</f>
        <v>305/375</v>
      </c>
      <c r="J774" s="27"/>
      <c r="K774" s="27" t="str">
        <f ca="1">IF(ISERROR(F756),"",_xlfn.TEXTJOIN("/",TRUE,SUMIF(F761:F773,"&gt;0",R761:R773),SUMIF(F761:F773,"&gt;0",U761:U773)))</f>
        <v>684/950</v>
      </c>
      <c r="L774" s="27"/>
      <c r="M774" s="26">
        <f ca="1">IF(ISERROR(F756),"",SUMPRODUCT(N761:N772,F761:F772))</f>
        <v>153.5</v>
      </c>
      <c r="N774" s="26"/>
      <c r="V774" s="1" t="str">
        <f ca="1">IF(ISERROR(F756),"",_xlfn.TEXTJOIN(", ",TRUE,V761:V773))</f>
        <v>AHT 003</v>
      </c>
      <c r="W774" t="b">
        <f ca="1">IF(ISERROR(F756),"",IF(SUM(W761:W773)&lt;=W760,TRUE,FALSE))</f>
        <v>0</v>
      </c>
      <c r="X774" s="1" t="str">
        <f ca="1">IF(ISERROR(F756),"",_xlfn.TEXTJOIN(",",TRUE,X761:X773))</f>
        <v xml:space="preserve"> G+11 in AHT 003</v>
      </c>
    </row>
    <row r="775" spans="1:24" ht="12.5" customHeight="1" x14ac:dyDescent="0.2">
      <c r="A775" s="26" t="str">
        <f ca="1">IF(ISERROR(F756),"",A753)</f>
        <v>Result:</v>
      </c>
      <c r="B775" s="28" t="str" cm="1">
        <f t="array" aca="1" ref="B775" ca="1">IF(SUM(COUNTIF(M761:M772,{"Ab","Dt"}))=12, "Not Promoted to IInd Semester", IF(V774="", "PASS", "CARRY OVER"))</f>
        <v>CARRY OVER</v>
      </c>
      <c r="C775" s="28"/>
      <c r="D775" s="26" t="str">
        <f ca="1">IF(ISERROR(F756),"",D753)</f>
        <v>Remark:</v>
      </c>
      <c r="E775" s="28" t="str">
        <f ca="1">IF(ISERROR(F756),"",IF(V774="",IF(X774="","",X774),_xlfn.TEXTJOIN(" ",TRUE,"BACK IN",V774)))</f>
        <v>BACK IN AHT 003</v>
      </c>
      <c r="F775" s="28"/>
      <c r="G775" s="26" t="str">
        <f ca="1">IF(ISERROR(F756),"",G753)</f>
        <v>SGPA:</v>
      </c>
      <c r="H775" s="29">
        <f ca="1">IF(ISERROR(F756),"",M774/F774)</f>
        <v>6.6739130434782608</v>
      </c>
      <c r="I775" s="26" t="str">
        <f ca="1">IF(ISERROR(F756),"",I753)</f>
        <v>CGPA:</v>
      </c>
      <c r="J775" s="29">
        <f ca="1">IF(ISERROR(F756),"",VLOOKUP(B756,INDIRECT($F$8),12+(O773-1)*3,0))</f>
        <v>6.6739130434782608</v>
      </c>
      <c r="K775" s="28" t="str">
        <f ca="1">IF(ISERROR(F756),"",K753)</f>
        <v>Earned Credits:</v>
      </c>
      <c r="L775" s="26">
        <f ca="1">IF(ISERROR(F756),"",SUMIF(N761:N772,"&gt;0",F761:F772))</f>
        <v>19</v>
      </c>
      <c r="M775" s="28" t="str">
        <f ca="1">IF(ISERROR(F756),"",M753)</f>
        <v>Cuml. Earned Credits:</v>
      </c>
      <c r="N775" s="26">
        <f ca="1">IF(ISERROR(F756),"",VLOOKUP(B756,INDIRECT($F$8),10+(O773-1)*3,0))</f>
        <v>19</v>
      </c>
    </row>
    <row r="776" spans="1:24" ht="12.5" customHeight="1" x14ac:dyDescent="0.2">
      <c r="A776" s="26"/>
      <c r="B776" s="28"/>
      <c r="C776" s="28"/>
      <c r="D776" s="26"/>
      <c r="E776" s="28"/>
      <c r="F776" s="28"/>
      <c r="G776" s="26"/>
      <c r="H776" s="29"/>
      <c r="I776" s="26"/>
      <c r="J776" s="29"/>
      <c r="K776" s="28"/>
      <c r="L776" s="26"/>
      <c r="M776" s="28"/>
      <c r="N776" s="26"/>
    </row>
    <row r="777" spans="1:24" ht="12.5" customHeight="1" x14ac:dyDescent="0.2">
      <c r="A777" s="26"/>
      <c r="B777" s="28"/>
      <c r="C777" s="28"/>
      <c r="D777" s="26"/>
      <c r="E777" s="28"/>
      <c r="F777" s="28"/>
      <c r="G777" s="26"/>
      <c r="H777" s="29"/>
      <c r="I777" s="26"/>
      <c r="J777" s="29"/>
      <c r="K777" s="28"/>
      <c r="L777" s="26"/>
      <c r="M777" s="28"/>
      <c r="N777" s="26"/>
    </row>
    <row r="778" spans="1:24" ht="12.5" customHeight="1" x14ac:dyDescent="0.2">
      <c r="A778" s="11" t="str">
        <f>A756</f>
        <v>MM</v>
      </c>
      <c r="B778" s="11">
        <f>B756+1</f>
        <v>36</v>
      </c>
      <c r="C778" s="11" t="str">
        <f>C756</f>
        <v>SC</v>
      </c>
      <c r="D778" s="11" t="str">
        <f>D756</f>
        <v>SN</v>
      </c>
      <c r="E778" s="11" t="str">
        <f>E756</f>
        <v>C</v>
      </c>
      <c r="F778" s="11" t="str">
        <f ca="1">VLOOKUP(B778,INDIRECT($F$8),4,0)</f>
        <v>TANISH PRAKASH</v>
      </c>
    </row>
    <row r="779" spans="1:24" ht="12.5" customHeight="1" x14ac:dyDescent="0.2">
      <c r="A779" s="30" t="str">
        <f ca="1">IF(ISERROR(F778),"",A757)</f>
        <v>Name:</v>
      </c>
      <c r="B779" s="30" t="str">
        <f ca="1">IFERROR(VLOOKUP(B778,INDIRECT($F$8),4,0),"")</f>
        <v>TANISH PRAKASH</v>
      </c>
      <c r="C779" s="30"/>
      <c r="D779" s="30" t="str">
        <f ca="1">IF(ISERROR(F778),"",D757)</f>
        <v>Father's Name:</v>
      </c>
      <c r="E779" s="30" t="str">
        <f ca="1">IFERROR(VLOOKUP(B778,INDIRECT($F$8),5,0),"")</f>
        <v>BRAHAM PRAKASH</v>
      </c>
      <c r="F779" s="30"/>
      <c r="G779" s="30" t="str">
        <f ca="1">IF(ISERROR(F778),"",G757)</f>
        <v>University Roll No:</v>
      </c>
      <c r="H779" s="30"/>
      <c r="I779" s="31">
        <f ca="1">IFERROR(VLOOKUP(B778,INDIRECT($F$8),2,0),"")</f>
        <v>250090120037</v>
      </c>
      <c r="J779" s="31"/>
      <c r="K779" s="30" t="str">
        <f ca="1">IF(ISERROR(F778),"",K757)</f>
        <v>University Enrol. No:</v>
      </c>
      <c r="L779" s="30"/>
      <c r="M779" s="31" t="str">
        <f ca="1">IFERROR(VLOOKUP(B778,INDIRECT($F$8),3,0),"")</f>
        <v>UTU/2501103724</v>
      </c>
      <c r="N779" s="31"/>
    </row>
    <row r="780" spans="1:24" ht="12.5" customHeight="1" x14ac:dyDescent="0.2">
      <c r="A780" s="30"/>
      <c r="B780" s="30"/>
      <c r="C780" s="30"/>
      <c r="D780" s="30"/>
      <c r="E780" s="30"/>
      <c r="F780" s="30"/>
      <c r="G780" s="30"/>
      <c r="H780" s="30"/>
      <c r="I780" s="31"/>
      <c r="J780" s="31"/>
      <c r="K780" s="30"/>
      <c r="L780" s="30"/>
      <c r="M780" s="31"/>
      <c r="N780" s="31"/>
    </row>
    <row r="781" spans="1:24" ht="12.5" customHeight="1" x14ac:dyDescent="0.2">
      <c r="A781" s="28" t="str">
        <f ca="1">IF(ISERROR(F778),"",A759)</f>
        <v>Subject Code</v>
      </c>
      <c r="B781" s="28" t="str">
        <f ca="1">IF(ISERROR(F778),"",B759)</f>
        <v>Subject Name</v>
      </c>
      <c r="C781" s="28"/>
      <c r="D781" s="28"/>
      <c r="E781" s="28"/>
      <c r="F781" s="28" t="str">
        <f ca="1">IF(ISERROR(F778),"",F759)</f>
        <v>Credits</v>
      </c>
      <c r="G781" s="28" t="str">
        <f ca="1">IF(ISERROR(F778),"",G759)</f>
        <v>External Marks</v>
      </c>
      <c r="H781" s="28"/>
      <c r="I781" s="28" t="str">
        <f ca="1">IF(ISERROR(F778),"",I759)</f>
        <v>Sessional Marks</v>
      </c>
      <c r="J781" s="28"/>
      <c r="K781" s="28" t="str">
        <f ca="1">IF(ISERROR(F778),"",K759)</f>
        <v>Total Marks</v>
      </c>
      <c r="L781" s="28"/>
      <c r="M781" s="28" t="str">
        <f ca="1">IF(ISERROR(F778),"",M759)</f>
        <v>Grade</v>
      </c>
      <c r="N781" s="28" t="str">
        <f ca="1">IF(ISERROR(F778),"",N759)</f>
        <v>Grade Points</v>
      </c>
    </row>
    <row r="782" spans="1:24" ht="12.5" customHeight="1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W782">
        <f ca="1">IF(ISNUMBER(MATCH($F$8,{"I","III","V","VII"},0)),10,10-INDEX(INDIRECT(_xlfn.TEXTJOIN("",TRUE,"SEM_",$G$8,"!",ADDRESS(6,4+$I$8*3+4),":",ADDRESS(5+$H$8,4+$I$8*3+4))),MATCH(INDIRECT(_xlfn.TEXTJOIN("",TRUE,"TC_",$F$8,"!",ADDRESS(ROW(I779),COLUMN(I779)))),INDIRECT(_xlfn.TEXTJOIN("",TRUE,"SEM_",$G$8,"!",ADDRESS(6,2),":",ADDRESS(5+$H$8,2))))))</f>
        <v>10</v>
      </c>
    </row>
    <row r="783" spans="1:24" ht="12.5" customHeight="1" x14ac:dyDescent="0.2">
      <c r="A783" s="7" t="str">
        <f ca="1">IF(ISERROR(F778),"",VLOOKUP(C778,INDIRECT($F$8),6+(O783-1)*3,0))</f>
        <v>AHT 002</v>
      </c>
      <c r="B783" s="24" t="str">
        <f ca="1">IF(ISERROR(F778),"",VLOOKUP(D778,INDIRECT($F$8),6+(O783-1)*3,0))</f>
        <v>Engineering Chemistry</v>
      </c>
      <c r="C783" s="24"/>
      <c r="D783" s="24"/>
      <c r="E783" s="24"/>
      <c r="F783" s="7">
        <f ca="1">IF(ISERROR(F778),"",VLOOKUP(E778,INDIRECT($F$8),6+(O783-1)*3,0))</f>
        <v>4</v>
      </c>
      <c r="G783" s="25" t="str">
        <f ca="1">IF(ISERROR(F778),"",_xlfn.TEXTJOIN("/",FALSE,P783,S783))</f>
        <v>39/100</v>
      </c>
      <c r="H783" s="25"/>
      <c r="I783" s="25" t="str">
        <f ca="1">IF(ISERROR(F778),"",_xlfn.TEXTJOIN("/",FALSE,Q783,T783))</f>
        <v>26/50</v>
      </c>
      <c r="J783" s="25"/>
      <c r="K783" s="25" t="str">
        <f ca="1">IF(ISERROR(F778),"",_xlfn.TEXTJOIN("/",FALSE,R783,U783))</f>
        <v>65/150</v>
      </c>
      <c r="L783" s="25"/>
      <c r="M783" s="7" t="str">
        <f ca="1">IF(ISERROR(F778),"",IF(ISTEXT(P783),IF(P783="A","Ab",IF(P783="D","Dt",IF(P783="UFM","UFM",IF(P783="NA","")))),IF(AND(ISBLANK(P783),ISBLANK(R783)),"",IF(P783&lt;0.3*S783,"F",IF(ISBLANK(R783),"",IF(ISTEXT(R783),R783,IF(R783&gt;=0.95*U783,"O",IF(R783&gt;=0.9*U783,"A+",IF(R783&gt;=0.85*U783,"A",IF(R783&gt;=0.8*U783,"B+",IF(R783&gt;=0.75*U783,"B",IF(R783&gt;=0.7*U783,"C+",IF(R783&gt;=0.65*U783,"C",IF(R783&gt;=0.6*U783,"D+",IF(R783&gt;=0.55*U783,"D",IF(R783&gt;=0.5*U783,"E+",IF(R783&gt;=0.45*U783,"E",IF(R783&gt;=0.4*U783,"P",IF(R783&lt;0.4*U783,"F",R783)))))))))))))))))))</f>
        <v>P</v>
      </c>
      <c r="N783" s="8">
        <f ca="1">INDEX($Z$2:$Z$17,MATCH(M783,$Y$2:$Y$17,0))</f>
        <v>4.5</v>
      </c>
      <c r="O783">
        <v>1</v>
      </c>
      <c r="P783" s="1">
        <f ca="1">IF(ISERROR(F778),"",IF(ISTEXT(VLOOKUP(B778,INDIRECT($F$8),6+(O783-1)*3)),(VLOOKUP(B778,INDIRECT($F$8),6+(O783-1)*3)),SUM(VLOOKUP(B778,INDIRECT($F$8),6+(O783-1)*3),IF(W796,W783,0))))</f>
        <v>39</v>
      </c>
      <c r="Q783" s="1">
        <f ca="1">IF(ISERROR(F778),"",VLOOKUP(B778,INDIRECT($F$8),7+(O783-1)*3))</f>
        <v>26</v>
      </c>
      <c r="R783" s="1">
        <f ca="1">IF(ISERROR(F778),"",SUM(P783:Q783))</f>
        <v>65</v>
      </c>
      <c r="S783" s="1">
        <f ca="1">IF(ISERROR(F778),"",VLOOKUP(A778,INDIRECT($F$8),6+(O783-1)*3))</f>
        <v>100</v>
      </c>
      <c r="T783" s="1">
        <f ca="1">IF(ISERROR(F778),"",VLOOKUP(A778,INDIRECT($F$8),7+(O783-1)*3))</f>
        <v>50</v>
      </c>
      <c r="U783" s="1">
        <f ca="1">IF(ISERROR(F778),"",VLOOKUP(A778,INDIRECT($F$8),8+(O783-1)*3))</f>
        <v>150</v>
      </c>
      <c r="V783" s="1" t="str">
        <f ca="1">IF(ISERROR(F778),"",IF(N783=0,A783,""))</f>
        <v/>
      </c>
      <c r="W783" s="1">
        <f ca="1">IF(ISERROR(F778),"",IF(ISTEXT(VLOOKUP(B778,INDIRECT($F$8),6+(O783-1)*3)),11,IF(VLOOKUP(B778,INDIRECT($F$8),6+(O783-1)*3)&lt;S783*0.3,IF(VLOOKUP(B778,INDIRECT($F$8),8+(O783-1)*3)&lt;U783*0.4,IF(AND(0.4*U783-VLOOKUP(B778,INDIRECT($F$8),8+(O783-1)*3)&lt;=5,0.3*S783-VLOOKUP(B778,INDIRECT($F$8),6+(O783-1)*3)&lt;=5),MAX(0.4*U783-VLOOKUP(B778,INDIRECT($F$8),8+(O783-1)*3),0.3*S783-VLOOKUP(B778,INDIRECT($F$8),6+(O783-1)*3)),11),IF(0.3*S783-VLOOKUP(B778,INDIRECT($F$8),6+(O783-1)*3)&lt;=5,0.3*S783-VLOOKUP(B778,INDIRECT($F$8),6+(O783-1)*3),11)),IF(VLOOKUP(B778,INDIRECT($F$8),8+(O783-1)*3)&lt;U783*0.4,IF(U783*0.4-VLOOKUP(B778,INDIRECT($F$8),8+(O783-1)*3)&lt;=5,U783*0.4-VLOOKUP(B778,INDIRECT($F$8),8+(O783-1)*3),11),0))))</f>
        <v>0</v>
      </c>
      <c r="X783" s="1" t="str">
        <f ca="1">IF(ISERROR(F778),"",IF(W783=0,"",_xlfn.TEXTJOIN("",FALSE," G+",W783," in ",A783)))</f>
        <v/>
      </c>
    </row>
    <row r="784" spans="1:24" ht="12.5" customHeight="1" x14ac:dyDescent="0.2">
      <c r="A784" s="7" t="str">
        <f ca="1">IF(ISERROR(F778),"",VLOOKUP(C778,INDIRECT($F$8),6+(O784-1)*3,0))</f>
        <v>AHT 003</v>
      </c>
      <c r="B784" s="24" t="str">
        <f ca="1">IF(ISERROR(F778),"",VLOOKUP(D778,INDIRECT($F$8),6+(O784-1)*3,0))</f>
        <v>Introduction to Engineering Mathematics</v>
      </c>
      <c r="C784" s="24"/>
      <c r="D784" s="24"/>
      <c r="E784" s="24"/>
      <c r="F784" s="7">
        <f ca="1">IF(ISERROR(F778),"",VLOOKUP(E778,INDIRECT($F$8),6+(O784-1)*3,0))</f>
        <v>4</v>
      </c>
      <c r="G784" s="25" t="str">
        <f ca="1">IF(ISERROR(F778),"",_xlfn.TEXTJOIN("/",FALSE,P784,S784))</f>
        <v>7/100</v>
      </c>
      <c r="H784" s="25"/>
      <c r="I784" s="25" t="str">
        <f ca="1">IF(ISERROR(F778),"",_xlfn.TEXTJOIN("/",FALSE,Q784,T784))</f>
        <v>18/50</v>
      </c>
      <c r="J784" s="25"/>
      <c r="K784" s="25" t="str">
        <f ca="1">IF(ISERROR(F778),"",_xlfn.TEXTJOIN("/",FALSE,R784,U784))</f>
        <v>25/150</v>
      </c>
      <c r="L784" s="25"/>
      <c r="M784" s="7" t="str">
        <f ca="1">IF(ISERROR(F778),"",IF(ISTEXT(P784),IF(P784="A","Ab",IF(P784="D","Dt",IF(P784="UFM","UFM",IF(P784="NA","")))),IF(AND(ISBLANK(P784),ISBLANK(R784)),"",IF(P784&lt;0.3*S784,"F",IF(ISBLANK(R784),"",IF(ISTEXT(R784),R784,IF(R784&gt;=0.95*U784,"O",IF(R784&gt;=0.9*U784,"A+",IF(R784&gt;=0.85*U784,"A",IF(R784&gt;=0.8*U784,"B+",IF(R784&gt;=0.75*U784,"B",IF(R784&gt;=0.7*U784,"C+",IF(R784&gt;=0.65*U784,"C",IF(R784&gt;=0.6*U784,"D+",IF(R784&gt;=0.55*U784,"D",IF(R784&gt;=0.5*U784,"E+",IF(R784&gt;=0.45*U784,"E",IF(R784&gt;=0.4*U784,"P",IF(R784&lt;0.4*U784,"F",R784)))))))))))))))))))</f>
        <v>F</v>
      </c>
      <c r="N784" s="8">
        <f t="shared" ref="N784:N793" ca="1" si="71">INDEX($Z$2:$Z$17,MATCH(M784,$Y$2:$Y$17,0))</f>
        <v>0</v>
      </c>
      <c r="O784">
        <f>O783+1</f>
        <v>2</v>
      </c>
      <c r="P784" s="1">
        <f ca="1">IF(ISERROR(F778),"",IF(ISTEXT(VLOOKUP(B778,INDIRECT($F$8),6+(O784-1)*3)),(VLOOKUP(B778,INDIRECT($F$8),6+(O784-1)*3)),SUM(VLOOKUP(B778,INDIRECT($F$8),6+(O784-1)*3),IF(W796,W784,0))))</f>
        <v>7</v>
      </c>
      <c r="Q784" s="1">
        <f ca="1">IF(ISERROR(F778),"",VLOOKUP(B778,INDIRECT($F$8),7+(O784-1)*3))</f>
        <v>18</v>
      </c>
      <c r="R784" s="1">
        <f ca="1">IF(ISERROR(F778),"",SUM(P784:Q784))</f>
        <v>25</v>
      </c>
      <c r="S784" s="1">
        <f ca="1">IF(ISERROR(F778),"",VLOOKUP(A778,INDIRECT($F$8),6+(O784-1)*3))</f>
        <v>100</v>
      </c>
      <c r="T784" s="1">
        <f ca="1">IF(ISERROR(F778),"",VLOOKUP(A778,INDIRECT($F$8),7+(O784-1)*3))</f>
        <v>50</v>
      </c>
      <c r="U784" s="1">
        <f ca="1">IF(ISERROR(F778),"",VLOOKUP(A778,INDIRECT($F$8),8+(O784-1)*3))</f>
        <v>150</v>
      </c>
      <c r="V784" s="1" t="str">
        <f ca="1">IF(ISERROR(F778),"",IF(N784=0,A784,""))</f>
        <v>AHT 003</v>
      </c>
      <c r="W784" s="1">
        <f ca="1">IF(ISERROR(F778),"",IF(ISTEXT(VLOOKUP(B778,INDIRECT($F$8),6+(O784-1)*3)),11,IF(VLOOKUP(B778,INDIRECT($F$8),6+(O784-1)*3)&lt;S784*0.3,IF(VLOOKUP(B778,INDIRECT($F$8),8+(O784-1)*3)&lt;U784*0.4,IF(AND(0.4*U784-VLOOKUP(B778,INDIRECT($F$8),8+(O784-1)*3)&lt;=5,0.3*S784-VLOOKUP(B778,INDIRECT($F$8),6+(O784-1)*3)&lt;=5),MAX(0.4*U784-VLOOKUP(B778,INDIRECT($F$8),8+(O784-1)*3),0.3*S784-VLOOKUP(B778,INDIRECT($F$8),6+(O784-1)*3)),11),IF(0.3*S784-VLOOKUP(B778,INDIRECT($F$8),6+(O784-1)*3)&lt;=5,0.3*S784-VLOOKUP(B778,INDIRECT($F$8),6+(O784-1)*3),11)),IF(VLOOKUP(B778,INDIRECT($F$8),8+(O784-1)*3)&lt;U784*0.4,IF(U784*0.4-VLOOKUP(B778,INDIRECT($F$8),8+(O784-1)*3)&lt;=5,U784*0.4-VLOOKUP(B778,INDIRECT($F$8),8+(O784-1)*3),11),0))))</f>
        <v>11</v>
      </c>
      <c r="X784" s="1" t="str">
        <f ca="1">IF(ISERROR(F778),"",IF(W784=0,"",_xlfn.TEXTJOIN("",FALSE," G+",W784," in ",A784)))</f>
        <v xml:space="preserve"> G+11 in AHT 003</v>
      </c>
    </row>
    <row r="785" spans="1:24" ht="12.5" customHeight="1" x14ac:dyDescent="0.2">
      <c r="A785" s="7" t="str">
        <f ca="1">IF(ISERROR(F778),"",VLOOKUP(C778,INDIRECT($F$8),6+(O785-1)*3,0))</f>
        <v>ECT 001</v>
      </c>
      <c r="B785" s="24" t="str">
        <f ca="1">IF(ISERROR(F778),"",VLOOKUP(D778,INDIRECT($F$8),6+(O785-1)*3,0))</f>
        <v>Basic Electronics Engineering</v>
      </c>
      <c r="C785" s="24"/>
      <c r="D785" s="24"/>
      <c r="E785" s="24"/>
      <c r="F785" s="7">
        <f ca="1">IF(ISERROR(F778),"",VLOOKUP(E778,INDIRECT($F$8),6+(O785-1)*3,0))</f>
        <v>4</v>
      </c>
      <c r="G785" s="25" t="str">
        <f ca="1">IF(ISERROR(F778),"",_xlfn.TEXTJOIN("/",FALSE,P785,S785))</f>
        <v>38/100</v>
      </c>
      <c r="H785" s="25"/>
      <c r="I785" s="25" t="str">
        <f ca="1">IF(ISERROR(F778),"",_xlfn.TEXTJOIN("/",FALSE,Q785,T785))</f>
        <v>42/50</v>
      </c>
      <c r="J785" s="25"/>
      <c r="K785" s="25" t="str">
        <f ca="1">IF(ISERROR(F778),"",_xlfn.TEXTJOIN("/",FALSE,R785,U785))</f>
        <v>80/150</v>
      </c>
      <c r="L785" s="25"/>
      <c r="M785" s="7" t="str">
        <f ca="1">IF(ISERROR(F778),"",IF(ISTEXT(P785),IF(P785="A","Ab",IF(P785="D","Dt",IF(P785="UFM","UFM",IF(P785="NA","")))),IF(AND(ISBLANK(P785),ISBLANK(R785)),"",IF(P785&lt;0.3*S785,"F",IF(ISBLANK(R785),"",IF(ISTEXT(R785),R785,IF(R785&gt;=0.95*U785,"O",IF(R785&gt;=0.9*U785,"A+",IF(R785&gt;=0.85*U785,"A",IF(R785&gt;=0.8*U785,"B+",IF(R785&gt;=0.75*U785,"B",IF(R785&gt;=0.7*U785,"C+",IF(R785&gt;=0.65*U785,"C",IF(R785&gt;=0.6*U785,"D+",IF(R785&gt;=0.55*U785,"D",IF(R785&gt;=0.5*U785,"E+",IF(R785&gt;=0.45*U785,"E",IF(R785&gt;=0.4*U785,"P",IF(R785&lt;0.4*U785,"F",R785)))))))))))))))))))</f>
        <v>E+</v>
      </c>
      <c r="N785" s="8">
        <f t="shared" ca="1" si="71"/>
        <v>5.5</v>
      </c>
      <c r="O785">
        <f>O784+1</f>
        <v>3</v>
      </c>
      <c r="P785" s="1">
        <f ca="1">IF(ISERROR(F778),"",IF(ISTEXT(VLOOKUP(B778,INDIRECT($F$8),6+(O785-1)*3)),(VLOOKUP(B778,INDIRECT($F$8),6+(O785-1)*3)),SUM(VLOOKUP(B778,INDIRECT($F$8),6+(O785-1)*3),IF(W796,W785,0))))</f>
        <v>38</v>
      </c>
      <c r="Q785" s="1">
        <f ca="1">IF(ISERROR(F778),"",VLOOKUP(B778,INDIRECT($F$8),7+(O785-1)*3))</f>
        <v>42</v>
      </c>
      <c r="R785" s="1">
        <f ca="1">IF(ISERROR(F778),"",SUM(P785:Q785))</f>
        <v>80</v>
      </c>
      <c r="S785" s="1">
        <f ca="1">IF(ISERROR(F778),"",VLOOKUP(A778,INDIRECT($F$8),6+(O785-1)*3))</f>
        <v>100</v>
      </c>
      <c r="T785" s="1">
        <f ca="1">IF(ISERROR(F778),"",VLOOKUP(A778,INDIRECT($F$8),7+(O785-1)*3))</f>
        <v>50</v>
      </c>
      <c r="U785" s="1">
        <f ca="1">IF(ISERROR(F778),"",VLOOKUP(A778,INDIRECT($F$8),8+(O785-1)*3))</f>
        <v>150</v>
      </c>
      <c r="V785" s="1" t="str">
        <f ca="1">IF(ISERROR(F778),"",IF(N785=0,A785,""))</f>
        <v/>
      </c>
      <c r="W785" s="1">
        <f ca="1">IF(ISERROR(F778),"",IF(ISTEXT(VLOOKUP(B778,INDIRECT($F$8),6+(O785-1)*3)),11,IF(VLOOKUP(B778,INDIRECT($F$8),6+(O785-1)*3)&lt;S785*0.3,IF(VLOOKUP(B778,INDIRECT($F$8),8+(O785-1)*3)&lt;U785*0.4,IF(AND(0.4*U785-VLOOKUP(B778,INDIRECT($F$8),8+(O785-1)*3)&lt;=5,0.3*S785-VLOOKUP(B778,INDIRECT($F$8),6+(O785-1)*3)&lt;=5),MAX(0.4*U785-VLOOKUP(B778,INDIRECT($F$8),8+(O785-1)*3),0.3*S785-VLOOKUP(B778,INDIRECT($F$8),6+(O785-1)*3)),11),IF(0.3*S785-VLOOKUP(B778,INDIRECT($F$8),6+(O785-1)*3)&lt;=5,0.3*S785-VLOOKUP(B778,INDIRECT($F$8),6+(O785-1)*3),11)),IF(VLOOKUP(B778,INDIRECT($F$8),8+(O785-1)*3)&lt;U785*0.4,IF(U785*0.4-VLOOKUP(B778,INDIRECT($F$8),8+(O785-1)*3)&lt;=5,U785*0.4-VLOOKUP(B778,INDIRECT($F$8),8+(O785-1)*3),11),0))))</f>
        <v>0</v>
      </c>
      <c r="X785" s="1" t="str">
        <f ca="1">IF(ISERROR(F778),"",IF(W785=0,"",_xlfn.TEXTJOIN("",FALSE," G+",W785," in ",A785)))</f>
        <v/>
      </c>
    </row>
    <row r="786" spans="1:24" ht="12.5" customHeight="1" x14ac:dyDescent="0.2">
      <c r="A786" s="7" t="str">
        <f ca="1">IF(ISERROR(F778),"",VLOOKUP(C778,INDIRECT($F$8),6+(O786-1)*3,0))</f>
        <v>MET 001</v>
      </c>
      <c r="B786" s="24" t="str">
        <f ca="1">IF(ISERROR(F778),"",VLOOKUP(D778,INDIRECT($F$8),6+(O786-1)*3,0))</f>
        <v>Basic Mechanical Engineering</v>
      </c>
      <c r="C786" s="24"/>
      <c r="D786" s="24"/>
      <c r="E786" s="24"/>
      <c r="F786" s="7">
        <f ca="1">IF(ISERROR(F778),"",VLOOKUP(E778,INDIRECT($F$8),6+(O786-1)*3,0))</f>
        <v>4</v>
      </c>
      <c r="G786" s="25" t="str">
        <f ca="1">IF(ISERROR(F778),"",_xlfn.TEXTJOIN("/",FALSE,P786,S786))</f>
        <v>37/100</v>
      </c>
      <c r="H786" s="25"/>
      <c r="I786" s="25" t="str">
        <f ca="1">IF(ISERROR(F778),"",_xlfn.TEXTJOIN("/",FALSE,Q786,T786))</f>
        <v>35/50</v>
      </c>
      <c r="J786" s="25"/>
      <c r="K786" s="25" t="str">
        <f ca="1">IF(ISERROR(F778),"",_xlfn.TEXTJOIN("/",FALSE,R786,U786))</f>
        <v>72/150</v>
      </c>
      <c r="L786" s="25"/>
      <c r="M786" s="7" t="str">
        <f ca="1">IF(ISERROR(F778),"",IF(ISTEXT(P786),IF(P786="A","Ab",IF(P786="D","Dt",IF(P786="UFM","UFM",IF(P786="NA","")))),IF(AND(ISBLANK(P786),ISBLANK(R786)),"",IF(P786&lt;0.3*S786,"F",IF(ISBLANK(R786),"",IF(ISTEXT(R786),R786,IF(R786&gt;=0.95*U786,"O",IF(R786&gt;=0.9*U786,"A+",IF(R786&gt;=0.85*U786,"A",IF(R786&gt;=0.8*U786,"B+",IF(R786&gt;=0.75*U786,"B",IF(R786&gt;=0.7*U786,"C+",IF(R786&gt;=0.65*U786,"C",IF(R786&gt;=0.6*U786,"D+",IF(R786&gt;=0.55*U786,"D",IF(R786&gt;=0.5*U786,"E+",IF(R786&gt;=0.45*U786,"E",IF(R786&gt;=0.4*U786,"P",IF(R786&lt;0.4*U786,"F",R786)))))))))))))))))))</f>
        <v>E</v>
      </c>
      <c r="N786" s="8">
        <f t="shared" ca="1" si="71"/>
        <v>5</v>
      </c>
      <c r="O786">
        <f>O785+1</f>
        <v>4</v>
      </c>
      <c r="P786" s="1">
        <f ca="1">IF(ISERROR(F778),"",IF(ISTEXT(VLOOKUP(B778,INDIRECT($F$8),6+(O786-1)*3)),(VLOOKUP(B778,INDIRECT($F$8),6+(O786-1)*3)),SUM(VLOOKUP(B778,INDIRECT($F$8),6+(O786-1)*3),IF(W796,W786,0))))</f>
        <v>37</v>
      </c>
      <c r="Q786" s="1">
        <f ca="1">IF(ISERROR(F778),"",VLOOKUP(B778,INDIRECT($F$8),7+(O786-1)*3))</f>
        <v>35</v>
      </c>
      <c r="R786" s="1">
        <f ca="1">IF(ISERROR(F778),"",SUM(P786:Q786))</f>
        <v>72</v>
      </c>
      <c r="S786" s="1">
        <f ca="1">IF(ISERROR(F778),"",VLOOKUP(A778,INDIRECT($F$8),6+(O786-1)*3))</f>
        <v>100</v>
      </c>
      <c r="T786" s="1">
        <f ca="1">IF(ISERROR(F778),"",VLOOKUP(A778,INDIRECT($F$8),7+(O786-1)*3))</f>
        <v>50</v>
      </c>
      <c r="U786" s="1">
        <f ca="1">IF(ISERROR(F778),"",VLOOKUP(A778,INDIRECT($F$8),8+(O786-1)*3))</f>
        <v>150</v>
      </c>
      <c r="V786" s="1" t="str">
        <f ca="1">IF(ISERROR(F778),"",IF(N786=0,A786,""))</f>
        <v/>
      </c>
      <c r="W786" s="1">
        <f ca="1">IF(ISERROR(F778),"",IF(ISTEXT(VLOOKUP(B778,INDIRECT($F$8),6+(O786-1)*3)),11,IF(VLOOKUP(B778,INDIRECT($F$8),6+(O786-1)*3)&lt;S786*0.3,IF(VLOOKUP(B778,INDIRECT($F$8),8+(O786-1)*3)&lt;U786*0.4,IF(AND(0.4*U786-VLOOKUP(B778,INDIRECT($F$8),8+(O786-1)*3)&lt;=5,0.3*S786-VLOOKUP(B778,INDIRECT($F$8),6+(O786-1)*3)&lt;=5),MAX(0.4*U786-VLOOKUP(B778,INDIRECT($F$8),8+(O786-1)*3),0.3*S786-VLOOKUP(B778,INDIRECT($F$8),6+(O786-1)*3)),11),IF(0.3*S786-VLOOKUP(B778,INDIRECT($F$8),6+(O786-1)*3)&lt;=5,0.3*S786-VLOOKUP(B778,INDIRECT($F$8),6+(O786-1)*3),11)),IF(VLOOKUP(B778,INDIRECT($F$8),8+(O786-1)*3)&lt;U786*0.4,IF(U786*0.4-VLOOKUP(B778,INDIRECT($F$8),8+(O786-1)*3)&lt;=5,U786*0.4-VLOOKUP(B778,INDIRECT($F$8),8+(O786-1)*3),11),0))))</f>
        <v>0</v>
      </c>
      <c r="X786" s="1" t="str">
        <f ca="1">IF(ISERROR(F778),"",IF(W786=0,"",_xlfn.TEXTJOIN("",FALSE," G+",W786," in ",A786)))</f>
        <v/>
      </c>
    </row>
    <row r="787" spans="1:24" ht="12.5" customHeight="1" x14ac:dyDescent="0.2">
      <c r="A787" s="7" t="str">
        <f ca="1">IF(ISERROR(F778),"",VLOOKUP(C778,INDIRECT($F$8),6+(O787-1)*3,0))</f>
        <v>AHT 000</v>
      </c>
      <c r="B787" s="24" t="str">
        <f ca="1">IF(ISERROR(F778),"",VLOOKUP(D778,INDIRECT($F$8),6+(O787-1)*3,0))</f>
        <v>Basic Mathematics (Bridge Course) ($)</v>
      </c>
      <c r="C787" s="24"/>
      <c r="D787" s="24"/>
      <c r="E787" s="24"/>
      <c r="F787" s="7">
        <f ca="1">IF(ISERROR(F778),"",VLOOKUP(E778,INDIRECT($F$8),6+(O787-1)*3,0))</f>
        <v>0</v>
      </c>
      <c r="G787" s="25" t="str">
        <f ca="1">IF(ISERROR(F778),"",_xlfn.TEXTJOIN("/",FALSE,P787,S787))</f>
        <v>41/100</v>
      </c>
      <c r="H787" s="25"/>
      <c r="I787" s="25" t="str">
        <f ca="1">IF(ISERROR(F778),"",_xlfn.TEXTJOIN("/",FALSE,Q787,T787))</f>
        <v>36/50</v>
      </c>
      <c r="J787" s="25"/>
      <c r="K787" s="25" t="str">
        <f ca="1">IF(ISERROR(F778),"",_xlfn.TEXTJOIN("/",FALSE,R787,U787))</f>
        <v>77/150</v>
      </c>
      <c r="L787" s="25"/>
      <c r="M787" s="7" t="str">
        <f ca="1">IF(ISERROR(F778),"",IF(ISTEXT(P787),IF(P787="A","Ab",IF(P787="D","Dt",IF(P787="UFM","UFM",IF(P787="NA","")))),IF(AND(ISBLANK(P787),ISBLANK(R787)),"",IF(P787&lt;0.3*S787,"F",IF(ISBLANK(R787),"",IF(ISTEXT(R787),R787,IF(R787&gt;=0.95*U787,"O",IF(R787&gt;=0.9*U787,"A+",IF(R787&gt;=0.85*U787,"A",IF(R787&gt;=0.8*U787,"B+",IF(R787&gt;=0.75*U787,"B",IF(R787&gt;=0.7*U787,"C+",IF(R787&gt;=0.65*U787,"C",IF(R787&gt;=0.6*U787,"D+",IF(R787&gt;=0.55*U787,"D",IF(R787&gt;=0.5*U787,"E+",IF(R787&gt;=0.45*U787,"E",IF(R787&gt;=0.4*U787,"P",IF(R787&lt;0.4*U787,"F",R787)))))))))))))))))))</f>
        <v>E+</v>
      </c>
      <c r="N787" s="8">
        <f t="shared" ca="1" si="71"/>
        <v>5.5</v>
      </c>
      <c r="O787" cm="1">
        <f t="array" aca="1" ref="O787" ca="1">IF(NOT(ISBLANK(INDIRECT("SEM_I!R"&amp;INT((ROW(O787)-17)/22)+6))),5,
IF(NOT(ISBLANK(INDIRECT("SEM_I!U"&amp;INT((ROW(O787)-17)/22)+6))),6))</f>
        <v>5</v>
      </c>
      <c r="P787" s="1">
        <f ca="1">IF(ISERROR(F778),"",IF(ISTEXT(VLOOKUP(B778,INDIRECT($F$8),6+(O787-1)*3)),(VLOOKUP(B778,INDIRECT($F$8),6+(O787-1)*3)),SUM(VLOOKUP(B778,INDIRECT($F$8),6+(O787-1)*3),IF(W796,W787,0))))</f>
        <v>41</v>
      </c>
      <c r="Q787" s="1">
        <f ca="1">IF(ISERROR(F778),"",VLOOKUP(B778,INDIRECT($F$8),7+(O787-1)*3))</f>
        <v>36</v>
      </c>
      <c r="R787" s="1">
        <f ca="1">IF(ISERROR(F778),"",SUM(P787:Q787))</f>
        <v>77</v>
      </c>
      <c r="S787" s="1">
        <f ca="1">IF(ISERROR(F778),"",VLOOKUP(A778,INDIRECT($F$8),6+(O787-1)*3))</f>
        <v>100</v>
      </c>
      <c r="T787" s="1">
        <f ca="1">IF(ISERROR(F778),"",VLOOKUP(A778,INDIRECT($F$8),7+(O787-1)*3))</f>
        <v>50</v>
      </c>
      <c r="U787" s="1">
        <f ca="1">IF(ISERROR(F778),"",VLOOKUP(A778,INDIRECT($F$8),8+(O787-1)*3))</f>
        <v>150</v>
      </c>
      <c r="V787" s="1" t="str">
        <f ca="1">IF(ISERROR(F778),"",IF(N787=0,A787,""))</f>
        <v/>
      </c>
      <c r="W787" s="1">
        <f ca="1">IF(ISERROR(F778),"",IF(ISTEXT(VLOOKUP(B778,INDIRECT($F$8),6+(O787-1)*3)),11,IF(VLOOKUP(B778,INDIRECT($F$8),6+(O787-1)*3)&lt;S787*0.3,IF(VLOOKUP(B778,INDIRECT($F$8),8+(O787-1)*3)&lt;U787*0.4,IF(AND(0.4*U787-VLOOKUP(B778,INDIRECT($F$8),8+(O787-1)*3)&lt;=5,0.3*S787-VLOOKUP(B778,INDIRECT($F$8),6+(O787-1)*3)&lt;=5),MAX(0.4*U787-VLOOKUP(B778,INDIRECT($F$8),8+(O787-1)*3),0.3*S787-VLOOKUP(B778,INDIRECT($F$8),6+(O787-1)*3)),11),IF(0.3*S787-VLOOKUP(B778,INDIRECT($F$8),6+(O787-1)*3)&lt;=5,0.3*S787-VLOOKUP(B778,INDIRECT($F$8),6+(O787-1)*3),11)),IF(VLOOKUP(B778,INDIRECT($F$8),8+(O787-1)*3)&lt;U787*0.4,IF(U787*0.4-VLOOKUP(B778,INDIRECT($F$8),8+(O787-1)*3)&lt;=5,U787*0.4-VLOOKUP(B778,INDIRECT($F$8),8+(O787-1)*3),11),0))))</f>
        <v>0</v>
      </c>
      <c r="X787" s="1" t="str">
        <f ca="1">IF(ISERROR(F778),"",IF(W787=0,"",_xlfn.TEXTJOIN("",FALSE," G+",W787," in ",A787)))</f>
        <v/>
      </c>
    </row>
    <row r="788" spans="1:24" ht="12.5" customHeight="1" x14ac:dyDescent="0.2">
      <c r="A788" s="7" t="str">
        <f ca="1">IF(ISERROR(F778),"",VLOOKUP(C778,INDIRECT($F$8),6+(O788-1)*3,0))</f>
        <v>AHP 002</v>
      </c>
      <c r="B788" s="24" t="str">
        <f ca="1">IF(ISERROR(F778),"",VLOOKUP(D778,INDIRECT($F$8),6+(O788-1)*3,0))</f>
        <v>Engineering Chemistry Lab</v>
      </c>
      <c r="C788" s="24"/>
      <c r="D788" s="24"/>
      <c r="E788" s="24"/>
      <c r="F788" s="7">
        <f ca="1">IF(ISERROR(F778),"",VLOOKUP(E778,INDIRECT($F$8),6+(O788-1)*3,0))</f>
        <v>1</v>
      </c>
      <c r="G788" s="25" t="str">
        <f ca="1">IF(ISERROR(F778),"",_xlfn.TEXTJOIN("/",FALSE,P788,S788))</f>
        <v>15/25</v>
      </c>
      <c r="H788" s="25"/>
      <c r="I788" s="25" t="str">
        <f ca="1">IF(ISERROR(F778),"",_xlfn.TEXTJOIN("/",FALSE,Q788,T788))</f>
        <v>13/25</v>
      </c>
      <c r="J788" s="25"/>
      <c r="K788" s="25" t="str">
        <f ca="1">IF(ISERROR(F778),"",_xlfn.TEXTJOIN("/",FALSE,R788,U788))</f>
        <v>28/50</v>
      </c>
      <c r="L788" s="25"/>
      <c r="M788" s="7" t="str">
        <f ca="1">IF(ISERROR(F778),"",IF(ISTEXT(P788),IF(P788="A","Ab",IF(P788="D","Dt",IF(P788="UFM","UFM",IF(P788="NA","")))),IF(AND(ISBLANK(P788),ISBLANK(R788)),"",IF(P788&lt;0.3*S788,"F",IF(ISBLANK(R788),"",IF(ISTEXT(R788),R788,IF(R788&gt;=0.95*U788,"O",IF(R788&gt;=0.9*U788,"A+",IF(R788&gt;=0.85*U788,"A",IF(R788&gt;=0.8*U788,"B+",IF(R788&gt;=0.75*U788,"B",IF(R788&gt;=0.7*U788,"C+",IF(R788&gt;=0.65*U788,"C",IF(R788&gt;=0.6*U788,"D+",IF(R788&gt;=0.55*U788,"D",IF(R788&gt;=0.5*U788,"E+",IF(R788&gt;=0.45*U788,"E",IF(R788&gt;=0.4*U788,"P",IF(R788&lt;0.4*U788,"F",R788)))))))))))))))))))</f>
        <v>D</v>
      </c>
      <c r="N788" s="8">
        <f t="shared" ca="1" si="71"/>
        <v>6</v>
      </c>
      <c r="O788">
        <f ca="1">IF(O787&gt;0,7)</f>
        <v>7</v>
      </c>
      <c r="P788" s="1">
        <f ca="1">IF(ISERROR(F778),"",IF(ISTEXT(VLOOKUP(B778,INDIRECT($F$8),6+(O788-1)*3)),(VLOOKUP(B778,INDIRECT($F$8),6+(O788-1)*3)),SUM(VLOOKUP(B778,INDIRECT($F$8),6+(O788-1)*3),IF(W796,W788,0))))</f>
        <v>15</v>
      </c>
      <c r="Q788" s="1">
        <f ca="1">IF(ISERROR(F778),"",VLOOKUP(B778,INDIRECT($F$8),7+(O788-1)*3))</f>
        <v>13</v>
      </c>
      <c r="R788" s="1">
        <f ca="1">IF(ISERROR(F778),"",SUM(P788:Q788))</f>
        <v>28</v>
      </c>
      <c r="S788" s="1">
        <f ca="1">IF(ISERROR(F778),"",VLOOKUP(A778,INDIRECT($F$8),6+(O788-1)*3))</f>
        <v>25</v>
      </c>
      <c r="T788" s="1">
        <f ca="1">IF(ISERROR(F778),"",VLOOKUP(A778,INDIRECT($F$8),7+(O788-1)*3))</f>
        <v>25</v>
      </c>
      <c r="U788" s="1">
        <f ca="1">IF(ISERROR(F778),"",VLOOKUP(A778,INDIRECT($F$8),8+(O788-1)*3))</f>
        <v>50</v>
      </c>
      <c r="V788" s="1" t="str">
        <f ca="1">IF(ISERROR(F778),"",IF(N788=0,A788,""))</f>
        <v/>
      </c>
      <c r="W788" s="1">
        <f ca="1">IF(ISERROR(F778),"",IF(ISTEXT(VLOOKUP(B778,INDIRECT($F$8),6+(O788-1)*3)),11,IF(VLOOKUP(B778,INDIRECT($F$8),6+(O788-1)*3)&lt;S788*0.3,IF(VLOOKUP(B778,INDIRECT($F$8),8+(O788-1)*3)&lt;U788*0.4,IF(AND(0.4*U788-VLOOKUP(B778,INDIRECT($F$8),8+(O788-1)*3)&lt;=5,0.3*S788-VLOOKUP(B778,INDIRECT($F$8),6+(O788-1)*3)&lt;=5),MAX(0.4*U788-VLOOKUP(B778,INDIRECT($F$8),8+(O788-1)*3),0.3*S788-VLOOKUP(B778,INDIRECT($F$8),6+(O788-1)*3)),11),IF(0.3*S788-VLOOKUP(B778,INDIRECT($F$8),6+(O788-1)*3)&lt;=5,0.3*S788-VLOOKUP(B778,INDIRECT($F$8),6+(O788-1)*3),11)),IF(VLOOKUP(B778,INDIRECT($F$8),8+(O788-1)*3)&lt;U788*0.4,IF(U788*0.4-VLOOKUP(B778,INDIRECT($F$8),8+(O788-1)*3)&lt;=5,U788*0.4-VLOOKUP(B778,INDIRECT($F$8),8+(O788-1)*3),11),0))))</f>
        <v>0</v>
      </c>
      <c r="X788" s="1" t="str">
        <f ca="1">IF(ISERROR(F778),"",IF(W788=0,"",_xlfn.TEXTJOIN("",FALSE," G+",W788," in ",A788)))</f>
        <v/>
      </c>
    </row>
    <row r="789" spans="1:24" ht="12.5" customHeight="1" x14ac:dyDescent="0.2">
      <c r="A789" s="7" t="str">
        <f ca="1">IF(ISERROR(F778),"",VLOOKUP(C778,INDIRECT($F$8),6+(O789-1)*3,0))</f>
        <v>ECP 001</v>
      </c>
      <c r="B789" s="24" t="str">
        <f ca="1">IF(ISERROR(F778),"",VLOOKUP(D778,INDIRECT($F$8),6+(O789-1)*3,0))</f>
        <v>Basic Electronics Engineering Lab</v>
      </c>
      <c r="C789" s="24"/>
      <c r="D789" s="24"/>
      <c r="E789" s="24"/>
      <c r="F789" s="7">
        <f ca="1">IF(ISERROR(F778),"",VLOOKUP(E778,INDIRECT($F$8),6+(O789-1)*3,0))</f>
        <v>1</v>
      </c>
      <c r="G789" s="25" t="str">
        <f ca="1">IF(ISERROR(F778),"",_xlfn.TEXTJOIN("/",FALSE,P789,S789))</f>
        <v>16/25</v>
      </c>
      <c r="H789" s="25"/>
      <c r="I789" s="25" t="str">
        <f ca="1">IF(ISERROR(F778),"",_xlfn.TEXTJOIN("/",FALSE,Q789,T789))</f>
        <v>19/25</v>
      </c>
      <c r="J789" s="25"/>
      <c r="K789" s="25" t="str">
        <f ca="1">IF(ISERROR(F778),"",_xlfn.TEXTJOIN("/",FALSE,R789,U789))</f>
        <v>35/50</v>
      </c>
      <c r="L789" s="25"/>
      <c r="M789" s="7" t="str">
        <f ca="1">IF(ISERROR(F778),"",IF(ISTEXT(P789),IF(P789="A","Ab",IF(P789="D","Dt",IF(P789="UFM","UFM",IF(P789="NA","")))),IF(AND(ISBLANK(P789),ISBLANK(R789)),"",IF(P789&lt;0.3*S789,"F",IF(ISBLANK(R789),"",IF(ISTEXT(R789),R789,IF(R789&gt;=0.95*U789,"O",IF(R789&gt;=0.9*U789,"A+",IF(R789&gt;=0.85*U789,"A",IF(R789&gt;=0.8*U789,"B+",IF(R789&gt;=0.75*U789,"B",IF(R789&gt;=0.7*U789,"C+",IF(R789&gt;=0.65*U789,"C",IF(R789&gt;=0.6*U789,"D+",IF(R789&gt;=0.55*U789,"D",IF(R789&gt;=0.5*U789,"E+",IF(R789&gt;=0.45*U789,"E",IF(R789&gt;=0.4*U789,"P",IF(R789&lt;0.4*U789,"F",R789)))))))))))))))))))</f>
        <v>C+</v>
      </c>
      <c r="N789" s="8">
        <f t="shared" ca="1" si="71"/>
        <v>7.5</v>
      </c>
      <c r="O789">
        <f t="shared" ref="O789:O795" ca="1" si="72">O788+1</f>
        <v>8</v>
      </c>
      <c r="P789" s="1">
        <f ca="1">IF(ISERROR(F778),"",IF(ISTEXT(VLOOKUP(B778,INDIRECT($F$8),6+(O789-1)*3)),(VLOOKUP(B778,INDIRECT($F$8),6+(O789-1)*3)),SUM(VLOOKUP(B778,INDIRECT($F$8),6+(O789-1)*3),IF(W796,W789,0))))</f>
        <v>16</v>
      </c>
      <c r="Q789" s="1">
        <f ca="1">IF(ISERROR(F778),"",VLOOKUP(B778,INDIRECT($F$8),7+(O789-1)*3))</f>
        <v>19</v>
      </c>
      <c r="R789" s="1">
        <f ca="1">IF(ISERROR(F778),"",SUM(P789:Q789))</f>
        <v>35</v>
      </c>
      <c r="S789" s="1">
        <f ca="1">IF(ISERROR(F778),"",VLOOKUP(A778,INDIRECT($F$8),6+(O789-1)*3))</f>
        <v>25</v>
      </c>
      <c r="T789" s="1">
        <f ca="1">IF(ISERROR(F778),"",VLOOKUP(A778,INDIRECT($F$8),7+(O789-1)*3))</f>
        <v>25</v>
      </c>
      <c r="U789" s="1">
        <f ca="1">IF(ISERROR(F778),"",VLOOKUP(A778,INDIRECT($F$8),8+(O789-1)*3))</f>
        <v>50</v>
      </c>
      <c r="V789" s="1" t="str">
        <f ca="1">IF(ISERROR(F778),"",IF(N789=0,A789,""))</f>
        <v/>
      </c>
      <c r="W789" s="1">
        <f ca="1">IF(ISERROR(F778),"",IF(ISTEXT(VLOOKUP(B778,INDIRECT($F$8),6+(O789-1)*3)),11,IF(VLOOKUP(B778,INDIRECT($F$8),6+(O789-1)*3)&lt;S789*0.3,IF(VLOOKUP(B778,INDIRECT($F$8),8+(O789-1)*3)&lt;U789*0.4,IF(AND(0.4*U789-VLOOKUP(B778,INDIRECT($F$8),8+(O789-1)*3)&lt;=5,0.3*S789-VLOOKUP(B778,INDIRECT($F$8),6+(O789-1)*3)&lt;=5),MAX(0.4*U789-VLOOKUP(B778,INDIRECT($F$8),8+(O789-1)*3),0.3*S789-VLOOKUP(B778,INDIRECT($F$8),6+(O789-1)*3)),11),IF(0.3*S789-VLOOKUP(B778,INDIRECT($F$8),6+(O789-1)*3)&lt;=5,0.3*S789-VLOOKUP(B778,INDIRECT($F$8),6+(O789-1)*3),11)),IF(VLOOKUP(B778,INDIRECT($F$8),8+(O789-1)*3)&lt;U789*0.4,IF(U789*0.4-VLOOKUP(B778,INDIRECT($F$8),8+(O789-1)*3)&lt;=5,U789*0.4-VLOOKUP(B778,INDIRECT($F$8),8+(O789-1)*3),11),0))))</f>
        <v>0</v>
      </c>
      <c r="X789" s="1" t="str">
        <f ca="1">IF(ISERROR(F778),"",IF(W789=0,"",_xlfn.TEXTJOIN("",FALSE," G+",W789," in ",A789)))</f>
        <v/>
      </c>
    </row>
    <row r="790" spans="1:24" ht="12.5" customHeight="1" x14ac:dyDescent="0.2">
      <c r="A790" s="7" t="str">
        <f ca="1">IF(ISERROR(F778),"",VLOOKUP(C778,INDIRECT($F$8),6+(O790-1)*3,0))</f>
        <v>MEP 001</v>
      </c>
      <c r="B790" s="24" t="str">
        <f ca="1">IF(ISERROR(F778),"",VLOOKUP(D778,INDIRECT($F$8),6+(O790-1)*3,0))</f>
        <v>Basic Mechanical Engineering Lab</v>
      </c>
      <c r="C790" s="24"/>
      <c r="D790" s="24"/>
      <c r="E790" s="24"/>
      <c r="F790" s="7">
        <f ca="1">IF(ISERROR(F778),"",VLOOKUP(E778,INDIRECT($F$8),6+(O790-1)*3,0))</f>
        <v>1</v>
      </c>
      <c r="G790" s="25" t="str">
        <f ca="1">IF(ISERROR(F778),"",_xlfn.TEXTJOIN("/",FALSE,P790,S790))</f>
        <v>20/25</v>
      </c>
      <c r="H790" s="25"/>
      <c r="I790" s="25" t="str">
        <f ca="1">IF(ISERROR(F778),"",_xlfn.TEXTJOIN("/",FALSE,Q790,T790))</f>
        <v>21/25</v>
      </c>
      <c r="J790" s="25"/>
      <c r="K790" s="25" t="str">
        <f ca="1">IF(ISERROR(F778),"",_xlfn.TEXTJOIN("/",FALSE,R790,U790))</f>
        <v>41/50</v>
      </c>
      <c r="L790" s="25"/>
      <c r="M790" s="7" t="str">
        <f ca="1">IF(ISERROR(F778)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B+</v>
      </c>
      <c r="N790" s="8">
        <f t="shared" ca="1" si="71"/>
        <v>8.5</v>
      </c>
      <c r="O790">
        <f t="shared" ca="1" si="72"/>
        <v>9</v>
      </c>
      <c r="P790" s="1">
        <f ca="1">IF(ISERROR(F778),"",IF(ISTEXT(VLOOKUP(B778,INDIRECT($F$8),6+(O790-1)*3)),(VLOOKUP(B778,INDIRECT($F$8),6+(O790-1)*3)),SUM(VLOOKUP(B778,INDIRECT($F$8),6+(O790-1)*3),IF(W796,W790,0))))</f>
        <v>20</v>
      </c>
      <c r="Q790" s="1">
        <f ca="1">IF(ISERROR(F778),"",VLOOKUP(B778,INDIRECT($F$8),7+(O790-1)*3))</f>
        <v>21</v>
      </c>
      <c r="R790" s="1">
        <f ca="1">IF(ISERROR(F778),"",SUM(P790:Q790))</f>
        <v>41</v>
      </c>
      <c r="S790" s="1">
        <f ca="1">IF(ISERROR(F778),"",VLOOKUP(A778,INDIRECT($F$8),6+(O790-1)*3))</f>
        <v>25</v>
      </c>
      <c r="T790" s="1">
        <f ca="1">IF(ISERROR(F778),"",VLOOKUP(A778,INDIRECT($F$8),7+(O790-1)*3))</f>
        <v>25</v>
      </c>
      <c r="U790" s="1">
        <f ca="1">IF(ISERROR(F778),"",VLOOKUP(A778,INDIRECT($F$8),8+(O790-1)*3))</f>
        <v>50</v>
      </c>
      <c r="V790" s="1" t="str">
        <f ca="1">IF(ISERROR(F778),"",IF(N790=0,A790,""))</f>
        <v/>
      </c>
      <c r="W790" s="1">
        <f ca="1">IF(ISERROR(F778),"",IF(ISTEXT(VLOOKUP(B778,INDIRECT($F$8),6+(O790-1)*3)),11,IF(VLOOKUP(B778,INDIRECT($F$8),6+(O790-1)*3)&lt;S790*0.3,IF(VLOOKUP(B778,INDIRECT($F$8),8+(O790-1)*3)&lt;U790*0.4,IF(AND(0.4*U790-VLOOKUP(B778,INDIRECT($F$8),8+(O790-1)*3)&lt;=5,0.3*S790-VLOOKUP(B778,INDIRECT($F$8),6+(O790-1)*3)&lt;=5),MAX(0.4*U790-VLOOKUP(B778,INDIRECT($F$8),8+(O790-1)*3),0.3*S790-VLOOKUP(B778,INDIRECT($F$8),6+(O790-1)*3)),11),IF(0.3*S790-VLOOKUP(B778,INDIRECT($F$8),6+(O790-1)*3)&lt;=5,0.3*S790-VLOOKUP(B778,INDIRECT($F$8),6+(O790-1)*3),11)),IF(VLOOKUP(B778,INDIRECT($F$8),8+(O790-1)*3)&lt;U790*0.4,IF(U790*0.4-VLOOKUP(B778,INDIRECT($F$8),8+(O790-1)*3)&lt;=5,U790*0.4-VLOOKUP(B778,INDIRECT($F$8),8+(O790-1)*3),11),0))))</f>
        <v>0</v>
      </c>
      <c r="X790" s="1" t="str">
        <f ca="1">IF(ISERROR(F778),"",IF(W790=0,"",_xlfn.TEXTJOIN("",FALSE," G+",W790," in ",A790)))</f>
        <v/>
      </c>
    </row>
    <row r="791" spans="1:24" ht="12.5" customHeight="1" x14ac:dyDescent="0.2">
      <c r="A791" s="7" t="str">
        <f ca="1">IF(ISERROR(F778),"",VLOOKUP(C778,INDIRECT($F$8),6+(O791-1)*3,0))</f>
        <v>MEP 003</v>
      </c>
      <c r="B791" s="24" t="str">
        <f ca="1">IF(ISERROR(F778),"",VLOOKUP(D778,INDIRECT($F$8),6+(O791-1)*3-Z791,0))</f>
        <v>Workshop Practices Lab</v>
      </c>
      <c r="C791" s="24"/>
      <c r="D791" s="24"/>
      <c r="E791" s="24"/>
      <c r="F791" s="7">
        <f ca="1">IF(ISERROR(F778),"",VLOOKUP(E778,INDIRECT($F$8),6+(O791-1)*3,0))</f>
        <v>2</v>
      </c>
      <c r="G791" s="25" t="str">
        <f ca="1">IF(ISERROR(F778),"",_xlfn.TEXTJOIN("/",FALSE,P791,S791))</f>
        <v>48/50</v>
      </c>
      <c r="H791" s="25"/>
      <c r="I791" s="25" t="str">
        <f ca="1">IF(ISERROR(F778),"",_xlfn.TEXTJOIN("/",FALSE,Q791,T791))</f>
        <v>49/50</v>
      </c>
      <c r="J791" s="25"/>
      <c r="K791" s="25" t="str">
        <f ca="1">IF(ISERROR(F778),"",_xlfn.TEXTJOIN("/",FALSE,R791,U791))</f>
        <v>97/100</v>
      </c>
      <c r="L791" s="25"/>
      <c r="M791" s="7" t="str">
        <f ca="1">IF(ISERROR(F778)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O</v>
      </c>
      <c r="N791" s="8">
        <f t="shared" ca="1" si="71"/>
        <v>10</v>
      </c>
      <c r="O791">
        <f t="shared" ca="1" si="72"/>
        <v>10</v>
      </c>
      <c r="P791" s="1">
        <f ca="1">IF(ISERROR(F778),"",IF(ISTEXT(VLOOKUP(B778,INDIRECT($F$8),6+(O791-1)*3)),(VLOOKUP(B778,INDIRECT($F$8),6+(O791-1)*3)),SUM(VLOOKUP(B778,INDIRECT($F$8),6+(O791-1)*3),IF(W796,W791,0))))</f>
        <v>48</v>
      </c>
      <c r="Q791" s="1">
        <f ca="1">IF(ISERROR(F778),"",VLOOKUP(B778,INDIRECT($F$8),7+(O791-1)*3))</f>
        <v>49</v>
      </c>
      <c r="R791" s="1">
        <f ca="1">IF(ISERROR(F778),"",SUM(P791:Q791))</f>
        <v>97</v>
      </c>
      <c r="S791" s="1">
        <f ca="1">IF(ISERROR(F778),"",VLOOKUP(A778,INDIRECT($F$8),6+(O791-1)*3))</f>
        <v>50</v>
      </c>
      <c r="T791" s="1">
        <f ca="1">IF(ISERROR(F778),"",VLOOKUP(A778,INDIRECT($F$8),7+(O791-1)*3))</f>
        <v>50</v>
      </c>
      <c r="U791" s="1">
        <f ca="1">IF(ISERROR(F778),"",VLOOKUP(A778,INDIRECT($F$8),8+(O791-1)*3))</f>
        <v>100</v>
      </c>
      <c r="V791" s="1" t="str">
        <f ca="1">IF(ISERROR(F778),"",IF(N791=0,A791,""))</f>
        <v/>
      </c>
      <c r="W791" s="1">
        <f ca="1">IF(ISERROR(F778),"",IF(ISTEXT(VLOOKUP(B778,INDIRECT($F$8),6+(O791-1)*3)),11,IF(VLOOKUP(B778,INDIRECT($F$8),6+(O791-1)*3)&lt;S791*0.3,IF(VLOOKUP(B778,INDIRECT($F$8),8+(O791-1)*3)&lt;U791*0.4,IF(AND(0.4*U791-VLOOKUP(B778,INDIRECT($F$8),8+(O791-1)*3)&lt;=5,0.3*S791-VLOOKUP(B778,INDIRECT($F$8),6+(O791-1)*3)&lt;=5),MAX(0.4*U791-VLOOKUP(B778,INDIRECT($F$8),8+(O791-1)*3),0.3*S791-VLOOKUP(B778,INDIRECT($F$8),6+(O791-1)*3)),11),IF(0.3*S791-VLOOKUP(B778,INDIRECT($F$8),6+(O791-1)*3)&lt;=5,0.3*S791-VLOOKUP(B778,INDIRECT($F$8),6+(O791-1)*3),11)),IF(VLOOKUP(B778,INDIRECT($F$8),8+(O791-1)*3)&lt;U791*0.4,IF(U791*0.4-VLOOKUP(B778,INDIRECT($F$8),8+(O791-1)*3)&lt;=5,U791*0.4-VLOOKUP(B778,INDIRECT($F$8),8+(O791-1)*3),11),0))))</f>
        <v>0</v>
      </c>
      <c r="X791" s="1" t="str">
        <f ca="1">IF(ISERROR(F778),"",IF(W791=0,"",_xlfn.TEXTJOIN("",FALSE," G+",W791," in ",A791)))</f>
        <v/>
      </c>
    </row>
    <row r="792" spans="1:24" ht="12.5" customHeight="1" x14ac:dyDescent="0.2">
      <c r="A792" s="7" t="str">
        <f ca="1">IF(ISERROR(F778),"",VLOOKUP(C778,INDIRECT($F$8),6+(O792-1)*3,0))</f>
        <v>AHP 004</v>
      </c>
      <c r="B792" s="24" t="str">
        <f ca="1">IF(ISERROR(F778),"",VLOOKUP(D778,INDIRECT($F$8),6+(O792-1)*3-Z792,0))</f>
        <v>Emerging Technologies in Engineering Lab</v>
      </c>
      <c r="C792" s="24"/>
      <c r="D792" s="24"/>
      <c r="E792" s="24"/>
      <c r="F792" s="7">
        <f ca="1">IF(ISERROR(F778),"",VLOOKUP(E778,INDIRECT($F$8),6+(O792-1)*3,0))</f>
        <v>1</v>
      </c>
      <c r="G792" s="25" t="str">
        <f ca="1">IF(ISERROR(F778),"",_xlfn.TEXTJOIN("/",FALSE,P792,S792))</f>
        <v>18/25</v>
      </c>
      <c r="H792" s="25"/>
      <c r="I792" s="25" t="str">
        <f ca="1">IF(ISERROR(F778),"",_xlfn.TEXTJOIN("/",FALSE,Q792,T792))</f>
        <v>23/25</v>
      </c>
      <c r="J792" s="25"/>
      <c r="K792" s="25" t="str">
        <f ca="1">IF(ISERROR(F778),"",_xlfn.TEXTJOIN("/",FALSE,R792,U792))</f>
        <v>41/50</v>
      </c>
      <c r="L792" s="25"/>
      <c r="M792" s="7" t="str">
        <f ca="1">IF(ISERROR(F778)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B+</v>
      </c>
      <c r="N792" s="8">
        <f t="shared" ca="1" si="71"/>
        <v>8.5</v>
      </c>
      <c r="O792">
        <f t="shared" ca="1" si="72"/>
        <v>11</v>
      </c>
      <c r="P792" s="1">
        <f ca="1">IF(ISERROR(F778),"",IF(ISTEXT(VLOOKUP(B778,INDIRECT($F$8),6+(O792-1)*3)),(VLOOKUP(B778,INDIRECT($F$8),6+(O792-1)*3)),SUM(VLOOKUP(B778,INDIRECT($F$8),6+(O792-1)*3),IF(W796,W792,0))))</f>
        <v>18</v>
      </c>
      <c r="Q792" s="1">
        <f ca="1">IF(ISERROR(F778),"",VLOOKUP(B778,INDIRECT($F$8),7+(O792-1)*3))</f>
        <v>23</v>
      </c>
      <c r="R792" s="1">
        <f ca="1">IF(ISERROR(F778),"",SUM(P792:Q792))</f>
        <v>41</v>
      </c>
      <c r="S792" s="1">
        <f ca="1">IF(ISERROR(F778),"",VLOOKUP(A778,INDIRECT($F$8),6+(O792-1)*3))</f>
        <v>25</v>
      </c>
      <c r="T792" s="1">
        <f ca="1">IF(ISERROR(F778),"",VLOOKUP(A778,INDIRECT($F$8),7+(O792-1)*3))</f>
        <v>25</v>
      </c>
      <c r="U792" s="1">
        <f ca="1">IF(ISERROR(F778),"",VLOOKUP(A778,INDIRECT($F$8),8+(O792-1)*3))</f>
        <v>50</v>
      </c>
      <c r="V792" s="1" t="str">
        <f ca="1">IF(ISERROR(F778),"",IF(N792=0,A792,""))</f>
        <v/>
      </c>
      <c r="W792" s="1">
        <f ca="1">IF(ISERROR(F778),"",IF(ISTEXT(VLOOKUP(B778,INDIRECT($F$8),6+(O792-1)*3)),11,IF(VLOOKUP(B778,INDIRECT($F$8),6+(O792-1)*3)&lt;S792*0.3,IF(VLOOKUP(B778,INDIRECT($F$8),8+(O792-1)*3)&lt;U792*0.4,IF(AND(0.4*U792-VLOOKUP(B778,INDIRECT($F$8),8+(O792-1)*3)&lt;=5,0.3*S792-VLOOKUP(B778,INDIRECT($F$8),6+(O792-1)*3)&lt;=5),MAX(0.4*U792-VLOOKUP(B778,INDIRECT($F$8),8+(O792-1)*3),0.3*S792-VLOOKUP(B778,INDIRECT($F$8),6+(O792-1)*3)),11),IF(0.3*S792-VLOOKUP(B778,INDIRECT($F$8),6+(O792-1)*3)&lt;=5,0.3*S792-VLOOKUP(B778,INDIRECT($F$8),6+(O792-1)*3),11)),IF(VLOOKUP(B778,INDIRECT($F$8),8+(O792-1)*3)&lt;U792*0.4,IF(U792*0.4-VLOOKUP(B778,INDIRECT($F$8),8+(O792-1)*3)&lt;=5,U792*0.4-VLOOKUP(B778,INDIRECT($F$8),8+(O792-1)*3),11),0))))</f>
        <v>0</v>
      </c>
      <c r="X792" s="1" t="str">
        <f ca="1">IF(ISERROR(F778),"",IF(W792=0,"",_xlfn.TEXTJOIN("",FALSE," G+",W792," in ",A792)))</f>
        <v/>
      </c>
    </row>
    <row r="793" spans="1:24" ht="12.5" customHeight="1" x14ac:dyDescent="0.2">
      <c r="A793" s="7" t="str">
        <f ca="1">IF(ISERROR(F778),"",VLOOKUP(C778,INDIRECT($F$8),6+(O793-1)*3,0))</f>
        <v>CSP 002</v>
      </c>
      <c r="B793" s="24" t="str">
        <f ca="1">IF(ISERROR(F778),"",VLOOKUP(D778,INDIRECT($F$8),6+(O793-1)*3,0))</f>
        <v>Computer Applications and IOT</v>
      </c>
      <c r="C793" s="24"/>
      <c r="D793" s="24"/>
      <c r="E793" s="24"/>
      <c r="F793" s="7">
        <f ca="1">IF(ISERROR(F778),"",VLOOKUP(E778,INDIRECT($F$8),6+(O793-1)*3,0))</f>
        <v>1</v>
      </c>
      <c r="G793" s="25" t="str">
        <f ca="1">IF(ISERROR(F778),"",_xlfn.TEXTJOIN("/",FALSE,P793,S793))</f>
        <v>24/25</v>
      </c>
      <c r="H793" s="25"/>
      <c r="I793" s="25" t="str">
        <f ca="1">IF(ISERROR(F778),"",_xlfn.TEXTJOIN("/",FALSE,Q793,T793))</f>
        <v>24/25</v>
      </c>
      <c r="J793" s="25"/>
      <c r="K793" s="25" t="str">
        <f ca="1">IF(ISERROR(F778),"",_xlfn.TEXTJOIN("/",FALSE,R793,U793))</f>
        <v>48/50</v>
      </c>
      <c r="L793" s="25"/>
      <c r="M793" s="7" t="str">
        <f ca="1">IF(ISERROR(F778)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O</v>
      </c>
      <c r="N793" s="8">
        <f t="shared" ca="1" si="71"/>
        <v>10</v>
      </c>
      <c r="O793">
        <f t="shared" ca="1" si="72"/>
        <v>12</v>
      </c>
      <c r="P793" s="1">
        <f ca="1">IF(ISERROR(F778),"",IF(ISTEXT(VLOOKUP(B778,INDIRECT($F$8),6+(O793-1)*3)),(VLOOKUP(B778,INDIRECT($F$8),6+(O793-1)*3)),SUM(VLOOKUP(B778,INDIRECT($F$8),6+(O793-1)*3),IF(W796,W793,0))))</f>
        <v>24</v>
      </c>
      <c r="Q793" s="1">
        <f ca="1">IF(ISERROR(F778),"",VLOOKUP(B778,INDIRECT($F$8),7+(O793-1)*3))</f>
        <v>24</v>
      </c>
      <c r="R793" s="1">
        <f ca="1">IF(ISERROR(F778),"",SUM(P793:Q793))</f>
        <v>48</v>
      </c>
      <c r="S793" s="1">
        <f ca="1">IF(ISERROR(F778),"",VLOOKUP(A778,INDIRECT($F$8),6+(O793-1)*3))</f>
        <v>25</v>
      </c>
      <c r="T793" s="1">
        <f ca="1">IF(ISERROR(F778),"",VLOOKUP(A778,INDIRECT($F$8),7+(O793-1)*3))</f>
        <v>25</v>
      </c>
      <c r="U793" s="1">
        <f ca="1">IF(ISERROR(F778),"",VLOOKUP(A778,INDIRECT($F$8),8+(O793-1)*3))</f>
        <v>50</v>
      </c>
      <c r="V793" s="1" t="str">
        <f ca="1">IF(ISERROR(F778),"",IF(N793=0,A793,""))</f>
        <v/>
      </c>
      <c r="W793" s="1">
        <f ca="1">IF(ISERROR(F778),"",IF(ISTEXT(VLOOKUP(B778,INDIRECT($F$8),6+(O793-1)*3)),11,IF(VLOOKUP(B778,INDIRECT($F$8),6+(O793-1)*3)&lt;S793*0.3,IF(VLOOKUP(B778,INDIRECT($F$8),8+(O793-1)*3)&lt;U793*0.4,IF(AND(0.4*U793-VLOOKUP(B778,INDIRECT($F$8),8+(O793-1)*3)&lt;=5,0.3*S793-VLOOKUP(B778,INDIRECT($F$8),6+(O793-1)*3)&lt;=5),MAX(0.4*U793-VLOOKUP(B778,INDIRECT($F$8),8+(O793-1)*3),0.3*S793-VLOOKUP(B778,INDIRECT($F$8),6+(O793-1)*3)),11),IF(0.3*S793-VLOOKUP(B778,INDIRECT($F$8),6+(O793-1)*3)&lt;=5,0.3*S793-VLOOKUP(B778,INDIRECT($F$8),6+(O793-1)*3),11)),IF(VLOOKUP(B778,INDIRECT($F$8),8+(O793-1)*3)&lt;U793*0.4,IF(U793*0.4-VLOOKUP(B778,INDIRECT($F$8),8+(O793-1)*3)&lt;=5,U793*0.4-VLOOKUP(B778,INDIRECT($F$8),8+(O793-1)*3),11),0))))</f>
        <v>0</v>
      </c>
      <c r="X793" s="1" t="str">
        <f ca="1">IF(ISERROR(F778),"",IF(W793=0,"",_xlfn.TEXTJOIN("",FALSE," G+",W793," in ",A793)))</f>
        <v/>
      </c>
    </row>
    <row r="794" spans="1:24" ht="12.5" customHeight="1" x14ac:dyDescent="0.2">
      <c r="A794" s="7" t="str">
        <f ca="1">IF(ISERROR(F778),"",VLOOKUP(C778,INDIRECT($F$8),6+(O794-1)*3,0))</f>
        <v>AHP 006</v>
      </c>
      <c r="B794" s="24" t="str">
        <f ca="1">IF(ISERROR(F778),"",VLOOKUP(D778,INDIRECT($F$8),6+(O794-1)*3,0))</f>
        <v>English Language Lab ($)</v>
      </c>
      <c r="C794" s="24"/>
      <c r="D794" s="24"/>
      <c r="E794" s="24"/>
      <c r="F794" s="7">
        <f ca="1">IF(ISERROR(F778),"",VLOOKUP(E778,INDIRECT($F$8),6+(O794-1)*3,0))</f>
        <v>0</v>
      </c>
      <c r="G794" s="25" t="str">
        <f ca="1">IF(ISERROR(F778),"",_xlfn.TEXTJOIN("/",FALSE,P794,S794))</f>
        <v>18/25</v>
      </c>
      <c r="H794" s="25"/>
      <c r="I794" s="25" t="str">
        <f ca="1">IF(ISERROR(F778),"",_xlfn.TEXTJOIN("/",FALSE,Q794,T794))</f>
        <v>36/50</v>
      </c>
      <c r="J794" s="25"/>
      <c r="K794" s="25" t="str">
        <f ca="1">IF(ISERROR(F778),"",_xlfn.TEXTJOIN("/",FALSE,R794,U794))</f>
        <v>54/75</v>
      </c>
      <c r="L794" s="25"/>
      <c r="M794" s="7" t="str">
        <f ca="1">IF(ISERROR(F778)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C+</v>
      </c>
      <c r="N794" s="8">
        <f ca="1">INDEX($Z$2:$Z$17,MATCH(M794,$Y$2:$Y$17,0))</f>
        <v>7.5</v>
      </c>
      <c r="O794">
        <f t="shared" ca="1" si="72"/>
        <v>13</v>
      </c>
      <c r="P794" s="1">
        <f ca="1">IF(ISERROR(F778),"",IF(ISTEXT(VLOOKUP(B778,INDIRECT($F$8),6+(O794-1)*3)),(VLOOKUP(B778,INDIRECT($F$8),6+(O794-1)*3)),SUM(VLOOKUP(B778,INDIRECT($F$8),6+(O794-1)*3),IF(W796,W794,0))))</f>
        <v>18</v>
      </c>
      <c r="Q794" s="1">
        <f ca="1">IF(ISERROR(F778),"",VLOOKUP(B778,INDIRECT($F$8),7+(O794-1)*3))</f>
        <v>36</v>
      </c>
      <c r="R794" s="1">
        <f ca="1">IF(ISERROR(F778),"",SUM(P794:Q794))</f>
        <v>54</v>
      </c>
      <c r="S794" s="1">
        <f ca="1">IF(ISERROR(F778),"",VLOOKUP(A778,INDIRECT($F$8),6+(O794-1)*3))</f>
        <v>25</v>
      </c>
      <c r="T794" s="1">
        <f ca="1">IF(ISERROR(F778),"",VLOOKUP(A778,INDIRECT($F$8),7+(O794-1)*3))</f>
        <v>50</v>
      </c>
      <c r="U794" s="1">
        <f ca="1">IF(ISERROR(F778),"",VLOOKUP(A778,INDIRECT($F$8),8+(O794-1)*3))</f>
        <v>75</v>
      </c>
      <c r="V794" s="1"/>
      <c r="W794" s="1">
        <f ca="1">IF(ISERROR(F778),"",IF(ISTEXT(VLOOKUP(B778,INDIRECT($F$8),6+(O794-1)*3)),11,IF(VLOOKUP(B778,INDIRECT($F$8),6+(O794-1)*3)&lt;S794*0.3,IF(VLOOKUP(B778,INDIRECT($F$8),8+(O794-1)*3)&lt;U794*0.4,IF(AND(0.4*U794-VLOOKUP(B778,INDIRECT($F$8),8+(O794-1)*3)&lt;=5,0.3*S794-VLOOKUP(B778,INDIRECT($F$8),6+(O794-1)*3)&lt;=5),MAX(0.4*U794-VLOOKUP(B778,INDIRECT($F$8),8+(O794-1)*3),0.3*S794-VLOOKUP(B778,INDIRECT($F$8),6+(O794-1)*3)),11),IF(0.3*S794-VLOOKUP(B778,INDIRECT($F$8),6+(O794-1)*3)&lt;=5,0.3*S794-VLOOKUP(B778,INDIRECT($F$8),6+(O794-1)*3),11)),IF(VLOOKUP(B778,INDIRECT($F$8),8+(O794-1)*3)&lt;U794*0.4,IF(U794*0.4-VLOOKUP(B778,INDIRECT($F$8),8+(O794-1)*3)&lt;=5,U794*0.4-VLOOKUP(B778,INDIRECT($F$8),8+(O794-1)*3),11),0))))</f>
        <v>0</v>
      </c>
      <c r="X794" s="1" t="str">
        <f ca="1">IF(ISERROR(F778),"",IF(W794=0,"",_xlfn.TEXTJOIN("",FALSE," G+",W794," in ",A794)))</f>
        <v/>
      </c>
    </row>
    <row r="795" spans="1:24" ht="12.5" customHeight="1" x14ac:dyDescent="0.2">
      <c r="A795" s="7" t="str">
        <f ca="1">IF(ISERROR(F778),"",VLOOKUP(C778,INDIRECT($F$8),6+(O795-1)*3-Y795,0))</f>
        <v>GP 01</v>
      </c>
      <c r="B795" s="24" t="str">
        <f ca="1">IF(ISERROR(F778),"",VLOOKUP(D778,INDIRECT($F$8),6+(O795-1)*3-Z795,0))</f>
        <v>General Proficiency ($)</v>
      </c>
      <c r="C795" s="24"/>
      <c r="D795" s="24"/>
      <c r="E795" s="24"/>
      <c r="F795" s="7">
        <f ca="1">IF(ISERROR(F778),"",VLOOKUP(E778,INDIRECT($F$8),6+(O795-1)*3-AA795,0))</f>
        <v>0</v>
      </c>
      <c r="G795" s="25" t="str">
        <f ca="1">IF(ISERROR(F778),"","-")</f>
        <v>-</v>
      </c>
      <c r="H795" s="25"/>
      <c r="I795" s="25" t="str">
        <f ca="1">IF(ISERROR(F778),"",_xlfn.TEXTJOIN("/",FALSE,Q795,T795))</f>
        <v>47/50</v>
      </c>
      <c r="J795" s="25"/>
      <c r="K795" s="25" t="str">
        <f ca="1">IF(ISERROR(F778),"",_xlfn.TEXTJOIN("/",FALSE,R795,U795))</f>
        <v>47/50</v>
      </c>
      <c r="L795" s="25"/>
      <c r="M795" s="25" t="str">
        <f ca="1">IF(ISBLANK(R795),"",IF(ISTEXT(R795),R795,IF(R795&gt;=0.8*U795,"Excellent",IF(R795&gt;=0.6*U795,"Very Good",IF(R795&gt;=0.4*U795,"Good",IF(R795&gt;=0.2*U795,"Satisfactory","Average"))))))</f>
        <v>Excellent</v>
      </c>
      <c r="N795" s="25"/>
      <c r="O795">
        <f t="shared" ca="1" si="72"/>
        <v>14</v>
      </c>
      <c r="P795" s="1">
        <f ca="1">IF(ISERROR(F778),"",IF(ISTEXT(VLOOKUP(B\28,INDIRECT($F$8),6+(O795-1)*3)),(VLOOKUP(B778,INDIRECT($F$8),6+(O795-1)*3)),SUM(VLOOKUP(B778,INDIRECT($F$8),6+(O795-1)*3),IF(W796,W796,0))))</f>
        <v>0</v>
      </c>
      <c r="Q795" s="1">
        <f ca="1">IF(ISERROR(F778),"",VLOOKUP(B778,INDIRECT($F$8),7+(O795-1)*3))</f>
        <v>47</v>
      </c>
      <c r="R795" s="1">
        <f ca="1">IF(ISERROR(F778),"",SUM(P795:Q795))</f>
        <v>47</v>
      </c>
      <c r="S795" s="1">
        <f ca="1">IF(ISERROR(F778),"",VLOOKUP(A778,INDIRECT($F$8),6+(O795-1)*3))</f>
        <v>0</v>
      </c>
      <c r="T795" s="1">
        <f ca="1">IF(ISERROR(F778),"",VLOOKUP(A778,INDIRECT($F$8),7+(O795-1)*3))</f>
        <v>50</v>
      </c>
      <c r="U795" s="1">
        <f ca="1">IF(ISERROR(F778),"",VLOOKUP(A778,INDIRECT($F$8),8+(O795-1)*3))</f>
        <v>50</v>
      </c>
      <c r="V795" s="1"/>
      <c r="W795" s="1"/>
      <c r="X795" s="1" t="str">
        <f ca="1">IF(ISERROR(F778),"",IF(W795=0,"",_xlfn.TEXTJOIN("",FALSE," G+",W795," in ",A795)))</f>
        <v/>
      </c>
    </row>
    <row r="796" spans="1:24" ht="12.5" customHeight="1" x14ac:dyDescent="0.2">
      <c r="A796" s="26" t="str">
        <f ca="1">IF(ISERROR(F778),"",A774)</f>
        <v>Total Credits/ Marks/ Total Grade Points</v>
      </c>
      <c r="B796" s="26"/>
      <c r="C796" s="26"/>
      <c r="D796" s="26"/>
      <c r="E796" s="26"/>
      <c r="F796" s="10">
        <f ca="1">IF(ISERROR(F778),"",SUM(F783:F794))</f>
        <v>23</v>
      </c>
      <c r="G796" s="27" t="str">
        <f ca="1">IF(ISERROR(F778),"",_xlfn.TEXTJOIN("/",TRUE,SUMIF(F783:F795,"&gt;0",P783:P795),SUMIF(F783:F795,"&gt;0",S783:S795)))</f>
        <v>262/575</v>
      </c>
      <c r="H796" s="27"/>
      <c r="I796" s="27" t="str">
        <f ca="1">IF(ISERROR(F778),"",_xlfn.TEXTJOIN("/",TRUE,SUMIF(F783:F795,"&gt;0",Q783:Q795),SUMIF(F783:F795,"&gt;0",T783:T795)))</f>
        <v>270/375</v>
      </c>
      <c r="J796" s="27"/>
      <c r="K796" s="27" t="str">
        <f ca="1">IF(ISERROR(F778),"",_xlfn.TEXTJOIN("/",TRUE,SUMIF(F783:F795,"&gt;0",R783:R795),SUMIF(F783:F795,"&gt;0",U783:U795)))</f>
        <v>532/950</v>
      </c>
      <c r="L796" s="27"/>
      <c r="M796" s="26">
        <f ca="1">IF(ISERROR(F778),"",SUMPRODUCT(N783:N794,F783:F794))</f>
        <v>120.5</v>
      </c>
      <c r="N796" s="26"/>
      <c r="V796" s="1" t="str">
        <f ca="1">IF(ISERROR(F778),"",_xlfn.TEXTJOIN(", ",TRUE,V783:V795))</f>
        <v>AHT 003</v>
      </c>
      <c r="W796" t="b">
        <f ca="1">IF(ISERROR(F778),"",IF(SUM(W783:W795)&lt;=W782,TRUE,FALSE))</f>
        <v>0</v>
      </c>
      <c r="X796" s="1" t="str">
        <f ca="1">IF(ISERROR(F778),"",_xlfn.TEXTJOIN(",",TRUE,X783:X795))</f>
        <v xml:space="preserve"> G+11 in AHT 003</v>
      </c>
    </row>
    <row r="797" spans="1:24" ht="12.5" customHeight="1" x14ac:dyDescent="0.2">
      <c r="A797" s="26" t="str">
        <f ca="1">IF(ISERROR(F778),"",A775)</f>
        <v>Result:</v>
      </c>
      <c r="B797" s="28" t="str" cm="1">
        <f t="array" aca="1" ref="B797" ca="1">IF(SUM(COUNTIF(M783:M794,{"Ab","Dt"}))=12, "Not Promoted to IInd Semester", IF(V796="", "PASS", "CARRY OVER"))</f>
        <v>CARRY OVER</v>
      </c>
      <c r="C797" s="28"/>
      <c r="D797" s="26" t="str">
        <f ca="1">IF(ISERROR(F778),"",D775)</f>
        <v>Remark:</v>
      </c>
      <c r="E797" s="28" t="str">
        <f ca="1">IF(ISERROR(F778),"",IF(V796="",IF(X796="","",X796),_xlfn.TEXTJOIN(" ",TRUE,"BACK IN",V796)))</f>
        <v>BACK IN AHT 003</v>
      </c>
      <c r="F797" s="28"/>
      <c r="G797" s="26" t="str">
        <f ca="1">IF(ISERROR(F778),"",G775)</f>
        <v>SGPA:</v>
      </c>
      <c r="H797" s="29">
        <f ca="1">IF(ISERROR(F778),"",M796/F796)</f>
        <v>5.2391304347826084</v>
      </c>
      <c r="I797" s="26" t="str">
        <f ca="1">IF(ISERROR(F778),"",I775)</f>
        <v>CGPA:</v>
      </c>
      <c r="J797" s="29">
        <f ca="1">IF(ISERROR(F778),"",VLOOKUP(B778,INDIRECT($F$8),12+(O795-1)*3,0))</f>
        <v>5.2391304347826084</v>
      </c>
      <c r="K797" s="28" t="str">
        <f ca="1">IF(ISERROR(F778),"",K775)</f>
        <v>Earned Credits:</v>
      </c>
      <c r="L797" s="26">
        <f ca="1">IF(ISERROR(F778),"",SUMIF(N783:N794,"&gt;0",F783:F794))</f>
        <v>19</v>
      </c>
      <c r="M797" s="28" t="str">
        <f ca="1">IF(ISERROR(F778),"",M775)</f>
        <v>Cuml. Earned Credits:</v>
      </c>
      <c r="N797" s="26">
        <f ca="1">IF(ISERROR(F778),"",VLOOKUP(B778,INDIRECT($F$8),10+(O795-1)*3,0))</f>
        <v>19</v>
      </c>
    </row>
    <row r="798" spans="1:24" ht="12.5" customHeight="1" x14ac:dyDescent="0.2">
      <c r="A798" s="26"/>
      <c r="B798" s="28"/>
      <c r="C798" s="28"/>
      <c r="D798" s="26"/>
      <c r="E798" s="28"/>
      <c r="F798" s="28"/>
      <c r="G798" s="26"/>
      <c r="H798" s="29"/>
      <c r="I798" s="26"/>
      <c r="J798" s="29"/>
      <c r="K798" s="28"/>
      <c r="L798" s="26"/>
      <c r="M798" s="28"/>
      <c r="N798" s="26"/>
    </row>
    <row r="799" spans="1:24" ht="12.5" customHeight="1" x14ac:dyDescent="0.2">
      <c r="A799" s="26"/>
      <c r="B799" s="28"/>
      <c r="C799" s="28"/>
      <c r="D799" s="26"/>
      <c r="E799" s="28"/>
      <c r="F799" s="28"/>
      <c r="G799" s="26"/>
      <c r="H799" s="29"/>
      <c r="I799" s="26"/>
      <c r="J799" s="29"/>
      <c r="K799" s="28"/>
      <c r="L799" s="26"/>
      <c r="M799" s="28"/>
      <c r="N799" s="26"/>
    </row>
    <row r="800" spans="1:24" ht="12.5" customHeight="1" x14ac:dyDescent="0.2">
      <c r="A800" s="11" t="str">
        <f>A778</f>
        <v>MM</v>
      </c>
      <c r="B800" s="11">
        <f>B778+1</f>
        <v>37</v>
      </c>
      <c r="C800" s="11" t="str">
        <f>C778</f>
        <v>SC</v>
      </c>
      <c r="D800" s="11" t="str">
        <f>D778</f>
        <v>SN</v>
      </c>
      <c r="E800" s="11" t="str">
        <f>E778</f>
        <v>C</v>
      </c>
      <c r="F800" s="11" t="str">
        <f ca="1">VLOOKUP(B800,INDIRECT($F$8),4,0)</f>
        <v>VIBHUSHI UNIYAL</v>
      </c>
    </row>
    <row r="801" spans="1:24" ht="12.5" customHeight="1" x14ac:dyDescent="0.2">
      <c r="A801" s="30" t="str">
        <f ca="1">IF(ISERROR(F800),"",A779)</f>
        <v>Name:</v>
      </c>
      <c r="B801" s="30" t="str">
        <f ca="1">IFERROR(VLOOKUP(B800,INDIRECT($F$8),4,0),"")</f>
        <v>VIBHUSHI UNIYAL</v>
      </c>
      <c r="C801" s="30"/>
      <c r="D801" s="30" t="str">
        <f ca="1">IF(ISERROR(F800),"",D779)</f>
        <v>Father's Name:</v>
      </c>
      <c r="E801" s="30" t="str">
        <f ca="1">IFERROR(VLOOKUP(B800,INDIRECT($F$8),5,0),"")</f>
        <v>VINOD UNIYAL</v>
      </c>
      <c r="F801" s="30"/>
      <c r="G801" s="30" t="str">
        <f ca="1">IF(ISERROR(F800),"",G779)</f>
        <v>University Roll No:</v>
      </c>
      <c r="H801" s="30"/>
      <c r="I801" s="31">
        <f ca="1">IFERROR(VLOOKUP(B800,INDIRECT($F$8),2,0),"")</f>
        <v>250090120038</v>
      </c>
      <c r="J801" s="31"/>
      <c r="K801" s="30" t="str">
        <f ca="1">IF(ISERROR(F800),"",K779)</f>
        <v>University Enrol. No:</v>
      </c>
      <c r="L801" s="30"/>
      <c r="M801" s="31" t="str">
        <f ca="1">IFERROR(VLOOKUP(B800,INDIRECT($F$8),3,0),"")</f>
        <v>UTU/2501101877</v>
      </c>
      <c r="N801" s="31"/>
    </row>
    <row r="802" spans="1:24" ht="12.5" customHeight="1" x14ac:dyDescent="0.2">
      <c r="A802" s="30"/>
      <c r="B802" s="30"/>
      <c r="C802" s="30"/>
      <c r="D802" s="30"/>
      <c r="E802" s="30"/>
      <c r="F802" s="30"/>
      <c r="G802" s="30"/>
      <c r="H802" s="30"/>
      <c r="I802" s="31"/>
      <c r="J802" s="31"/>
      <c r="K802" s="30"/>
      <c r="L802" s="30"/>
      <c r="M802" s="31"/>
      <c r="N802" s="31"/>
    </row>
    <row r="803" spans="1:24" ht="12.5" customHeight="1" x14ac:dyDescent="0.2">
      <c r="A803" s="28" t="str">
        <f ca="1">IF(ISERROR(F800),"",A781)</f>
        <v>Subject Code</v>
      </c>
      <c r="B803" s="28" t="str">
        <f ca="1">IF(ISERROR(F800),"",B781)</f>
        <v>Subject Name</v>
      </c>
      <c r="C803" s="28"/>
      <c r="D803" s="28"/>
      <c r="E803" s="28"/>
      <c r="F803" s="28" t="str">
        <f ca="1">IF(ISERROR(F800),"",F781)</f>
        <v>Credits</v>
      </c>
      <c r="G803" s="28" t="str">
        <f ca="1">IF(ISERROR(F800),"",G781)</f>
        <v>External Marks</v>
      </c>
      <c r="H803" s="28"/>
      <c r="I803" s="28" t="str">
        <f ca="1">IF(ISERROR(F800),"",I781)</f>
        <v>Sessional Marks</v>
      </c>
      <c r="J803" s="28"/>
      <c r="K803" s="28" t="str">
        <f ca="1">IF(ISERROR(F800),"",K781)</f>
        <v>Total Marks</v>
      </c>
      <c r="L803" s="28"/>
      <c r="M803" s="28" t="str">
        <f ca="1">IF(ISERROR(F800),"",M781)</f>
        <v>Grade</v>
      </c>
      <c r="N803" s="28" t="str">
        <f ca="1">IF(ISERROR(F800),"",N781)</f>
        <v>Grade Points</v>
      </c>
    </row>
    <row r="804" spans="1:24" ht="12.5" customHeight="1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W804">
        <f ca="1">IF(ISNUMBER(MATCH($F$8,{"I","III","V","VII"},0)),10,10-INDEX(INDIRECT(_xlfn.TEXTJOIN("",TRUE,"SEM_",$G$8,"!",ADDRESS(6,4+$I$8*3+4),":",ADDRESS(5+$H$8,4+$I$8*3+4))),MATCH(INDIRECT(_xlfn.TEXTJOIN("",TRUE,"TC_",$F$8,"!",ADDRESS(ROW(I801),COLUMN(I801)))),INDIRECT(_xlfn.TEXTJOIN("",TRUE,"SEM_",$G$8,"!",ADDRESS(6,2),":",ADDRESS(5+$H$8,2))))))</f>
        <v>10</v>
      </c>
    </row>
    <row r="805" spans="1:24" ht="12.5" customHeight="1" x14ac:dyDescent="0.2">
      <c r="A805" s="7" t="str">
        <f ca="1">IF(ISERROR(F800),"",VLOOKUP(C800,INDIRECT($F$8),6+(O805-1)*3,0))</f>
        <v>AHT 002</v>
      </c>
      <c r="B805" s="24" t="str">
        <f ca="1">IF(ISERROR(F800),"",VLOOKUP(D800,INDIRECT($F$8),6+(O805-1)*3,0))</f>
        <v>Engineering Chemistry</v>
      </c>
      <c r="C805" s="24"/>
      <c r="D805" s="24"/>
      <c r="E805" s="24"/>
      <c r="F805" s="7">
        <f ca="1">IF(ISERROR(F800),"",VLOOKUP(E800,INDIRECT($F$8),6+(O805-1)*3,0))</f>
        <v>4</v>
      </c>
      <c r="G805" s="25" t="str">
        <f ca="1">IF(ISERROR(F800),"",_xlfn.TEXTJOIN("/",FALSE,P805,S805))</f>
        <v>52/100</v>
      </c>
      <c r="H805" s="25"/>
      <c r="I805" s="25" t="str">
        <f ca="1">IF(ISERROR(F800),"",_xlfn.TEXTJOIN("/",FALSE,Q805,T805))</f>
        <v>42/50</v>
      </c>
      <c r="J805" s="25"/>
      <c r="K805" s="25" t="str">
        <f ca="1">IF(ISERROR(F800),"",_xlfn.TEXTJOIN("/",FALSE,R805,U805))</f>
        <v>94/150</v>
      </c>
      <c r="L805" s="25"/>
      <c r="M805" s="7" t="str">
        <f ca="1">IF(ISERROR(F800),"",IF(ISTEXT(P805),IF(P805="A","Ab",IF(P805="D","Dt",IF(P805="UFM","UFM",IF(P805="NA","")))),IF(AND(ISBLANK(P805),ISBLANK(R805)),"",IF(P805&lt;0.3*S805,"F",IF(ISBLANK(R805),"",IF(ISTEXT(R805),R805,IF(R805&gt;=0.95*U805,"O",IF(R805&gt;=0.9*U805,"A+",IF(R805&gt;=0.85*U805,"A",IF(R805&gt;=0.8*U805,"B+",IF(R805&gt;=0.75*U805,"B",IF(R805&gt;=0.7*U805,"C+",IF(R805&gt;=0.65*U805,"C",IF(R805&gt;=0.6*U805,"D+",IF(R805&gt;=0.55*U805,"D",IF(R805&gt;=0.5*U805,"E+",IF(R805&gt;=0.45*U805,"E",IF(R805&gt;=0.4*U805,"P",IF(R805&lt;0.4*U805,"F",R805)))))))))))))))))))</f>
        <v>D+</v>
      </c>
      <c r="N805" s="8">
        <f ca="1">INDEX($Z$2:$Z$17,MATCH(M805,$Y$2:$Y$17,0))</f>
        <v>6.5</v>
      </c>
      <c r="O805">
        <v>1</v>
      </c>
      <c r="P805" s="1">
        <f ca="1">IF(ISERROR(F800),"",IF(ISTEXT(VLOOKUP(B800,INDIRECT($F$8),6+(O805-1)*3)),(VLOOKUP(B800,INDIRECT($F$8),6+(O805-1)*3)),SUM(VLOOKUP(B800,INDIRECT($F$8),6+(O805-1)*3),IF(W818,W805,0))))</f>
        <v>52</v>
      </c>
      <c r="Q805" s="1">
        <f ca="1">IF(ISERROR(F800),"",VLOOKUP(B800,INDIRECT($F$8),7+(O805-1)*3))</f>
        <v>42</v>
      </c>
      <c r="R805" s="1">
        <f ca="1">IF(ISERROR(F800),"",SUM(P805:Q805))</f>
        <v>94</v>
      </c>
      <c r="S805" s="1">
        <f ca="1">IF(ISERROR(F800),"",VLOOKUP(A800,INDIRECT($F$8),6+(O805-1)*3))</f>
        <v>100</v>
      </c>
      <c r="T805" s="1">
        <f ca="1">IF(ISERROR(F800),"",VLOOKUP(A800,INDIRECT($F$8),7+(O805-1)*3))</f>
        <v>50</v>
      </c>
      <c r="U805" s="1">
        <f ca="1">IF(ISERROR(F800),"",VLOOKUP(A800,INDIRECT($F$8),8+(O805-1)*3))</f>
        <v>150</v>
      </c>
      <c r="V805" s="1" t="str">
        <f ca="1">IF(ISERROR(F800),"",IF(N805=0,A805,""))</f>
        <v/>
      </c>
      <c r="W805" s="1">
        <f ca="1">IF(ISERROR(F800),"",IF(ISTEXT(VLOOKUP(B800,INDIRECT($F$8),6+(O805-1)*3)),11,IF(VLOOKUP(B800,INDIRECT($F$8),6+(O805-1)*3)&lt;S805*0.3,IF(VLOOKUP(B800,INDIRECT($F$8),8+(O805-1)*3)&lt;U805*0.4,IF(AND(0.4*U805-VLOOKUP(B800,INDIRECT($F$8),8+(O805-1)*3)&lt;=5,0.3*S805-VLOOKUP(B800,INDIRECT($F$8),6+(O805-1)*3)&lt;=5),MAX(0.4*U805-VLOOKUP(B800,INDIRECT($F$8),8+(O805-1)*3),0.3*S805-VLOOKUP(B800,INDIRECT($F$8),6+(O805-1)*3)),11),IF(0.3*S805-VLOOKUP(B800,INDIRECT($F$8),6+(O805-1)*3)&lt;=5,0.3*S805-VLOOKUP(B800,INDIRECT($F$8),6+(O805-1)*3),11)),IF(VLOOKUP(B800,INDIRECT($F$8),8+(O805-1)*3)&lt;U805*0.4,IF(U805*0.4-VLOOKUP(B800,INDIRECT($F$8),8+(O805-1)*3)&lt;=5,U805*0.4-VLOOKUP(B800,INDIRECT($F$8),8+(O805-1)*3),11),0))))</f>
        <v>0</v>
      </c>
      <c r="X805" s="1" t="str">
        <f ca="1">IF(ISERROR(F800),"",IF(W805=0,"",_xlfn.TEXTJOIN("",FALSE," G+",W805," in ",A805)))</f>
        <v/>
      </c>
    </row>
    <row r="806" spans="1:24" ht="12.5" customHeight="1" x14ac:dyDescent="0.2">
      <c r="A806" s="7" t="str">
        <f ca="1">IF(ISERROR(F800),"",VLOOKUP(C800,INDIRECT($F$8),6+(O806-1)*3,0))</f>
        <v>AHT 003</v>
      </c>
      <c r="B806" s="24" t="str">
        <f ca="1">IF(ISERROR(F800),"",VLOOKUP(D800,INDIRECT($F$8),6+(O806-1)*3,0))</f>
        <v>Introduction to Engineering Mathematics</v>
      </c>
      <c r="C806" s="24"/>
      <c r="D806" s="24"/>
      <c r="E806" s="24"/>
      <c r="F806" s="7">
        <f ca="1">IF(ISERROR(F800),"",VLOOKUP(E800,INDIRECT($F$8),6+(O806-1)*3,0))</f>
        <v>4</v>
      </c>
      <c r="G806" s="25" t="str">
        <f ca="1">IF(ISERROR(F800),"",_xlfn.TEXTJOIN("/",FALSE,P806,S806))</f>
        <v>47/100</v>
      </c>
      <c r="H806" s="25"/>
      <c r="I806" s="25" t="str">
        <f ca="1">IF(ISERROR(F800),"",_xlfn.TEXTJOIN("/",FALSE,Q806,T806))</f>
        <v>31/50</v>
      </c>
      <c r="J806" s="25"/>
      <c r="K806" s="25" t="str">
        <f ca="1">IF(ISERROR(F800),"",_xlfn.TEXTJOIN("/",FALSE,R806,U806))</f>
        <v>78/150</v>
      </c>
      <c r="L806" s="25"/>
      <c r="M806" s="7" t="str">
        <f ca="1">IF(ISERROR(F800),"",IF(ISTEXT(P806),IF(P806="A","Ab",IF(P806="D","Dt",IF(P806="UFM","UFM",IF(P806="NA","")))),IF(AND(ISBLANK(P806),ISBLANK(R806)),"",IF(P806&lt;0.3*S806,"F",IF(ISBLANK(R806),"",IF(ISTEXT(R806),R806,IF(R806&gt;=0.95*U806,"O",IF(R806&gt;=0.9*U806,"A+",IF(R806&gt;=0.85*U806,"A",IF(R806&gt;=0.8*U806,"B+",IF(R806&gt;=0.75*U806,"B",IF(R806&gt;=0.7*U806,"C+",IF(R806&gt;=0.65*U806,"C",IF(R806&gt;=0.6*U806,"D+",IF(R806&gt;=0.55*U806,"D",IF(R806&gt;=0.5*U806,"E+",IF(R806&gt;=0.45*U806,"E",IF(R806&gt;=0.4*U806,"P",IF(R806&lt;0.4*U806,"F",R806)))))))))))))))))))</f>
        <v>E+</v>
      </c>
      <c r="N806" s="8">
        <f t="shared" ref="N806:N815" ca="1" si="73">INDEX($Z$2:$Z$17,MATCH(M806,$Y$2:$Y$17,0))</f>
        <v>5.5</v>
      </c>
      <c r="O806">
        <f>O805+1</f>
        <v>2</v>
      </c>
      <c r="P806" s="1">
        <f ca="1">IF(ISERROR(F800),"",IF(ISTEXT(VLOOKUP(B800,INDIRECT($F$8),6+(O806-1)*3)),(VLOOKUP(B800,INDIRECT($F$8),6+(O806-1)*3)),SUM(VLOOKUP(B800,INDIRECT($F$8),6+(O806-1)*3),IF(W818,W806,0))))</f>
        <v>47</v>
      </c>
      <c r="Q806" s="1">
        <f ca="1">IF(ISERROR(F800),"",VLOOKUP(B800,INDIRECT($F$8),7+(O806-1)*3))</f>
        <v>31</v>
      </c>
      <c r="R806" s="1">
        <f ca="1">IF(ISERROR(F800),"",SUM(P806:Q806))</f>
        <v>78</v>
      </c>
      <c r="S806" s="1">
        <f ca="1">IF(ISERROR(F800),"",VLOOKUP(A800,INDIRECT($F$8),6+(O806-1)*3))</f>
        <v>100</v>
      </c>
      <c r="T806" s="1">
        <f ca="1">IF(ISERROR(F800),"",VLOOKUP(A800,INDIRECT($F$8),7+(O806-1)*3))</f>
        <v>50</v>
      </c>
      <c r="U806" s="1">
        <f ca="1">IF(ISERROR(F800),"",VLOOKUP(A800,INDIRECT($F$8),8+(O806-1)*3))</f>
        <v>150</v>
      </c>
      <c r="V806" s="1" t="str">
        <f ca="1">IF(ISERROR(F800),"",IF(N806=0,A806,""))</f>
        <v/>
      </c>
      <c r="W806" s="1">
        <f ca="1">IF(ISERROR(F800),"",IF(ISTEXT(VLOOKUP(B800,INDIRECT($F$8),6+(O806-1)*3)),11,IF(VLOOKUP(B800,INDIRECT($F$8),6+(O806-1)*3)&lt;S806*0.3,IF(VLOOKUP(B800,INDIRECT($F$8),8+(O806-1)*3)&lt;U806*0.4,IF(AND(0.4*U806-VLOOKUP(B800,INDIRECT($F$8),8+(O806-1)*3)&lt;=5,0.3*S806-VLOOKUP(B800,INDIRECT($F$8),6+(O806-1)*3)&lt;=5),MAX(0.4*U806-VLOOKUP(B800,INDIRECT($F$8),8+(O806-1)*3),0.3*S806-VLOOKUP(B800,INDIRECT($F$8),6+(O806-1)*3)),11),IF(0.3*S806-VLOOKUP(B800,INDIRECT($F$8),6+(O806-1)*3)&lt;=5,0.3*S806-VLOOKUP(B800,INDIRECT($F$8),6+(O806-1)*3),11)),IF(VLOOKUP(B800,INDIRECT($F$8),8+(O806-1)*3)&lt;U806*0.4,IF(U806*0.4-VLOOKUP(B800,INDIRECT($F$8),8+(O806-1)*3)&lt;=5,U806*0.4-VLOOKUP(B800,INDIRECT($F$8),8+(O806-1)*3),11),0))))</f>
        <v>0</v>
      </c>
      <c r="X806" s="1" t="str">
        <f ca="1">IF(ISERROR(F800),"",IF(W806=0,"",_xlfn.TEXTJOIN("",FALSE," G+",W806," in ",A806)))</f>
        <v/>
      </c>
    </row>
    <row r="807" spans="1:24" ht="12.5" customHeight="1" x14ac:dyDescent="0.2">
      <c r="A807" s="7" t="str">
        <f ca="1">IF(ISERROR(F800),"",VLOOKUP(C800,INDIRECT($F$8),6+(O807-1)*3,0))</f>
        <v>ECT 001</v>
      </c>
      <c r="B807" s="24" t="str">
        <f ca="1">IF(ISERROR(F800),"",VLOOKUP(D800,INDIRECT($F$8),6+(O807-1)*3,0))</f>
        <v>Basic Electronics Engineering</v>
      </c>
      <c r="C807" s="24"/>
      <c r="D807" s="24"/>
      <c r="E807" s="24"/>
      <c r="F807" s="7">
        <f ca="1">IF(ISERROR(F800),"",VLOOKUP(E800,INDIRECT($F$8),6+(O807-1)*3,0))</f>
        <v>4</v>
      </c>
      <c r="G807" s="25" t="str">
        <f ca="1">IF(ISERROR(F800),"",_xlfn.TEXTJOIN("/",FALSE,P807,S807))</f>
        <v>58/100</v>
      </c>
      <c r="H807" s="25"/>
      <c r="I807" s="25" t="str">
        <f ca="1">IF(ISERROR(F800),"",_xlfn.TEXTJOIN("/",FALSE,Q807,T807))</f>
        <v>44/50</v>
      </c>
      <c r="J807" s="25"/>
      <c r="K807" s="25" t="str">
        <f ca="1">IF(ISERROR(F800),"",_xlfn.TEXTJOIN("/",FALSE,R807,U807))</f>
        <v>102/150</v>
      </c>
      <c r="L807" s="25"/>
      <c r="M807" s="7" t="str">
        <f ca="1">IF(ISERROR(F800),"",IF(ISTEXT(P807),IF(P807="A","Ab",IF(P807="D","Dt",IF(P807="UFM","UFM",IF(P807="NA","")))),IF(AND(ISBLANK(P807),ISBLANK(R807)),"",IF(P807&lt;0.3*S807,"F",IF(ISBLANK(R807),"",IF(ISTEXT(R807),R807,IF(R807&gt;=0.95*U807,"O",IF(R807&gt;=0.9*U807,"A+",IF(R807&gt;=0.85*U807,"A",IF(R807&gt;=0.8*U807,"B+",IF(R807&gt;=0.75*U807,"B",IF(R807&gt;=0.7*U807,"C+",IF(R807&gt;=0.65*U807,"C",IF(R807&gt;=0.6*U807,"D+",IF(R807&gt;=0.55*U807,"D",IF(R807&gt;=0.5*U807,"E+",IF(R807&gt;=0.45*U807,"E",IF(R807&gt;=0.4*U807,"P",IF(R807&lt;0.4*U807,"F",R807)))))))))))))))))))</f>
        <v>C</v>
      </c>
      <c r="N807" s="8">
        <f t="shared" ca="1" si="73"/>
        <v>7</v>
      </c>
      <c r="O807">
        <f>O806+1</f>
        <v>3</v>
      </c>
      <c r="P807" s="1">
        <f ca="1">IF(ISERROR(F800),"",IF(ISTEXT(VLOOKUP(B800,INDIRECT($F$8),6+(O807-1)*3)),(VLOOKUP(B800,INDIRECT($F$8),6+(O807-1)*3)),SUM(VLOOKUP(B800,INDIRECT($F$8),6+(O807-1)*3),IF(W818,W807,0))))</f>
        <v>58</v>
      </c>
      <c r="Q807" s="1">
        <f ca="1">IF(ISERROR(F800),"",VLOOKUP(B800,INDIRECT($F$8),7+(O807-1)*3))</f>
        <v>44</v>
      </c>
      <c r="R807" s="1">
        <f ca="1">IF(ISERROR(F800),"",SUM(P807:Q807))</f>
        <v>102</v>
      </c>
      <c r="S807" s="1">
        <f ca="1">IF(ISERROR(F800),"",VLOOKUP(A800,INDIRECT($F$8),6+(O807-1)*3))</f>
        <v>100</v>
      </c>
      <c r="T807" s="1">
        <f ca="1">IF(ISERROR(F800),"",VLOOKUP(A800,INDIRECT($F$8),7+(O807-1)*3))</f>
        <v>50</v>
      </c>
      <c r="U807" s="1">
        <f ca="1">IF(ISERROR(F800),"",VLOOKUP(A800,INDIRECT($F$8),8+(O807-1)*3))</f>
        <v>150</v>
      </c>
      <c r="V807" s="1" t="str">
        <f ca="1">IF(ISERROR(F800),"",IF(N807=0,A807,""))</f>
        <v/>
      </c>
      <c r="W807" s="1">
        <f ca="1">IF(ISERROR(F800),"",IF(ISTEXT(VLOOKUP(B800,INDIRECT($F$8),6+(O807-1)*3)),11,IF(VLOOKUP(B800,INDIRECT($F$8),6+(O807-1)*3)&lt;S807*0.3,IF(VLOOKUP(B800,INDIRECT($F$8),8+(O807-1)*3)&lt;U807*0.4,IF(AND(0.4*U807-VLOOKUP(B800,INDIRECT($F$8),8+(O807-1)*3)&lt;=5,0.3*S807-VLOOKUP(B800,INDIRECT($F$8),6+(O807-1)*3)&lt;=5),MAX(0.4*U807-VLOOKUP(B800,INDIRECT($F$8),8+(O807-1)*3),0.3*S807-VLOOKUP(B800,INDIRECT($F$8),6+(O807-1)*3)),11),IF(0.3*S807-VLOOKUP(B800,INDIRECT($F$8),6+(O807-1)*3)&lt;=5,0.3*S807-VLOOKUP(B800,INDIRECT($F$8),6+(O807-1)*3),11)),IF(VLOOKUP(B800,INDIRECT($F$8),8+(O807-1)*3)&lt;U807*0.4,IF(U807*0.4-VLOOKUP(B800,INDIRECT($F$8),8+(O807-1)*3)&lt;=5,U807*0.4-VLOOKUP(B800,INDIRECT($F$8),8+(O807-1)*3),11),0))))</f>
        <v>0</v>
      </c>
      <c r="X807" s="1" t="str">
        <f ca="1">IF(ISERROR(F800),"",IF(W807=0,"",_xlfn.TEXTJOIN("",FALSE," G+",W807," in ",A807)))</f>
        <v/>
      </c>
    </row>
    <row r="808" spans="1:24" ht="12.5" customHeight="1" x14ac:dyDescent="0.2">
      <c r="A808" s="7" t="str">
        <f ca="1">IF(ISERROR(F800),"",VLOOKUP(C800,INDIRECT($F$8),6+(O808-1)*3,0))</f>
        <v>MET 001</v>
      </c>
      <c r="B808" s="24" t="str">
        <f ca="1">IF(ISERROR(F800),"",VLOOKUP(D800,INDIRECT($F$8),6+(O808-1)*3,0))</f>
        <v>Basic Mechanical Engineering</v>
      </c>
      <c r="C808" s="24"/>
      <c r="D808" s="24"/>
      <c r="E808" s="24"/>
      <c r="F808" s="7">
        <f ca="1">IF(ISERROR(F800),"",VLOOKUP(E800,INDIRECT($F$8),6+(O808-1)*3,0))</f>
        <v>4</v>
      </c>
      <c r="G808" s="25" t="str">
        <f ca="1">IF(ISERROR(F800),"",_xlfn.TEXTJOIN("/",FALSE,P808,S808))</f>
        <v>56/100</v>
      </c>
      <c r="H808" s="25"/>
      <c r="I808" s="25" t="str">
        <f ca="1">IF(ISERROR(F800),"",_xlfn.TEXTJOIN("/",FALSE,Q808,T808))</f>
        <v>45/50</v>
      </c>
      <c r="J808" s="25"/>
      <c r="K808" s="25" t="str">
        <f ca="1">IF(ISERROR(F800),"",_xlfn.TEXTJOIN("/",FALSE,R808,U808))</f>
        <v>101/150</v>
      </c>
      <c r="L808" s="25"/>
      <c r="M808" s="7" t="str">
        <f ca="1">IF(ISERROR(F800),"",IF(ISTEXT(P808),IF(P808="A","Ab",IF(P808="D","Dt",IF(P808="UFM","UFM",IF(P808="NA","")))),IF(AND(ISBLANK(P808),ISBLANK(R808)),"",IF(P808&lt;0.3*S808,"F",IF(ISBLANK(R808),"",IF(ISTEXT(R808),R808,IF(R808&gt;=0.95*U808,"O",IF(R808&gt;=0.9*U808,"A+",IF(R808&gt;=0.85*U808,"A",IF(R808&gt;=0.8*U808,"B+",IF(R808&gt;=0.75*U808,"B",IF(R808&gt;=0.7*U808,"C+",IF(R808&gt;=0.65*U808,"C",IF(R808&gt;=0.6*U808,"D+",IF(R808&gt;=0.55*U808,"D",IF(R808&gt;=0.5*U808,"E+",IF(R808&gt;=0.45*U808,"E",IF(R808&gt;=0.4*U808,"P",IF(R808&lt;0.4*U808,"F",R808)))))))))))))))))))</f>
        <v>C</v>
      </c>
      <c r="N808" s="8">
        <f t="shared" ca="1" si="73"/>
        <v>7</v>
      </c>
      <c r="O808">
        <f>O807+1</f>
        <v>4</v>
      </c>
      <c r="P808" s="1">
        <f ca="1">IF(ISERROR(F800),"",IF(ISTEXT(VLOOKUP(B800,INDIRECT($F$8),6+(O808-1)*3)),(VLOOKUP(B800,INDIRECT($F$8),6+(O808-1)*3)),SUM(VLOOKUP(B800,INDIRECT($F$8),6+(O808-1)*3),IF(W818,W808,0))))</f>
        <v>56</v>
      </c>
      <c r="Q808" s="1">
        <f ca="1">IF(ISERROR(F800),"",VLOOKUP(B800,INDIRECT($F$8),7+(O808-1)*3))</f>
        <v>45</v>
      </c>
      <c r="R808" s="1">
        <f ca="1">IF(ISERROR(F800),"",SUM(P808:Q808))</f>
        <v>101</v>
      </c>
      <c r="S808" s="1">
        <f ca="1">IF(ISERROR(F800),"",VLOOKUP(A800,INDIRECT($F$8),6+(O808-1)*3))</f>
        <v>100</v>
      </c>
      <c r="T808" s="1">
        <f ca="1">IF(ISERROR(F800),"",VLOOKUP(A800,INDIRECT($F$8),7+(O808-1)*3))</f>
        <v>50</v>
      </c>
      <c r="U808" s="1">
        <f ca="1">IF(ISERROR(F800),"",VLOOKUP(A800,INDIRECT($F$8),8+(O808-1)*3))</f>
        <v>150</v>
      </c>
      <c r="V808" s="1" t="str">
        <f ca="1">IF(ISERROR(F800),"",IF(N808=0,A808,""))</f>
        <v/>
      </c>
      <c r="W808" s="1">
        <f ca="1">IF(ISERROR(F800),"",IF(ISTEXT(VLOOKUP(B800,INDIRECT($F$8),6+(O808-1)*3)),11,IF(VLOOKUP(B800,INDIRECT($F$8),6+(O808-1)*3)&lt;S808*0.3,IF(VLOOKUP(B800,INDIRECT($F$8),8+(O808-1)*3)&lt;U808*0.4,IF(AND(0.4*U808-VLOOKUP(B800,INDIRECT($F$8),8+(O808-1)*3)&lt;=5,0.3*S808-VLOOKUP(B800,INDIRECT($F$8),6+(O808-1)*3)&lt;=5),MAX(0.4*U808-VLOOKUP(B800,INDIRECT($F$8),8+(O808-1)*3),0.3*S808-VLOOKUP(B800,INDIRECT($F$8),6+(O808-1)*3)),11),IF(0.3*S808-VLOOKUP(B800,INDIRECT($F$8),6+(O808-1)*3)&lt;=5,0.3*S808-VLOOKUP(B800,INDIRECT($F$8),6+(O808-1)*3),11)),IF(VLOOKUP(B800,INDIRECT($F$8),8+(O808-1)*3)&lt;U808*0.4,IF(U808*0.4-VLOOKUP(B800,INDIRECT($F$8),8+(O808-1)*3)&lt;=5,U808*0.4-VLOOKUP(B800,INDIRECT($F$8),8+(O808-1)*3),11),0))))</f>
        <v>0</v>
      </c>
      <c r="X808" s="1" t="str">
        <f ca="1">IF(ISERROR(F800),"",IF(W808=0,"",_xlfn.TEXTJOIN("",FALSE," G+",W808," in ",A808)))</f>
        <v/>
      </c>
    </row>
    <row r="809" spans="1:24" ht="12.5" customHeight="1" x14ac:dyDescent="0.2">
      <c r="A809" s="7" t="str">
        <f ca="1">IF(ISERROR(F800),"",VLOOKUP(C800,INDIRECT($F$8),6+(O809-1)*3,0))</f>
        <v>BTT 001</v>
      </c>
      <c r="B809" s="24" t="str">
        <f ca="1">IF(ISERROR(F800),"",VLOOKUP(D800,INDIRECT($F$8),6+(O809-1)*3,0))</f>
        <v>Biology for Engineers (Bridge Course) ($)</v>
      </c>
      <c r="C809" s="24"/>
      <c r="D809" s="24"/>
      <c r="E809" s="24"/>
      <c r="F809" s="7">
        <f ca="1">IF(ISERROR(F800),"",VLOOKUP(E800,INDIRECT($F$8),6+(O809-1)*3,0))</f>
        <v>0</v>
      </c>
      <c r="G809" s="25" t="str">
        <f ca="1">IF(ISERROR(F800),"",_xlfn.TEXTJOIN("/",FALSE,P809,S809))</f>
        <v>44/100</v>
      </c>
      <c r="H809" s="25"/>
      <c r="I809" s="25" t="str">
        <f ca="1">IF(ISERROR(F800),"",_xlfn.TEXTJOIN("/",FALSE,Q809,T809))</f>
        <v>38/50</v>
      </c>
      <c r="J809" s="25"/>
      <c r="K809" s="25" t="str">
        <f ca="1">IF(ISERROR(F800),"",_xlfn.TEXTJOIN("/",FALSE,R809,U809))</f>
        <v>82/150</v>
      </c>
      <c r="L809" s="25"/>
      <c r="M809" s="7" t="str">
        <f ca="1">IF(ISERROR(F800),"",IF(ISTEXT(P809),IF(P809="A","Ab",IF(P809="D","Dt",IF(P809="UFM","UFM",IF(P809="NA","")))),IF(AND(ISBLANK(P809),ISBLANK(R809)),"",IF(P809&lt;0.3*S809,"F",IF(ISBLANK(R809),"",IF(ISTEXT(R809),R809,IF(R809&gt;=0.95*U809,"O",IF(R809&gt;=0.9*U809,"A+",IF(R809&gt;=0.85*U809,"A",IF(R809&gt;=0.8*U809,"B+",IF(R809&gt;=0.75*U809,"B",IF(R809&gt;=0.7*U809,"C+",IF(R809&gt;=0.65*U809,"C",IF(R809&gt;=0.6*U809,"D+",IF(R809&gt;=0.55*U809,"D",IF(R809&gt;=0.5*U809,"E+",IF(R809&gt;=0.45*U809,"E",IF(R809&gt;=0.4*U809,"P",IF(R809&lt;0.4*U809,"F",R809)))))))))))))))))))</f>
        <v>E+</v>
      </c>
      <c r="N809" s="8">
        <f t="shared" ca="1" si="73"/>
        <v>5.5</v>
      </c>
      <c r="O809" cm="1">
        <f t="array" aca="1" ref="O809" ca="1">IF(NOT(ISBLANK(INDIRECT("SEM_I!R"&amp;INT((ROW(O809)-17)/22)+6))),5,
IF(NOT(ISBLANK(INDIRECT("SEM_I!U"&amp;INT((ROW(O809)-17)/22)+6))),6))</f>
        <v>6</v>
      </c>
      <c r="P809" s="1">
        <f ca="1">IF(ISERROR(F800),"",IF(ISTEXT(VLOOKUP(B800,INDIRECT($F$8),6+(O809-1)*3)),(VLOOKUP(B800,INDIRECT($F$8),6+(O809-1)*3)),SUM(VLOOKUP(B800,INDIRECT($F$8),6+(O809-1)*3),IF(W818,W809,0))))</f>
        <v>44</v>
      </c>
      <c r="Q809" s="1">
        <f ca="1">IF(ISERROR(F800),"",VLOOKUP(B800,INDIRECT($F$8),7+(O809-1)*3))</f>
        <v>38</v>
      </c>
      <c r="R809" s="1">
        <f ca="1">IF(ISERROR(F800),"",SUM(P809:Q809))</f>
        <v>82</v>
      </c>
      <c r="S809" s="1">
        <f ca="1">IF(ISERROR(F800),"",VLOOKUP(A800,INDIRECT($F$8),6+(O809-1)*3))</f>
        <v>100</v>
      </c>
      <c r="T809" s="1">
        <f ca="1">IF(ISERROR(F800),"",VLOOKUP(A800,INDIRECT($F$8),7+(O809-1)*3))</f>
        <v>50</v>
      </c>
      <c r="U809" s="1">
        <f ca="1">IF(ISERROR(F800),"",VLOOKUP(A800,INDIRECT($F$8),8+(O809-1)*3))</f>
        <v>150</v>
      </c>
      <c r="V809" s="1" t="str">
        <f ca="1">IF(ISERROR(F800),"",IF(N809=0,A809,""))</f>
        <v/>
      </c>
      <c r="W809" s="1">
        <f ca="1">IF(ISERROR(F800),"",IF(ISTEXT(VLOOKUP(B800,INDIRECT($F$8),6+(O809-1)*3)),11,IF(VLOOKUP(B800,INDIRECT($F$8),6+(O809-1)*3)&lt;S809*0.3,IF(VLOOKUP(B800,INDIRECT($F$8),8+(O809-1)*3)&lt;U809*0.4,IF(AND(0.4*U809-VLOOKUP(B800,INDIRECT($F$8),8+(O809-1)*3)&lt;=5,0.3*S809-VLOOKUP(B800,INDIRECT($F$8),6+(O809-1)*3)&lt;=5),MAX(0.4*U809-VLOOKUP(B800,INDIRECT($F$8),8+(O809-1)*3),0.3*S809-VLOOKUP(B800,INDIRECT($F$8),6+(O809-1)*3)),11),IF(0.3*S809-VLOOKUP(B800,INDIRECT($F$8),6+(O809-1)*3)&lt;=5,0.3*S809-VLOOKUP(B800,INDIRECT($F$8),6+(O809-1)*3),11)),IF(VLOOKUP(B800,INDIRECT($F$8),8+(O809-1)*3)&lt;U809*0.4,IF(U809*0.4-VLOOKUP(B800,INDIRECT($F$8),8+(O809-1)*3)&lt;=5,U809*0.4-VLOOKUP(B800,INDIRECT($F$8),8+(O809-1)*3),11),0))))</f>
        <v>0</v>
      </c>
      <c r="X809" s="1" t="str">
        <f ca="1">IF(ISERROR(F800),"",IF(W809=0,"",_xlfn.TEXTJOIN("",FALSE," G+",W809," in ",A809)))</f>
        <v/>
      </c>
    </row>
    <row r="810" spans="1:24" ht="12.5" customHeight="1" x14ac:dyDescent="0.2">
      <c r="A810" s="7" t="str">
        <f ca="1">IF(ISERROR(F800),"",VLOOKUP(C800,INDIRECT($F$8),6+(O810-1)*3,0))</f>
        <v>AHP 002</v>
      </c>
      <c r="B810" s="24" t="str">
        <f ca="1">IF(ISERROR(F800),"",VLOOKUP(D800,INDIRECT($F$8),6+(O810-1)*3,0))</f>
        <v>Engineering Chemistry Lab</v>
      </c>
      <c r="C810" s="24"/>
      <c r="D810" s="24"/>
      <c r="E810" s="24"/>
      <c r="F810" s="7">
        <f ca="1">IF(ISERROR(F800),"",VLOOKUP(E800,INDIRECT($F$8),6+(O810-1)*3,0))</f>
        <v>1</v>
      </c>
      <c r="G810" s="25" t="str">
        <f ca="1">IF(ISERROR(F800),"",_xlfn.TEXTJOIN("/",FALSE,P810,S810))</f>
        <v>18/25</v>
      </c>
      <c r="H810" s="25"/>
      <c r="I810" s="25" t="str">
        <f ca="1">IF(ISERROR(F800),"",_xlfn.TEXTJOIN("/",FALSE,Q810,T810))</f>
        <v>15/25</v>
      </c>
      <c r="J810" s="25"/>
      <c r="K810" s="25" t="str">
        <f ca="1">IF(ISERROR(F800),"",_xlfn.TEXTJOIN("/",FALSE,R810,U810))</f>
        <v>33/50</v>
      </c>
      <c r="L810" s="25"/>
      <c r="M810" s="7" t="str">
        <f ca="1">IF(ISERROR(F800),"",IF(ISTEXT(P810),IF(P810="A","Ab",IF(P810="D","Dt",IF(P810="UFM","UFM",IF(P810="NA","")))),IF(AND(ISBLANK(P810),ISBLANK(R810)),"",IF(P810&lt;0.3*S810,"F",IF(ISBLANK(R810),"",IF(ISTEXT(R810),R810,IF(R810&gt;=0.95*U810,"O",IF(R810&gt;=0.9*U810,"A+",IF(R810&gt;=0.85*U810,"A",IF(R810&gt;=0.8*U810,"B+",IF(R810&gt;=0.75*U810,"B",IF(R810&gt;=0.7*U810,"C+",IF(R810&gt;=0.65*U810,"C",IF(R810&gt;=0.6*U810,"D+",IF(R810&gt;=0.55*U810,"D",IF(R810&gt;=0.5*U810,"E+",IF(R810&gt;=0.45*U810,"E",IF(R810&gt;=0.4*U810,"P",IF(R810&lt;0.4*U810,"F",R810)))))))))))))))))))</f>
        <v>C</v>
      </c>
      <c r="N810" s="8">
        <f t="shared" ca="1" si="73"/>
        <v>7</v>
      </c>
      <c r="O810">
        <f ca="1">IF(O809&gt;0,7)</f>
        <v>7</v>
      </c>
      <c r="P810" s="1">
        <f ca="1">IF(ISERROR(F800),"",IF(ISTEXT(VLOOKUP(B800,INDIRECT($F$8),6+(O810-1)*3)),(VLOOKUP(B800,INDIRECT($F$8),6+(O810-1)*3)),SUM(VLOOKUP(B800,INDIRECT($F$8),6+(O810-1)*3),IF(W818,W810,0))))</f>
        <v>18</v>
      </c>
      <c r="Q810" s="1">
        <f ca="1">IF(ISERROR(F800),"",VLOOKUP(B800,INDIRECT($F$8),7+(O810-1)*3))</f>
        <v>15</v>
      </c>
      <c r="R810" s="1">
        <f ca="1">IF(ISERROR(F800),"",SUM(P810:Q810))</f>
        <v>33</v>
      </c>
      <c r="S810" s="1">
        <f ca="1">IF(ISERROR(F800),"",VLOOKUP(A800,INDIRECT($F$8),6+(O810-1)*3))</f>
        <v>25</v>
      </c>
      <c r="T810" s="1">
        <f ca="1">IF(ISERROR(F800),"",VLOOKUP(A800,INDIRECT($F$8),7+(O810-1)*3))</f>
        <v>25</v>
      </c>
      <c r="U810" s="1">
        <f ca="1">IF(ISERROR(F800),"",VLOOKUP(A800,INDIRECT($F$8),8+(O810-1)*3))</f>
        <v>50</v>
      </c>
      <c r="V810" s="1" t="str">
        <f ca="1">IF(ISERROR(F800),"",IF(N810=0,A810,""))</f>
        <v/>
      </c>
      <c r="W810" s="1">
        <f ca="1">IF(ISERROR(F800),"",IF(ISTEXT(VLOOKUP(B800,INDIRECT($F$8),6+(O810-1)*3)),11,IF(VLOOKUP(B800,INDIRECT($F$8),6+(O810-1)*3)&lt;S810*0.3,IF(VLOOKUP(B800,INDIRECT($F$8),8+(O810-1)*3)&lt;U810*0.4,IF(AND(0.4*U810-VLOOKUP(B800,INDIRECT($F$8),8+(O810-1)*3)&lt;=5,0.3*S810-VLOOKUP(B800,INDIRECT($F$8),6+(O810-1)*3)&lt;=5),MAX(0.4*U810-VLOOKUP(B800,INDIRECT($F$8),8+(O810-1)*3),0.3*S810-VLOOKUP(B800,INDIRECT($F$8),6+(O810-1)*3)),11),IF(0.3*S810-VLOOKUP(B800,INDIRECT($F$8),6+(O810-1)*3)&lt;=5,0.3*S810-VLOOKUP(B800,INDIRECT($F$8),6+(O810-1)*3),11)),IF(VLOOKUP(B800,INDIRECT($F$8),8+(O810-1)*3)&lt;U810*0.4,IF(U810*0.4-VLOOKUP(B800,INDIRECT($F$8),8+(O810-1)*3)&lt;=5,U810*0.4-VLOOKUP(B800,INDIRECT($F$8),8+(O810-1)*3),11),0))))</f>
        <v>0</v>
      </c>
      <c r="X810" s="1" t="str">
        <f ca="1">IF(ISERROR(F800),"",IF(W810=0,"",_xlfn.TEXTJOIN("",FALSE," G+",W810," in ",A810)))</f>
        <v/>
      </c>
    </row>
    <row r="811" spans="1:24" ht="12.5" customHeight="1" x14ac:dyDescent="0.2">
      <c r="A811" s="7" t="str">
        <f ca="1">IF(ISERROR(F800),"",VLOOKUP(C800,INDIRECT($F$8),6+(O811-1)*3,0))</f>
        <v>ECP 001</v>
      </c>
      <c r="B811" s="24" t="str">
        <f ca="1">IF(ISERROR(F800),"",VLOOKUP(D800,INDIRECT($F$8),6+(O811-1)*3,0))</f>
        <v>Basic Electronics Engineering Lab</v>
      </c>
      <c r="C811" s="24"/>
      <c r="D811" s="24"/>
      <c r="E811" s="24"/>
      <c r="F811" s="7">
        <f ca="1">IF(ISERROR(F800),"",VLOOKUP(E800,INDIRECT($F$8),6+(O811-1)*3,0))</f>
        <v>1</v>
      </c>
      <c r="G811" s="25" t="str">
        <f ca="1">IF(ISERROR(F800),"",_xlfn.TEXTJOIN("/",FALSE,P811,S811))</f>
        <v>22/25</v>
      </c>
      <c r="H811" s="25"/>
      <c r="I811" s="25" t="str">
        <f ca="1">IF(ISERROR(F800),"",_xlfn.TEXTJOIN("/",FALSE,Q811,T811))</f>
        <v>22/25</v>
      </c>
      <c r="J811" s="25"/>
      <c r="K811" s="25" t="str">
        <f ca="1">IF(ISERROR(F800),"",_xlfn.TEXTJOIN("/",FALSE,R811,U811))</f>
        <v>44/50</v>
      </c>
      <c r="L811" s="25"/>
      <c r="M811" s="7" t="str">
        <f ca="1">IF(ISERROR(F800)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A</v>
      </c>
      <c r="N811" s="8">
        <f t="shared" ca="1" si="73"/>
        <v>9</v>
      </c>
      <c r="O811">
        <f t="shared" ref="O811:O817" ca="1" si="74">O810+1</f>
        <v>8</v>
      </c>
      <c r="P811" s="1">
        <f ca="1">IF(ISERROR(F800),"",IF(ISTEXT(VLOOKUP(B800,INDIRECT($F$8),6+(O811-1)*3)),(VLOOKUP(B800,INDIRECT($F$8),6+(O811-1)*3)),SUM(VLOOKUP(B800,INDIRECT($F$8),6+(O811-1)*3),IF(W818,W811,0))))</f>
        <v>22</v>
      </c>
      <c r="Q811" s="1">
        <f ca="1">IF(ISERROR(F800),"",VLOOKUP(B800,INDIRECT($F$8),7+(O811-1)*3))</f>
        <v>22</v>
      </c>
      <c r="R811" s="1">
        <f ca="1">IF(ISERROR(F800),"",SUM(P811:Q811))</f>
        <v>44</v>
      </c>
      <c r="S811" s="1">
        <f ca="1">IF(ISERROR(F800),"",VLOOKUP(A800,INDIRECT($F$8),6+(O811-1)*3))</f>
        <v>25</v>
      </c>
      <c r="T811" s="1">
        <f ca="1">IF(ISERROR(F800),"",VLOOKUP(A800,INDIRECT($F$8),7+(O811-1)*3))</f>
        <v>25</v>
      </c>
      <c r="U811" s="1">
        <f ca="1">IF(ISERROR(F800),"",VLOOKUP(A800,INDIRECT($F$8),8+(O811-1)*3))</f>
        <v>50</v>
      </c>
      <c r="V811" s="1" t="str">
        <f ca="1">IF(ISERROR(F800),"",IF(N811=0,A811,""))</f>
        <v/>
      </c>
      <c r="W811" s="1">
        <f ca="1">IF(ISERROR(F800),"",IF(ISTEXT(VLOOKUP(B800,INDIRECT($F$8),6+(O811-1)*3)),11,IF(VLOOKUP(B800,INDIRECT($F$8),6+(O811-1)*3)&lt;S811*0.3,IF(VLOOKUP(B800,INDIRECT($F$8),8+(O811-1)*3)&lt;U811*0.4,IF(AND(0.4*U811-VLOOKUP(B800,INDIRECT($F$8),8+(O811-1)*3)&lt;=5,0.3*S811-VLOOKUP(B800,INDIRECT($F$8),6+(O811-1)*3)&lt;=5),MAX(0.4*U811-VLOOKUP(B800,INDIRECT($F$8),8+(O811-1)*3),0.3*S811-VLOOKUP(B800,INDIRECT($F$8),6+(O811-1)*3)),11),IF(0.3*S811-VLOOKUP(B800,INDIRECT($F$8),6+(O811-1)*3)&lt;=5,0.3*S811-VLOOKUP(B800,INDIRECT($F$8),6+(O811-1)*3),11)),IF(VLOOKUP(B800,INDIRECT($F$8),8+(O811-1)*3)&lt;U811*0.4,IF(U811*0.4-VLOOKUP(B800,INDIRECT($F$8),8+(O811-1)*3)&lt;=5,U811*0.4-VLOOKUP(B800,INDIRECT($F$8),8+(O811-1)*3),11),0))))</f>
        <v>0</v>
      </c>
      <c r="X811" s="1" t="str">
        <f ca="1">IF(ISERROR(F800),"",IF(W811=0,"",_xlfn.TEXTJOIN("",FALSE," G+",W811," in ",A811)))</f>
        <v/>
      </c>
    </row>
    <row r="812" spans="1:24" ht="12.5" customHeight="1" x14ac:dyDescent="0.2">
      <c r="A812" s="7" t="str">
        <f ca="1">IF(ISERROR(F800),"",VLOOKUP(C800,INDIRECT($F$8),6+(O812-1)*3,0))</f>
        <v>MEP 001</v>
      </c>
      <c r="B812" s="24" t="str">
        <f ca="1">IF(ISERROR(F800),"",VLOOKUP(D800,INDIRECT($F$8),6+(O812-1)*3,0))</f>
        <v>Basic Mechanical Engineering Lab</v>
      </c>
      <c r="C812" s="24"/>
      <c r="D812" s="24"/>
      <c r="E812" s="24"/>
      <c r="F812" s="7">
        <f ca="1">IF(ISERROR(F800),"",VLOOKUP(E800,INDIRECT($F$8),6+(O812-1)*3,0))</f>
        <v>1</v>
      </c>
      <c r="G812" s="25" t="str">
        <f ca="1">IF(ISERROR(F800),"",_xlfn.TEXTJOIN("/",FALSE,P812,S812))</f>
        <v>24/25</v>
      </c>
      <c r="H812" s="25"/>
      <c r="I812" s="25" t="str">
        <f ca="1">IF(ISERROR(F800),"",_xlfn.TEXTJOIN("/",FALSE,Q812,T812))</f>
        <v>24/25</v>
      </c>
      <c r="J812" s="25"/>
      <c r="K812" s="25" t="str">
        <f ca="1">IF(ISERROR(F800),"",_xlfn.TEXTJOIN("/",FALSE,R812,U812))</f>
        <v>48/50</v>
      </c>
      <c r="L812" s="25"/>
      <c r="M812" s="7" t="str">
        <f ca="1">IF(ISERROR(F800)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O</v>
      </c>
      <c r="N812" s="8">
        <f t="shared" ca="1" si="73"/>
        <v>10</v>
      </c>
      <c r="O812">
        <f t="shared" ca="1" si="74"/>
        <v>9</v>
      </c>
      <c r="P812" s="1">
        <f ca="1">IF(ISERROR(F800),"",IF(ISTEXT(VLOOKUP(B800,INDIRECT($F$8),6+(O812-1)*3)),(VLOOKUP(B800,INDIRECT($F$8),6+(O812-1)*3)),SUM(VLOOKUP(B800,INDIRECT($F$8),6+(O812-1)*3),IF(W818,W812,0))))</f>
        <v>24</v>
      </c>
      <c r="Q812" s="1">
        <f ca="1">IF(ISERROR(F800),"",VLOOKUP(B800,INDIRECT($F$8),7+(O812-1)*3))</f>
        <v>24</v>
      </c>
      <c r="R812" s="1">
        <f ca="1">IF(ISERROR(F800),"",SUM(P812:Q812))</f>
        <v>48</v>
      </c>
      <c r="S812" s="1">
        <f ca="1">IF(ISERROR(F800),"",VLOOKUP(A800,INDIRECT($F$8),6+(O812-1)*3))</f>
        <v>25</v>
      </c>
      <c r="T812" s="1">
        <f ca="1">IF(ISERROR(F800),"",VLOOKUP(A800,INDIRECT($F$8),7+(O812-1)*3))</f>
        <v>25</v>
      </c>
      <c r="U812" s="1">
        <f ca="1">IF(ISERROR(F800),"",VLOOKUP(A800,INDIRECT($F$8),8+(O812-1)*3))</f>
        <v>50</v>
      </c>
      <c r="V812" s="1" t="str">
        <f ca="1">IF(ISERROR(F800),"",IF(N812=0,A812,""))</f>
        <v/>
      </c>
      <c r="W812" s="1">
        <f ca="1">IF(ISERROR(F800),"",IF(ISTEXT(VLOOKUP(B800,INDIRECT($F$8),6+(O812-1)*3)),11,IF(VLOOKUP(B800,INDIRECT($F$8),6+(O812-1)*3)&lt;S812*0.3,IF(VLOOKUP(B800,INDIRECT($F$8),8+(O812-1)*3)&lt;U812*0.4,IF(AND(0.4*U812-VLOOKUP(B800,INDIRECT($F$8),8+(O812-1)*3)&lt;=5,0.3*S812-VLOOKUP(B800,INDIRECT($F$8),6+(O812-1)*3)&lt;=5),MAX(0.4*U812-VLOOKUP(B800,INDIRECT($F$8),8+(O812-1)*3),0.3*S812-VLOOKUP(B800,INDIRECT($F$8),6+(O812-1)*3)),11),IF(0.3*S812-VLOOKUP(B800,INDIRECT($F$8),6+(O812-1)*3)&lt;=5,0.3*S812-VLOOKUP(B800,INDIRECT($F$8),6+(O812-1)*3),11)),IF(VLOOKUP(B800,INDIRECT($F$8),8+(O812-1)*3)&lt;U812*0.4,IF(U812*0.4-VLOOKUP(B800,INDIRECT($F$8),8+(O812-1)*3)&lt;=5,U812*0.4-VLOOKUP(B800,INDIRECT($F$8),8+(O812-1)*3),11),0))))</f>
        <v>0</v>
      </c>
      <c r="X812" s="1" t="str">
        <f ca="1">IF(ISERROR(F800),"",IF(W812=0,"",_xlfn.TEXTJOIN("",FALSE," G+",W812," in ",A812)))</f>
        <v/>
      </c>
    </row>
    <row r="813" spans="1:24" ht="12.5" customHeight="1" x14ac:dyDescent="0.2">
      <c r="A813" s="7" t="str">
        <f ca="1">IF(ISERROR(F800),"",VLOOKUP(C800,INDIRECT($F$8),6+(O813-1)*3,0))</f>
        <v>MEP 003</v>
      </c>
      <c r="B813" s="24" t="str">
        <f ca="1">IF(ISERROR(F800),"",VLOOKUP(D800,INDIRECT($F$8),6+(O813-1)*3-Z813,0))</f>
        <v>Workshop Practices Lab</v>
      </c>
      <c r="C813" s="24"/>
      <c r="D813" s="24"/>
      <c r="E813" s="24"/>
      <c r="F813" s="7">
        <f ca="1">IF(ISERROR(F800),"",VLOOKUP(E800,INDIRECT($F$8),6+(O813-1)*3,0))</f>
        <v>2</v>
      </c>
      <c r="G813" s="25" t="str">
        <f ca="1">IF(ISERROR(F800),"",_xlfn.TEXTJOIN("/",FALSE,P813,S813))</f>
        <v>42/50</v>
      </c>
      <c r="H813" s="25"/>
      <c r="I813" s="25" t="str">
        <f ca="1">IF(ISERROR(F800),"",_xlfn.TEXTJOIN("/",FALSE,Q813,T813))</f>
        <v>39/50</v>
      </c>
      <c r="J813" s="25"/>
      <c r="K813" s="25" t="str">
        <f ca="1">IF(ISERROR(F800),"",_xlfn.TEXTJOIN("/",FALSE,R813,U813))</f>
        <v>81/100</v>
      </c>
      <c r="L813" s="25"/>
      <c r="M813" s="7" t="str">
        <f ca="1">IF(ISERROR(F800)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B+</v>
      </c>
      <c r="N813" s="8">
        <f t="shared" ca="1" si="73"/>
        <v>8.5</v>
      </c>
      <c r="O813">
        <f t="shared" ca="1" si="74"/>
        <v>10</v>
      </c>
      <c r="P813" s="1">
        <f ca="1">IF(ISERROR(F800),"",IF(ISTEXT(VLOOKUP(B800,INDIRECT($F$8),6+(O813-1)*3)),(VLOOKUP(B800,INDIRECT($F$8),6+(O813-1)*3)),SUM(VLOOKUP(B800,INDIRECT($F$8),6+(O813-1)*3),IF(W818,W813,0))))</f>
        <v>42</v>
      </c>
      <c r="Q813" s="1">
        <f ca="1">IF(ISERROR(F800),"",VLOOKUP(B800,INDIRECT($F$8),7+(O813-1)*3))</f>
        <v>39</v>
      </c>
      <c r="R813" s="1">
        <f ca="1">IF(ISERROR(F800),"",SUM(P813:Q813))</f>
        <v>81</v>
      </c>
      <c r="S813" s="1">
        <f ca="1">IF(ISERROR(F800),"",VLOOKUP(A800,INDIRECT($F$8),6+(O813-1)*3))</f>
        <v>50</v>
      </c>
      <c r="T813" s="1">
        <f ca="1">IF(ISERROR(F800),"",VLOOKUP(A800,INDIRECT($F$8),7+(O813-1)*3))</f>
        <v>50</v>
      </c>
      <c r="U813" s="1">
        <f ca="1">IF(ISERROR(F800),"",VLOOKUP(A800,INDIRECT($F$8),8+(O813-1)*3))</f>
        <v>100</v>
      </c>
      <c r="V813" s="1" t="str">
        <f ca="1">IF(ISERROR(F800),"",IF(N813=0,A813,""))</f>
        <v/>
      </c>
      <c r="W813" s="1">
        <f ca="1">IF(ISERROR(F800),"",IF(ISTEXT(VLOOKUP(B800,INDIRECT($F$8),6+(O813-1)*3)),11,IF(VLOOKUP(B800,INDIRECT($F$8),6+(O813-1)*3)&lt;S813*0.3,IF(VLOOKUP(B800,INDIRECT($F$8),8+(O813-1)*3)&lt;U813*0.4,IF(AND(0.4*U813-VLOOKUP(B800,INDIRECT($F$8),8+(O813-1)*3)&lt;=5,0.3*S813-VLOOKUP(B800,INDIRECT($F$8),6+(O813-1)*3)&lt;=5),MAX(0.4*U813-VLOOKUP(B800,INDIRECT($F$8),8+(O813-1)*3),0.3*S813-VLOOKUP(B800,INDIRECT($F$8),6+(O813-1)*3)),11),IF(0.3*S813-VLOOKUP(B800,INDIRECT($F$8),6+(O813-1)*3)&lt;=5,0.3*S813-VLOOKUP(B800,INDIRECT($F$8),6+(O813-1)*3),11)),IF(VLOOKUP(B800,INDIRECT($F$8),8+(O813-1)*3)&lt;U813*0.4,IF(U813*0.4-VLOOKUP(B800,INDIRECT($F$8),8+(O813-1)*3)&lt;=5,U813*0.4-VLOOKUP(B800,INDIRECT($F$8),8+(O813-1)*3),11),0))))</f>
        <v>0</v>
      </c>
      <c r="X813" s="1" t="str">
        <f ca="1">IF(ISERROR(F800),"",IF(W813=0,"",_xlfn.TEXTJOIN("",FALSE," G+",W813," in ",A813)))</f>
        <v/>
      </c>
    </row>
    <row r="814" spans="1:24" ht="12.5" customHeight="1" x14ac:dyDescent="0.2">
      <c r="A814" s="7" t="str">
        <f ca="1">IF(ISERROR(F800),"",VLOOKUP(C800,INDIRECT($F$8),6+(O814-1)*3,0))</f>
        <v>AHP 004</v>
      </c>
      <c r="B814" s="24" t="str">
        <f ca="1">IF(ISERROR(F800),"",VLOOKUP(D800,INDIRECT($F$8),6+(O814-1)*3-Z814,0))</f>
        <v>Emerging Technologies in Engineering Lab</v>
      </c>
      <c r="C814" s="24"/>
      <c r="D814" s="24"/>
      <c r="E814" s="24"/>
      <c r="F814" s="7">
        <f ca="1">IF(ISERROR(F800),"",VLOOKUP(E800,INDIRECT($F$8),6+(O814-1)*3,0))</f>
        <v>1</v>
      </c>
      <c r="G814" s="25" t="str">
        <f ca="1">IF(ISERROR(F800),"",_xlfn.TEXTJOIN("/",FALSE,P814,S814))</f>
        <v>23/25</v>
      </c>
      <c r="H814" s="25"/>
      <c r="I814" s="25" t="str">
        <f ca="1">IF(ISERROR(F800),"",_xlfn.TEXTJOIN("/",FALSE,Q814,T814))</f>
        <v>24/25</v>
      </c>
      <c r="J814" s="25"/>
      <c r="K814" s="25" t="str">
        <f ca="1">IF(ISERROR(F800),"",_xlfn.TEXTJOIN("/",FALSE,R814,U814))</f>
        <v>47/50</v>
      </c>
      <c r="L814" s="25"/>
      <c r="M814" s="7" t="str">
        <f ca="1">IF(ISERROR(F800)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A+</v>
      </c>
      <c r="N814" s="8">
        <f t="shared" ca="1" si="73"/>
        <v>9.5</v>
      </c>
      <c r="O814">
        <f t="shared" ca="1" si="74"/>
        <v>11</v>
      </c>
      <c r="P814" s="1">
        <f ca="1">IF(ISERROR(F800),"",IF(ISTEXT(VLOOKUP(B800,INDIRECT($F$8),6+(O814-1)*3)),(VLOOKUP(B800,INDIRECT($F$8),6+(O814-1)*3)),SUM(VLOOKUP(B800,INDIRECT($F$8),6+(O814-1)*3),IF(W818,W814,0))))</f>
        <v>23</v>
      </c>
      <c r="Q814" s="1">
        <f ca="1">IF(ISERROR(F800),"",VLOOKUP(B800,INDIRECT($F$8),7+(O814-1)*3))</f>
        <v>24</v>
      </c>
      <c r="R814" s="1">
        <f ca="1">IF(ISERROR(F800),"",SUM(P814:Q814))</f>
        <v>47</v>
      </c>
      <c r="S814" s="1">
        <f ca="1">IF(ISERROR(F800),"",VLOOKUP(A800,INDIRECT($F$8),6+(O814-1)*3))</f>
        <v>25</v>
      </c>
      <c r="T814" s="1">
        <f ca="1">IF(ISERROR(F800),"",VLOOKUP(A800,INDIRECT($F$8),7+(O814-1)*3))</f>
        <v>25</v>
      </c>
      <c r="U814" s="1">
        <f ca="1">IF(ISERROR(F800),"",VLOOKUP(A800,INDIRECT($F$8),8+(O814-1)*3))</f>
        <v>50</v>
      </c>
      <c r="V814" s="1" t="str">
        <f ca="1">IF(ISERROR(F800),"",IF(N814=0,A814,""))</f>
        <v/>
      </c>
      <c r="W814" s="1">
        <f ca="1">IF(ISERROR(F800),"",IF(ISTEXT(VLOOKUP(B800,INDIRECT($F$8),6+(O814-1)*3)),11,IF(VLOOKUP(B800,INDIRECT($F$8),6+(O814-1)*3)&lt;S814*0.3,IF(VLOOKUP(B800,INDIRECT($F$8),8+(O814-1)*3)&lt;U814*0.4,IF(AND(0.4*U814-VLOOKUP(B800,INDIRECT($F$8),8+(O814-1)*3)&lt;=5,0.3*S814-VLOOKUP(B800,INDIRECT($F$8),6+(O814-1)*3)&lt;=5),MAX(0.4*U814-VLOOKUP(B800,INDIRECT($F$8),8+(O814-1)*3),0.3*S814-VLOOKUP(B800,INDIRECT($F$8),6+(O814-1)*3)),11),IF(0.3*S814-VLOOKUP(B800,INDIRECT($F$8),6+(O814-1)*3)&lt;=5,0.3*S814-VLOOKUP(B800,INDIRECT($F$8),6+(O814-1)*3),11)),IF(VLOOKUP(B800,INDIRECT($F$8),8+(O814-1)*3)&lt;U814*0.4,IF(U814*0.4-VLOOKUP(B800,INDIRECT($F$8),8+(O814-1)*3)&lt;=5,U814*0.4-VLOOKUP(B800,INDIRECT($F$8),8+(O814-1)*3),11),0))))</f>
        <v>0</v>
      </c>
      <c r="X814" s="1" t="str">
        <f ca="1">IF(ISERROR(F800),"",IF(W814=0,"",_xlfn.TEXTJOIN("",FALSE," G+",W814," in ",A814)))</f>
        <v/>
      </c>
    </row>
    <row r="815" spans="1:24" ht="12.5" customHeight="1" x14ac:dyDescent="0.2">
      <c r="A815" s="7" t="str">
        <f ca="1">IF(ISERROR(F800),"",VLOOKUP(C800,INDIRECT($F$8),6+(O815-1)*3,0))</f>
        <v>CSP 002</v>
      </c>
      <c r="B815" s="24" t="str">
        <f ca="1">IF(ISERROR(F800),"",VLOOKUP(D800,INDIRECT($F$8),6+(O815-1)*3,0))</f>
        <v>Computer Applications and IOT</v>
      </c>
      <c r="C815" s="24"/>
      <c r="D815" s="24"/>
      <c r="E815" s="24"/>
      <c r="F815" s="7">
        <f ca="1">IF(ISERROR(F800),"",VLOOKUP(E800,INDIRECT($F$8),6+(O815-1)*3,0))</f>
        <v>1</v>
      </c>
      <c r="G815" s="25" t="str">
        <f ca="1">IF(ISERROR(F800),"",_xlfn.TEXTJOIN("/",FALSE,P815,S815))</f>
        <v>25/25</v>
      </c>
      <c r="H815" s="25"/>
      <c r="I815" s="25" t="str">
        <f ca="1">IF(ISERROR(F800),"",_xlfn.TEXTJOIN("/",FALSE,Q815,T815))</f>
        <v>25/25</v>
      </c>
      <c r="J815" s="25"/>
      <c r="K815" s="25" t="str">
        <f ca="1">IF(ISERROR(F800),"",_xlfn.TEXTJOIN("/",FALSE,R815,U815))</f>
        <v>50/50</v>
      </c>
      <c r="L815" s="25"/>
      <c r="M815" s="7" t="str">
        <f ca="1">IF(ISERROR(F800)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O</v>
      </c>
      <c r="N815" s="8">
        <f t="shared" ca="1" si="73"/>
        <v>10</v>
      </c>
      <c r="O815">
        <f t="shared" ca="1" si="74"/>
        <v>12</v>
      </c>
      <c r="P815" s="1">
        <f ca="1">IF(ISERROR(F800),"",IF(ISTEXT(VLOOKUP(B800,INDIRECT($F$8),6+(O815-1)*3)),(VLOOKUP(B800,INDIRECT($F$8),6+(O815-1)*3)),SUM(VLOOKUP(B800,INDIRECT($F$8),6+(O815-1)*3),IF(W818,W815,0))))</f>
        <v>25</v>
      </c>
      <c r="Q815" s="1">
        <f ca="1">IF(ISERROR(F800),"",VLOOKUP(B800,INDIRECT($F$8),7+(O815-1)*3))</f>
        <v>25</v>
      </c>
      <c r="R815" s="1">
        <f ca="1">IF(ISERROR(F800),"",SUM(P815:Q815))</f>
        <v>50</v>
      </c>
      <c r="S815" s="1">
        <f ca="1">IF(ISERROR(F800),"",VLOOKUP(A800,INDIRECT($F$8),6+(O815-1)*3))</f>
        <v>25</v>
      </c>
      <c r="T815" s="1">
        <f ca="1">IF(ISERROR(F800),"",VLOOKUP(A800,INDIRECT($F$8),7+(O815-1)*3))</f>
        <v>25</v>
      </c>
      <c r="U815" s="1">
        <f ca="1">IF(ISERROR(F800),"",VLOOKUP(A800,INDIRECT($F$8),8+(O815-1)*3))</f>
        <v>50</v>
      </c>
      <c r="V815" s="1" t="str">
        <f ca="1">IF(ISERROR(F800),"",IF(N815=0,A815,""))</f>
        <v/>
      </c>
      <c r="W815" s="1">
        <f ca="1">IF(ISERROR(F800),"",IF(ISTEXT(VLOOKUP(B800,INDIRECT($F$8),6+(O815-1)*3)),11,IF(VLOOKUP(B800,INDIRECT($F$8),6+(O815-1)*3)&lt;S815*0.3,IF(VLOOKUP(B800,INDIRECT($F$8),8+(O815-1)*3)&lt;U815*0.4,IF(AND(0.4*U815-VLOOKUP(B800,INDIRECT($F$8),8+(O815-1)*3)&lt;=5,0.3*S815-VLOOKUP(B800,INDIRECT($F$8),6+(O815-1)*3)&lt;=5),MAX(0.4*U815-VLOOKUP(B800,INDIRECT($F$8),8+(O815-1)*3),0.3*S815-VLOOKUP(B800,INDIRECT($F$8),6+(O815-1)*3)),11),IF(0.3*S815-VLOOKUP(B800,INDIRECT($F$8),6+(O815-1)*3)&lt;=5,0.3*S815-VLOOKUP(B800,INDIRECT($F$8),6+(O815-1)*3),11)),IF(VLOOKUP(B800,INDIRECT($F$8),8+(O815-1)*3)&lt;U815*0.4,IF(U815*0.4-VLOOKUP(B800,INDIRECT($F$8),8+(O815-1)*3)&lt;=5,U815*0.4-VLOOKUP(B800,INDIRECT($F$8),8+(O815-1)*3),11),0))))</f>
        <v>0</v>
      </c>
      <c r="X815" s="1" t="str">
        <f ca="1">IF(ISERROR(F800),"",IF(W815=0,"",_xlfn.TEXTJOIN("",FALSE," G+",W815," in ",A815)))</f>
        <v/>
      </c>
    </row>
    <row r="816" spans="1:24" ht="12.5" customHeight="1" x14ac:dyDescent="0.2">
      <c r="A816" s="7" t="str">
        <f ca="1">IF(ISERROR(F800),"",VLOOKUP(C800,INDIRECT($F$8),6+(O816-1)*3,0))</f>
        <v>AHP 006</v>
      </c>
      <c r="B816" s="24" t="str">
        <f ca="1">IF(ISERROR(F800),"",VLOOKUP(D800,INDIRECT($F$8),6+(O816-1)*3,0))</f>
        <v>English Language Lab ($)</v>
      </c>
      <c r="C816" s="24"/>
      <c r="D816" s="24"/>
      <c r="E816" s="24"/>
      <c r="F816" s="7">
        <f ca="1">IF(ISERROR(F800),"",VLOOKUP(E800,INDIRECT($F$8),6+(O816-1)*3,0))</f>
        <v>0</v>
      </c>
      <c r="G816" s="25" t="str">
        <f ca="1">IF(ISERROR(F800),"",_xlfn.TEXTJOIN("/",FALSE,P816,S816))</f>
        <v>19/25</v>
      </c>
      <c r="H816" s="25"/>
      <c r="I816" s="25" t="str">
        <f ca="1">IF(ISERROR(F800),"",_xlfn.TEXTJOIN("/",FALSE,Q816,T816))</f>
        <v>43/50</v>
      </c>
      <c r="J816" s="25"/>
      <c r="K816" s="25" t="str">
        <f ca="1">IF(ISERROR(F800),"",_xlfn.TEXTJOIN("/",FALSE,R816,U816))</f>
        <v>62/75</v>
      </c>
      <c r="L816" s="25"/>
      <c r="M816" s="7" t="str">
        <f ca="1">IF(ISERROR(F800)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B+</v>
      </c>
      <c r="N816" s="8">
        <f ca="1">INDEX($Z$2:$Z$17,MATCH(M816,$Y$2:$Y$17,0))</f>
        <v>8.5</v>
      </c>
      <c r="O816">
        <f t="shared" ca="1" si="74"/>
        <v>13</v>
      </c>
      <c r="P816" s="1">
        <f ca="1">IF(ISERROR(F800),"",IF(ISTEXT(VLOOKUP(B800,INDIRECT($F$8),6+(O816-1)*3)),(VLOOKUP(B800,INDIRECT($F$8),6+(O816-1)*3)),SUM(VLOOKUP(B800,INDIRECT($F$8),6+(O816-1)*3),IF(W818,W816,0))))</f>
        <v>19</v>
      </c>
      <c r="Q816" s="1">
        <f ca="1">IF(ISERROR(F800),"",VLOOKUP(B800,INDIRECT($F$8),7+(O816-1)*3))</f>
        <v>43</v>
      </c>
      <c r="R816" s="1">
        <f ca="1">IF(ISERROR(F800),"",SUM(P816:Q816))</f>
        <v>62</v>
      </c>
      <c r="S816" s="1">
        <f ca="1">IF(ISERROR(F800),"",VLOOKUP(A800,INDIRECT($F$8),6+(O816-1)*3))</f>
        <v>25</v>
      </c>
      <c r="T816" s="1">
        <f ca="1">IF(ISERROR(F800),"",VLOOKUP(A800,INDIRECT($F$8),7+(O816-1)*3))</f>
        <v>50</v>
      </c>
      <c r="U816" s="1">
        <f ca="1">IF(ISERROR(F800),"",VLOOKUP(A800,INDIRECT($F$8),8+(O816-1)*3))</f>
        <v>75</v>
      </c>
      <c r="V816" s="1"/>
      <c r="W816" s="1">
        <f ca="1">IF(ISERROR(F800),"",IF(ISTEXT(VLOOKUP(B800,INDIRECT($F$8),6+(O816-1)*3)),11,IF(VLOOKUP(B800,INDIRECT($F$8),6+(O816-1)*3)&lt;S816*0.3,IF(VLOOKUP(B800,INDIRECT($F$8),8+(O816-1)*3)&lt;U816*0.4,IF(AND(0.4*U816-VLOOKUP(B800,INDIRECT($F$8),8+(O816-1)*3)&lt;=5,0.3*S816-VLOOKUP(B800,INDIRECT($F$8),6+(O816-1)*3)&lt;=5),MAX(0.4*U816-VLOOKUP(B800,INDIRECT($F$8),8+(O816-1)*3),0.3*S816-VLOOKUP(B800,INDIRECT($F$8),6+(O816-1)*3)),11),IF(0.3*S816-VLOOKUP(B800,INDIRECT($F$8),6+(O816-1)*3)&lt;=5,0.3*S816-VLOOKUP(B800,INDIRECT($F$8),6+(O816-1)*3),11)),IF(VLOOKUP(B800,INDIRECT($F$8),8+(O816-1)*3)&lt;U816*0.4,IF(U816*0.4-VLOOKUP(B800,INDIRECT($F$8),8+(O816-1)*3)&lt;=5,U816*0.4-VLOOKUP(B800,INDIRECT($F$8),8+(O816-1)*3),11),0))))</f>
        <v>0</v>
      </c>
      <c r="X816" s="1" t="str">
        <f ca="1">IF(ISERROR(F800),"",IF(W816=0,"",_xlfn.TEXTJOIN("",FALSE," G+",W816," in ",A816)))</f>
        <v/>
      </c>
    </row>
    <row r="817" spans="1:24" ht="12.5" customHeight="1" x14ac:dyDescent="0.2">
      <c r="A817" s="7" t="str">
        <f ca="1">IF(ISERROR(F800),"",VLOOKUP(C800,INDIRECT($F$8),6+(O817-1)*3-Y817,0))</f>
        <v>GP 01</v>
      </c>
      <c r="B817" s="24" t="str">
        <f ca="1">IF(ISERROR(F800),"",VLOOKUP(D800,INDIRECT($F$8),6+(O817-1)*3-Z817,0))</f>
        <v>General Proficiency ($)</v>
      </c>
      <c r="C817" s="24"/>
      <c r="D817" s="24"/>
      <c r="E817" s="24"/>
      <c r="F817" s="7">
        <f ca="1">IF(ISERROR(F800),"",VLOOKUP(E800,INDIRECT($F$8),6+(O817-1)*3-AA817,0))</f>
        <v>0</v>
      </c>
      <c r="G817" s="25" t="str">
        <f ca="1">IF(ISERROR(F800),"","-")</f>
        <v>-</v>
      </c>
      <c r="H817" s="25"/>
      <c r="I817" s="25" t="str">
        <f ca="1">IF(ISERROR(F800),"",_xlfn.TEXTJOIN("/",FALSE,Q817,T817))</f>
        <v>48/50</v>
      </c>
      <c r="J817" s="25"/>
      <c r="K817" s="25" t="str">
        <f ca="1">IF(ISERROR(F800),"",_xlfn.TEXTJOIN("/",FALSE,R817,U817))</f>
        <v>48/50</v>
      </c>
      <c r="L817" s="25"/>
      <c r="M817" s="25" t="str">
        <f ca="1">IF(ISBLANK(R817),"",IF(ISTEXT(R817),R817,IF(R817&gt;=0.8*U817,"Excellent",IF(R817&gt;=0.6*U817,"Very Good",IF(R817&gt;=0.4*U817,"Good",IF(R817&gt;=0.2*U817,"Satisfactory","Average"))))))</f>
        <v>Excellent</v>
      </c>
      <c r="N817" s="25"/>
      <c r="O817">
        <f t="shared" ca="1" si="74"/>
        <v>14</v>
      </c>
      <c r="P817" s="1">
        <f ca="1">IF(ISERROR(F800),"",IF(ISTEXT(VLOOKUP(B\28,INDIRECT($F$8),6+(O817-1)*3)),(VLOOKUP(B800,INDIRECT($F$8),6+(O817-1)*3)),SUM(VLOOKUP(B800,INDIRECT($F$8),6+(O817-1)*3),IF(W818,W818,0))))</f>
        <v>0</v>
      </c>
      <c r="Q817" s="1">
        <f ca="1">IF(ISERROR(F800),"",VLOOKUP(B800,INDIRECT($F$8),7+(O817-1)*3))</f>
        <v>48</v>
      </c>
      <c r="R817" s="1">
        <f ca="1">IF(ISERROR(F800),"",SUM(P817:Q817))</f>
        <v>48</v>
      </c>
      <c r="S817" s="1">
        <f ca="1">IF(ISERROR(F800),"",VLOOKUP(A800,INDIRECT($F$8),6+(O817-1)*3))</f>
        <v>0</v>
      </c>
      <c r="T817" s="1">
        <f ca="1">IF(ISERROR(F800),"",VLOOKUP(A800,INDIRECT($F$8),7+(O817-1)*3))</f>
        <v>50</v>
      </c>
      <c r="U817" s="1">
        <f ca="1">IF(ISERROR(F800),"",VLOOKUP(A800,INDIRECT($F$8),8+(O817-1)*3))</f>
        <v>50</v>
      </c>
      <c r="V817" s="1"/>
      <c r="W817" s="1"/>
      <c r="X817" s="1" t="str">
        <f ca="1">IF(ISERROR(F800),"",IF(W817=0,"",_xlfn.TEXTJOIN("",FALSE," G+",W817," in ",A817)))</f>
        <v/>
      </c>
    </row>
    <row r="818" spans="1:24" ht="12.5" customHeight="1" x14ac:dyDescent="0.2">
      <c r="A818" s="26" t="str">
        <f ca="1">IF(ISERROR(F800),"",A796)</f>
        <v>Total Credits/ Marks/ Total Grade Points</v>
      </c>
      <c r="B818" s="26"/>
      <c r="C818" s="26"/>
      <c r="D818" s="26"/>
      <c r="E818" s="26"/>
      <c r="F818" s="10">
        <f ca="1">IF(ISERROR(F800),"",SUM(F805:F816))</f>
        <v>23</v>
      </c>
      <c r="G818" s="27" t="str">
        <f ca="1">IF(ISERROR(F800),"",_xlfn.TEXTJOIN("/",TRUE,SUMIF(F805:F817,"&gt;0",P805:P817),SUMIF(F805:F817,"&gt;0",S805:S817)))</f>
        <v>367/575</v>
      </c>
      <c r="H818" s="27"/>
      <c r="I818" s="27" t="str">
        <f ca="1">IF(ISERROR(F800),"",_xlfn.TEXTJOIN("/",TRUE,SUMIF(F805:F817,"&gt;0",Q805:Q817),SUMIF(F805:F817,"&gt;0",T805:T817)))</f>
        <v>311/375</v>
      </c>
      <c r="J818" s="27"/>
      <c r="K818" s="27" t="str">
        <f ca="1">IF(ISERROR(F800),"",_xlfn.TEXTJOIN("/",TRUE,SUMIF(F805:F817,"&gt;0",R805:R817),SUMIF(F805:F817,"&gt;0",U805:U817)))</f>
        <v>678/950</v>
      </c>
      <c r="L818" s="27"/>
      <c r="M818" s="26">
        <f ca="1">IF(ISERROR(F800),"",SUMPRODUCT(N805:N816,F805:F816))</f>
        <v>166.5</v>
      </c>
      <c r="N818" s="26"/>
      <c r="V818" s="1" t="str">
        <f ca="1">IF(ISERROR(F800),"",_xlfn.TEXTJOIN(", ",TRUE,V805:V817))</f>
        <v/>
      </c>
      <c r="W818" t="b">
        <f ca="1">IF(ISERROR(F800),"",IF(SUM(W805:W817)&lt;=W804,TRUE,FALSE))</f>
        <v>1</v>
      </c>
      <c r="X818" s="1" t="str">
        <f ca="1">IF(ISERROR(F800),"",_xlfn.TEXTJOIN(",",TRUE,X805:X817))</f>
        <v/>
      </c>
    </row>
    <row r="819" spans="1:24" ht="12.5" customHeight="1" x14ac:dyDescent="0.2">
      <c r="A819" s="26" t="str">
        <f ca="1">IF(ISERROR(F800),"",A797)</f>
        <v>Result:</v>
      </c>
      <c r="B819" s="28" t="str" cm="1">
        <f t="array" aca="1" ref="B819" ca="1">IF(SUM(COUNTIF(M805:M816,{"Ab","Dt"}))=12, "Not Promoted to IInd Semester", IF(V818="", "PASS", "CARRY OVER"))</f>
        <v>PASS</v>
      </c>
      <c r="C819" s="28"/>
      <c r="D819" s="26" t="str">
        <f ca="1">IF(ISERROR(F800),"",D797)</f>
        <v>Remark:</v>
      </c>
      <c r="E819" s="28" t="str">
        <f ca="1">IF(ISERROR(F800),"",IF(V818="",IF(X818="","",X818),_xlfn.TEXTJOIN(" ",TRUE,"BACK IN",V818)))</f>
        <v/>
      </c>
      <c r="F819" s="28"/>
      <c r="G819" s="26" t="str">
        <f ca="1">IF(ISERROR(F800),"",G797)</f>
        <v>SGPA:</v>
      </c>
      <c r="H819" s="29">
        <f ca="1">IF(ISERROR(F800),"",M818/F818)</f>
        <v>7.2391304347826084</v>
      </c>
      <c r="I819" s="26" t="str">
        <f ca="1">IF(ISERROR(F800),"",I797)</f>
        <v>CGPA:</v>
      </c>
      <c r="J819" s="29">
        <f ca="1">IF(ISERROR(F800),"",VLOOKUP(B800,INDIRECT($F$8),12+(O817-1)*3,0))</f>
        <v>7.2391304347826084</v>
      </c>
      <c r="K819" s="28" t="str">
        <f ca="1">IF(ISERROR(F800),"",K797)</f>
        <v>Earned Credits:</v>
      </c>
      <c r="L819" s="26">
        <f ca="1">IF(ISERROR(F800),"",SUMIF(N805:N816,"&gt;0",F805:F816))</f>
        <v>23</v>
      </c>
      <c r="M819" s="28" t="str">
        <f ca="1">IF(ISERROR(F800),"",M797)</f>
        <v>Cuml. Earned Credits:</v>
      </c>
      <c r="N819" s="26">
        <f ca="1">IF(ISERROR(F800),"",VLOOKUP(B800,INDIRECT($F$8),10+(O817-1)*3,0))</f>
        <v>23</v>
      </c>
    </row>
    <row r="820" spans="1:24" ht="12.5" customHeight="1" x14ac:dyDescent="0.2">
      <c r="A820" s="26"/>
      <c r="B820" s="28"/>
      <c r="C820" s="28"/>
      <c r="D820" s="26"/>
      <c r="E820" s="28"/>
      <c r="F820" s="28"/>
      <c r="G820" s="26"/>
      <c r="H820" s="29"/>
      <c r="I820" s="26"/>
      <c r="J820" s="29"/>
      <c r="K820" s="28"/>
      <c r="L820" s="26"/>
      <c r="M820" s="28"/>
      <c r="N820" s="26"/>
    </row>
    <row r="821" spans="1:24" ht="12.5" customHeight="1" x14ac:dyDescent="0.2">
      <c r="A821" s="26"/>
      <c r="B821" s="28"/>
      <c r="C821" s="28"/>
      <c r="D821" s="26"/>
      <c r="E821" s="28"/>
      <c r="F821" s="28"/>
      <c r="G821" s="26"/>
      <c r="H821" s="29"/>
      <c r="I821" s="26"/>
      <c r="J821" s="29"/>
      <c r="K821" s="28"/>
      <c r="L821" s="26"/>
      <c r="M821" s="28"/>
      <c r="N821" s="26"/>
    </row>
    <row r="822" spans="1:24" ht="12.5" customHeight="1" x14ac:dyDescent="0.2">
      <c r="A822" s="11" t="str">
        <f>A800</f>
        <v>MM</v>
      </c>
      <c r="B822" s="11">
        <f>B800+1</f>
        <v>38</v>
      </c>
      <c r="C822" s="11" t="str">
        <f>C800</f>
        <v>SC</v>
      </c>
      <c r="D822" s="11" t="str">
        <f>D800</f>
        <v>SN</v>
      </c>
      <c r="E822" s="11" t="str">
        <f>E800</f>
        <v>C</v>
      </c>
      <c r="F822" s="11" t="str">
        <f ca="1">VLOOKUP(B822,INDIRECT($F$8),4,0)</f>
        <v>VINITA</v>
      </c>
    </row>
    <row r="823" spans="1:24" ht="12.5" customHeight="1" x14ac:dyDescent="0.2">
      <c r="A823" s="30" t="str">
        <f ca="1">IF(ISERROR(F822),"",A801)</f>
        <v>Name:</v>
      </c>
      <c r="B823" s="30" t="str">
        <f ca="1">IFERROR(VLOOKUP(B822,INDIRECT($F$8),4,0),"")</f>
        <v>VINITA</v>
      </c>
      <c r="C823" s="30"/>
      <c r="D823" s="30" t="str">
        <f ca="1">IF(ISERROR(F822),"",D801)</f>
        <v>Father's Name:</v>
      </c>
      <c r="E823" s="30" t="str">
        <f ca="1">IFERROR(VLOOKUP(B822,INDIRECT($F$8),5,0),"")</f>
        <v>VIJAY SINGH</v>
      </c>
      <c r="F823" s="30"/>
      <c r="G823" s="30" t="str">
        <f ca="1">IF(ISERROR(F822),"",G801)</f>
        <v>University Roll No:</v>
      </c>
      <c r="H823" s="30"/>
      <c r="I823" s="31">
        <f ca="1">IFERROR(VLOOKUP(B822,INDIRECT($F$8),2,0),"")</f>
        <v>250090120039</v>
      </c>
      <c r="J823" s="31"/>
      <c r="K823" s="30" t="str">
        <f ca="1">IF(ISERROR(F822),"",K801)</f>
        <v>University Enrol. No:</v>
      </c>
      <c r="L823" s="30"/>
      <c r="M823" s="31" t="str">
        <f ca="1">IFERROR(VLOOKUP(B822,INDIRECT($F$8),3,0),"")</f>
        <v>UTU/2501103744</v>
      </c>
      <c r="N823" s="31"/>
    </row>
    <row r="824" spans="1:24" ht="12.5" customHeight="1" x14ac:dyDescent="0.2">
      <c r="A824" s="30"/>
      <c r="B824" s="30"/>
      <c r="C824" s="30"/>
      <c r="D824" s="30"/>
      <c r="E824" s="30"/>
      <c r="F824" s="30"/>
      <c r="G824" s="30"/>
      <c r="H824" s="30"/>
      <c r="I824" s="31"/>
      <c r="J824" s="31"/>
      <c r="K824" s="30"/>
      <c r="L824" s="30"/>
      <c r="M824" s="31"/>
      <c r="N824" s="31"/>
    </row>
    <row r="825" spans="1:24" ht="12.5" customHeight="1" x14ac:dyDescent="0.2">
      <c r="A825" s="28" t="str">
        <f ca="1">IF(ISERROR(F822),"",A803)</f>
        <v>Subject Code</v>
      </c>
      <c r="B825" s="28" t="str">
        <f ca="1">IF(ISERROR(F822),"",B803)</f>
        <v>Subject Name</v>
      </c>
      <c r="C825" s="28"/>
      <c r="D825" s="28"/>
      <c r="E825" s="28"/>
      <c r="F825" s="28" t="str">
        <f ca="1">IF(ISERROR(F822),"",F803)</f>
        <v>Credits</v>
      </c>
      <c r="G825" s="28" t="str">
        <f ca="1">IF(ISERROR(F822),"",G803)</f>
        <v>External Marks</v>
      </c>
      <c r="H825" s="28"/>
      <c r="I825" s="28" t="str">
        <f ca="1">IF(ISERROR(F822),"",I803)</f>
        <v>Sessional Marks</v>
      </c>
      <c r="J825" s="28"/>
      <c r="K825" s="28" t="str">
        <f ca="1">IF(ISERROR(F822),"",K803)</f>
        <v>Total Marks</v>
      </c>
      <c r="L825" s="28"/>
      <c r="M825" s="28" t="str">
        <f ca="1">IF(ISERROR(F822),"",M803)</f>
        <v>Grade</v>
      </c>
      <c r="N825" s="28" t="str">
        <f ca="1">IF(ISERROR(F822),"",N803)</f>
        <v>Grade Points</v>
      </c>
    </row>
    <row r="826" spans="1:24" ht="12.5" customHeight="1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W826">
        <f ca="1">IF(ISNUMBER(MATCH($F$8,{"I","III","V","VII"},0)),10,10-INDEX(INDIRECT(_xlfn.TEXTJOIN("",TRUE,"SEM_",$G$8,"!",ADDRESS(6,4+$I$8*3+4),":",ADDRESS(5+$H$8,4+$I$8*3+4))),MATCH(INDIRECT(_xlfn.TEXTJOIN("",TRUE,"TC_",$F$8,"!",ADDRESS(ROW(I823),COLUMN(I823)))),INDIRECT(_xlfn.TEXTJOIN("",TRUE,"SEM_",$G$8,"!",ADDRESS(6,2),":",ADDRESS(5+$H$8,2))))))</f>
        <v>10</v>
      </c>
    </row>
    <row r="827" spans="1:24" ht="12.5" customHeight="1" x14ac:dyDescent="0.2">
      <c r="A827" s="7" t="str">
        <f ca="1">IF(ISERROR(F822),"",VLOOKUP(C822,INDIRECT($F$8),6+(O827-1)*3,0))</f>
        <v>AHT 002</v>
      </c>
      <c r="B827" s="24" t="str">
        <f ca="1">IF(ISERROR(F822),"",VLOOKUP(D822,INDIRECT($F$8),6+(O827-1)*3,0))</f>
        <v>Engineering Chemistry</v>
      </c>
      <c r="C827" s="24"/>
      <c r="D827" s="24"/>
      <c r="E827" s="24"/>
      <c r="F827" s="7">
        <f ca="1">IF(ISERROR(F822),"",VLOOKUP(E822,INDIRECT($F$8),6+(O827-1)*3,0))</f>
        <v>4</v>
      </c>
      <c r="G827" s="25" t="str">
        <f ca="1">IF(ISERROR(F822),"",_xlfn.TEXTJOIN("/",FALSE,P827,S827))</f>
        <v>43/100</v>
      </c>
      <c r="H827" s="25"/>
      <c r="I827" s="25" t="str">
        <f ca="1">IF(ISERROR(F822),"",_xlfn.TEXTJOIN("/",FALSE,Q827,T827))</f>
        <v>47/50</v>
      </c>
      <c r="J827" s="25"/>
      <c r="K827" s="25" t="str">
        <f ca="1">IF(ISERROR(F822),"",_xlfn.TEXTJOIN("/",FALSE,R827,U827))</f>
        <v>90/150</v>
      </c>
      <c r="L827" s="25"/>
      <c r="M827" s="7" t="str">
        <f ca="1">IF(ISERROR(F822),"",IF(ISTEXT(P827),IF(P827="A","Ab",IF(P827="D","Dt",IF(P827="UFM","UFM",IF(P827="NA","")))),IF(AND(ISBLANK(P827),ISBLANK(R827)),"",IF(P827&lt;0.3*S827,"F",IF(ISBLANK(R827),"",IF(ISTEXT(R827),R827,IF(R827&gt;=0.95*U827,"O",IF(R827&gt;=0.9*U827,"A+",IF(R827&gt;=0.85*U827,"A",IF(R827&gt;=0.8*U827,"B+",IF(R827&gt;=0.75*U827,"B",IF(R827&gt;=0.7*U827,"C+",IF(R827&gt;=0.65*U827,"C",IF(R827&gt;=0.6*U827,"D+",IF(R827&gt;=0.55*U827,"D",IF(R827&gt;=0.5*U827,"E+",IF(R827&gt;=0.45*U827,"E",IF(R827&gt;=0.4*U827,"P",IF(R827&lt;0.4*U827,"F",R827)))))))))))))))))))</f>
        <v>D+</v>
      </c>
      <c r="N827" s="8">
        <f ca="1">INDEX($Z$2:$Z$17,MATCH(M827,$Y$2:$Y$17,0))</f>
        <v>6.5</v>
      </c>
      <c r="O827">
        <v>1</v>
      </c>
      <c r="P827" s="1">
        <f ca="1">IF(ISERROR(F822),"",IF(ISTEXT(VLOOKUP(B822,INDIRECT($F$8),6+(O827-1)*3)),(VLOOKUP(B822,INDIRECT($F$8),6+(O827-1)*3)),SUM(VLOOKUP(B822,INDIRECT($F$8),6+(O827-1)*3),IF(W840,W827,0))))</f>
        <v>43</v>
      </c>
      <c r="Q827" s="1">
        <f ca="1">IF(ISERROR(F822),"",VLOOKUP(B822,INDIRECT($F$8),7+(O827-1)*3))</f>
        <v>47</v>
      </c>
      <c r="R827" s="1">
        <f ca="1">IF(ISERROR(F822),"",SUM(P827:Q827))</f>
        <v>90</v>
      </c>
      <c r="S827" s="1">
        <f ca="1">IF(ISERROR(F822),"",VLOOKUP(A822,INDIRECT($F$8),6+(O827-1)*3))</f>
        <v>100</v>
      </c>
      <c r="T827" s="1">
        <f ca="1">IF(ISERROR(F822),"",VLOOKUP(A822,INDIRECT($F$8),7+(O827-1)*3))</f>
        <v>50</v>
      </c>
      <c r="U827" s="1">
        <f ca="1">IF(ISERROR(F822),"",VLOOKUP(A822,INDIRECT($F$8),8+(O827-1)*3))</f>
        <v>150</v>
      </c>
      <c r="V827" s="1" t="str">
        <f ca="1">IF(ISERROR(F822),"",IF(N827=0,A827,""))</f>
        <v/>
      </c>
      <c r="W827" s="1">
        <f ca="1">IF(ISERROR(F822),"",IF(ISTEXT(VLOOKUP(B822,INDIRECT($F$8),6+(O827-1)*3)),11,IF(VLOOKUP(B822,INDIRECT($F$8),6+(O827-1)*3)&lt;S827*0.3,IF(VLOOKUP(B822,INDIRECT($F$8),8+(O827-1)*3)&lt;U827*0.4,IF(AND(0.4*U827-VLOOKUP(B822,INDIRECT($F$8),8+(O827-1)*3)&lt;=5,0.3*S827-VLOOKUP(B822,INDIRECT($F$8),6+(O827-1)*3)&lt;=5),MAX(0.4*U827-VLOOKUP(B822,INDIRECT($F$8),8+(O827-1)*3),0.3*S827-VLOOKUP(B822,INDIRECT($F$8),6+(O827-1)*3)),11),IF(0.3*S827-VLOOKUP(B822,INDIRECT($F$8),6+(O827-1)*3)&lt;=5,0.3*S827-VLOOKUP(B822,INDIRECT($F$8),6+(O827-1)*3),11)),IF(VLOOKUP(B822,INDIRECT($F$8),8+(O827-1)*3)&lt;U827*0.4,IF(U827*0.4-VLOOKUP(B822,INDIRECT($F$8),8+(O827-1)*3)&lt;=5,U827*0.4-VLOOKUP(B822,INDIRECT($F$8),8+(O827-1)*3),11),0))))</f>
        <v>0</v>
      </c>
      <c r="X827" s="1" t="str">
        <f ca="1">IF(ISERROR(F822),"",IF(W827=0,"",_xlfn.TEXTJOIN("",FALSE," G+",W827," in ",A827)))</f>
        <v/>
      </c>
    </row>
    <row r="828" spans="1:24" ht="12.5" customHeight="1" x14ac:dyDescent="0.2">
      <c r="A828" s="7" t="str">
        <f ca="1">IF(ISERROR(F822),"",VLOOKUP(C822,INDIRECT($F$8),6+(O828-1)*3,0))</f>
        <v>AHT 003</v>
      </c>
      <c r="B828" s="24" t="str">
        <f ca="1">IF(ISERROR(F822),"",VLOOKUP(D822,INDIRECT($F$8),6+(O828-1)*3,0))</f>
        <v>Introduction to Engineering Mathematics</v>
      </c>
      <c r="C828" s="24"/>
      <c r="D828" s="24"/>
      <c r="E828" s="24"/>
      <c r="F828" s="7">
        <f ca="1">IF(ISERROR(F822),"",VLOOKUP(E822,INDIRECT($F$8),6+(O828-1)*3,0))</f>
        <v>4</v>
      </c>
      <c r="G828" s="25" t="str">
        <f ca="1">IF(ISERROR(F822),"",_xlfn.TEXTJOIN("/",FALSE,P828,S828))</f>
        <v>17/100</v>
      </c>
      <c r="H828" s="25"/>
      <c r="I828" s="25" t="str">
        <f ca="1">IF(ISERROR(F822),"",_xlfn.TEXTJOIN("/",FALSE,Q828,T828))</f>
        <v>23/50</v>
      </c>
      <c r="J828" s="25"/>
      <c r="K828" s="25" t="str">
        <f ca="1">IF(ISERROR(F822),"",_xlfn.TEXTJOIN("/",FALSE,R828,U828))</f>
        <v>40/150</v>
      </c>
      <c r="L828" s="25"/>
      <c r="M828" s="7" t="str">
        <f ca="1">IF(ISERROR(F822),"",IF(ISTEXT(P828),IF(P828="A","Ab",IF(P828="D","Dt",IF(P828="UFM","UFM",IF(P828="NA","")))),IF(AND(ISBLANK(P828),ISBLANK(R828)),"",IF(P828&lt;0.3*S828,"F",IF(ISBLANK(R828),"",IF(ISTEXT(R828),R828,IF(R828&gt;=0.95*U828,"O",IF(R828&gt;=0.9*U828,"A+",IF(R828&gt;=0.85*U828,"A",IF(R828&gt;=0.8*U828,"B+",IF(R828&gt;=0.75*U828,"B",IF(R828&gt;=0.7*U828,"C+",IF(R828&gt;=0.65*U828,"C",IF(R828&gt;=0.6*U828,"D+",IF(R828&gt;=0.55*U828,"D",IF(R828&gt;=0.5*U828,"E+",IF(R828&gt;=0.45*U828,"E",IF(R828&gt;=0.4*U828,"P",IF(R828&lt;0.4*U828,"F",R828)))))))))))))))))))</f>
        <v>F</v>
      </c>
      <c r="N828" s="8">
        <f t="shared" ref="N828:N837" ca="1" si="75">INDEX($Z$2:$Z$17,MATCH(M828,$Y$2:$Y$17,0))</f>
        <v>0</v>
      </c>
      <c r="O828">
        <f>O827+1</f>
        <v>2</v>
      </c>
      <c r="P828" s="1">
        <f ca="1">IF(ISERROR(F822),"",IF(ISTEXT(VLOOKUP(B822,INDIRECT($F$8),6+(O828-1)*3)),(VLOOKUP(B822,INDIRECT($F$8),6+(O828-1)*3)),SUM(VLOOKUP(B822,INDIRECT($F$8),6+(O828-1)*3),IF(W840,W828,0))))</f>
        <v>17</v>
      </c>
      <c r="Q828" s="1">
        <f ca="1">IF(ISERROR(F822),"",VLOOKUP(B822,INDIRECT($F$8),7+(O828-1)*3))</f>
        <v>23</v>
      </c>
      <c r="R828" s="1">
        <f ca="1">IF(ISERROR(F822),"",SUM(P828:Q828))</f>
        <v>40</v>
      </c>
      <c r="S828" s="1">
        <f ca="1">IF(ISERROR(F822),"",VLOOKUP(A822,INDIRECT($F$8),6+(O828-1)*3))</f>
        <v>100</v>
      </c>
      <c r="T828" s="1">
        <f ca="1">IF(ISERROR(F822),"",VLOOKUP(A822,INDIRECT($F$8),7+(O828-1)*3))</f>
        <v>50</v>
      </c>
      <c r="U828" s="1">
        <f ca="1">IF(ISERROR(F822),"",VLOOKUP(A822,INDIRECT($F$8),8+(O828-1)*3))</f>
        <v>150</v>
      </c>
      <c r="V828" s="1" t="str">
        <f ca="1">IF(ISERROR(F822),"",IF(N828=0,A828,""))</f>
        <v>AHT 003</v>
      </c>
      <c r="W828" s="1">
        <f ca="1">IF(ISERROR(F822),"",IF(ISTEXT(VLOOKUP(B822,INDIRECT($F$8),6+(O828-1)*3)),11,IF(VLOOKUP(B822,INDIRECT($F$8),6+(O828-1)*3)&lt;S828*0.3,IF(VLOOKUP(B822,INDIRECT($F$8),8+(O828-1)*3)&lt;U828*0.4,IF(AND(0.4*U828-VLOOKUP(B822,INDIRECT($F$8),8+(O828-1)*3)&lt;=5,0.3*S828-VLOOKUP(B822,INDIRECT($F$8),6+(O828-1)*3)&lt;=5),MAX(0.4*U828-VLOOKUP(B822,INDIRECT($F$8),8+(O828-1)*3),0.3*S828-VLOOKUP(B822,INDIRECT($F$8),6+(O828-1)*3)),11),IF(0.3*S828-VLOOKUP(B822,INDIRECT($F$8),6+(O828-1)*3)&lt;=5,0.3*S828-VLOOKUP(B822,INDIRECT($F$8),6+(O828-1)*3),11)),IF(VLOOKUP(B822,INDIRECT($F$8),8+(O828-1)*3)&lt;U828*0.4,IF(U828*0.4-VLOOKUP(B822,INDIRECT($F$8),8+(O828-1)*3)&lt;=5,U828*0.4-VLOOKUP(B822,INDIRECT($F$8),8+(O828-1)*3),11),0))))</f>
        <v>11</v>
      </c>
      <c r="X828" s="1" t="str">
        <f ca="1">IF(ISERROR(F822),"",IF(W828=0,"",_xlfn.TEXTJOIN("",FALSE," G+",W828," in ",A828)))</f>
        <v xml:space="preserve"> G+11 in AHT 003</v>
      </c>
    </row>
    <row r="829" spans="1:24" ht="12.5" customHeight="1" x14ac:dyDescent="0.2">
      <c r="A829" s="7" t="str">
        <f ca="1">IF(ISERROR(F822),"",VLOOKUP(C822,INDIRECT($F$8),6+(O829-1)*3,0))</f>
        <v>ECT 001</v>
      </c>
      <c r="B829" s="24" t="str">
        <f ca="1">IF(ISERROR(F822),"",VLOOKUP(D822,INDIRECT($F$8),6+(O829-1)*3,0))</f>
        <v>Basic Electronics Engineering</v>
      </c>
      <c r="C829" s="24"/>
      <c r="D829" s="24"/>
      <c r="E829" s="24"/>
      <c r="F829" s="7">
        <f ca="1">IF(ISERROR(F822),"",VLOOKUP(E822,INDIRECT($F$8),6+(O829-1)*3,0))</f>
        <v>4</v>
      </c>
      <c r="G829" s="25" t="str">
        <f ca="1">IF(ISERROR(F822),"",_xlfn.TEXTJOIN("/",FALSE,P829,S829))</f>
        <v>49/100</v>
      </c>
      <c r="H829" s="25"/>
      <c r="I829" s="25" t="str">
        <f ca="1">IF(ISERROR(F822),"",_xlfn.TEXTJOIN("/",FALSE,Q829,T829))</f>
        <v>44/50</v>
      </c>
      <c r="J829" s="25"/>
      <c r="K829" s="25" t="str">
        <f ca="1">IF(ISERROR(F822),"",_xlfn.TEXTJOIN("/",FALSE,R829,U829))</f>
        <v>93/150</v>
      </c>
      <c r="L829" s="25"/>
      <c r="M829" s="7" t="str">
        <f ca="1">IF(ISERROR(F822),"",IF(ISTEXT(P829),IF(P829="A","Ab",IF(P829="D","Dt",IF(P829="UFM","UFM",IF(P829="NA","")))),IF(AND(ISBLANK(P829),ISBLANK(R829)),"",IF(P829&lt;0.3*S829,"F",IF(ISBLANK(R829),"",IF(ISTEXT(R829),R829,IF(R829&gt;=0.95*U829,"O",IF(R829&gt;=0.9*U829,"A+",IF(R829&gt;=0.85*U829,"A",IF(R829&gt;=0.8*U829,"B+",IF(R829&gt;=0.75*U829,"B",IF(R829&gt;=0.7*U829,"C+",IF(R829&gt;=0.65*U829,"C",IF(R829&gt;=0.6*U829,"D+",IF(R829&gt;=0.55*U829,"D",IF(R829&gt;=0.5*U829,"E+",IF(R829&gt;=0.45*U829,"E",IF(R829&gt;=0.4*U829,"P",IF(R829&lt;0.4*U829,"F",R829)))))))))))))))))))</f>
        <v>D+</v>
      </c>
      <c r="N829" s="8">
        <f t="shared" ca="1" si="75"/>
        <v>6.5</v>
      </c>
      <c r="O829">
        <f>O828+1</f>
        <v>3</v>
      </c>
      <c r="P829" s="1">
        <f ca="1">IF(ISERROR(F822),"",IF(ISTEXT(VLOOKUP(B822,INDIRECT($F$8),6+(O829-1)*3)),(VLOOKUP(B822,INDIRECT($F$8),6+(O829-1)*3)),SUM(VLOOKUP(B822,INDIRECT($F$8),6+(O829-1)*3),IF(W840,W829,0))))</f>
        <v>49</v>
      </c>
      <c r="Q829" s="1">
        <f ca="1">IF(ISERROR(F822),"",VLOOKUP(B822,INDIRECT($F$8),7+(O829-1)*3))</f>
        <v>44</v>
      </c>
      <c r="R829" s="1">
        <f ca="1">IF(ISERROR(F822),"",SUM(P829:Q829))</f>
        <v>93</v>
      </c>
      <c r="S829" s="1">
        <f ca="1">IF(ISERROR(F822),"",VLOOKUP(A822,INDIRECT($F$8),6+(O829-1)*3))</f>
        <v>100</v>
      </c>
      <c r="T829" s="1">
        <f ca="1">IF(ISERROR(F822),"",VLOOKUP(A822,INDIRECT($F$8),7+(O829-1)*3))</f>
        <v>50</v>
      </c>
      <c r="U829" s="1">
        <f ca="1">IF(ISERROR(F822),"",VLOOKUP(A822,INDIRECT($F$8),8+(O829-1)*3))</f>
        <v>150</v>
      </c>
      <c r="V829" s="1" t="str">
        <f ca="1">IF(ISERROR(F822),"",IF(N829=0,A829,""))</f>
        <v/>
      </c>
      <c r="W829" s="1">
        <f ca="1">IF(ISERROR(F822),"",IF(ISTEXT(VLOOKUP(B822,INDIRECT($F$8),6+(O829-1)*3)),11,IF(VLOOKUP(B822,INDIRECT($F$8),6+(O829-1)*3)&lt;S829*0.3,IF(VLOOKUP(B822,INDIRECT($F$8),8+(O829-1)*3)&lt;U829*0.4,IF(AND(0.4*U829-VLOOKUP(B822,INDIRECT($F$8),8+(O829-1)*3)&lt;=5,0.3*S829-VLOOKUP(B822,INDIRECT($F$8),6+(O829-1)*3)&lt;=5),MAX(0.4*U829-VLOOKUP(B822,INDIRECT($F$8),8+(O829-1)*3),0.3*S829-VLOOKUP(B822,INDIRECT($F$8),6+(O829-1)*3)),11),IF(0.3*S829-VLOOKUP(B822,INDIRECT($F$8),6+(O829-1)*3)&lt;=5,0.3*S829-VLOOKUP(B822,INDIRECT($F$8),6+(O829-1)*3),11)),IF(VLOOKUP(B822,INDIRECT($F$8),8+(O829-1)*3)&lt;U829*0.4,IF(U829*0.4-VLOOKUP(B822,INDIRECT($F$8),8+(O829-1)*3)&lt;=5,U829*0.4-VLOOKUP(B822,INDIRECT($F$8),8+(O829-1)*3),11),0))))</f>
        <v>0</v>
      </c>
      <c r="X829" s="1" t="str">
        <f ca="1">IF(ISERROR(F822),"",IF(W829=0,"",_xlfn.TEXTJOIN("",FALSE," G+",W829," in ",A829)))</f>
        <v/>
      </c>
    </row>
    <row r="830" spans="1:24" ht="12.5" customHeight="1" x14ac:dyDescent="0.2">
      <c r="A830" s="7" t="str">
        <f ca="1">IF(ISERROR(F822),"",VLOOKUP(C822,INDIRECT($F$8),6+(O830-1)*3,0))</f>
        <v>MET 001</v>
      </c>
      <c r="B830" s="24" t="str">
        <f ca="1">IF(ISERROR(F822),"",VLOOKUP(D822,INDIRECT($F$8),6+(O830-1)*3,0))</f>
        <v>Basic Mechanical Engineering</v>
      </c>
      <c r="C830" s="24"/>
      <c r="D830" s="24"/>
      <c r="E830" s="24"/>
      <c r="F830" s="7">
        <f ca="1">IF(ISERROR(F822),"",VLOOKUP(E822,INDIRECT($F$8),6+(O830-1)*3,0))</f>
        <v>4</v>
      </c>
      <c r="G830" s="25" t="str">
        <f ca="1">IF(ISERROR(F822),"",_xlfn.TEXTJOIN("/",FALSE,P830,S830))</f>
        <v>59/100</v>
      </c>
      <c r="H830" s="25"/>
      <c r="I830" s="25" t="str">
        <f ca="1">IF(ISERROR(F822),"",_xlfn.TEXTJOIN("/",FALSE,Q830,T830))</f>
        <v>43/50</v>
      </c>
      <c r="J830" s="25"/>
      <c r="K830" s="25" t="str">
        <f ca="1">IF(ISERROR(F822),"",_xlfn.TEXTJOIN("/",FALSE,R830,U830))</f>
        <v>102/150</v>
      </c>
      <c r="L830" s="25"/>
      <c r="M830" s="7" t="str">
        <f ca="1">IF(ISERROR(F822),"",IF(ISTEXT(P830),IF(P830="A","Ab",IF(P830="D","Dt",IF(P830="UFM","UFM",IF(P830="NA","")))),IF(AND(ISBLANK(P830),ISBLANK(R830)),"",IF(P830&lt;0.3*S830,"F",IF(ISBLANK(R830),"",IF(ISTEXT(R830),R830,IF(R830&gt;=0.95*U830,"O",IF(R830&gt;=0.9*U830,"A+",IF(R830&gt;=0.85*U830,"A",IF(R830&gt;=0.8*U830,"B+",IF(R830&gt;=0.75*U830,"B",IF(R830&gt;=0.7*U830,"C+",IF(R830&gt;=0.65*U830,"C",IF(R830&gt;=0.6*U830,"D+",IF(R830&gt;=0.55*U830,"D",IF(R830&gt;=0.5*U830,"E+",IF(R830&gt;=0.45*U830,"E",IF(R830&gt;=0.4*U830,"P",IF(R830&lt;0.4*U830,"F",R830)))))))))))))))))))</f>
        <v>C</v>
      </c>
      <c r="N830" s="8">
        <f t="shared" ca="1" si="75"/>
        <v>7</v>
      </c>
      <c r="O830">
        <f>O829+1</f>
        <v>4</v>
      </c>
      <c r="P830" s="1">
        <f ca="1">IF(ISERROR(F822),"",IF(ISTEXT(VLOOKUP(B822,INDIRECT($F$8),6+(O830-1)*3)),(VLOOKUP(B822,INDIRECT($F$8),6+(O830-1)*3)),SUM(VLOOKUP(B822,INDIRECT($F$8),6+(O830-1)*3),IF(W840,W830,0))))</f>
        <v>59</v>
      </c>
      <c r="Q830" s="1">
        <f ca="1">IF(ISERROR(F822),"",VLOOKUP(B822,INDIRECT($F$8),7+(O830-1)*3))</f>
        <v>43</v>
      </c>
      <c r="R830" s="1">
        <f ca="1">IF(ISERROR(F822),"",SUM(P830:Q830))</f>
        <v>102</v>
      </c>
      <c r="S830" s="1">
        <f ca="1">IF(ISERROR(F822),"",VLOOKUP(A822,INDIRECT($F$8),6+(O830-1)*3))</f>
        <v>100</v>
      </c>
      <c r="T830" s="1">
        <f ca="1">IF(ISERROR(F822),"",VLOOKUP(A822,INDIRECT($F$8),7+(O830-1)*3))</f>
        <v>50</v>
      </c>
      <c r="U830" s="1">
        <f ca="1">IF(ISERROR(F822),"",VLOOKUP(A822,INDIRECT($F$8),8+(O830-1)*3))</f>
        <v>150</v>
      </c>
      <c r="V830" s="1" t="str">
        <f ca="1">IF(ISERROR(F822),"",IF(N830=0,A830,""))</f>
        <v/>
      </c>
      <c r="W830" s="1">
        <f ca="1">IF(ISERROR(F822),"",IF(ISTEXT(VLOOKUP(B822,INDIRECT($F$8),6+(O830-1)*3)),11,IF(VLOOKUP(B822,INDIRECT($F$8),6+(O830-1)*3)&lt;S830*0.3,IF(VLOOKUP(B822,INDIRECT($F$8),8+(O830-1)*3)&lt;U830*0.4,IF(AND(0.4*U830-VLOOKUP(B822,INDIRECT($F$8),8+(O830-1)*3)&lt;=5,0.3*S830-VLOOKUP(B822,INDIRECT($F$8),6+(O830-1)*3)&lt;=5),MAX(0.4*U830-VLOOKUP(B822,INDIRECT($F$8),8+(O830-1)*3),0.3*S830-VLOOKUP(B822,INDIRECT($F$8),6+(O830-1)*3)),11),IF(0.3*S830-VLOOKUP(B822,INDIRECT($F$8),6+(O830-1)*3)&lt;=5,0.3*S830-VLOOKUP(B822,INDIRECT($F$8),6+(O830-1)*3),11)),IF(VLOOKUP(B822,INDIRECT($F$8),8+(O830-1)*3)&lt;U830*0.4,IF(U830*0.4-VLOOKUP(B822,INDIRECT($F$8),8+(O830-1)*3)&lt;=5,U830*0.4-VLOOKUP(B822,INDIRECT($F$8),8+(O830-1)*3),11),0))))</f>
        <v>0</v>
      </c>
      <c r="X830" s="1" t="str">
        <f ca="1">IF(ISERROR(F822),"",IF(W830=0,"",_xlfn.TEXTJOIN("",FALSE," G+",W830," in ",A830)))</f>
        <v/>
      </c>
    </row>
    <row r="831" spans="1:24" ht="12.5" customHeight="1" x14ac:dyDescent="0.2">
      <c r="A831" s="7" t="str">
        <f ca="1">IF(ISERROR(F822),"",VLOOKUP(C822,INDIRECT($F$8),6+(O831-1)*3,0))</f>
        <v>AHT 000</v>
      </c>
      <c r="B831" s="24" t="str">
        <f ca="1">IF(ISERROR(F822),"",VLOOKUP(D822,INDIRECT($F$8),6+(O831-1)*3,0))</f>
        <v>Basic Mathematics (Bridge Course) ($)</v>
      </c>
      <c r="C831" s="24"/>
      <c r="D831" s="24"/>
      <c r="E831" s="24"/>
      <c r="F831" s="7">
        <f ca="1">IF(ISERROR(F822),"",VLOOKUP(E822,INDIRECT($F$8),6+(O831-1)*3,0))</f>
        <v>0</v>
      </c>
      <c r="G831" s="25" t="str">
        <f ca="1">IF(ISERROR(F822),"",_xlfn.TEXTJOIN("/",FALSE,P831,S831))</f>
        <v>74/100</v>
      </c>
      <c r="H831" s="25"/>
      <c r="I831" s="25" t="str">
        <f ca="1">IF(ISERROR(F822),"",_xlfn.TEXTJOIN("/",FALSE,Q831,T831))</f>
        <v>39/50</v>
      </c>
      <c r="J831" s="25"/>
      <c r="K831" s="25" t="str">
        <f ca="1">IF(ISERROR(F822),"",_xlfn.TEXTJOIN("/",FALSE,R831,U831))</f>
        <v>113/150</v>
      </c>
      <c r="L831" s="25"/>
      <c r="M831" s="7" t="str">
        <f ca="1">IF(ISERROR(F822),"",IF(ISTEXT(P831),IF(P831="A","Ab",IF(P831="D","Dt",IF(P831="UFM","UFM",IF(P831="NA","")))),IF(AND(ISBLANK(P831),ISBLANK(R831)),"",IF(P831&lt;0.3*S831,"F",IF(ISBLANK(R831),"",IF(ISTEXT(R831),R831,IF(R831&gt;=0.95*U831,"O",IF(R831&gt;=0.9*U831,"A+",IF(R831&gt;=0.85*U831,"A",IF(R831&gt;=0.8*U831,"B+",IF(R831&gt;=0.75*U831,"B",IF(R831&gt;=0.7*U831,"C+",IF(R831&gt;=0.65*U831,"C",IF(R831&gt;=0.6*U831,"D+",IF(R831&gt;=0.55*U831,"D",IF(R831&gt;=0.5*U831,"E+",IF(R831&gt;=0.45*U831,"E",IF(R831&gt;=0.4*U831,"P",IF(R831&lt;0.4*U831,"F",R831)))))))))))))))))))</f>
        <v>B</v>
      </c>
      <c r="N831" s="8">
        <f t="shared" ca="1" si="75"/>
        <v>8</v>
      </c>
      <c r="O831">
        <f>IF(ISERROR(MATCH(B822,{4,10,13,27},0)),O830+1,O830+2)</f>
        <v>5</v>
      </c>
      <c r="P831" s="1">
        <f ca="1">IF(ISERROR(F822),"",IF(ISTEXT(VLOOKUP(B822,INDIRECT($F$8),6+(O831-1)*3)),(VLOOKUP(B822,INDIRECT($F$8),6+(O831-1)*3)),SUM(VLOOKUP(B822,INDIRECT($F$8),6+(O831-1)*3),IF(W840,W831,0))))</f>
        <v>74</v>
      </c>
      <c r="Q831" s="1">
        <f ca="1">IF(ISERROR(F822),"",VLOOKUP(B822,INDIRECT($F$8),7+(O831-1)*3))</f>
        <v>39</v>
      </c>
      <c r="R831" s="1">
        <f ca="1">IF(ISERROR(F822),"",SUM(P831:Q831))</f>
        <v>113</v>
      </c>
      <c r="S831" s="1">
        <f ca="1">IF(ISERROR(F822),"",VLOOKUP(A822,INDIRECT($F$8),6+(O831-1)*3))</f>
        <v>100</v>
      </c>
      <c r="T831" s="1">
        <f ca="1">IF(ISERROR(F822),"",VLOOKUP(A822,INDIRECT($F$8),7+(O831-1)*3))</f>
        <v>50</v>
      </c>
      <c r="U831" s="1">
        <f ca="1">IF(ISERROR(F822),"",VLOOKUP(A822,INDIRECT($F$8),8+(O831-1)*3))</f>
        <v>150</v>
      </c>
      <c r="V831" s="1" t="str">
        <f ca="1">IF(ISERROR(F822),"",IF(N831=0,A831,""))</f>
        <v/>
      </c>
      <c r="W831" s="1">
        <f ca="1">IF(ISERROR(F822),"",IF(ISTEXT(VLOOKUP(B822,INDIRECT($F$8),6+(O831-1)*3)),11,IF(VLOOKUP(B822,INDIRECT($F$8),6+(O831-1)*3)&lt;S831*0.3,IF(VLOOKUP(B822,INDIRECT($F$8),8+(O831-1)*3)&lt;U831*0.4,IF(AND(0.4*U831-VLOOKUP(B822,INDIRECT($F$8),8+(O831-1)*3)&lt;=5,0.3*S831-VLOOKUP(B822,INDIRECT($F$8),6+(O831-1)*3)&lt;=5),MAX(0.4*U831-VLOOKUP(B822,INDIRECT($F$8),8+(O831-1)*3),0.3*S831-VLOOKUP(B822,INDIRECT($F$8),6+(O831-1)*3)),11),IF(0.3*S831-VLOOKUP(B822,INDIRECT($F$8),6+(O831-1)*3)&lt;=5,0.3*S831-VLOOKUP(B822,INDIRECT($F$8),6+(O831-1)*3),11)),IF(VLOOKUP(B822,INDIRECT($F$8),8+(O831-1)*3)&lt;U831*0.4,IF(U831*0.4-VLOOKUP(B822,INDIRECT($F$8),8+(O831-1)*3)&lt;=5,U831*0.4-VLOOKUP(B822,INDIRECT($F$8),8+(O831-1)*3),11),0))))</f>
        <v>0</v>
      </c>
      <c r="X831" s="1" t="str">
        <f ca="1">IF(ISERROR(F822),"",IF(W831=0,"",_xlfn.TEXTJOIN("",FALSE," G+",W831," in ",A831)))</f>
        <v/>
      </c>
    </row>
    <row r="832" spans="1:24" ht="12.5" customHeight="1" x14ac:dyDescent="0.2">
      <c r="A832" s="7" t="str">
        <f ca="1">IF(ISERROR(F822),"",VLOOKUP(C822,INDIRECT($F$8),6+(O832-1)*3,0))</f>
        <v>AHP 002</v>
      </c>
      <c r="B832" s="24" t="str">
        <f ca="1">IF(ISERROR(F822),"",VLOOKUP(D822,INDIRECT($F$8),6+(O832-1)*3,0))</f>
        <v>Engineering Chemistry Lab</v>
      </c>
      <c r="C832" s="24"/>
      <c r="D832" s="24"/>
      <c r="E832" s="24"/>
      <c r="F832" s="7">
        <f ca="1">IF(ISERROR(F822),"",VLOOKUP(E822,INDIRECT($F$8),6+(O832-1)*3,0))</f>
        <v>1</v>
      </c>
      <c r="G832" s="25" t="str">
        <f ca="1">IF(ISERROR(F822),"",_xlfn.TEXTJOIN("/",FALSE,P832,S832))</f>
        <v>24/25</v>
      </c>
      <c r="H832" s="25"/>
      <c r="I832" s="25" t="str">
        <f ca="1">IF(ISERROR(F822),"",_xlfn.TEXTJOIN("/",FALSE,Q832,T832))</f>
        <v>25/25</v>
      </c>
      <c r="J832" s="25"/>
      <c r="K832" s="25" t="str">
        <f ca="1">IF(ISERROR(F822),"",_xlfn.TEXTJOIN("/",FALSE,R832,U832))</f>
        <v>49/50</v>
      </c>
      <c r="L832" s="25"/>
      <c r="M832" s="7" t="str">
        <f ca="1">IF(ISERROR(F822)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O</v>
      </c>
      <c r="N832" s="8">
        <f t="shared" ca="1" si="75"/>
        <v>10</v>
      </c>
      <c r="O832">
        <f>IF(ISERROR(MATCH(B822,{4,10,13,27},0)),O831+2,O831+1)</f>
        <v>7</v>
      </c>
      <c r="P832" s="1">
        <f ca="1">IF(ISERROR(F822),"",IF(ISTEXT(VLOOKUP(B822,INDIRECT($F$8),6+(O832-1)*3)),(VLOOKUP(B822,INDIRECT($F$8),6+(O832-1)*3)),SUM(VLOOKUP(B822,INDIRECT($F$8),6+(O832-1)*3),IF(W840,W832,0))))</f>
        <v>24</v>
      </c>
      <c r="Q832" s="1">
        <f ca="1">IF(ISERROR(F822),"",VLOOKUP(B822,INDIRECT($F$8),7+(O832-1)*3))</f>
        <v>25</v>
      </c>
      <c r="R832" s="1">
        <f ca="1">IF(ISERROR(F822),"",SUM(P832:Q832))</f>
        <v>49</v>
      </c>
      <c r="S832" s="1">
        <f ca="1">IF(ISERROR(F822),"",VLOOKUP(A822,INDIRECT($F$8),6+(O832-1)*3))</f>
        <v>25</v>
      </c>
      <c r="T832" s="1">
        <f ca="1">IF(ISERROR(F822),"",VLOOKUP(A822,INDIRECT($F$8),7+(O832-1)*3))</f>
        <v>25</v>
      </c>
      <c r="U832" s="1">
        <f ca="1">IF(ISERROR(F822),"",VLOOKUP(A822,INDIRECT($F$8),8+(O832-1)*3))</f>
        <v>50</v>
      </c>
      <c r="V832" s="1" t="str">
        <f ca="1">IF(ISERROR(F822),"",IF(N832=0,A832,""))</f>
        <v/>
      </c>
      <c r="W832" s="1">
        <f ca="1">IF(ISERROR(F822),"",IF(ISTEXT(VLOOKUP(B822,INDIRECT($F$8),6+(O832-1)*3)),11,IF(VLOOKUP(B822,INDIRECT($F$8),6+(O832-1)*3)&lt;S832*0.3,IF(VLOOKUP(B822,INDIRECT($F$8),8+(O832-1)*3)&lt;U832*0.4,IF(AND(0.4*U832-VLOOKUP(B822,INDIRECT($F$8),8+(O832-1)*3)&lt;=5,0.3*S832-VLOOKUP(B822,INDIRECT($F$8),6+(O832-1)*3)&lt;=5),MAX(0.4*U832-VLOOKUP(B822,INDIRECT($F$8),8+(O832-1)*3),0.3*S832-VLOOKUP(B822,INDIRECT($F$8),6+(O832-1)*3)),11),IF(0.3*S832-VLOOKUP(B822,INDIRECT($F$8),6+(O832-1)*3)&lt;=5,0.3*S832-VLOOKUP(B822,INDIRECT($F$8),6+(O832-1)*3),11)),IF(VLOOKUP(B822,INDIRECT($F$8),8+(O832-1)*3)&lt;U832*0.4,IF(U832*0.4-VLOOKUP(B822,INDIRECT($F$8),8+(O832-1)*3)&lt;=5,U832*0.4-VLOOKUP(B822,INDIRECT($F$8),8+(O832-1)*3),11),0))))</f>
        <v>0</v>
      </c>
      <c r="X832" s="1" t="str">
        <f ca="1">IF(ISERROR(F822),"",IF(W832=0,"",_xlfn.TEXTJOIN("",FALSE," G+",W832," in ",A832)))</f>
        <v/>
      </c>
    </row>
    <row r="833" spans="1:24" ht="12.5" customHeight="1" x14ac:dyDescent="0.2">
      <c r="A833" s="7" t="str">
        <f ca="1">IF(ISERROR(F822),"",VLOOKUP(C822,INDIRECT($F$8),6+(O833-1)*3,0))</f>
        <v>ECP 001</v>
      </c>
      <c r="B833" s="24" t="str">
        <f ca="1">IF(ISERROR(F822),"",VLOOKUP(D822,INDIRECT($F$8),6+(O833-1)*3,0))</f>
        <v>Basic Electronics Engineering Lab</v>
      </c>
      <c r="C833" s="24"/>
      <c r="D833" s="24"/>
      <c r="E833" s="24"/>
      <c r="F833" s="7">
        <f ca="1">IF(ISERROR(F822),"",VLOOKUP(E822,INDIRECT($F$8),6+(O833-1)*3,0))</f>
        <v>1</v>
      </c>
      <c r="G833" s="25" t="str">
        <f ca="1">IF(ISERROR(F822),"",_xlfn.TEXTJOIN("/",FALSE,P833,S833))</f>
        <v>21/25</v>
      </c>
      <c r="H833" s="25"/>
      <c r="I833" s="25" t="str">
        <f ca="1">IF(ISERROR(F822),"",_xlfn.TEXTJOIN("/",FALSE,Q833,T833))</f>
        <v>23/25</v>
      </c>
      <c r="J833" s="25"/>
      <c r="K833" s="25" t="str">
        <f ca="1">IF(ISERROR(F822),"",_xlfn.TEXTJOIN("/",FALSE,R833,U833))</f>
        <v>44/50</v>
      </c>
      <c r="L833" s="25"/>
      <c r="M833" s="7" t="str">
        <f ca="1">IF(ISERROR(F822)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A</v>
      </c>
      <c r="N833" s="8">
        <f t="shared" ca="1" si="75"/>
        <v>9</v>
      </c>
      <c r="O833">
        <f t="shared" ref="O833:O839" si="76">O832+1</f>
        <v>8</v>
      </c>
      <c r="P833" s="1">
        <f ca="1">IF(ISERROR(F822),"",IF(ISTEXT(VLOOKUP(B822,INDIRECT($F$8),6+(O833-1)*3)),(VLOOKUP(B822,INDIRECT($F$8),6+(O833-1)*3)),SUM(VLOOKUP(B822,INDIRECT($F$8),6+(O833-1)*3),IF(W840,W833,0))))</f>
        <v>21</v>
      </c>
      <c r="Q833" s="1">
        <f ca="1">IF(ISERROR(F822),"",VLOOKUP(B822,INDIRECT($F$8),7+(O833-1)*3))</f>
        <v>23</v>
      </c>
      <c r="R833" s="1">
        <f ca="1">IF(ISERROR(F822),"",SUM(P833:Q833))</f>
        <v>44</v>
      </c>
      <c r="S833" s="1">
        <f ca="1">IF(ISERROR(F822),"",VLOOKUP(A822,INDIRECT($F$8),6+(O833-1)*3))</f>
        <v>25</v>
      </c>
      <c r="T833" s="1">
        <f ca="1">IF(ISERROR(F822),"",VLOOKUP(A822,INDIRECT($F$8),7+(O833-1)*3))</f>
        <v>25</v>
      </c>
      <c r="U833" s="1">
        <f ca="1">IF(ISERROR(F822),"",VLOOKUP(A822,INDIRECT($F$8),8+(O833-1)*3))</f>
        <v>50</v>
      </c>
      <c r="V833" s="1" t="str">
        <f ca="1">IF(ISERROR(F822),"",IF(N833=0,A833,""))</f>
        <v/>
      </c>
      <c r="W833" s="1">
        <f ca="1">IF(ISERROR(F822),"",IF(ISTEXT(VLOOKUP(B822,INDIRECT($F$8),6+(O833-1)*3)),11,IF(VLOOKUP(B822,INDIRECT($F$8),6+(O833-1)*3)&lt;S833*0.3,IF(VLOOKUP(B822,INDIRECT($F$8),8+(O833-1)*3)&lt;U833*0.4,IF(AND(0.4*U833-VLOOKUP(B822,INDIRECT($F$8),8+(O833-1)*3)&lt;=5,0.3*S833-VLOOKUP(B822,INDIRECT($F$8),6+(O833-1)*3)&lt;=5),MAX(0.4*U833-VLOOKUP(B822,INDIRECT($F$8),8+(O833-1)*3),0.3*S833-VLOOKUP(B822,INDIRECT($F$8),6+(O833-1)*3)),11),IF(0.3*S833-VLOOKUP(B822,INDIRECT($F$8),6+(O833-1)*3)&lt;=5,0.3*S833-VLOOKUP(B822,INDIRECT($F$8),6+(O833-1)*3),11)),IF(VLOOKUP(B822,INDIRECT($F$8),8+(O833-1)*3)&lt;U833*0.4,IF(U833*0.4-VLOOKUP(B822,INDIRECT($F$8),8+(O833-1)*3)&lt;=5,U833*0.4-VLOOKUP(B822,INDIRECT($F$8),8+(O833-1)*3),11),0))))</f>
        <v>0</v>
      </c>
      <c r="X833" s="1" t="str">
        <f ca="1">IF(ISERROR(F822),"",IF(W833=0,"",_xlfn.TEXTJOIN("",FALSE," G+",W833," in ",A833)))</f>
        <v/>
      </c>
    </row>
    <row r="834" spans="1:24" ht="12.5" customHeight="1" x14ac:dyDescent="0.2">
      <c r="A834" s="7" t="str">
        <f ca="1">IF(ISERROR(F822),"",VLOOKUP(C822,INDIRECT($F$8),6+(O834-1)*3,0))</f>
        <v>MEP 001</v>
      </c>
      <c r="B834" s="24" t="str">
        <f ca="1">IF(ISERROR(F822),"",VLOOKUP(D822,INDIRECT($F$8),6+(O834-1)*3,0))</f>
        <v>Basic Mechanical Engineering Lab</v>
      </c>
      <c r="C834" s="24"/>
      <c r="D834" s="24"/>
      <c r="E834" s="24"/>
      <c r="F834" s="7">
        <f ca="1">IF(ISERROR(F822),"",VLOOKUP(E822,INDIRECT($F$8),6+(O834-1)*3,0))</f>
        <v>1</v>
      </c>
      <c r="G834" s="25" t="str">
        <f ca="1">IF(ISERROR(F822),"",_xlfn.TEXTJOIN("/",FALSE,P834,S834))</f>
        <v>23/25</v>
      </c>
      <c r="H834" s="25"/>
      <c r="I834" s="25" t="str">
        <f ca="1">IF(ISERROR(F822),"",_xlfn.TEXTJOIN("/",FALSE,Q834,T834))</f>
        <v>24/25</v>
      </c>
      <c r="J834" s="25"/>
      <c r="K834" s="25" t="str">
        <f ca="1">IF(ISERROR(F822),"",_xlfn.TEXTJOIN("/",FALSE,R834,U834))</f>
        <v>47/50</v>
      </c>
      <c r="L834" s="25"/>
      <c r="M834" s="7" t="str">
        <f ca="1">IF(ISERROR(F822)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A+</v>
      </c>
      <c r="N834" s="8">
        <f t="shared" ca="1" si="75"/>
        <v>9.5</v>
      </c>
      <c r="O834">
        <f t="shared" si="76"/>
        <v>9</v>
      </c>
      <c r="P834" s="1">
        <f ca="1">IF(ISERROR(F822),"",IF(ISTEXT(VLOOKUP(B822,INDIRECT($F$8),6+(O834-1)*3)),(VLOOKUP(B822,INDIRECT($F$8),6+(O834-1)*3)),SUM(VLOOKUP(B822,INDIRECT($F$8),6+(O834-1)*3),IF(W840,W834,0))))</f>
        <v>23</v>
      </c>
      <c r="Q834" s="1">
        <f ca="1">IF(ISERROR(F822),"",VLOOKUP(B822,INDIRECT($F$8),7+(O834-1)*3))</f>
        <v>24</v>
      </c>
      <c r="R834" s="1">
        <f ca="1">IF(ISERROR(F822),"",SUM(P834:Q834))</f>
        <v>47</v>
      </c>
      <c r="S834" s="1">
        <f ca="1">IF(ISERROR(F822),"",VLOOKUP(A822,INDIRECT($F$8),6+(O834-1)*3))</f>
        <v>25</v>
      </c>
      <c r="T834" s="1">
        <f ca="1">IF(ISERROR(F822),"",VLOOKUP(A822,INDIRECT($F$8),7+(O834-1)*3))</f>
        <v>25</v>
      </c>
      <c r="U834" s="1">
        <f ca="1">IF(ISERROR(F822),"",VLOOKUP(A822,INDIRECT($F$8),8+(O834-1)*3))</f>
        <v>50</v>
      </c>
      <c r="V834" s="1" t="str">
        <f ca="1">IF(ISERROR(F822),"",IF(N834=0,A834,""))</f>
        <v/>
      </c>
      <c r="W834" s="1">
        <f ca="1">IF(ISERROR(F822),"",IF(ISTEXT(VLOOKUP(B822,INDIRECT($F$8),6+(O834-1)*3)),11,IF(VLOOKUP(B822,INDIRECT($F$8),6+(O834-1)*3)&lt;S834*0.3,IF(VLOOKUP(B822,INDIRECT($F$8),8+(O834-1)*3)&lt;U834*0.4,IF(AND(0.4*U834-VLOOKUP(B822,INDIRECT($F$8),8+(O834-1)*3)&lt;=5,0.3*S834-VLOOKUP(B822,INDIRECT($F$8),6+(O834-1)*3)&lt;=5),MAX(0.4*U834-VLOOKUP(B822,INDIRECT($F$8),8+(O834-1)*3),0.3*S834-VLOOKUP(B822,INDIRECT($F$8),6+(O834-1)*3)),11),IF(0.3*S834-VLOOKUP(B822,INDIRECT($F$8),6+(O834-1)*3)&lt;=5,0.3*S834-VLOOKUP(B822,INDIRECT($F$8),6+(O834-1)*3),11)),IF(VLOOKUP(B822,INDIRECT($F$8),8+(O834-1)*3)&lt;U834*0.4,IF(U834*0.4-VLOOKUP(B822,INDIRECT($F$8),8+(O834-1)*3)&lt;=5,U834*0.4-VLOOKUP(B822,INDIRECT($F$8),8+(O834-1)*3),11),0))))</f>
        <v>0</v>
      </c>
      <c r="X834" s="1" t="str">
        <f ca="1">IF(ISERROR(F822),"",IF(W834=0,"",_xlfn.TEXTJOIN("",FALSE," G+",W834," in ",A834)))</f>
        <v/>
      </c>
    </row>
    <row r="835" spans="1:24" ht="12.5" customHeight="1" x14ac:dyDescent="0.2">
      <c r="A835" s="7" t="str">
        <f ca="1">IF(ISERROR(F822),"",VLOOKUP(C822,INDIRECT($F$8),6+(O835-1)*3,0))</f>
        <v>MEP 003</v>
      </c>
      <c r="B835" s="24" t="str">
        <f ca="1">IF(ISERROR(F822),"",VLOOKUP(D822,INDIRECT($F$8),6+(O835-1)*3-Z835,0))</f>
        <v>Workshop Practices Lab</v>
      </c>
      <c r="C835" s="24"/>
      <c r="D835" s="24"/>
      <c r="E835" s="24"/>
      <c r="F835" s="7">
        <f ca="1">IF(ISERROR(F822),"",VLOOKUP(E822,INDIRECT($F$8),6+(O835-1)*3,0))</f>
        <v>2</v>
      </c>
      <c r="G835" s="25" t="str">
        <f ca="1">IF(ISERROR(F822),"",_xlfn.TEXTJOIN("/",FALSE,P835,S835))</f>
        <v>47/50</v>
      </c>
      <c r="H835" s="25"/>
      <c r="I835" s="25" t="str">
        <f ca="1">IF(ISERROR(F822),"",_xlfn.TEXTJOIN("/",FALSE,Q835,T835))</f>
        <v>46/50</v>
      </c>
      <c r="J835" s="25"/>
      <c r="K835" s="25" t="str">
        <f ca="1">IF(ISERROR(F822),"",_xlfn.TEXTJOIN("/",FALSE,R835,U835))</f>
        <v>93/100</v>
      </c>
      <c r="L835" s="25"/>
      <c r="M835" s="7" t="str">
        <f ca="1">IF(ISERROR(F822)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A+</v>
      </c>
      <c r="N835" s="8">
        <f t="shared" ca="1" si="75"/>
        <v>9.5</v>
      </c>
      <c r="O835">
        <f t="shared" si="76"/>
        <v>10</v>
      </c>
      <c r="P835" s="1">
        <f ca="1">IF(ISERROR(F822),"",IF(ISTEXT(VLOOKUP(B822,INDIRECT($F$8),6+(O835-1)*3)),(VLOOKUP(B822,INDIRECT($F$8),6+(O835-1)*3)),SUM(VLOOKUP(B822,INDIRECT($F$8),6+(O835-1)*3),IF(W840,W835,0))))</f>
        <v>47</v>
      </c>
      <c r="Q835" s="1">
        <f ca="1">IF(ISERROR(F822),"",VLOOKUP(B822,INDIRECT($F$8),7+(O835-1)*3))</f>
        <v>46</v>
      </c>
      <c r="R835" s="1">
        <f ca="1">IF(ISERROR(F822),"",SUM(P835:Q835))</f>
        <v>93</v>
      </c>
      <c r="S835" s="1">
        <f ca="1">IF(ISERROR(F822),"",VLOOKUP(A822,INDIRECT($F$8),6+(O835-1)*3))</f>
        <v>50</v>
      </c>
      <c r="T835" s="1">
        <f ca="1">IF(ISERROR(F822),"",VLOOKUP(A822,INDIRECT($F$8),7+(O835-1)*3))</f>
        <v>50</v>
      </c>
      <c r="U835" s="1">
        <f ca="1">IF(ISERROR(F822),"",VLOOKUP(A822,INDIRECT($F$8),8+(O835-1)*3))</f>
        <v>100</v>
      </c>
      <c r="V835" s="1" t="str">
        <f ca="1">IF(ISERROR(F822),"",IF(N835=0,A835,""))</f>
        <v/>
      </c>
      <c r="W835" s="1">
        <f ca="1">IF(ISERROR(F822),"",IF(ISTEXT(VLOOKUP(B822,INDIRECT($F$8),6+(O835-1)*3)),11,IF(VLOOKUP(B822,INDIRECT($F$8),6+(O835-1)*3)&lt;S835*0.3,IF(VLOOKUP(B822,INDIRECT($F$8),8+(O835-1)*3)&lt;U835*0.4,IF(AND(0.4*U835-VLOOKUP(B822,INDIRECT($F$8),8+(O835-1)*3)&lt;=5,0.3*S835-VLOOKUP(B822,INDIRECT($F$8),6+(O835-1)*3)&lt;=5),MAX(0.4*U835-VLOOKUP(B822,INDIRECT($F$8),8+(O835-1)*3),0.3*S835-VLOOKUP(B822,INDIRECT($F$8),6+(O835-1)*3)),11),IF(0.3*S835-VLOOKUP(B822,INDIRECT($F$8),6+(O835-1)*3)&lt;=5,0.3*S835-VLOOKUP(B822,INDIRECT($F$8),6+(O835-1)*3),11)),IF(VLOOKUP(B822,INDIRECT($F$8),8+(O835-1)*3)&lt;U835*0.4,IF(U835*0.4-VLOOKUP(B822,INDIRECT($F$8),8+(O835-1)*3)&lt;=5,U835*0.4-VLOOKUP(B822,INDIRECT($F$8),8+(O835-1)*3),11),0))))</f>
        <v>0</v>
      </c>
      <c r="X835" s="1" t="str">
        <f ca="1">IF(ISERROR(F822),"",IF(W835=0,"",_xlfn.TEXTJOIN("",FALSE," G+",W835," in ",A835)))</f>
        <v/>
      </c>
    </row>
    <row r="836" spans="1:24" ht="12.5" customHeight="1" x14ac:dyDescent="0.2">
      <c r="A836" s="7" t="str">
        <f ca="1">IF(ISERROR(F822),"",VLOOKUP(C822,INDIRECT($F$8),6+(O836-1)*3,0))</f>
        <v>AHP 004</v>
      </c>
      <c r="B836" s="24" t="str">
        <f ca="1">IF(ISERROR(F822),"",VLOOKUP(D822,INDIRECT($F$8),6+(O836-1)*3-Z836,0))</f>
        <v>Emerging Technologies in Engineering Lab</v>
      </c>
      <c r="C836" s="24"/>
      <c r="D836" s="24"/>
      <c r="E836" s="24"/>
      <c r="F836" s="7">
        <f ca="1">IF(ISERROR(F822),"",VLOOKUP(E822,INDIRECT($F$8),6+(O836-1)*3,0))</f>
        <v>1</v>
      </c>
      <c r="G836" s="25" t="str">
        <f ca="1">IF(ISERROR(F822),"",_xlfn.TEXTJOIN("/",FALSE,P836,S836))</f>
        <v>22/25</v>
      </c>
      <c r="H836" s="25"/>
      <c r="I836" s="25" t="str">
        <f ca="1">IF(ISERROR(F822),"",_xlfn.TEXTJOIN("/",FALSE,Q836,T836))</f>
        <v>23/25</v>
      </c>
      <c r="J836" s="25"/>
      <c r="K836" s="25" t="str">
        <f ca="1">IF(ISERROR(F822),"",_xlfn.TEXTJOIN("/",FALSE,R836,U836))</f>
        <v>45/50</v>
      </c>
      <c r="L836" s="25"/>
      <c r="M836" s="7" t="str">
        <f ca="1">IF(ISERROR(F822)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A+</v>
      </c>
      <c r="N836" s="8">
        <f t="shared" ca="1" si="75"/>
        <v>9.5</v>
      </c>
      <c r="O836">
        <f t="shared" si="76"/>
        <v>11</v>
      </c>
      <c r="P836" s="1">
        <f ca="1">IF(ISERROR(F822),"",IF(ISTEXT(VLOOKUP(B822,INDIRECT($F$8),6+(O836-1)*3)),(VLOOKUP(B822,INDIRECT($F$8),6+(O836-1)*3)),SUM(VLOOKUP(B822,INDIRECT($F$8),6+(O836-1)*3),IF(W840,W836,0))))</f>
        <v>22</v>
      </c>
      <c r="Q836" s="1">
        <f ca="1">IF(ISERROR(F822),"",VLOOKUP(B822,INDIRECT($F$8),7+(O836-1)*3))</f>
        <v>23</v>
      </c>
      <c r="R836" s="1">
        <f ca="1">IF(ISERROR(F822),"",SUM(P836:Q836))</f>
        <v>45</v>
      </c>
      <c r="S836" s="1">
        <f ca="1">IF(ISERROR(F822),"",VLOOKUP(A822,INDIRECT($F$8),6+(O836-1)*3))</f>
        <v>25</v>
      </c>
      <c r="T836" s="1">
        <f ca="1">IF(ISERROR(F822),"",VLOOKUP(A822,INDIRECT($F$8),7+(O836-1)*3))</f>
        <v>25</v>
      </c>
      <c r="U836" s="1">
        <f ca="1">IF(ISERROR(F822),"",VLOOKUP(A822,INDIRECT($F$8),8+(O836-1)*3))</f>
        <v>50</v>
      </c>
      <c r="V836" s="1" t="str">
        <f ca="1">IF(ISERROR(F822),"",IF(N836=0,A836,""))</f>
        <v/>
      </c>
      <c r="W836" s="1">
        <f ca="1">IF(ISERROR(F822),"",IF(ISTEXT(VLOOKUP(B822,INDIRECT($F$8),6+(O836-1)*3)),11,IF(VLOOKUP(B822,INDIRECT($F$8),6+(O836-1)*3)&lt;S836*0.3,IF(VLOOKUP(B822,INDIRECT($F$8),8+(O836-1)*3)&lt;U836*0.4,IF(AND(0.4*U836-VLOOKUP(B822,INDIRECT($F$8),8+(O836-1)*3)&lt;=5,0.3*S836-VLOOKUP(B822,INDIRECT($F$8),6+(O836-1)*3)&lt;=5),MAX(0.4*U836-VLOOKUP(B822,INDIRECT($F$8),8+(O836-1)*3),0.3*S836-VLOOKUP(B822,INDIRECT($F$8),6+(O836-1)*3)),11),IF(0.3*S836-VLOOKUP(B822,INDIRECT($F$8),6+(O836-1)*3)&lt;=5,0.3*S836-VLOOKUP(B822,INDIRECT($F$8),6+(O836-1)*3),11)),IF(VLOOKUP(B822,INDIRECT($F$8),8+(O836-1)*3)&lt;U836*0.4,IF(U836*0.4-VLOOKUP(B822,INDIRECT($F$8),8+(O836-1)*3)&lt;=5,U836*0.4-VLOOKUP(B822,INDIRECT($F$8),8+(O836-1)*3),11),0))))</f>
        <v>0</v>
      </c>
      <c r="X836" s="1" t="str">
        <f ca="1">IF(ISERROR(F822),"",IF(W836=0,"",_xlfn.TEXTJOIN("",FALSE," G+",W836," in ",A836)))</f>
        <v/>
      </c>
    </row>
    <row r="837" spans="1:24" ht="12.5" customHeight="1" x14ac:dyDescent="0.2">
      <c r="A837" s="7" t="str">
        <f ca="1">IF(ISERROR(F822),"",VLOOKUP(C822,INDIRECT($F$8),6+(O837-1)*3,0))</f>
        <v>CSP 002</v>
      </c>
      <c r="B837" s="24" t="str">
        <f ca="1">IF(ISERROR(F822),"",VLOOKUP(D822,INDIRECT($F$8),6+(O837-1)*3,0))</f>
        <v>Computer Applications and IOT</v>
      </c>
      <c r="C837" s="24"/>
      <c r="D837" s="24"/>
      <c r="E837" s="24"/>
      <c r="F837" s="7">
        <f ca="1">IF(ISERROR(F822),"",VLOOKUP(E822,INDIRECT($F$8),6+(O837-1)*3,0))</f>
        <v>1</v>
      </c>
      <c r="G837" s="25" t="str">
        <f ca="1">IF(ISERROR(F822),"",_xlfn.TEXTJOIN("/",FALSE,P837,S837))</f>
        <v>23/25</v>
      </c>
      <c r="H837" s="25"/>
      <c r="I837" s="25" t="str">
        <f ca="1">IF(ISERROR(F822),"",_xlfn.TEXTJOIN("/",FALSE,Q837,T837))</f>
        <v>23/25</v>
      </c>
      <c r="J837" s="25"/>
      <c r="K837" s="25" t="str">
        <f ca="1">IF(ISERROR(F822),"",_xlfn.TEXTJOIN("/",FALSE,R837,U837))</f>
        <v>46/50</v>
      </c>
      <c r="L837" s="25"/>
      <c r="M837" s="7" t="str">
        <f ca="1">IF(ISERROR(F822)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A+</v>
      </c>
      <c r="N837" s="8">
        <f t="shared" ca="1" si="75"/>
        <v>9.5</v>
      </c>
      <c r="O837">
        <f t="shared" si="76"/>
        <v>12</v>
      </c>
      <c r="P837" s="1">
        <f ca="1">IF(ISERROR(F822),"",IF(ISTEXT(VLOOKUP(B822,INDIRECT($F$8),6+(O837-1)*3)),(VLOOKUP(B822,INDIRECT($F$8),6+(O837-1)*3)),SUM(VLOOKUP(B822,INDIRECT($F$8),6+(O837-1)*3),IF(W840,W837,0))))</f>
        <v>23</v>
      </c>
      <c r="Q837" s="1">
        <f ca="1">IF(ISERROR(F822),"",VLOOKUP(B822,INDIRECT($F$8),7+(O837-1)*3))</f>
        <v>23</v>
      </c>
      <c r="R837" s="1">
        <f ca="1">IF(ISERROR(F822),"",SUM(P837:Q837))</f>
        <v>46</v>
      </c>
      <c r="S837" s="1">
        <f ca="1">IF(ISERROR(F822),"",VLOOKUP(A822,INDIRECT($F$8),6+(O837-1)*3))</f>
        <v>25</v>
      </c>
      <c r="T837" s="1">
        <f ca="1">IF(ISERROR(F822),"",VLOOKUP(A822,INDIRECT($F$8),7+(O837-1)*3))</f>
        <v>25</v>
      </c>
      <c r="U837" s="1">
        <f ca="1">IF(ISERROR(F822),"",VLOOKUP(A822,INDIRECT($F$8),8+(O837-1)*3))</f>
        <v>50</v>
      </c>
      <c r="V837" s="1" t="str">
        <f ca="1">IF(ISERROR(F822),"",IF(N837=0,A837,""))</f>
        <v/>
      </c>
      <c r="W837" s="1">
        <f ca="1">IF(ISERROR(F822),"",IF(ISTEXT(VLOOKUP(B822,INDIRECT($F$8),6+(O837-1)*3)),11,IF(VLOOKUP(B822,INDIRECT($F$8),6+(O837-1)*3)&lt;S837*0.3,IF(VLOOKUP(B822,INDIRECT($F$8),8+(O837-1)*3)&lt;U837*0.4,IF(AND(0.4*U837-VLOOKUP(B822,INDIRECT($F$8),8+(O837-1)*3)&lt;=5,0.3*S837-VLOOKUP(B822,INDIRECT($F$8),6+(O837-1)*3)&lt;=5),MAX(0.4*U837-VLOOKUP(B822,INDIRECT($F$8),8+(O837-1)*3),0.3*S837-VLOOKUP(B822,INDIRECT($F$8),6+(O837-1)*3)),11),IF(0.3*S837-VLOOKUP(B822,INDIRECT($F$8),6+(O837-1)*3)&lt;=5,0.3*S837-VLOOKUP(B822,INDIRECT($F$8),6+(O837-1)*3),11)),IF(VLOOKUP(B822,INDIRECT($F$8),8+(O837-1)*3)&lt;U837*0.4,IF(U837*0.4-VLOOKUP(B822,INDIRECT($F$8),8+(O837-1)*3)&lt;=5,U837*0.4-VLOOKUP(B822,INDIRECT($F$8),8+(O837-1)*3),11),0))))</f>
        <v>0</v>
      </c>
      <c r="X837" s="1" t="str">
        <f ca="1">IF(ISERROR(F822),"",IF(W837=0,"",_xlfn.TEXTJOIN("",FALSE," G+",W837," in ",A837)))</f>
        <v/>
      </c>
    </row>
    <row r="838" spans="1:24" ht="12.5" customHeight="1" x14ac:dyDescent="0.2">
      <c r="A838" s="7" t="str">
        <f ca="1">IF(ISERROR(F822),"",VLOOKUP(C822,INDIRECT($F$8),6+(O838-1)*3,0))</f>
        <v>AHP 006</v>
      </c>
      <c r="B838" s="24" t="str">
        <f ca="1">IF(ISERROR(F822),"",VLOOKUP(D822,INDIRECT($F$8),6+(O838-1)*3,0))</f>
        <v>English Language Lab ($)</v>
      </c>
      <c r="C838" s="24"/>
      <c r="D838" s="24"/>
      <c r="E838" s="24"/>
      <c r="F838" s="7">
        <f ca="1">IF(ISERROR(F822),"",VLOOKUP(E822,INDIRECT($F$8),6+(O838-1)*3,0))</f>
        <v>0</v>
      </c>
      <c r="G838" s="25" t="str">
        <f ca="1">IF(ISERROR(F822),"",_xlfn.TEXTJOIN("/",FALSE,P838,S838))</f>
        <v>17/25</v>
      </c>
      <c r="H838" s="25"/>
      <c r="I838" s="25" t="str">
        <f ca="1">IF(ISERROR(F822),"",_xlfn.TEXTJOIN("/",FALSE,Q838,T838))</f>
        <v>36/50</v>
      </c>
      <c r="J838" s="25"/>
      <c r="K838" s="25" t="str">
        <f ca="1">IF(ISERROR(F822),"",_xlfn.TEXTJOIN("/",FALSE,R838,U838))</f>
        <v>53/75</v>
      </c>
      <c r="L838" s="25"/>
      <c r="M838" s="7" t="str">
        <f ca="1">IF(ISERROR(F822)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C+</v>
      </c>
      <c r="N838" s="8">
        <f ca="1">INDEX($Z$2:$Z$17,MATCH(M838,$Y$2:$Y$17,0))</f>
        <v>7.5</v>
      </c>
      <c r="O838">
        <f t="shared" si="76"/>
        <v>13</v>
      </c>
      <c r="P838" s="1">
        <f ca="1">IF(ISERROR(F822),"",IF(ISTEXT(VLOOKUP(B822,INDIRECT($F$8),6+(O838-1)*3)),(VLOOKUP(B822,INDIRECT($F$8),6+(O838-1)*3)),SUM(VLOOKUP(B822,INDIRECT($F$8),6+(O838-1)*3),IF(W840,W838,0))))</f>
        <v>17</v>
      </c>
      <c r="Q838" s="1">
        <f ca="1">IF(ISERROR(F822),"",VLOOKUP(B822,INDIRECT($F$8),7+(O838-1)*3))</f>
        <v>36</v>
      </c>
      <c r="R838" s="1">
        <f ca="1">IF(ISERROR(F822),"",SUM(P838:Q838))</f>
        <v>53</v>
      </c>
      <c r="S838" s="1">
        <f ca="1">IF(ISERROR(F822),"",VLOOKUP(A822,INDIRECT($F$8),6+(O838-1)*3))</f>
        <v>25</v>
      </c>
      <c r="T838" s="1">
        <f ca="1">IF(ISERROR(F822),"",VLOOKUP(A822,INDIRECT($F$8),7+(O838-1)*3))</f>
        <v>50</v>
      </c>
      <c r="U838" s="1">
        <f ca="1">IF(ISERROR(F822),"",VLOOKUP(A822,INDIRECT($F$8),8+(O838-1)*3))</f>
        <v>75</v>
      </c>
      <c r="V838" s="1"/>
      <c r="W838" s="1">
        <f ca="1">IF(ISERROR(F822),"",IF(ISTEXT(VLOOKUP(B822,INDIRECT($F$8),6+(O838-1)*3)),11,IF(VLOOKUP(B822,INDIRECT($F$8),6+(O838-1)*3)&lt;S838*0.3,IF(VLOOKUP(B822,INDIRECT($F$8),8+(O838-1)*3)&lt;U838*0.4,IF(AND(0.4*U838-VLOOKUP(B822,INDIRECT($F$8),8+(O838-1)*3)&lt;=5,0.3*S838-VLOOKUP(B822,INDIRECT($F$8),6+(O838-1)*3)&lt;=5),MAX(0.4*U838-VLOOKUP(B822,INDIRECT($F$8),8+(O838-1)*3),0.3*S838-VLOOKUP(B822,INDIRECT($F$8),6+(O838-1)*3)),11),IF(0.3*S838-VLOOKUP(B822,INDIRECT($F$8),6+(O838-1)*3)&lt;=5,0.3*S838-VLOOKUP(B822,INDIRECT($F$8),6+(O838-1)*3),11)),IF(VLOOKUP(B822,INDIRECT($F$8),8+(O838-1)*3)&lt;U838*0.4,IF(U838*0.4-VLOOKUP(B822,INDIRECT($F$8),8+(O838-1)*3)&lt;=5,U838*0.4-VLOOKUP(B822,INDIRECT($F$8),8+(O838-1)*3),11),0))))</f>
        <v>0</v>
      </c>
      <c r="X838" s="1" t="str">
        <f ca="1">IF(ISERROR(F822),"",IF(W838=0,"",_xlfn.TEXTJOIN("",FALSE," G+",W838," in ",A838)))</f>
        <v/>
      </c>
    </row>
    <row r="839" spans="1:24" ht="12.5" customHeight="1" x14ac:dyDescent="0.2">
      <c r="A839" s="7" t="str">
        <f ca="1">IF(ISERROR(F822),"",VLOOKUP(C822,INDIRECT($F$8),6+(O839-1)*3-Y839,0))</f>
        <v>GP 01</v>
      </c>
      <c r="B839" s="24" t="str">
        <f ca="1">IF(ISERROR(F822),"",VLOOKUP(D822,INDIRECT($F$8),6+(O839-1)*3-Z839,0))</f>
        <v>General Proficiency ($)</v>
      </c>
      <c r="C839" s="24"/>
      <c r="D839" s="24"/>
      <c r="E839" s="24"/>
      <c r="F839" s="7">
        <f ca="1">IF(ISERROR(F822),"",VLOOKUP(E822,INDIRECT($F$8),6+(O839-1)*3-AA839,0))</f>
        <v>0</v>
      </c>
      <c r="G839" s="25" t="str">
        <f ca="1">IF(ISERROR(F822),"","-")</f>
        <v>-</v>
      </c>
      <c r="H839" s="25"/>
      <c r="I839" s="25" t="str">
        <f ca="1">IF(ISERROR(F822),"",_xlfn.TEXTJOIN("/",FALSE,Q839,T839))</f>
        <v>47/50</v>
      </c>
      <c r="J839" s="25"/>
      <c r="K839" s="25" t="str">
        <f ca="1">IF(ISERROR(F822),"",_xlfn.TEXTJOIN("/",FALSE,R839,U839))</f>
        <v>47/50</v>
      </c>
      <c r="L839" s="25"/>
      <c r="M839" s="25" t="str">
        <f ca="1">IF(ISBLANK(R839),"",IF(ISTEXT(R839),R839,IF(R839&gt;=0.8*U839,"Excellent",IF(R839&gt;=0.6*U839,"Very Good",IF(R839&gt;=0.4*U839,"Good",IF(R839&gt;=0.2*U839,"Satisfactory","Average"))))))</f>
        <v>Excellent</v>
      </c>
      <c r="N839" s="25"/>
      <c r="O839">
        <f t="shared" si="76"/>
        <v>14</v>
      </c>
      <c r="P839" s="1">
        <f ca="1">IF(ISERROR(F822),"",IF(ISTEXT(VLOOKUP(B\28,INDIRECT($F$8),6+(O839-1)*3)),(VLOOKUP(B822,INDIRECT($F$8),6+(O839-1)*3)),SUM(VLOOKUP(B822,INDIRECT($F$8),6+(O839-1)*3),IF(W840,W840,0))))</f>
        <v>0</v>
      </c>
      <c r="Q839" s="1">
        <f ca="1">IF(ISERROR(F822),"",VLOOKUP(B822,INDIRECT($F$8),7+(O839-1)*3))</f>
        <v>47</v>
      </c>
      <c r="R839" s="1">
        <f ca="1">IF(ISERROR(F822),"",SUM(P839:Q839))</f>
        <v>47</v>
      </c>
      <c r="S839" s="1">
        <f ca="1">IF(ISERROR(F822),"",VLOOKUP(A822,INDIRECT($F$8),6+(O839-1)*3))</f>
        <v>0</v>
      </c>
      <c r="T839" s="1">
        <f ca="1">IF(ISERROR(F822),"",VLOOKUP(A822,INDIRECT($F$8),7+(O839-1)*3))</f>
        <v>50</v>
      </c>
      <c r="U839" s="1">
        <f ca="1">IF(ISERROR(F822),"",VLOOKUP(A822,INDIRECT($F$8),8+(O839-1)*3))</f>
        <v>50</v>
      </c>
      <c r="V839" s="1"/>
      <c r="W839" s="1"/>
      <c r="X839" s="1" t="str">
        <f ca="1">IF(ISERROR(F822),"",IF(W839=0,"",_xlfn.TEXTJOIN("",FALSE," G+",W839," in ",A839)))</f>
        <v/>
      </c>
    </row>
    <row r="840" spans="1:24" ht="12.5" customHeight="1" x14ac:dyDescent="0.2">
      <c r="A840" s="26" t="str">
        <f ca="1">IF(ISERROR(F822),"",A818)</f>
        <v>Total Credits/ Marks/ Total Grade Points</v>
      </c>
      <c r="B840" s="26"/>
      <c r="C840" s="26"/>
      <c r="D840" s="26"/>
      <c r="E840" s="26"/>
      <c r="F840" s="10">
        <f ca="1">IF(ISERROR(F822),"",SUM(F827:F838))</f>
        <v>23</v>
      </c>
      <c r="G840" s="27" t="str">
        <f ca="1">IF(ISERROR(F822),"",_xlfn.TEXTJOIN("/",TRUE,SUMIF(F827:F839,"&gt;0",P827:P839),SUMIF(F827:F839,"&gt;0",S827:S839)))</f>
        <v>328/575</v>
      </c>
      <c r="H840" s="27"/>
      <c r="I840" s="27" t="str">
        <f ca="1">IF(ISERROR(F822),"",_xlfn.TEXTJOIN("/",TRUE,SUMIF(F827:F839,"&gt;0",Q827:Q839),SUMIF(F827:F839,"&gt;0",T827:T839)))</f>
        <v>321/375</v>
      </c>
      <c r="J840" s="27"/>
      <c r="K840" s="27" t="str">
        <f ca="1">IF(ISERROR(F822),"",_xlfn.TEXTJOIN("/",TRUE,SUMIF(F827:F839,"&gt;0",R827:R839),SUMIF(F827:F839,"&gt;0",U827:U839)))</f>
        <v>649/950</v>
      </c>
      <c r="L840" s="27"/>
      <c r="M840" s="26">
        <f ca="1">IF(ISERROR(F822),"",SUMPRODUCT(N827:N838,F827:F838))</f>
        <v>146.5</v>
      </c>
      <c r="N840" s="26"/>
      <c r="V840" s="1" t="str">
        <f ca="1">IF(ISERROR(F822),"",_xlfn.TEXTJOIN(", ",TRUE,V827:V839))</f>
        <v>AHT 003</v>
      </c>
      <c r="W840" t="b">
        <f ca="1">IF(ISERROR(F822),"",IF(SUM(W827:W839)&lt;=W826,TRUE,FALSE))</f>
        <v>0</v>
      </c>
      <c r="X840" s="1" t="str">
        <f ca="1">IF(ISERROR(F822),"",_xlfn.TEXTJOIN(",",TRUE,X827:X839))</f>
        <v xml:space="preserve"> G+11 in AHT 003</v>
      </c>
    </row>
    <row r="841" spans="1:24" ht="12.5" customHeight="1" x14ac:dyDescent="0.2">
      <c r="A841" s="26" t="str">
        <f ca="1">IF(ISERROR(F822),"",A819)</f>
        <v>Result:</v>
      </c>
      <c r="B841" s="28" t="str" cm="1">
        <f t="array" aca="1" ref="B841" ca="1">IF(SUM(COUNTIF(M827:M838,{"Ab","Dt"}))=12, "Not Promoted to IInd Semester", IF(V840="", "PASS", "CARRY OVER"))</f>
        <v>CARRY OVER</v>
      </c>
      <c r="C841" s="28"/>
      <c r="D841" s="26" t="str">
        <f ca="1">IF(ISERROR(F822),"",D819)</f>
        <v>Remark:</v>
      </c>
      <c r="E841" s="28" t="str">
        <f ca="1">IF(ISERROR(F822),"",IF(V840="",IF(X840="","",X840),_xlfn.TEXTJOIN(" ",TRUE,"BACK IN",V840)))</f>
        <v>BACK IN AHT 003</v>
      </c>
      <c r="F841" s="28"/>
      <c r="G841" s="26" t="str">
        <f ca="1">IF(ISERROR(F822),"",G819)</f>
        <v>SGPA:</v>
      </c>
      <c r="H841" s="29">
        <f ca="1">IF(ISERROR(F822),"",M840/F840)</f>
        <v>6.3695652173913047</v>
      </c>
      <c r="I841" s="26" t="str">
        <f ca="1">IF(ISERROR(F822),"",I819)</f>
        <v>CGPA:</v>
      </c>
      <c r="J841" s="29">
        <f ca="1">IF(ISERROR(F822),"",VLOOKUP(B822,INDIRECT($F$8),12+(O839-1)*3,0))</f>
        <v>6.3695652173913047</v>
      </c>
      <c r="K841" s="28" t="str">
        <f ca="1">IF(ISERROR(F822),"",K819)</f>
        <v>Earned Credits:</v>
      </c>
      <c r="L841" s="26">
        <f ca="1">IF(ISERROR(F822),"",SUMIF(N827:N838,"&gt;0",F827:F838))</f>
        <v>19</v>
      </c>
      <c r="M841" s="28" t="str">
        <f ca="1">IF(ISERROR(F822),"",M819)</f>
        <v>Cuml. Earned Credits:</v>
      </c>
      <c r="N841" s="26">
        <f ca="1">IF(ISERROR(F822),"",VLOOKUP(B822,INDIRECT($F$8),10+(O839-1)*3,0))</f>
        <v>19</v>
      </c>
    </row>
    <row r="842" spans="1:24" ht="12.5" customHeight="1" x14ac:dyDescent="0.2">
      <c r="A842" s="26"/>
      <c r="B842" s="28"/>
      <c r="C842" s="28"/>
      <c r="D842" s="26"/>
      <c r="E842" s="28"/>
      <c r="F842" s="28"/>
      <c r="G842" s="26"/>
      <c r="H842" s="29"/>
      <c r="I842" s="26"/>
      <c r="J842" s="29"/>
      <c r="K842" s="28"/>
      <c r="L842" s="26"/>
      <c r="M842" s="28"/>
      <c r="N842" s="26"/>
    </row>
    <row r="843" spans="1:24" ht="12.5" customHeight="1" x14ac:dyDescent="0.2">
      <c r="A843" s="26"/>
      <c r="B843" s="28"/>
      <c r="C843" s="28"/>
      <c r="D843" s="26"/>
      <c r="E843" s="28"/>
      <c r="F843" s="28"/>
      <c r="G843" s="26"/>
      <c r="H843" s="29"/>
      <c r="I843" s="26"/>
      <c r="J843" s="29"/>
      <c r="K843" s="28"/>
      <c r="L843" s="26"/>
      <c r="M843" s="28"/>
      <c r="N843" s="26"/>
    </row>
    <row r="844" spans="1:24" ht="12.5" customHeight="1" x14ac:dyDescent="0.2">
      <c r="A844" s="11" t="str">
        <f>A822</f>
        <v>MM</v>
      </c>
      <c r="B844" s="11">
        <f>B822+1</f>
        <v>39</v>
      </c>
      <c r="C844" s="11" t="str">
        <f>C822</f>
        <v>SC</v>
      </c>
      <c r="D844" s="11" t="str">
        <f>D822</f>
        <v>SN</v>
      </c>
      <c r="E844" s="11" t="str">
        <f>E822</f>
        <v>C</v>
      </c>
      <c r="F844" s="11" t="e">
        <f ca="1">VLOOKUP(B844,INDIRECT($F$8),4,0)</f>
        <v>#N/A</v>
      </c>
    </row>
    <row r="845" spans="1:24" ht="12.5" customHeight="1" x14ac:dyDescent="0.2">
      <c r="A845" s="30" t="str">
        <f ca="1">IF(ISERROR(F844),"",A823)</f>
        <v/>
      </c>
      <c r="B845" s="30" t="str">
        <f ca="1">IFERROR(VLOOKUP(B844,INDIRECT($F$8),4,0),"")</f>
        <v/>
      </c>
      <c r="C845" s="30"/>
      <c r="D845" s="30" t="str">
        <f ca="1">IF(ISERROR(F844),"",D823)</f>
        <v/>
      </c>
      <c r="E845" s="30" t="str">
        <f ca="1">IFERROR(VLOOKUP(B844,INDIRECT($F$8),5,0),"")</f>
        <v/>
      </c>
      <c r="F845" s="30"/>
      <c r="G845" s="30" t="str">
        <f ca="1">IF(ISERROR(F844),"",G823)</f>
        <v/>
      </c>
      <c r="H845" s="30"/>
      <c r="I845" s="31" t="str">
        <f ca="1">IFERROR(VLOOKUP(B844,INDIRECT($F$8),2,0),"")</f>
        <v/>
      </c>
      <c r="J845" s="31"/>
      <c r="K845" s="30" t="str">
        <f ca="1">IF(ISERROR(F844),"",K823)</f>
        <v/>
      </c>
      <c r="L845" s="30"/>
      <c r="M845" s="31" t="str">
        <f ca="1">IFERROR(VLOOKUP(B844,INDIRECT($F$8),3,0),"")</f>
        <v/>
      </c>
      <c r="N845" s="31"/>
    </row>
    <row r="846" spans="1:24" ht="12.5" customHeight="1" x14ac:dyDescent="0.2">
      <c r="A846" s="30"/>
      <c r="B846" s="30"/>
      <c r="C846" s="30"/>
      <c r="D846" s="30"/>
      <c r="E846" s="30"/>
      <c r="F846" s="30"/>
      <c r="G846" s="30"/>
      <c r="H846" s="30"/>
      <c r="I846" s="31"/>
      <c r="J846" s="31"/>
      <c r="K846" s="30"/>
      <c r="L846" s="30"/>
      <c r="M846" s="31"/>
      <c r="N846" s="31"/>
    </row>
    <row r="847" spans="1:24" ht="12.5" customHeight="1" x14ac:dyDescent="0.2">
      <c r="A847" s="28" t="str">
        <f ca="1">IF(ISERROR(F844),"",A825)</f>
        <v/>
      </c>
      <c r="B847" s="28" t="str">
        <f ca="1">IF(ISERROR(F844),"",B825)</f>
        <v/>
      </c>
      <c r="C847" s="28"/>
      <c r="D847" s="28"/>
      <c r="E847" s="28"/>
      <c r="F847" s="28" t="str">
        <f ca="1">IF(ISERROR(F844),"",F825)</f>
        <v/>
      </c>
      <c r="G847" s="28" t="str">
        <f ca="1">IF(ISERROR(F844),"",G825)</f>
        <v/>
      </c>
      <c r="H847" s="28"/>
      <c r="I847" s="28" t="str">
        <f ca="1">IF(ISERROR(F844),"",I825)</f>
        <v/>
      </c>
      <c r="J847" s="28"/>
      <c r="K847" s="28" t="str">
        <f ca="1">IF(ISERROR(F844),"",K825)</f>
        <v/>
      </c>
      <c r="L847" s="28"/>
      <c r="M847" s="28" t="str">
        <f ca="1">IF(ISERROR(F844),"",M825)</f>
        <v/>
      </c>
      <c r="N847" s="28" t="str">
        <f ca="1">IF(ISERROR(F844),"",N825)</f>
        <v/>
      </c>
    </row>
    <row r="848" spans="1:24" ht="12.5" customHeight="1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W848">
        <f ca="1">IF(ISNUMBER(MATCH($F$8,{"I","III","V","VII"},0)),10,10-INDEX(INDIRECT(_xlfn.TEXTJOIN("",TRUE,"SEM_",$G$8,"!",ADDRESS(6,4+$I$8*3+4),":",ADDRESS(5+$H$8,4+$I$8*3+4))),MATCH(INDIRECT(_xlfn.TEXTJOIN("",TRUE,"TC_",$F$8,"!",ADDRESS(ROW(I845),COLUMN(I845)))),INDIRECT(_xlfn.TEXTJOIN("",TRUE,"SEM_",$G$8,"!",ADDRESS(6,2),":",ADDRESS(5+$H$8,2))))))</f>
        <v>10</v>
      </c>
    </row>
    <row r="849" spans="1:24" ht="12.5" customHeight="1" x14ac:dyDescent="0.2">
      <c r="A849" s="7" t="str">
        <f ca="1">IF(ISERROR(F844),"",VLOOKUP(C844,INDIRECT($F$8),6+(O849-1)*3,0))</f>
        <v/>
      </c>
      <c r="B849" s="24" t="str">
        <f ca="1">IF(ISERROR(F844),"",VLOOKUP(D844,INDIRECT($F$8),6+(O849-1)*3,0))</f>
        <v/>
      </c>
      <c r="C849" s="24"/>
      <c r="D849" s="24"/>
      <c r="E849" s="24"/>
      <c r="F849" s="7" t="str">
        <f ca="1">IF(ISERROR(F844),"",VLOOKUP(E844,INDIRECT($F$8),6+(O849-1)*3,0))</f>
        <v/>
      </c>
      <c r="G849" s="25" t="str">
        <f ca="1">IF(ISERROR(F844),"",_xlfn.TEXTJOIN("/",FALSE,P849,S849))</f>
        <v/>
      </c>
      <c r="H849" s="25"/>
      <c r="I849" s="25" t="str">
        <f ca="1">IF(ISERROR(F844),"",_xlfn.TEXTJOIN("/",FALSE,Q849,T849))</f>
        <v/>
      </c>
      <c r="J849" s="25"/>
      <c r="K849" s="25" t="str">
        <f ca="1">IF(ISERROR(F844),"",_xlfn.TEXTJOIN("/",FALSE,R849,U849))</f>
        <v/>
      </c>
      <c r="L849" s="25"/>
      <c r="M849" s="7" t="str">
        <f ca="1">IF(ISERROR(F844),"",IF(ISTEXT(P849),IF(P849="A","Ab",IF(P849="D","Dt",IF(P849="UFM","UFM",IF(P849="NA","")))),IF(AND(ISBLANK(P849),ISBLANK(R849)),"",IF(P849&lt;0.3*S849,"F",IF(ISBLANK(R849),"",IF(ISTEXT(R849),R849,IF(R849&gt;=0.95*U849,"O",IF(R849&gt;=0.9*U849,"A+",IF(R849&gt;=0.85*U849,"A",IF(R849&gt;=0.8*U849,"B+",IF(R849&gt;=0.75*U849,"B",IF(R849&gt;=0.7*U849,"C+",IF(R849&gt;=0.65*U849,"C",IF(R849&gt;=0.6*U849,"D+",IF(R849&gt;=0.55*U849,"D",IF(R849&gt;=0.5*U849,"E+",IF(R849&gt;=0.45*U849,"E",IF(R849&gt;=0.4*U849,"P",IF(R849&lt;0.4*U849,"F",R849)))))))))))))))))))</f>
        <v/>
      </c>
      <c r="N849" s="8" t="e">
        <f ca="1">INDEX($Z$2:$Z$17,MATCH(M849,$Y$2:$Y$17,0))</f>
        <v>#N/A</v>
      </c>
      <c r="O849">
        <v>1</v>
      </c>
      <c r="P849" s="1" t="str">
        <f ca="1">IF(ISERROR(F844),"",IF(ISTEXT(VLOOKUP(B844,INDIRECT($F$8),6+(O849-1)*3)),(VLOOKUP(B844,INDIRECT($F$8),6+(O849-1)*3)),SUM(VLOOKUP(B844,INDIRECT($F$8),6+(O849-1)*3),IF(W862,W849,0))))</f>
        <v/>
      </c>
      <c r="Q849" s="1" t="str">
        <f ca="1">IF(ISERROR(F844),"",VLOOKUP(B844,INDIRECT($F$8),7+(O849-1)*3))</f>
        <v/>
      </c>
      <c r="R849" s="1" t="str">
        <f ca="1">IF(ISERROR(F844),"",SUM(P849:Q849))</f>
        <v/>
      </c>
      <c r="S849" s="1" t="str">
        <f ca="1">IF(ISERROR(F844),"",VLOOKUP(A844,INDIRECT($F$8),6+(O849-1)*3))</f>
        <v/>
      </c>
      <c r="T849" s="1" t="str">
        <f ca="1">IF(ISERROR(F844),"",VLOOKUP(A844,INDIRECT($F$8),7+(O849-1)*3))</f>
        <v/>
      </c>
      <c r="U849" s="1" t="str">
        <f ca="1">IF(ISERROR(F844),"",VLOOKUP(A844,INDIRECT($F$8),8+(O849-1)*3))</f>
        <v/>
      </c>
      <c r="V849" s="1" t="str">
        <f ca="1">IF(ISERROR(F844),"",IF(N849=0,A849,""))</f>
        <v/>
      </c>
      <c r="W849" s="1" t="str">
        <f ca="1">IF(ISERROR(F844),"",IF(ISTEXT(VLOOKUP(B844,INDIRECT($F$8),6+(O849-1)*3)),11,IF(VLOOKUP(B844,INDIRECT($F$8),6+(O849-1)*3)&lt;S849*0.3,IF(VLOOKUP(B844,INDIRECT($F$8),8+(O849-1)*3)&lt;U849*0.4,IF(AND(0.4*U849-VLOOKUP(B844,INDIRECT($F$8),8+(O849-1)*3)&lt;=5,0.3*S849-VLOOKUP(B844,INDIRECT($F$8),6+(O849-1)*3)&lt;=5),MAX(0.4*U849-VLOOKUP(B844,INDIRECT($F$8),8+(O849-1)*3),0.3*S849-VLOOKUP(B844,INDIRECT($F$8),6+(O849-1)*3)),11),IF(0.3*S849-VLOOKUP(B844,INDIRECT($F$8),6+(O849-1)*3)&lt;=5,0.3*S849-VLOOKUP(B844,INDIRECT($F$8),6+(O849-1)*3),11)),IF(VLOOKUP(B844,INDIRECT($F$8),8+(O849-1)*3)&lt;U849*0.4,IF(U849*0.4-VLOOKUP(B844,INDIRECT($F$8),8+(O849-1)*3)&lt;=5,U849*0.4-VLOOKUP(B844,INDIRECT($F$8),8+(O849-1)*3),11),0))))</f>
        <v/>
      </c>
      <c r="X849" s="1" t="str">
        <f ca="1">IF(ISERROR(F844),"",IF(W849=0,"",_xlfn.TEXTJOIN("",FALSE," G+",W849," in ",A849)))</f>
        <v/>
      </c>
    </row>
    <row r="850" spans="1:24" ht="12.5" customHeight="1" x14ac:dyDescent="0.2">
      <c r="A850" s="7" t="str">
        <f ca="1">IF(ISERROR(F844),"",VLOOKUP(C844,INDIRECT($F$8),6+(O850-1)*3,0))</f>
        <v/>
      </c>
      <c r="B850" s="24" t="str">
        <f ca="1">IF(ISERROR(F844),"",VLOOKUP(D844,INDIRECT($F$8),6+(O850-1)*3,0))</f>
        <v/>
      </c>
      <c r="C850" s="24"/>
      <c r="D850" s="24"/>
      <c r="E850" s="24"/>
      <c r="F850" s="7" t="str">
        <f ca="1">IF(ISERROR(F844),"",VLOOKUP(E844,INDIRECT($F$8),6+(O850-1)*3,0))</f>
        <v/>
      </c>
      <c r="G850" s="25" t="str">
        <f ca="1">IF(ISERROR(F844),"",_xlfn.TEXTJOIN("/",FALSE,P850,S850))</f>
        <v/>
      </c>
      <c r="H850" s="25"/>
      <c r="I850" s="25" t="str">
        <f ca="1">IF(ISERROR(F844),"",_xlfn.TEXTJOIN("/",FALSE,Q850,T850))</f>
        <v/>
      </c>
      <c r="J850" s="25"/>
      <c r="K850" s="25" t="str">
        <f ca="1">IF(ISERROR(F844),"",_xlfn.TEXTJOIN("/",FALSE,R850,U850))</f>
        <v/>
      </c>
      <c r="L850" s="25"/>
      <c r="M850" s="7" t="b">
        <f t="shared" ref="M850:M859" ca="1" si="77">IF(ISERROR(F845),"",IF(ISTEXT(P850),IF(P850="A","Ab",IF(P850="D","Dt",IF(P850="UFM","UFM",IF(P850="NA","")))),IF(AND(ISBLANK(P850),ISBLANK(R850)),"",IF(P850&lt;0.3*S850,"F",IF(ISBLANK(R850),"",IF(ISTEXT(R850),R850,IF(R850&gt;=0.95*U850,"O",IF(R850&gt;=0.9*U850,"A+",IF(R850&gt;=0.85*U850,"A",IF(R850&gt;=0.8*U850,"B+",IF(R850&gt;=0.75*U850,"B",IF(R850&gt;=0.7*U850,"C+",IF(R850&gt;=0.65*U850,"C",IF(R850&gt;=0.6*U850,"D+",IF(R850&gt;=0.55*U850,"D",IF(R850&gt;=0.5*U850,"E+",IF(R850&gt;=0.45*U850,"E",IF(R850&gt;=0.4*U850,"P",IF(R850&lt;0.4*U850,"F",R850)))))))))))))))))))</f>
        <v>0</v>
      </c>
      <c r="N850" s="8" t="e">
        <f t="shared" ref="N850:N859" ca="1" si="78">INDEX($Z$2:$Z$17,MATCH(M850,$Y$2:$Y$17,0))</f>
        <v>#N/A</v>
      </c>
      <c r="O850">
        <f>O849+1</f>
        <v>2</v>
      </c>
      <c r="P850" s="1" t="str">
        <f ca="1">IF(ISERROR(F844),"",IF(ISTEXT(VLOOKUP(B844,INDIRECT($F$8),6+(O850-1)*3)),(VLOOKUP(B844,INDIRECT($F$8),6+(O850-1)*3)),SUM(VLOOKUP(B844,INDIRECT($F$8),6+(O850-1)*3),IF(W862,W850,0))))</f>
        <v/>
      </c>
      <c r="Q850" s="1" t="str">
        <f ca="1">IF(ISERROR(F844),"",VLOOKUP(B844,INDIRECT($F$8),7+(O850-1)*3))</f>
        <v/>
      </c>
      <c r="R850" s="1" t="str">
        <f ca="1">IF(ISERROR(F844),"",SUM(P850:Q850))</f>
        <v/>
      </c>
      <c r="S850" s="1" t="str">
        <f ca="1">IF(ISERROR(F844),"",VLOOKUP(A844,INDIRECT($F$8),6+(O850-1)*3))</f>
        <v/>
      </c>
      <c r="T850" s="1" t="str">
        <f ca="1">IF(ISERROR(F844),"",VLOOKUP(A844,INDIRECT($F$8),7+(O850-1)*3))</f>
        <v/>
      </c>
      <c r="U850" s="1" t="str">
        <f ca="1">IF(ISERROR(F844),"",VLOOKUP(A844,INDIRECT($F$8),8+(O850-1)*3))</f>
        <v/>
      </c>
      <c r="V850" s="1" t="str">
        <f ca="1">IF(ISERROR(F844),"",IF(N850=0,A850,""))</f>
        <v/>
      </c>
      <c r="W850" s="1" t="str">
        <f ca="1">IF(ISERROR(F844),"",IF(ISTEXT(VLOOKUP(B844,INDIRECT($F$8),6+(O850-1)*3)),11,IF(VLOOKUP(B844,INDIRECT($F$8),6+(O850-1)*3)&lt;S850*0.3,IF(VLOOKUP(B844,INDIRECT($F$8),8+(O850-1)*3)&lt;U850*0.4,IF(AND(0.4*U850-VLOOKUP(B844,INDIRECT($F$8),8+(O850-1)*3)&lt;=5,0.3*S850-VLOOKUP(B844,INDIRECT($F$8),6+(O850-1)*3)&lt;=5),MAX(0.4*U850-VLOOKUP(B844,INDIRECT($F$8),8+(O850-1)*3),0.3*S850-VLOOKUP(B844,INDIRECT($F$8),6+(O850-1)*3)),11),IF(0.3*S850-VLOOKUP(B844,INDIRECT($F$8),6+(O850-1)*3)&lt;=5,0.3*S850-VLOOKUP(B844,INDIRECT($F$8),6+(O850-1)*3),11)),IF(VLOOKUP(B844,INDIRECT($F$8),8+(O850-1)*3)&lt;U850*0.4,IF(U850*0.4-VLOOKUP(B844,INDIRECT($F$8),8+(O850-1)*3)&lt;=5,U850*0.4-VLOOKUP(B844,INDIRECT($F$8),8+(O850-1)*3),11),0))))</f>
        <v/>
      </c>
      <c r="X850" s="1" t="str">
        <f ca="1">IF(ISERROR(F844),"",IF(W850=0,"",_xlfn.TEXTJOIN("",FALSE," G+",W850," in ",A850)))</f>
        <v/>
      </c>
    </row>
    <row r="851" spans="1:24" ht="12.5" customHeight="1" x14ac:dyDescent="0.2">
      <c r="A851" s="7" t="str">
        <f ca="1">IF(ISERROR(F844),"",VLOOKUP(C844,INDIRECT($F$8),6+(O851-1)*3,0))</f>
        <v/>
      </c>
      <c r="B851" s="24" t="str">
        <f ca="1">IF(ISERROR(F844),"",VLOOKUP(D844,INDIRECT($F$8),6+(O851-1)*3,0))</f>
        <v/>
      </c>
      <c r="C851" s="24"/>
      <c r="D851" s="24"/>
      <c r="E851" s="24"/>
      <c r="F851" s="7" t="str">
        <f ca="1">IF(ISERROR(F844),"",VLOOKUP(E844,INDIRECT($F$8),6+(O851-1)*3,0))</f>
        <v/>
      </c>
      <c r="G851" s="25" t="str">
        <f ca="1">IF(ISERROR(F844),"",_xlfn.TEXTJOIN("/",FALSE,P851,S851))</f>
        <v/>
      </c>
      <c r="H851" s="25"/>
      <c r="I851" s="25" t="str">
        <f ca="1">IF(ISERROR(F844),"",_xlfn.TEXTJOIN("/",FALSE,Q851,T851))</f>
        <v/>
      </c>
      <c r="J851" s="25"/>
      <c r="K851" s="25" t="str">
        <f ca="1">IF(ISERROR(F844),"",_xlfn.TEXTJOIN("/",FALSE,R851,U851))</f>
        <v/>
      </c>
      <c r="L851" s="25"/>
      <c r="M851" s="7" t="b">
        <f t="shared" ca="1" si="77"/>
        <v>0</v>
      </c>
      <c r="N851" s="8" t="e">
        <f t="shared" ca="1" si="78"/>
        <v>#N/A</v>
      </c>
      <c r="O851">
        <f>O850+1</f>
        <v>3</v>
      </c>
      <c r="P851" s="1" t="str">
        <f ca="1">IF(ISERROR(F844),"",IF(ISTEXT(VLOOKUP(B844,INDIRECT($F$8),6+(O851-1)*3)),(VLOOKUP(B844,INDIRECT($F$8),6+(O851-1)*3)),SUM(VLOOKUP(B844,INDIRECT($F$8),6+(O851-1)*3),IF(W862,W851,0))))</f>
        <v/>
      </c>
      <c r="Q851" s="1" t="str">
        <f ca="1">IF(ISERROR(F844),"",VLOOKUP(B844,INDIRECT($F$8),7+(O851-1)*3))</f>
        <v/>
      </c>
      <c r="R851" s="1" t="str">
        <f ca="1">IF(ISERROR(F844),"",SUM(P851:Q851))</f>
        <v/>
      </c>
      <c r="S851" s="1" t="str">
        <f ca="1">IF(ISERROR(F844),"",VLOOKUP(A844,INDIRECT($F$8),6+(O851-1)*3))</f>
        <v/>
      </c>
      <c r="T851" s="1" t="str">
        <f ca="1">IF(ISERROR(F844),"",VLOOKUP(A844,INDIRECT($F$8),7+(O851-1)*3))</f>
        <v/>
      </c>
      <c r="U851" s="1" t="str">
        <f ca="1">IF(ISERROR(F844),"",VLOOKUP(A844,INDIRECT($F$8),8+(O851-1)*3))</f>
        <v/>
      </c>
      <c r="V851" s="1" t="str">
        <f ca="1">IF(ISERROR(F844),"",IF(N851=0,A851,""))</f>
        <v/>
      </c>
      <c r="W851" s="1" t="str">
        <f ca="1">IF(ISERROR(F844),"",IF(ISTEXT(VLOOKUP(B844,INDIRECT($F$8),6+(O851-1)*3)),11,IF(VLOOKUP(B844,INDIRECT($F$8),6+(O851-1)*3)&lt;S851*0.3,IF(VLOOKUP(B844,INDIRECT($F$8),8+(O851-1)*3)&lt;U851*0.4,IF(AND(0.4*U851-VLOOKUP(B844,INDIRECT($F$8),8+(O851-1)*3)&lt;=5,0.3*S851-VLOOKUP(B844,INDIRECT($F$8),6+(O851-1)*3)&lt;=5),MAX(0.4*U851-VLOOKUP(B844,INDIRECT($F$8),8+(O851-1)*3),0.3*S851-VLOOKUP(B844,INDIRECT($F$8),6+(O851-1)*3)),11),IF(0.3*S851-VLOOKUP(B844,INDIRECT($F$8),6+(O851-1)*3)&lt;=5,0.3*S851-VLOOKUP(B844,INDIRECT($F$8),6+(O851-1)*3),11)),IF(VLOOKUP(B844,INDIRECT($F$8),8+(O851-1)*3)&lt;U851*0.4,IF(U851*0.4-VLOOKUP(B844,INDIRECT($F$8),8+(O851-1)*3)&lt;=5,U851*0.4-VLOOKUP(B844,INDIRECT($F$8),8+(O851-1)*3),11),0))))</f>
        <v/>
      </c>
      <c r="X851" s="1" t="str">
        <f ca="1">IF(ISERROR(F844),"",IF(W851=0,"",_xlfn.TEXTJOIN("",FALSE," G+",W851," in ",A851)))</f>
        <v/>
      </c>
    </row>
    <row r="852" spans="1:24" ht="12.5" customHeight="1" x14ac:dyDescent="0.2">
      <c r="A852" s="7" t="str">
        <f ca="1">IF(ISERROR(F844),"",VLOOKUP(C844,INDIRECT($F$8),6+(O852-1)*3,0))</f>
        <v/>
      </c>
      <c r="B852" s="24" t="str">
        <f ca="1">IF(ISERROR(F844),"",VLOOKUP(D844,INDIRECT($F$8),6+(O852-1)*3,0))</f>
        <v/>
      </c>
      <c r="C852" s="24"/>
      <c r="D852" s="24"/>
      <c r="E852" s="24"/>
      <c r="F852" s="7" t="str">
        <f ca="1">IF(ISERROR(F844),"",VLOOKUP(E844,INDIRECT($F$8),6+(O852-1)*3,0))</f>
        <v/>
      </c>
      <c r="G852" s="25" t="str">
        <f ca="1">IF(ISERROR(F844),"",_xlfn.TEXTJOIN("/",FALSE,P852,S852))</f>
        <v/>
      </c>
      <c r="H852" s="25"/>
      <c r="I852" s="25" t="str">
        <f ca="1">IF(ISERROR(F844),"",_xlfn.TEXTJOIN("/",FALSE,Q852,T852))</f>
        <v/>
      </c>
      <c r="J852" s="25"/>
      <c r="K852" s="25" t="str">
        <f ca="1">IF(ISERROR(F844),"",_xlfn.TEXTJOIN("/",FALSE,R852,U852))</f>
        <v/>
      </c>
      <c r="L852" s="25"/>
      <c r="M852" s="7" t="b">
        <f t="shared" ca="1" si="77"/>
        <v>0</v>
      </c>
      <c r="N852" s="8" t="e">
        <f t="shared" ca="1" si="78"/>
        <v>#N/A</v>
      </c>
      <c r="O852">
        <f>O851+1</f>
        <v>4</v>
      </c>
      <c r="P852" s="1" t="str">
        <f ca="1">IF(ISERROR(F844),"",IF(ISTEXT(VLOOKUP(B844,INDIRECT($F$8),6+(O852-1)*3)),(VLOOKUP(B844,INDIRECT($F$8),6+(O852-1)*3)),SUM(VLOOKUP(B844,INDIRECT($F$8),6+(O852-1)*3),IF(W862,W852,0))))</f>
        <v/>
      </c>
      <c r="Q852" s="1" t="str">
        <f ca="1">IF(ISERROR(F844),"",VLOOKUP(B844,INDIRECT($F$8),7+(O852-1)*3))</f>
        <v/>
      </c>
      <c r="R852" s="1" t="str">
        <f ca="1">IF(ISERROR(F844),"",SUM(P852:Q852))</f>
        <v/>
      </c>
      <c r="S852" s="1" t="str">
        <f ca="1">IF(ISERROR(F844),"",VLOOKUP(A844,INDIRECT($F$8),6+(O852-1)*3))</f>
        <v/>
      </c>
      <c r="T852" s="1" t="str">
        <f ca="1">IF(ISERROR(F844),"",VLOOKUP(A844,INDIRECT($F$8),7+(O852-1)*3))</f>
        <v/>
      </c>
      <c r="U852" s="1" t="str">
        <f ca="1">IF(ISERROR(F844),"",VLOOKUP(A844,INDIRECT($F$8),8+(O852-1)*3))</f>
        <v/>
      </c>
      <c r="V852" s="1" t="str">
        <f ca="1">IF(ISERROR(F844),"",IF(N852=0,A852,""))</f>
        <v/>
      </c>
      <c r="W852" s="1" t="str">
        <f ca="1">IF(ISERROR(F844),"",IF(ISTEXT(VLOOKUP(B844,INDIRECT($F$8),6+(O852-1)*3)),11,IF(VLOOKUP(B844,INDIRECT($F$8),6+(O852-1)*3)&lt;S852*0.3,IF(VLOOKUP(B844,INDIRECT($F$8),8+(O852-1)*3)&lt;U852*0.4,IF(AND(0.4*U852-VLOOKUP(B844,INDIRECT($F$8),8+(O852-1)*3)&lt;=5,0.3*S852-VLOOKUP(B844,INDIRECT($F$8),6+(O852-1)*3)&lt;=5),MAX(0.4*U852-VLOOKUP(B844,INDIRECT($F$8),8+(O852-1)*3),0.3*S852-VLOOKUP(B844,INDIRECT($F$8),6+(O852-1)*3)),11),IF(0.3*S852-VLOOKUP(B844,INDIRECT($F$8),6+(O852-1)*3)&lt;=5,0.3*S852-VLOOKUP(B844,INDIRECT($F$8),6+(O852-1)*3),11)),IF(VLOOKUP(B844,INDIRECT($F$8),8+(O852-1)*3)&lt;U852*0.4,IF(U852*0.4-VLOOKUP(B844,INDIRECT($F$8),8+(O852-1)*3)&lt;=5,U852*0.4-VLOOKUP(B844,INDIRECT($F$8),8+(O852-1)*3),11),0))))</f>
        <v/>
      </c>
      <c r="X852" s="1" t="str">
        <f ca="1">IF(ISERROR(F844),"",IF(W852=0,"",_xlfn.TEXTJOIN("",FALSE," G+",W852," in ",A852)))</f>
        <v/>
      </c>
    </row>
    <row r="853" spans="1:24" ht="12.5" customHeight="1" x14ac:dyDescent="0.2">
      <c r="A853" s="7" t="str">
        <f ca="1">IF(ISERROR(F844),"",VLOOKUP(C844,INDIRECT($F$8),6+(O853-1)*3,0))</f>
        <v/>
      </c>
      <c r="B853" s="24" t="str">
        <f ca="1">IF(ISERROR(F844),"",VLOOKUP(D844,INDIRECT($F$8),6+(O853-1)*3,0))</f>
        <v/>
      </c>
      <c r="C853" s="24"/>
      <c r="D853" s="24"/>
      <c r="E853" s="24"/>
      <c r="F853" s="7" t="str">
        <f ca="1">IF(ISERROR(F844),"",VLOOKUP(E844,INDIRECT($F$8),6+(O853-1)*3,0))</f>
        <v/>
      </c>
      <c r="G853" s="25" t="str">
        <f ca="1">IF(ISERROR(F844),"",_xlfn.TEXTJOIN("/",FALSE,P853,S853))</f>
        <v/>
      </c>
      <c r="H853" s="25"/>
      <c r="I853" s="25" t="str">
        <f ca="1">IF(ISERROR(F844),"",_xlfn.TEXTJOIN("/",FALSE,Q853,T853))</f>
        <v/>
      </c>
      <c r="J853" s="25"/>
      <c r="K853" s="25" t="str">
        <f ca="1">IF(ISERROR(F844),"",_xlfn.TEXTJOIN("/",FALSE,R853,U853))</f>
        <v/>
      </c>
      <c r="L853" s="25"/>
      <c r="M853" s="7" t="b">
        <f t="shared" ca="1" si="77"/>
        <v>0</v>
      </c>
      <c r="N853" s="8" t="e">
        <f t="shared" ca="1" si="78"/>
        <v>#N/A</v>
      </c>
      <c r="O853">
        <f>IF(ISERROR(MATCH(B844,{4,10,13,27},0)),O852+1,O852+2)</f>
        <v>5</v>
      </c>
      <c r="P853" s="1" t="str">
        <f ca="1">IF(ISERROR(F844),"",IF(ISTEXT(VLOOKUP(B844,INDIRECT($F$8),6+(O853-1)*3)),(VLOOKUP(B844,INDIRECT($F$8),6+(O853-1)*3)),SUM(VLOOKUP(B844,INDIRECT($F$8),6+(O853-1)*3),IF(W862,W853,0))))</f>
        <v/>
      </c>
      <c r="Q853" s="1" t="str">
        <f ca="1">IF(ISERROR(F844),"",VLOOKUP(B844,INDIRECT($F$8),7+(O853-1)*3))</f>
        <v/>
      </c>
      <c r="R853" s="1" t="str">
        <f ca="1">IF(ISERROR(F844),"",SUM(P853:Q853))</f>
        <v/>
      </c>
      <c r="S853" s="1" t="str">
        <f ca="1">IF(ISERROR(F844),"",VLOOKUP(A844,INDIRECT($F$8),6+(O853-1)*3))</f>
        <v/>
      </c>
      <c r="T853" s="1" t="str">
        <f ca="1">IF(ISERROR(F844),"",VLOOKUP(A844,INDIRECT($F$8),7+(O853-1)*3))</f>
        <v/>
      </c>
      <c r="U853" s="1" t="str">
        <f ca="1">IF(ISERROR(F844),"",VLOOKUP(A844,INDIRECT($F$8),8+(O853-1)*3))</f>
        <v/>
      </c>
      <c r="V853" s="1" t="str">
        <f ca="1">IF(ISERROR(F844),"",IF(N853=0,A853,""))</f>
        <v/>
      </c>
      <c r="W853" s="1" t="str">
        <f ca="1">IF(ISERROR(F844),"",IF(ISTEXT(VLOOKUP(B844,INDIRECT($F$8),6+(O853-1)*3)),11,IF(VLOOKUP(B844,INDIRECT($F$8),6+(O853-1)*3)&lt;S853*0.3,IF(VLOOKUP(B844,INDIRECT($F$8),8+(O853-1)*3)&lt;U853*0.4,IF(AND(0.4*U853-VLOOKUP(B844,INDIRECT($F$8),8+(O853-1)*3)&lt;=5,0.3*S853-VLOOKUP(B844,INDIRECT($F$8),6+(O853-1)*3)&lt;=5),MAX(0.4*U853-VLOOKUP(B844,INDIRECT($F$8),8+(O853-1)*3),0.3*S853-VLOOKUP(B844,INDIRECT($F$8),6+(O853-1)*3)),11),IF(0.3*S853-VLOOKUP(B844,INDIRECT($F$8),6+(O853-1)*3)&lt;=5,0.3*S853-VLOOKUP(B844,INDIRECT($F$8),6+(O853-1)*3),11)),IF(VLOOKUP(B844,INDIRECT($F$8),8+(O853-1)*3)&lt;U853*0.4,IF(U853*0.4-VLOOKUP(B844,INDIRECT($F$8),8+(O853-1)*3)&lt;=5,U853*0.4-VLOOKUP(B844,INDIRECT($F$8),8+(O853-1)*3),11),0))))</f>
        <v/>
      </c>
      <c r="X853" s="1" t="str">
        <f ca="1">IF(ISERROR(F844),"",IF(W853=0,"",_xlfn.TEXTJOIN("",FALSE," G+",W853," in ",A853)))</f>
        <v/>
      </c>
    </row>
    <row r="854" spans="1:24" ht="12.5" customHeight="1" x14ac:dyDescent="0.2">
      <c r="A854" s="7" t="str">
        <f ca="1">IF(ISERROR(F844),"",VLOOKUP(C844,INDIRECT($F$8),6+(O854-1)*3,0))</f>
        <v/>
      </c>
      <c r="B854" s="24" t="str">
        <f ca="1">IF(ISERROR(F844),"",VLOOKUP(D844,INDIRECT($F$8),6+(O854-1)*3,0))</f>
        <v/>
      </c>
      <c r="C854" s="24"/>
      <c r="D854" s="24"/>
      <c r="E854" s="24"/>
      <c r="F854" s="7" t="str">
        <f ca="1">IF(ISERROR(F844),"",VLOOKUP(E844,INDIRECT($F$8),6+(O854-1)*3,0))</f>
        <v/>
      </c>
      <c r="G854" s="25" t="str">
        <f ca="1">IF(ISERROR(F844),"",_xlfn.TEXTJOIN("/",FALSE,P854,S854))</f>
        <v/>
      </c>
      <c r="H854" s="25"/>
      <c r="I854" s="25" t="str">
        <f ca="1">IF(ISERROR(F844),"",_xlfn.TEXTJOIN("/",FALSE,Q854,T854))</f>
        <v/>
      </c>
      <c r="J854" s="25"/>
      <c r="K854" s="25" t="str">
        <f ca="1">IF(ISERROR(F844),"",_xlfn.TEXTJOIN("/",FALSE,R854,U854))</f>
        <v/>
      </c>
      <c r="L854" s="25"/>
      <c r="M854" s="7" t="b">
        <f t="shared" ca="1" si="77"/>
        <v>0</v>
      </c>
      <c r="N854" s="8" t="e">
        <f t="shared" ca="1" si="78"/>
        <v>#N/A</v>
      </c>
      <c r="O854">
        <f>IF(ISERROR(MATCH(B844,{4,10,13,27},0)),O853+2,O853+1)</f>
        <v>7</v>
      </c>
      <c r="P854" s="1" t="str">
        <f ca="1">IF(ISERROR(F844),"",IF(ISTEXT(VLOOKUP(B844,INDIRECT($F$8),6+(O854-1)*3)),(VLOOKUP(B844,INDIRECT($F$8),6+(O854-1)*3)),SUM(VLOOKUP(B844,INDIRECT($F$8),6+(O854-1)*3),IF(W862,W854,0))))</f>
        <v/>
      </c>
      <c r="Q854" s="1" t="str">
        <f ca="1">IF(ISERROR(F844),"",VLOOKUP(B844,INDIRECT($F$8),7+(O854-1)*3))</f>
        <v/>
      </c>
      <c r="R854" s="1" t="str">
        <f ca="1">IF(ISERROR(F844),"",SUM(P854:Q854))</f>
        <v/>
      </c>
      <c r="S854" s="1" t="str">
        <f ca="1">IF(ISERROR(F844),"",VLOOKUP(A844,INDIRECT($F$8),6+(O854-1)*3))</f>
        <v/>
      </c>
      <c r="T854" s="1" t="str">
        <f ca="1">IF(ISERROR(F844),"",VLOOKUP(A844,INDIRECT($F$8),7+(O854-1)*3))</f>
        <v/>
      </c>
      <c r="U854" s="1" t="str">
        <f ca="1">IF(ISERROR(F844),"",VLOOKUP(A844,INDIRECT($F$8),8+(O854-1)*3))</f>
        <v/>
      </c>
      <c r="V854" s="1" t="str">
        <f ca="1">IF(ISERROR(F844),"",IF(N854=0,A854,""))</f>
        <v/>
      </c>
      <c r="W854" s="1" t="str">
        <f ca="1">IF(ISERROR(F844),"",IF(ISTEXT(VLOOKUP(B844,INDIRECT($F$8),6+(O854-1)*3)),11,IF(VLOOKUP(B844,INDIRECT($F$8),6+(O854-1)*3)&lt;S854*0.3,IF(VLOOKUP(B844,INDIRECT($F$8),8+(O854-1)*3)&lt;U854*0.4,IF(AND(0.4*U854-VLOOKUP(B844,INDIRECT($F$8),8+(O854-1)*3)&lt;=5,0.3*S854-VLOOKUP(B844,INDIRECT($F$8),6+(O854-1)*3)&lt;=5),MAX(0.4*U854-VLOOKUP(B844,INDIRECT($F$8),8+(O854-1)*3),0.3*S854-VLOOKUP(B844,INDIRECT($F$8),6+(O854-1)*3)),11),IF(0.3*S854-VLOOKUP(B844,INDIRECT($F$8),6+(O854-1)*3)&lt;=5,0.3*S854-VLOOKUP(B844,INDIRECT($F$8),6+(O854-1)*3),11)),IF(VLOOKUP(B844,INDIRECT($F$8),8+(O854-1)*3)&lt;U854*0.4,IF(U854*0.4-VLOOKUP(B844,INDIRECT($F$8),8+(O854-1)*3)&lt;=5,U854*0.4-VLOOKUP(B844,INDIRECT($F$8),8+(O854-1)*3),11),0))))</f>
        <v/>
      </c>
      <c r="X854" s="1" t="str">
        <f ca="1">IF(ISERROR(F844),"",IF(W854=0,"",_xlfn.TEXTJOIN("",FALSE," G+",W854," in ",A854)))</f>
        <v/>
      </c>
    </row>
    <row r="855" spans="1:24" ht="12.5" customHeight="1" x14ac:dyDescent="0.2">
      <c r="A855" s="7" t="str">
        <f ca="1">IF(ISERROR(F844),"",VLOOKUP(C844,INDIRECT($F$8),6+(O855-1)*3,0))</f>
        <v/>
      </c>
      <c r="B855" s="24" t="str">
        <f ca="1">IF(ISERROR(F844),"",VLOOKUP(D844,INDIRECT($F$8),6+(O855-1)*3,0))</f>
        <v/>
      </c>
      <c r="C855" s="24"/>
      <c r="D855" s="24"/>
      <c r="E855" s="24"/>
      <c r="F855" s="7" t="str">
        <f ca="1">IF(ISERROR(F844),"",VLOOKUP(E844,INDIRECT($F$8),6+(O855-1)*3,0))</f>
        <v/>
      </c>
      <c r="G855" s="25" t="str">
        <f ca="1">IF(ISERROR(F844),"",_xlfn.TEXTJOIN("/",FALSE,P855,S855))</f>
        <v/>
      </c>
      <c r="H855" s="25"/>
      <c r="I855" s="25" t="str">
        <f ca="1">IF(ISERROR(F844),"",_xlfn.TEXTJOIN("/",FALSE,Q855,T855))</f>
        <v/>
      </c>
      <c r="J855" s="25"/>
      <c r="K855" s="25" t="str">
        <f ca="1">IF(ISERROR(F844),"",_xlfn.TEXTJOIN("/",FALSE,R855,U855))</f>
        <v/>
      </c>
      <c r="L855" s="25"/>
      <c r="M855" s="7" t="b">
        <f t="shared" ca="1" si="77"/>
        <v>0</v>
      </c>
      <c r="N855" s="8" t="e">
        <f t="shared" ca="1" si="78"/>
        <v>#N/A</v>
      </c>
      <c r="O855">
        <f t="shared" ref="O855:O861" si="79">O854+1</f>
        <v>8</v>
      </c>
      <c r="P855" s="1" t="str">
        <f ca="1">IF(ISERROR(F844),"",IF(ISTEXT(VLOOKUP(B844,INDIRECT($F$8),6+(O855-1)*3)),(VLOOKUP(B844,INDIRECT($F$8),6+(O855-1)*3)),SUM(VLOOKUP(B844,INDIRECT($F$8),6+(O855-1)*3),IF(W862,W855,0))))</f>
        <v/>
      </c>
      <c r="Q855" s="1" t="str">
        <f ca="1">IF(ISERROR(F844),"",VLOOKUP(B844,INDIRECT($F$8),7+(O855-1)*3))</f>
        <v/>
      </c>
      <c r="R855" s="1" t="str">
        <f ca="1">IF(ISERROR(F844),"",SUM(P855:Q855))</f>
        <v/>
      </c>
      <c r="S855" s="1" t="str">
        <f ca="1">IF(ISERROR(F844),"",VLOOKUP(A844,INDIRECT($F$8),6+(O855-1)*3))</f>
        <v/>
      </c>
      <c r="T855" s="1" t="str">
        <f ca="1">IF(ISERROR(F844),"",VLOOKUP(A844,INDIRECT($F$8),7+(O855-1)*3))</f>
        <v/>
      </c>
      <c r="U855" s="1" t="str">
        <f ca="1">IF(ISERROR(F844),"",VLOOKUP(A844,INDIRECT($F$8),8+(O855-1)*3))</f>
        <v/>
      </c>
      <c r="V855" s="1" t="str">
        <f ca="1">IF(ISERROR(F844),"",IF(N855=0,A855,""))</f>
        <v/>
      </c>
      <c r="W855" s="1" t="str">
        <f ca="1">IF(ISERROR(F844),"",IF(ISTEXT(VLOOKUP(B844,INDIRECT($F$8),6+(O855-1)*3)),11,IF(VLOOKUP(B844,INDIRECT($F$8),6+(O855-1)*3)&lt;S855*0.3,IF(VLOOKUP(B844,INDIRECT($F$8),8+(O855-1)*3)&lt;U855*0.4,IF(AND(0.4*U855-VLOOKUP(B844,INDIRECT($F$8),8+(O855-1)*3)&lt;=5,0.3*S855-VLOOKUP(B844,INDIRECT($F$8),6+(O855-1)*3)&lt;=5),MAX(0.4*U855-VLOOKUP(B844,INDIRECT($F$8),8+(O855-1)*3),0.3*S855-VLOOKUP(B844,INDIRECT($F$8),6+(O855-1)*3)),11),IF(0.3*S855-VLOOKUP(B844,INDIRECT($F$8),6+(O855-1)*3)&lt;=5,0.3*S855-VLOOKUP(B844,INDIRECT($F$8),6+(O855-1)*3),11)),IF(VLOOKUP(B844,INDIRECT($F$8),8+(O855-1)*3)&lt;U855*0.4,IF(U855*0.4-VLOOKUP(B844,INDIRECT($F$8),8+(O855-1)*3)&lt;=5,U855*0.4-VLOOKUP(B844,INDIRECT($F$8),8+(O855-1)*3),11),0))))</f>
        <v/>
      </c>
      <c r="X855" s="1" t="str">
        <f ca="1">IF(ISERROR(F844),"",IF(W855=0,"",_xlfn.TEXTJOIN("",FALSE," G+",W855," in ",A855)))</f>
        <v/>
      </c>
    </row>
    <row r="856" spans="1:24" ht="12.5" customHeight="1" x14ac:dyDescent="0.2">
      <c r="A856" s="7" t="str">
        <f ca="1">IF(ISERROR(F844),"",VLOOKUP(C844,INDIRECT($F$8),6+(O856-1)*3,0))</f>
        <v/>
      </c>
      <c r="B856" s="24" t="str">
        <f ca="1">IF(ISERROR(F844),"",VLOOKUP(D844,INDIRECT($F$8),6+(O856-1)*3,0))</f>
        <v/>
      </c>
      <c r="C856" s="24"/>
      <c r="D856" s="24"/>
      <c r="E856" s="24"/>
      <c r="F856" s="7" t="str">
        <f ca="1">IF(ISERROR(F844),"",VLOOKUP(E844,INDIRECT($F$8),6+(O856-1)*3,0))</f>
        <v/>
      </c>
      <c r="G856" s="25" t="str">
        <f ca="1">IF(ISERROR(F844),"",_xlfn.TEXTJOIN("/",FALSE,P856,S856))</f>
        <v/>
      </c>
      <c r="H856" s="25"/>
      <c r="I856" s="25" t="str">
        <f ca="1">IF(ISERROR(F844),"",_xlfn.TEXTJOIN("/",FALSE,Q856,T856))</f>
        <v/>
      </c>
      <c r="J856" s="25"/>
      <c r="K856" s="25" t="str">
        <f ca="1">IF(ISERROR(F844),"",_xlfn.TEXTJOIN("/",FALSE,R856,U856))</f>
        <v/>
      </c>
      <c r="L856" s="25"/>
      <c r="M856" s="7" t="b">
        <f t="shared" ca="1" si="77"/>
        <v>0</v>
      </c>
      <c r="N856" s="8" t="e">
        <f t="shared" ca="1" si="78"/>
        <v>#N/A</v>
      </c>
      <c r="O856">
        <f t="shared" si="79"/>
        <v>9</v>
      </c>
      <c r="P856" s="1" t="str">
        <f ca="1">IF(ISERROR(F844),"",IF(ISTEXT(VLOOKUP(B844,INDIRECT($F$8),6+(O856-1)*3)),(VLOOKUP(B844,INDIRECT($F$8),6+(O856-1)*3)),SUM(VLOOKUP(B844,INDIRECT($F$8),6+(O856-1)*3),IF(W862,W856,0))))</f>
        <v/>
      </c>
      <c r="Q856" s="1" t="str">
        <f ca="1">IF(ISERROR(F844),"",VLOOKUP(B844,INDIRECT($F$8),7+(O856-1)*3))</f>
        <v/>
      </c>
      <c r="R856" s="1" t="str">
        <f ca="1">IF(ISERROR(F844),"",SUM(P856:Q856))</f>
        <v/>
      </c>
      <c r="S856" s="1" t="str">
        <f ca="1">IF(ISERROR(F844),"",VLOOKUP(A844,INDIRECT($F$8),6+(O856-1)*3))</f>
        <v/>
      </c>
      <c r="T856" s="1" t="str">
        <f ca="1">IF(ISERROR(F844),"",VLOOKUP(A844,INDIRECT($F$8),7+(O856-1)*3))</f>
        <v/>
      </c>
      <c r="U856" s="1" t="str">
        <f ca="1">IF(ISERROR(F844),"",VLOOKUP(A844,INDIRECT($F$8),8+(O856-1)*3))</f>
        <v/>
      </c>
      <c r="V856" s="1" t="str">
        <f ca="1">IF(ISERROR(F844),"",IF(N856=0,A856,""))</f>
        <v/>
      </c>
      <c r="W856" s="1" t="str">
        <f ca="1">IF(ISERROR(F844),"",IF(ISTEXT(VLOOKUP(B844,INDIRECT($F$8),6+(O856-1)*3)),11,IF(VLOOKUP(B844,INDIRECT($F$8),6+(O856-1)*3)&lt;S856*0.3,IF(VLOOKUP(B844,INDIRECT($F$8),8+(O856-1)*3)&lt;U856*0.4,IF(AND(0.4*U856-VLOOKUP(B844,INDIRECT($F$8),8+(O856-1)*3)&lt;=5,0.3*S856-VLOOKUP(B844,INDIRECT($F$8),6+(O856-1)*3)&lt;=5),MAX(0.4*U856-VLOOKUP(B844,INDIRECT($F$8),8+(O856-1)*3),0.3*S856-VLOOKUP(B844,INDIRECT($F$8),6+(O856-1)*3)),11),IF(0.3*S856-VLOOKUP(B844,INDIRECT($F$8),6+(O856-1)*3)&lt;=5,0.3*S856-VLOOKUP(B844,INDIRECT($F$8),6+(O856-1)*3),11)),IF(VLOOKUP(B844,INDIRECT($F$8),8+(O856-1)*3)&lt;U856*0.4,IF(U856*0.4-VLOOKUP(B844,INDIRECT($F$8),8+(O856-1)*3)&lt;=5,U856*0.4-VLOOKUP(B844,INDIRECT($F$8),8+(O856-1)*3),11),0))))</f>
        <v/>
      </c>
      <c r="X856" s="1" t="str">
        <f ca="1">IF(ISERROR(F844),"",IF(W856=0,"",_xlfn.TEXTJOIN("",FALSE," G+",W856," in ",A856)))</f>
        <v/>
      </c>
    </row>
    <row r="857" spans="1:24" ht="12.5" customHeight="1" x14ac:dyDescent="0.2">
      <c r="A857" s="7" t="str">
        <f ca="1">IF(ISERROR(F844),"",VLOOKUP(C844,INDIRECT($F$8),6+(O857-1)*3,0))</f>
        <v/>
      </c>
      <c r="B857" s="24" t="str">
        <f ca="1">IF(ISERROR(F844),"",VLOOKUP(D844,INDIRECT($F$8),6+(O857-1)*3-Z857,0))</f>
        <v/>
      </c>
      <c r="C857" s="24"/>
      <c r="D857" s="24"/>
      <c r="E857" s="24"/>
      <c r="F857" s="7" t="str">
        <f ca="1">IF(ISERROR(F844),"",VLOOKUP(E844,INDIRECT($F$8),6+(O857-1)*3,0))</f>
        <v/>
      </c>
      <c r="G857" s="25" t="str">
        <f ca="1">IF(ISERROR(F844),"",_xlfn.TEXTJOIN("/",FALSE,P857,S857))</f>
        <v/>
      </c>
      <c r="H857" s="25"/>
      <c r="I857" s="25" t="str">
        <f ca="1">IF(ISERROR(F844),"",_xlfn.TEXTJOIN("/",FALSE,Q857,T857))</f>
        <v/>
      </c>
      <c r="J857" s="25"/>
      <c r="K857" s="25" t="str">
        <f ca="1">IF(ISERROR(F844),"",_xlfn.TEXTJOIN("/",FALSE,R857,U857))</f>
        <v/>
      </c>
      <c r="L857" s="25"/>
      <c r="M857" s="7" t="b">
        <f t="shared" ca="1" si="77"/>
        <v>0</v>
      </c>
      <c r="N857" s="8" t="e">
        <f t="shared" ca="1" si="78"/>
        <v>#N/A</v>
      </c>
      <c r="O857">
        <f t="shared" si="79"/>
        <v>10</v>
      </c>
      <c r="P857" s="1" t="str">
        <f ca="1">IF(ISERROR(F844),"",IF(ISTEXT(VLOOKUP(B844,INDIRECT($F$8),6+(O857-1)*3)),(VLOOKUP(B844,INDIRECT($F$8),6+(O857-1)*3)),SUM(VLOOKUP(B844,INDIRECT($F$8),6+(O857-1)*3),IF(W862,W857,0))))</f>
        <v/>
      </c>
      <c r="Q857" s="1" t="str">
        <f ca="1">IF(ISERROR(F844),"",VLOOKUP(B844,INDIRECT($F$8),7+(O857-1)*3))</f>
        <v/>
      </c>
      <c r="R857" s="1" t="str">
        <f ca="1">IF(ISERROR(F844),"",SUM(P857:Q857))</f>
        <v/>
      </c>
      <c r="S857" s="1" t="str">
        <f ca="1">IF(ISERROR(F844),"",VLOOKUP(A844,INDIRECT($F$8),6+(O857-1)*3))</f>
        <v/>
      </c>
      <c r="T857" s="1" t="str">
        <f ca="1">IF(ISERROR(F844),"",VLOOKUP(A844,INDIRECT($F$8),7+(O857-1)*3))</f>
        <v/>
      </c>
      <c r="U857" s="1" t="str">
        <f ca="1">IF(ISERROR(F844),"",VLOOKUP(A844,INDIRECT($F$8),8+(O857-1)*3))</f>
        <v/>
      </c>
      <c r="V857" s="1" t="str">
        <f ca="1">IF(ISERROR(F844),"",IF(N857=0,A857,""))</f>
        <v/>
      </c>
      <c r="W857" s="1" t="str">
        <f ca="1">IF(ISERROR(F844),"",IF(ISTEXT(VLOOKUP(B844,INDIRECT($F$8),6+(O857-1)*3)),11,IF(VLOOKUP(B844,INDIRECT($F$8),6+(O857-1)*3)&lt;S857*0.3,IF(VLOOKUP(B844,INDIRECT($F$8),8+(O857-1)*3)&lt;U857*0.4,IF(AND(0.4*U857-VLOOKUP(B844,INDIRECT($F$8),8+(O857-1)*3)&lt;=5,0.3*S857-VLOOKUP(B844,INDIRECT($F$8),6+(O857-1)*3)&lt;=5),MAX(0.4*U857-VLOOKUP(B844,INDIRECT($F$8),8+(O857-1)*3),0.3*S857-VLOOKUP(B844,INDIRECT($F$8),6+(O857-1)*3)),11),IF(0.3*S857-VLOOKUP(B844,INDIRECT($F$8),6+(O857-1)*3)&lt;=5,0.3*S857-VLOOKUP(B844,INDIRECT($F$8),6+(O857-1)*3),11)),IF(VLOOKUP(B844,INDIRECT($F$8),8+(O857-1)*3)&lt;U857*0.4,IF(U857*0.4-VLOOKUP(B844,INDIRECT($F$8),8+(O857-1)*3)&lt;=5,U857*0.4-VLOOKUP(B844,INDIRECT($F$8),8+(O857-1)*3),11),0))))</f>
        <v/>
      </c>
      <c r="X857" s="1" t="str">
        <f ca="1">IF(ISERROR(F844),"",IF(W857=0,"",_xlfn.TEXTJOIN("",FALSE," G+",W857," in ",A857)))</f>
        <v/>
      </c>
    </row>
    <row r="858" spans="1:24" ht="12.5" customHeight="1" x14ac:dyDescent="0.2">
      <c r="A858" s="7" t="str">
        <f ca="1">IF(ISERROR(F844),"",VLOOKUP(C844,INDIRECT($F$8),6+(O858-1)*3,0))</f>
        <v/>
      </c>
      <c r="B858" s="24" t="str">
        <f ca="1">IF(ISERROR(F844),"",VLOOKUP(D844,INDIRECT($F$8),6+(O858-1)*3-Z858,0))</f>
        <v/>
      </c>
      <c r="C858" s="24"/>
      <c r="D858" s="24"/>
      <c r="E858" s="24"/>
      <c r="F858" s="7" t="str">
        <f ca="1">IF(ISERROR(F844),"",VLOOKUP(E844,INDIRECT($F$8),6+(O858-1)*3,0))</f>
        <v/>
      </c>
      <c r="G858" s="25" t="str">
        <f ca="1">IF(ISERROR(F844),"",_xlfn.TEXTJOIN("/",FALSE,P858,S858))</f>
        <v/>
      </c>
      <c r="H858" s="25"/>
      <c r="I858" s="25" t="str">
        <f ca="1">IF(ISERROR(F844),"",_xlfn.TEXTJOIN("/",FALSE,Q858,T858))</f>
        <v/>
      </c>
      <c r="J858" s="25"/>
      <c r="K858" s="25" t="str">
        <f ca="1">IF(ISERROR(F844),"",_xlfn.TEXTJOIN("/",FALSE,R858,U858))</f>
        <v/>
      </c>
      <c r="L858" s="25"/>
      <c r="M858" s="7" t="b">
        <f t="shared" ca="1" si="77"/>
        <v>0</v>
      </c>
      <c r="N858" s="8" t="e">
        <f t="shared" ca="1" si="78"/>
        <v>#N/A</v>
      </c>
      <c r="O858">
        <f t="shared" si="79"/>
        <v>11</v>
      </c>
      <c r="P858" s="1" t="str">
        <f ca="1">IF(ISERROR(F844),"",IF(ISTEXT(VLOOKUP(B844,INDIRECT($F$8),6+(O858-1)*3)),(VLOOKUP(B844,INDIRECT($F$8),6+(O858-1)*3)),SUM(VLOOKUP(B844,INDIRECT($F$8),6+(O858-1)*3),IF(W862,W858,0))))</f>
        <v/>
      </c>
      <c r="Q858" s="1" t="str">
        <f ca="1">IF(ISERROR(F844),"",VLOOKUP(B844,INDIRECT($F$8),7+(O858-1)*3))</f>
        <v/>
      </c>
      <c r="R858" s="1" t="str">
        <f ca="1">IF(ISERROR(F844),"",SUM(P858:Q858))</f>
        <v/>
      </c>
      <c r="S858" s="1" t="str">
        <f ca="1">IF(ISERROR(F844),"",VLOOKUP(A844,INDIRECT($F$8),6+(O858-1)*3))</f>
        <v/>
      </c>
      <c r="T858" s="1" t="str">
        <f ca="1">IF(ISERROR(F844),"",VLOOKUP(A844,INDIRECT($F$8),7+(O858-1)*3))</f>
        <v/>
      </c>
      <c r="U858" s="1" t="str">
        <f ca="1">IF(ISERROR(F844),"",VLOOKUP(A844,INDIRECT($F$8),8+(O858-1)*3))</f>
        <v/>
      </c>
      <c r="V858" s="1" t="str">
        <f ca="1">IF(ISERROR(F844),"",IF(N858=0,A858,""))</f>
        <v/>
      </c>
      <c r="W858" s="1" t="str">
        <f ca="1">IF(ISERROR(F844),"",IF(ISTEXT(VLOOKUP(B844,INDIRECT($F$8),6+(O858-1)*3)),11,IF(VLOOKUP(B844,INDIRECT($F$8),6+(O858-1)*3)&lt;S858*0.3,IF(VLOOKUP(B844,INDIRECT($F$8),8+(O858-1)*3)&lt;U858*0.4,IF(AND(0.4*U858-VLOOKUP(B844,INDIRECT($F$8),8+(O858-1)*3)&lt;=5,0.3*S858-VLOOKUP(B844,INDIRECT($F$8),6+(O858-1)*3)&lt;=5),MAX(0.4*U858-VLOOKUP(B844,INDIRECT($F$8),8+(O858-1)*3),0.3*S858-VLOOKUP(B844,INDIRECT($F$8),6+(O858-1)*3)),11),IF(0.3*S858-VLOOKUP(B844,INDIRECT($F$8),6+(O858-1)*3)&lt;=5,0.3*S858-VLOOKUP(B844,INDIRECT($F$8),6+(O858-1)*3),11)),IF(VLOOKUP(B844,INDIRECT($F$8),8+(O858-1)*3)&lt;U858*0.4,IF(U858*0.4-VLOOKUP(B844,INDIRECT($F$8),8+(O858-1)*3)&lt;=5,U858*0.4-VLOOKUP(B844,INDIRECT($F$8),8+(O858-1)*3),11),0))))</f>
        <v/>
      </c>
      <c r="X858" s="1" t="str">
        <f ca="1">IF(ISERROR(F844),"",IF(W858=0,"",_xlfn.TEXTJOIN("",FALSE," G+",W858," in ",A858)))</f>
        <v/>
      </c>
    </row>
    <row r="859" spans="1:24" ht="12.5" customHeight="1" x14ac:dyDescent="0.2">
      <c r="A859" s="7" t="str">
        <f ca="1">IF(ISERROR(F844),"",VLOOKUP(C844,INDIRECT($F$8),6+(O859-1)*3,0))</f>
        <v/>
      </c>
      <c r="B859" s="24" t="str">
        <f ca="1">IF(ISERROR(F844),"",VLOOKUP(D844,INDIRECT($F$8),6+(O859-1)*3,0))</f>
        <v/>
      </c>
      <c r="C859" s="24"/>
      <c r="D859" s="24"/>
      <c r="E859" s="24"/>
      <c r="F859" s="7" t="str">
        <f ca="1">IF(ISERROR(F844),"",VLOOKUP(E844,INDIRECT($F$8),6+(O859-1)*3,0))</f>
        <v/>
      </c>
      <c r="G859" s="25" t="str">
        <f ca="1">IF(ISERROR(F844),"",_xlfn.TEXTJOIN("/",FALSE,P859,S859))</f>
        <v/>
      </c>
      <c r="H859" s="25"/>
      <c r="I859" s="25" t="str">
        <f ca="1">IF(ISERROR(F844),"",_xlfn.TEXTJOIN("/",FALSE,Q859,T859))</f>
        <v/>
      </c>
      <c r="J859" s="25"/>
      <c r="K859" s="25" t="str">
        <f ca="1">IF(ISERROR(F844),"",_xlfn.TEXTJOIN("/",FALSE,R859,U859))</f>
        <v/>
      </c>
      <c r="L859" s="25"/>
      <c r="M859" s="7" t="b">
        <f t="shared" ca="1" si="77"/>
        <v>0</v>
      </c>
      <c r="N859" s="8" t="e">
        <f t="shared" ca="1" si="78"/>
        <v>#N/A</v>
      </c>
      <c r="O859">
        <f t="shared" si="79"/>
        <v>12</v>
      </c>
      <c r="P859" s="1" t="str">
        <f ca="1">IF(ISERROR(F844),"",IF(ISTEXT(VLOOKUP(B844,INDIRECT($F$8),6+(O859-1)*3)),(VLOOKUP(B844,INDIRECT($F$8),6+(O859-1)*3)),SUM(VLOOKUP(B844,INDIRECT($F$8),6+(O859-1)*3),IF(W862,W859,0))))</f>
        <v/>
      </c>
      <c r="Q859" s="1" t="str">
        <f ca="1">IF(ISERROR(F844),"",VLOOKUP(B844,INDIRECT($F$8),7+(O859-1)*3))</f>
        <v/>
      </c>
      <c r="R859" s="1" t="str">
        <f ca="1">IF(ISERROR(F844),"",SUM(P859:Q859))</f>
        <v/>
      </c>
      <c r="S859" s="1" t="str">
        <f ca="1">IF(ISERROR(F844),"",VLOOKUP(A844,INDIRECT($F$8),6+(O859-1)*3))</f>
        <v/>
      </c>
      <c r="T859" s="1" t="str">
        <f ca="1">IF(ISERROR(F844),"",VLOOKUP(A844,INDIRECT($F$8),7+(O859-1)*3))</f>
        <v/>
      </c>
      <c r="U859" s="1" t="str">
        <f ca="1">IF(ISERROR(F844),"",VLOOKUP(A844,INDIRECT($F$8),8+(O859-1)*3))</f>
        <v/>
      </c>
      <c r="V859" s="1" t="str">
        <f ca="1">IF(ISERROR(F844),"",IF(N859=0,A859,""))</f>
        <v/>
      </c>
      <c r="W859" s="1" t="str">
        <f ca="1">IF(ISERROR(F844),"",IF(ISTEXT(VLOOKUP(B844,INDIRECT($F$8),6+(O859-1)*3)),11,IF(VLOOKUP(B844,INDIRECT($F$8),6+(O859-1)*3)&lt;S859*0.3,IF(VLOOKUP(B844,INDIRECT($F$8),8+(O859-1)*3)&lt;U859*0.4,IF(AND(0.4*U859-VLOOKUP(B844,INDIRECT($F$8),8+(O859-1)*3)&lt;=5,0.3*S859-VLOOKUP(B844,INDIRECT($F$8),6+(O859-1)*3)&lt;=5),MAX(0.4*U859-VLOOKUP(B844,INDIRECT($F$8),8+(O859-1)*3),0.3*S859-VLOOKUP(B844,INDIRECT($F$8),6+(O859-1)*3)),11),IF(0.3*S859-VLOOKUP(B844,INDIRECT($F$8),6+(O859-1)*3)&lt;=5,0.3*S859-VLOOKUP(B844,INDIRECT($F$8),6+(O859-1)*3),11)),IF(VLOOKUP(B844,INDIRECT($F$8),8+(O859-1)*3)&lt;U859*0.4,IF(U859*0.4-VLOOKUP(B844,INDIRECT($F$8),8+(O859-1)*3)&lt;=5,U859*0.4-VLOOKUP(B844,INDIRECT($F$8),8+(O859-1)*3),11),0))))</f>
        <v/>
      </c>
      <c r="X859" s="1" t="str">
        <f ca="1">IF(ISERROR(F844),"",IF(W859=0,"",_xlfn.TEXTJOIN("",FALSE," G+",W859," in ",A859)))</f>
        <v/>
      </c>
    </row>
    <row r="860" spans="1:24" ht="12.5" customHeight="1" x14ac:dyDescent="0.2">
      <c r="A860" s="7" t="str">
        <f ca="1">IF(ISERROR(F844),"",VLOOKUP(C844,INDIRECT($F$8),6+(O860-1)*3,0))</f>
        <v/>
      </c>
      <c r="B860" s="24" t="str">
        <f ca="1">IF(ISERROR(F844),"",VLOOKUP(D844,INDIRECT($F$8),6+(O860-1)*3,0))</f>
        <v/>
      </c>
      <c r="C860" s="24"/>
      <c r="D860" s="24"/>
      <c r="E860" s="24"/>
      <c r="F860" s="7" t="str">
        <f ca="1">IF(ISERROR(F844),"",VLOOKUP(E844,INDIRECT($F$8),6+(O860-1)*3,0))</f>
        <v/>
      </c>
      <c r="G860" s="25" t="str">
        <f ca="1">IF(ISERROR(F844),"",_xlfn.TEXTJOIN("/",FALSE,P860,S860))</f>
        <v/>
      </c>
      <c r="H860" s="25"/>
      <c r="I860" s="25" t="str">
        <f ca="1">IF(ISERROR(F844),"",_xlfn.TEXTJOIN("/",FALSE,Q860,T860))</f>
        <v/>
      </c>
      <c r="J860" s="25"/>
      <c r="K860" s="25" t="str">
        <f ca="1">IF(ISERROR(F844),"",_xlfn.TEXTJOIN("/",FALSE,R860,U860))</f>
        <v/>
      </c>
      <c r="L860" s="25"/>
      <c r="M860" s="7" t="b">
        <f ca="1">IF(ISERROR(F855)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0</v>
      </c>
      <c r="N860" s="8" t="e">
        <f ca="1">INDEX($Z$2:$Z$17,MATCH(M860,$Y$2:$Y$17,0))</f>
        <v>#N/A</v>
      </c>
      <c r="O860">
        <f t="shared" si="79"/>
        <v>13</v>
      </c>
      <c r="P860" s="1" t="str">
        <f ca="1">IF(ISERROR(F844),"",IF(ISTEXT(VLOOKUP(B844,INDIRECT($F$8),6+(O860-1)*3)),(VLOOKUP(B844,INDIRECT($F$8),6+(O860-1)*3)),SUM(VLOOKUP(B844,INDIRECT($F$8),6+(O860-1)*3),IF(W862,W860,0))))</f>
        <v/>
      </c>
      <c r="Q860" s="1" t="str">
        <f ca="1">IF(ISERROR(F844),"",VLOOKUP(B844,INDIRECT($F$8),7+(O860-1)*3))</f>
        <v/>
      </c>
      <c r="R860" s="1" t="str">
        <f ca="1">IF(ISERROR(F844),"",SUM(P860:Q860))</f>
        <v/>
      </c>
      <c r="S860" s="1" t="str">
        <f ca="1">IF(ISERROR(F844),"",VLOOKUP(A844,INDIRECT($F$8),6+(O860-1)*3))</f>
        <v/>
      </c>
      <c r="T860" s="1" t="str">
        <f ca="1">IF(ISERROR(F844),"",VLOOKUP(A844,INDIRECT($F$8),7+(O860-1)*3))</f>
        <v/>
      </c>
      <c r="U860" s="1" t="str">
        <f ca="1">IF(ISERROR(F844),"",VLOOKUP(A844,INDIRECT($F$8),8+(O860-1)*3))</f>
        <v/>
      </c>
      <c r="V860" s="1"/>
      <c r="W860" s="1" t="str">
        <f ca="1">IF(ISERROR(F844),"",IF(ISTEXT(VLOOKUP(B844,INDIRECT($F$8),6+(O860-1)*3)),11,IF(VLOOKUP(B844,INDIRECT($F$8),6+(O860-1)*3)&lt;S860*0.3,IF(VLOOKUP(B844,INDIRECT($F$8),8+(O860-1)*3)&lt;U860*0.4,IF(AND(0.4*U860-VLOOKUP(B844,INDIRECT($F$8),8+(O860-1)*3)&lt;=5,0.3*S860-VLOOKUP(B844,INDIRECT($F$8),6+(O860-1)*3)&lt;=5),MAX(0.4*U860-VLOOKUP(B844,INDIRECT($F$8),8+(O860-1)*3),0.3*S860-VLOOKUP(B844,INDIRECT($F$8),6+(O860-1)*3)),11),IF(0.3*S860-VLOOKUP(B844,INDIRECT($F$8),6+(O860-1)*3)&lt;=5,0.3*S860-VLOOKUP(B844,INDIRECT($F$8),6+(O860-1)*3),11)),IF(VLOOKUP(B844,INDIRECT($F$8),8+(O860-1)*3)&lt;U860*0.4,IF(U860*0.4-VLOOKUP(B844,INDIRECT($F$8),8+(O860-1)*3)&lt;=5,U860*0.4-VLOOKUP(B844,INDIRECT($F$8),8+(O860-1)*3),11),0))))</f>
        <v/>
      </c>
      <c r="X860" s="1" t="str">
        <f ca="1">IF(ISERROR(F844),"",IF(W860=0,"",_xlfn.TEXTJOIN("",FALSE," G+",W860," in ",A860)))</f>
        <v/>
      </c>
    </row>
    <row r="861" spans="1:24" ht="12.5" customHeight="1" x14ac:dyDescent="0.2">
      <c r="A861" s="7" t="str">
        <f ca="1">IF(ISERROR(F844),"",VLOOKUP(C844,INDIRECT($F$8),6+(O861-1)*3-Y861,0))</f>
        <v/>
      </c>
      <c r="B861" s="24" t="str">
        <f ca="1">IF(ISERROR(F844),"",VLOOKUP(D844,INDIRECT($F$8),6+(O861-1)*3-Z861,0))</f>
        <v/>
      </c>
      <c r="C861" s="24"/>
      <c r="D861" s="24"/>
      <c r="E861" s="24"/>
      <c r="F861" s="7" t="str">
        <f ca="1">IF(ISERROR(F844),"",VLOOKUP(E844,INDIRECT($F$8),6+(O861-1)*3-AA861,0))</f>
        <v/>
      </c>
      <c r="G861" s="25" t="str">
        <f ca="1">IF(ISERROR(F844),"","-")</f>
        <v/>
      </c>
      <c r="H861" s="25"/>
      <c r="I861" s="25" t="str">
        <f ca="1">IF(ISERROR(F844),"",_xlfn.TEXTJOIN("/",FALSE,Q861,T861))</f>
        <v/>
      </c>
      <c r="J861" s="25"/>
      <c r="K861" s="25" t="str">
        <f ca="1">IF(ISERROR(F844),"",_xlfn.TEXTJOIN("/",FALSE,R861,U861))</f>
        <v/>
      </c>
      <c r="L861" s="25"/>
      <c r="M861" s="25" t="str">
        <f ca="1">IF(ISBLANK(R861),"",IF(ISTEXT(R861),R861,IF(R861&gt;=0.8*U861,"Excellent",IF(R861&gt;=0.6*U861,"Very Good",IF(R861&gt;=0.4*U861,"Good",IF(R861&gt;=0.2*U861,"Satisfactory","Average"))))))</f>
        <v/>
      </c>
      <c r="N861" s="25"/>
      <c r="O861">
        <f t="shared" si="79"/>
        <v>14</v>
      </c>
      <c r="P861" s="1" t="str">
        <f ca="1">IF(ISERROR(F844),"",IF(ISTEXT(VLOOKUP(B\28,INDIRECT($F$8),6+(O861-1)*3)),(VLOOKUP(B844,INDIRECT($F$8),6+(O861-1)*3)),SUM(VLOOKUP(B844,INDIRECT($F$8),6+(O861-1)*3),IF(W862,W862,0))))</f>
        <v/>
      </c>
      <c r="Q861" s="1" t="str">
        <f ca="1">IF(ISERROR(F844),"",VLOOKUP(B844,INDIRECT($F$8),7+(O861-1)*3))</f>
        <v/>
      </c>
      <c r="R861" s="1" t="str">
        <f ca="1">IF(ISERROR(F844),"",SUM(P861:Q861))</f>
        <v/>
      </c>
      <c r="S861" s="1" t="str">
        <f ca="1">IF(ISERROR(F844),"",VLOOKUP(A844,INDIRECT($F$8),6+(O861-1)*3))</f>
        <v/>
      </c>
      <c r="T861" s="1" t="str">
        <f ca="1">IF(ISERROR(F844),"",VLOOKUP(A844,INDIRECT($F$8),7+(O861-1)*3))</f>
        <v/>
      </c>
      <c r="U861" s="1" t="str">
        <f ca="1">IF(ISERROR(F844),"",VLOOKUP(A844,INDIRECT($F$8),8+(O861-1)*3))</f>
        <v/>
      </c>
      <c r="V861" s="1"/>
      <c r="W861" s="1"/>
      <c r="X861" s="1" t="str">
        <f ca="1">IF(ISERROR(F844),"",IF(W861=0,"",_xlfn.TEXTJOIN("",FALSE," G+",W861," in ",A861)))</f>
        <v/>
      </c>
    </row>
    <row r="862" spans="1:24" ht="12.5" customHeight="1" x14ac:dyDescent="0.2">
      <c r="A862" s="26" t="str">
        <f ca="1">IF(ISERROR(F844),"",A840)</f>
        <v/>
      </c>
      <c r="B862" s="26"/>
      <c r="C862" s="26"/>
      <c r="D862" s="26"/>
      <c r="E862" s="26"/>
      <c r="F862" s="10" t="str">
        <f ca="1">IF(ISERROR(F844),"",SUM(F849:F860))</f>
        <v/>
      </c>
      <c r="G862" s="27" t="str">
        <f ca="1">IF(ISERROR(F844),"",_xlfn.TEXTJOIN("/",TRUE,SUMIF(F849:F861,"&gt;0",P849:P861),SUMIF(F849:F861,"&gt;0",S849:S861)))</f>
        <v/>
      </c>
      <c r="H862" s="27"/>
      <c r="I862" s="27" t="str">
        <f ca="1">IF(ISERROR(F844),"",_xlfn.TEXTJOIN("/",TRUE,SUMIF(F849:F861,"&gt;0",Q849:Q861),SUMIF(F849:F861,"&gt;0",T849:T861)))</f>
        <v/>
      </c>
      <c r="J862" s="27"/>
      <c r="K862" s="27" t="str">
        <f ca="1">IF(ISERROR(F844),"",_xlfn.TEXTJOIN("/",TRUE,SUMIF(F849:F861,"&gt;0",R849:R861),SUMIF(F849:F861,"&gt;0",U849:U861)))</f>
        <v/>
      </c>
      <c r="L862" s="27"/>
      <c r="M862" s="26" t="str">
        <f ca="1">IF(ISERROR(F844),"",SUMPRODUCT(N849:N860,F849:F860))</f>
        <v/>
      </c>
      <c r="N862" s="26"/>
      <c r="V862" s="1" t="str">
        <f ca="1">IF(ISERROR(F844),"",_xlfn.TEXTJOIN(", ",TRUE,V849:V861))</f>
        <v/>
      </c>
      <c r="W862" t="str">
        <f ca="1">IF(ISERROR(F844),"",IF(SUM(W849:W861)&lt;=W848,TRUE,FALSE))</f>
        <v/>
      </c>
      <c r="X862" s="1" t="str">
        <f ca="1">IF(ISERROR(F844),"",_xlfn.TEXTJOIN(",",TRUE,X849:X861))</f>
        <v/>
      </c>
    </row>
    <row r="863" spans="1:24" ht="12.5" customHeight="1" x14ac:dyDescent="0.2">
      <c r="A863" s="26" t="str">
        <f ca="1">IF(ISERROR(F844),"",A841)</f>
        <v/>
      </c>
      <c r="B863" s="28" t="str" cm="1">
        <f t="array" aca="1" ref="B863" ca="1">IF(SUM(COUNTIF(M849:M860,{"Ab","Dt"}))=12, "Not Promoted to IInd Semester", IF(V862="", "PASS", "CARRY OVER"))</f>
        <v>PASS</v>
      </c>
      <c r="C863" s="28"/>
      <c r="D863" s="26" t="str">
        <f ca="1">IF(ISERROR(F844),"",D841)</f>
        <v/>
      </c>
      <c r="E863" s="28" t="str">
        <f ca="1">IF(ISERROR(F844),"",IF(V862="",IF(X862="","",X862),_xlfn.TEXTJOIN(" ",TRUE,"BACK IN",V862)))</f>
        <v/>
      </c>
      <c r="F863" s="28"/>
      <c r="G863" s="26" t="str">
        <f ca="1">IF(ISERROR(F844),"",G841)</f>
        <v/>
      </c>
      <c r="H863" s="29" t="str">
        <f ca="1">IF(ISERROR(F844),"",M862/F862)</f>
        <v/>
      </c>
      <c r="I863" s="26" t="str">
        <f ca="1">IF(ISERROR(F844),"",I841)</f>
        <v/>
      </c>
      <c r="J863" s="29" t="str">
        <f ca="1">IF(ISERROR(F844),"",VLOOKUP(B844,INDIRECT($F$8),12+(O861-1)*3,0))</f>
        <v/>
      </c>
      <c r="K863" s="28" t="str">
        <f ca="1">IF(ISERROR(F844),"",K841)</f>
        <v/>
      </c>
      <c r="L863" s="26" t="str">
        <f ca="1">IF(ISERROR(F844),"",SUMIF(N849:N860,"&gt;0",F849:F860))</f>
        <v/>
      </c>
      <c r="M863" s="28" t="str">
        <f ca="1">IF(ISERROR(F844),"",M841)</f>
        <v/>
      </c>
      <c r="N863" s="26" t="str">
        <f ca="1">IF(ISERROR(F844),"",VLOOKUP(B844,INDIRECT($F$8),10+(O861-1)*3,0))</f>
        <v/>
      </c>
    </row>
    <row r="864" spans="1:24" ht="12.5" customHeight="1" x14ac:dyDescent="0.2">
      <c r="A864" s="26"/>
      <c r="B864" s="28"/>
      <c r="C864" s="28"/>
      <c r="D864" s="26"/>
      <c r="E864" s="28"/>
      <c r="F864" s="28"/>
      <c r="G864" s="26"/>
      <c r="H864" s="29"/>
      <c r="I864" s="26"/>
      <c r="J864" s="29"/>
      <c r="K864" s="28"/>
      <c r="L864" s="26"/>
      <c r="M864" s="28"/>
      <c r="N864" s="26"/>
    </row>
    <row r="865" spans="1:14" ht="12.5" customHeight="1" x14ac:dyDescent="0.2">
      <c r="A865" s="26"/>
      <c r="B865" s="28"/>
      <c r="C865" s="28"/>
      <c r="D865" s="26"/>
      <c r="E865" s="28"/>
      <c r="F865" s="28"/>
      <c r="G865" s="26"/>
      <c r="H865" s="29"/>
      <c r="I865" s="26"/>
      <c r="J865" s="29"/>
      <c r="K865" s="28"/>
      <c r="L865" s="26"/>
      <c r="M865" s="28"/>
      <c r="N865" s="26"/>
    </row>
  </sheetData>
  <mergeCells count="3358">
    <mergeCell ref="B619:E619"/>
    <mergeCell ref="G619:H619"/>
    <mergeCell ref="I619:J619"/>
    <mergeCell ref="K619:L619"/>
    <mergeCell ref="G620:H620"/>
    <mergeCell ref="I620:J620"/>
    <mergeCell ref="K620:L620"/>
    <mergeCell ref="B617:E617"/>
    <mergeCell ref="G617:H617"/>
    <mergeCell ref="I617:J617"/>
    <mergeCell ref="K617:L617"/>
    <mergeCell ref="B618:E618"/>
    <mergeCell ref="G618:H618"/>
    <mergeCell ref="I618:J618"/>
    <mergeCell ref="K618:L618"/>
    <mergeCell ref="B615:E615"/>
    <mergeCell ref="G615:H615"/>
    <mergeCell ref="I615:J615"/>
    <mergeCell ref="K615:L615"/>
    <mergeCell ref="B616:E616"/>
    <mergeCell ref="G616:H616"/>
    <mergeCell ref="I616:J616"/>
    <mergeCell ref="K616:L616"/>
    <mergeCell ref="B613:E613"/>
    <mergeCell ref="G613:H613"/>
    <mergeCell ref="I613:J613"/>
    <mergeCell ref="K613:L613"/>
    <mergeCell ref="B614:E614"/>
    <mergeCell ref="G614:H614"/>
    <mergeCell ref="I614:J614"/>
    <mergeCell ref="K614:L614"/>
    <mergeCell ref="I611:J611"/>
    <mergeCell ref="K611:L611"/>
    <mergeCell ref="B612:E612"/>
    <mergeCell ref="G612:H612"/>
    <mergeCell ref="I612:J612"/>
    <mergeCell ref="K612:L612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B611:E611"/>
    <mergeCell ref="G611:H611"/>
    <mergeCell ref="I598:J598"/>
    <mergeCell ref="K598:L598"/>
    <mergeCell ref="A605:A606"/>
    <mergeCell ref="B605:E606"/>
    <mergeCell ref="F605:F606"/>
    <mergeCell ref="G605:H606"/>
    <mergeCell ref="I605:J606"/>
    <mergeCell ref="K605:L606"/>
    <mergeCell ref="M605:M606"/>
    <mergeCell ref="N605:N606"/>
    <mergeCell ref="D603:D604"/>
    <mergeCell ref="E603:F604"/>
    <mergeCell ref="G603:H604"/>
    <mergeCell ref="I603:J604"/>
    <mergeCell ref="K603:L604"/>
    <mergeCell ref="M603:N604"/>
    <mergeCell ref="A603:A604"/>
    <mergeCell ref="B603:C604"/>
    <mergeCell ref="G593:H593"/>
    <mergeCell ref="I593:J593"/>
    <mergeCell ref="K593:L593"/>
    <mergeCell ref="B594:E594"/>
    <mergeCell ref="G594:H594"/>
    <mergeCell ref="I594:J594"/>
    <mergeCell ref="K594:L59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92:E592"/>
    <mergeCell ref="G592:H592"/>
    <mergeCell ref="I592:J592"/>
    <mergeCell ref="K592:L592"/>
    <mergeCell ref="M575:N575"/>
    <mergeCell ref="A576:E576"/>
    <mergeCell ref="M576:N576"/>
    <mergeCell ref="A583:A584"/>
    <mergeCell ref="B583:E584"/>
    <mergeCell ref="F583:F584"/>
    <mergeCell ref="G583:H584"/>
    <mergeCell ref="I583:J584"/>
    <mergeCell ref="K583:L584"/>
    <mergeCell ref="M583:M584"/>
    <mergeCell ref="N583:N584"/>
    <mergeCell ref="B585:E585"/>
    <mergeCell ref="G585:H585"/>
    <mergeCell ref="I585:J585"/>
    <mergeCell ref="K585:L585"/>
    <mergeCell ref="B586:E586"/>
    <mergeCell ref="G586:H586"/>
    <mergeCell ref="I586:J586"/>
    <mergeCell ref="K586:L586"/>
    <mergeCell ref="G576:H576"/>
    <mergeCell ref="I576:J576"/>
    <mergeCell ref="K576:L576"/>
    <mergeCell ref="B575:E575"/>
    <mergeCell ref="G575:H575"/>
    <mergeCell ref="I575:J575"/>
    <mergeCell ref="K575:L575"/>
    <mergeCell ref="A577:A579"/>
    <mergeCell ref="B577:C579"/>
    <mergeCell ref="D577:D579"/>
    <mergeCell ref="E577:F579"/>
    <mergeCell ref="G577:G579"/>
    <mergeCell ref="H577:H579"/>
    <mergeCell ref="B573:E573"/>
    <mergeCell ref="G573:H573"/>
    <mergeCell ref="I573:J573"/>
    <mergeCell ref="K573:L573"/>
    <mergeCell ref="B574:E574"/>
    <mergeCell ref="G574:H574"/>
    <mergeCell ref="I574:J574"/>
    <mergeCell ref="K574:L574"/>
    <mergeCell ref="I571:J571"/>
    <mergeCell ref="K571:L571"/>
    <mergeCell ref="B572:E572"/>
    <mergeCell ref="G572:H572"/>
    <mergeCell ref="I572:J572"/>
    <mergeCell ref="K572:L572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B571:E571"/>
    <mergeCell ref="G571:H571"/>
    <mergeCell ref="K561:L562"/>
    <mergeCell ref="M561:M562"/>
    <mergeCell ref="N561:N562"/>
    <mergeCell ref="G564:H564"/>
    <mergeCell ref="I564:J564"/>
    <mergeCell ref="K564:L564"/>
    <mergeCell ref="B564:E564"/>
    <mergeCell ref="B565:E565"/>
    <mergeCell ref="G565:H565"/>
    <mergeCell ref="I565:J565"/>
    <mergeCell ref="K565:L565"/>
    <mergeCell ref="B566:E566"/>
    <mergeCell ref="G566:H566"/>
    <mergeCell ref="I566:J566"/>
    <mergeCell ref="K566:L566"/>
    <mergeCell ref="B567:E567"/>
    <mergeCell ref="G567:H567"/>
    <mergeCell ref="I567:J567"/>
    <mergeCell ref="K567:L567"/>
    <mergeCell ref="M553:N553"/>
    <mergeCell ref="A554:E554"/>
    <mergeCell ref="M554:N554"/>
    <mergeCell ref="A555:A557"/>
    <mergeCell ref="B555:C557"/>
    <mergeCell ref="D555:D557"/>
    <mergeCell ref="E555:F557"/>
    <mergeCell ref="G555:G557"/>
    <mergeCell ref="H555:H557"/>
    <mergeCell ref="I555:I557"/>
    <mergeCell ref="J555:J557"/>
    <mergeCell ref="K555:K557"/>
    <mergeCell ref="L555:L557"/>
    <mergeCell ref="B563:E563"/>
    <mergeCell ref="G563:H563"/>
    <mergeCell ref="I563:J563"/>
    <mergeCell ref="K563:L563"/>
    <mergeCell ref="M555:M557"/>
    <mergeCell ref="N555:N557"/>
    <mergeCell ref="A559:A560"/>
    <mergeCell ref="B559:C560"/>
    <mergeCell ref="D559:D560"/>
    <mergeCell ref="E559:F560"/>
    <mergeCell ref="G559:H560"/>
    <mergeCell ref="I559:J560"/>
    <mergeCell ref="K559:L560"/>
    <mergeCell ref="M559:N560"/>
    <mergeCell ref="A561:A562"/>
    <mergeCell ref="B561:E562"/>
    <mergeCell ref="F561:F562"/>
    <mergeCell ref="G561:H562"/>
    <mergeCell ref="I561:J562"/>
    <mergeCell ref="I549:J549"/>
    <mergeCell ref="K549:L549"/>
    <mergeCell ref="B550:E550"/>
    <mergeCell ref="G550:H550"/>
    <mergeCell ref="I550:J550"/>
    <mergeCell ref="K550:L550"/>
    <mergeCell ref="B551:E551"/>
    <mergeCell ref="G551:H551"/>
    <mergeCell ref="B553:E553"/>
    <mergeCell ref="G553:H553"/>
    <mergeCell ref="I553:J553"/>
    <mergeCell ref="K553:L553"/>
    <mergeCell ref="G554:H554"/>
    <mergeCell ref="I554:J554"/>
    <mergeCell ref="K554:L554"/>
    <mergeCell ref="I551:J551"/>
    <mergeCell ref="K551:L551"/>
    <mergeCell ref="B552:E552"/>
    <mergeCell ref="G552:H552"/>
    <mergeCell ref="I552:J552"/>
    <mergeCell ref="K552:L552"/>
    <mergeCell ref="A537:A538"/>
    <mergeCell ref="B537:C538"/>
    <mergeCell ref="D537:D538"/>
    <mergeCell ref="E537:F538"/>
    <mergeCell ref="G537:H538"/>
    <mergeCell ref="I537:J538"/>
    <mergeCell ref="K537:L538"/>
    <mergeCell ref="M537:N538"/>
    <mergeCell ref="A539:A540"/>
    <mergeCell ref="B539:E540"/>
    <mergeCell ref="F539:F540"/>
    <mergeCell ref="G539:H540"/>
    <mergeCell ref="I539:J540"/>
    <mergeCell ref="B542:E542"/>
    <mergeCell ref="G542:H542"/>
    <mergeCell ref="I542:J542"/>
    <mergeCell ref="K542:L542"/>
    <mergeCell ref="K539:L540"/>
    <mergeCell ref="M539:M540"/>
    <mergeCell ref="N539:N540"/>
    <mergeCell ref="B541:E541"/>
    <mergeCell ref="G541:H541"/>
    <mergeCell ref="I541:J541"/>
    <mergeCell ref="K541:L541"/>
    <mergeCell ref="G530:H530"/>
    <mergeCell ref="I530:J530"/>
    <mergeCell ref="K530:L530"/>
    <mergeCell ref="B531:E531"/>
    <mergeCell ref="G531:H531"/>
    <mergeCell ref="I531:J531"/>
    <mergeCell ref="K531:L531"/>
    <mergeCell ref="M531:N531"/>
    <mergeCell ref="A532:E532"/>
    <mergeCell ref="G532:H532"/>
    <mergeCell ref="I532:J532"/>
    <mergeCell ref="K532:L532"/>
    <mergeCell ref="M532:N532"/>
    <mergeCell ref="A533:A535"/>
    <mergeCell ref="B533:C535"/>
    <mergeCell ref="D533:D535"/>
    <mergeCell ref="E533:F535"/>
    <mergeCell ref="G533:G535"/>
    <mergeCell ref="H533:H535"/>
    <mergeCell ref="I533:I535"/>
    <mergeCell ref="M533:M535"/>
    <mergeCell ref="N533:N535"/>
    <mergeCell ref="M509:N509"/>
    <mergeCell ref="A510:E510"/>
    <mergeCell ref="G510:H510"/>
    <mergeCell ref="I510:J510"/>
    <mergeCell ref="K510:L510"/>
    <mergeCell ref="M510:N510"/>
    <mergeCell ref="B521:E521"/>
    <mergeCell ref="G521:H521"/>
    <mergeCell ref="I521:J521"/>
    <mergeCell ref="K521:L521"/>
    <mergeCell ref="B522:E522"/>
    <mergeCell ref="G522:H522"/>
    <mergeCell ref="I522:J522"/>
    <mergeCell ref="K522:L522"/>
    <mergeCell ref="B519:E519"/>
    <mergeCell ref="G519:H519"/>
    <mergeCell ref="I519:J519"/>
    <mergeCell ref="K519:L519"/>
    <mergeCell ref="B520:E520"/>
    <mergeCell ref="G520:H520"/>
    <mergeCell ref="I520:J520"/>
    <mergeCell ref="K520:L520"/>
    <mergeCell ref="A511:A513"/>
    <mergeCell ref="B511:C513"/>
    <mergeCell ref="D511:D513"/>
    <mergeCell ref="E511:F513"/>
    <mergeCell ref="G511:G513"/>
    <mergeCell ref="H511:H513"/>
    <mergeCell ref="I511:I513"/>
    <mergeCell ref="J511:J513"/>
    <mergeCell ref="K511:K513"/>
    <mergeCell ref="L511:L513"/>
    <mergeCell ref="B505:E505"/>
    <mergeCell ref="G505:H505"/>
    <mergeCell ref="I505:J505"/>
    <mergeCell ref="K505:L505"/>
    <mergeCell ref="B506:E506"/>
    <mergeCell ref="G506:H506"/>
    <mergeCell ref="I506:J506"/>
    <mergeCell ref="K506:L506"/>
    <mergeCell ref="B507:E507"/>
    <mergeCell ref="G507:H507"/>
    <mergeCell ref="I507:J507"/>
    <mergeCell ref="K507:L507"/>
    <mergeCell ref="B508:E508"/>
    <mergeCell ref="G508:H508"/>
    <mergeCell ref="I508:J508"/>
    <mergeCell ref="K508:L508"/>
    <mergeCell ref="B509:E509"/>
    <mergeCell ref="G509:H509"/>
    <mergeCell ref="I509:J509"/>
    <mergeCell ref="K509:L509"/>
    <mergeCell ref="A489:A491"/>
    <mergeCell ref="B489:C491"/>
    <mergeCell ref="D489:D491"/>
    <mergeCell ref="E489:F491"/>
    <mergeCell ref="G489:G491"/>
    <mergeCell ref="H489:H491"/>
    <mergeCell ref="I489:I491"/>
    <mergeCell ref="J489:J491"/>
    <mergeCell ref="K489:K491"/>
    <mergeCell ref="L489:L491"/>
    <mergeCell ref="M489:M491"/>
    <mergeCell ref="N489:N491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499:E499"/>
    <mergeCell ref="G499:H499"/>
    <mergeCell ref="I499:J499"/>
    <mergeCell ref="K499:L499"/>
    <mergeCell ref="B500:E500"/>
    <mergeCell ref="G500:H500"/>
    <mergeCell ref="I500:J500"/>
    <mergeCell ref="K500:L500"/>
    <mergeCell ref="B497:E497"/>
    <mergeCell ref="G497:H497"/>
    <mergeCell ref="I497:J497"/>
    <mergeCell ref="K497:L497"/>
    <mergeCell ref="B483:E483"/>
    <mergeCell ref="G483:H483"/>
    <mergeCell ref="I483:J483"/>
    <mergeCell ref="K483:L483"/>
    <mergeCell ref="G484:H484"/>
    <mergeCell ref="I484:J484"/>
    <mergeCell ref="K484:L484"/>
    <mergeCell ref="B487:E487"/>
    <mergeCell ref="G487:H487"/>
    <mergeCell ref="I487:J487"/>
    <mergeCell ref="K487:L487"/>
    <mergeCell ref="M487:N487"/>
    <mergeCell ref="A488:E488"/>
    <mergeCell ref="G488:H488"/>
    <mergeCell ref="I488:J488"/>
    <mergeCell ref="K488:L488"/>
    <mergeCell ref="M488:N488"/>
    <mergeCell ref="K482:L482"/>
    <mergeCell ref="B479:E479"/>
    <mergeCell ref="G479:H479"/>
    <mergeCell ref="I479:J479"/>
    <mergeCell ref="K479:L479"/>
    <mergeCell ref="B480:E480"/>
    <mergeCell ref="G480:H480"/>
    <mergeCell ref="I480:J480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A467:A469"/>
    <mergeCell ref="B467:C469"/>
    <mergeCell ref="D467:D469"/>
    <mergeCell ref="A471:A472"/>
    <mergeCell ref="G471:H472"/>
    <mergeCell ref="I471:J472"/>
    <mergeCell ref="K471:L472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71:C472"/>
    <mergeCell ref="D471:D472"/>
    <mergeCell ref="E471:F472"/>
    <mergeCell ref="M471:N472"/>
    <mergeCell ref="B463:E463"/>
    <mergeCell ref="G463:H463"/>
    <mergeCell ref="I463:J463"/>
    <mergeCell ref="K463:L463"/>
    <mergeCell ref="G464:H464"/>
    <mergeCell ref="I464:J464"/>
    <mergeCell ref="K464:L464"/>
    <mergeCell ref="B464:E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66:L466"/>
    <mergeCell ref="M466:N466"/>
    <mergeCell ref="B461:E461"/>
    <mergeCell ref="G461:H461"/>
    <mergeCell ref="I461:J461"/>
    <mergeCell ref="K461:L461"/>
    <mergeCell ref="B462:E462"/>
    <mergeCell ref="G462:H462"/>
    <mergeCell ref="I462:J462"/>
    <mergeCell ref="K462:L462"/>
    <mergeCell ref="B459:E459"/>
    <mergeCell ref="G459:H459"/>
    <mergeCell ref="I459:J459"/>
    <mergeCell ref="K459:L459"/>
    <mergeCell ref="B460:E460"/>
    <mergeCell ref="G460:H460"/>
    <mergeCell ref="I460:J460"/>
    <mergeCell ref="K460:L460"/>
    <mergeCell ref="B457:E457"/>
    <mergeCell ref="G457:H457"/>
    <mergeCell ref="I457:J457"/>
    <mergeCell ref="K457:L457"/>
    <mergeCell ref="B458:E458"/>
    <mergeCell ref="G458:H458"/>
    <mergeCell ref="I458:J458"/>
    <mergeCell ref="K458:L458"/>
    <mergeCell ref="B455:E455"/>
    <mergeCell ref="G455:H455"/>
    <mergeCell ref="I455:J455"/>
    <mergeCell ref="K455:L455"/>
    <mergeCell ref="B456:E456"/>
    <mergeCell ref="G456:H456"/>
    <mergeCell ref="I456:J456"/>
    <mergeCell ref="K456:L456"/>
    <mergeCell ref="B453:E453"/>
    <mergeCell ref="G453:H453"/>
    <mergeCell ref="I453:J453"/>
    <mergeCell ref="K453:L453"/>
    <mergeCell ref="B454:E454"/>
    <mergeCell ref="G454:H454"/>
    <mergeCell ref="I454:J454"/>
    <mergeCell ref="K454:L454"/>
    <mergeCell ref="M449:N450"/>
    <mergeCell ref="A451:A452"/>
    <mergeCell ref="B451:E452"/>
    <mergeCell ref="F451:F452"/>
    <mergeCell ref="G451:H452"/>
    <mergeCell ref="I451:J452"/>
    <mergeCell ref="K451:L452"/>
    <mergeCell ref="M451:M452"/>
    <mergeCell ref="N451:N452"/>
    <mergeCell ref="L445:L447"/>
    <mergeCell ref="M445:M447"/>
    <mergeCell ref="N445:N447"/>
    <mergeCell ref="A449:A450"/>
    <mergeCell ref="B449:C450"/>
    <mergeCell ref="D449:D450"/>
    <mergeCell ref="E449:F450"/>
    <mergeCell ref="G449:H450"/>
    <mergeCell ref="I449:J450"/>
    <mergeCell ref="K449:L450"/>
    <mergeCell ref="M444:N444"/>
    <mergeCell ref="A445:A447"/>
    <mergeCell ref="B445:C447"/>
    <mergeCell ref="D445:D447"/>
    <mergeCell ref="E445:F447"/>
    <mergeCell ref="G445:G447"/>
    <mergeCell ref="H445:H447"/>
    <mergeCell ref="I445:I447"/>
    <mergeCell ref="J445:J447"/>
    <mergeCell ref="K445:K447"/>
    <mergeCell ref="B443:E443"/>
    <mergeCell ref="G443:H443"/>
    <mergeCell ref="I443:J443"/>
    <mergeCell ref="K443:L443"/>
    <mergeCell ref="A444:E444"/>
    <mergeCell ref="G444:H444"/>
    <mergeCell ref="I444:J444"/>
    <mergeCell ref="K444:L444"/>
    <mergeCell ref="M443:N443"/>
    <mergeCell ref="B441:E441"/>
    <mergeCell ref="G441:H441"/>
    <mergeCell ref="I441:J441"/>
    <mergeCell ref="K441:L441"/>
    <mergeCell ref="B442:E442"/>
    <mergeCell ref="G442:H442"/>
    <mergeCell ref="I442:J442"/>
    <mergeCell ref="K442:L442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M429:M430"/>
    <mergeCell ref="N429:N430"/>
    <mergeCell ref="B431:E431"/>
    <mergeCell ref="G431:H431"/>
    <mergeCell ref="I431:J431"/>
    <mergeCell ref="K431:L431"/>
    <mergeCell ref="B432:E432"/>
    <mergeCell ref="G432:H432"/>
    <mergeCell ref="I432:J432"/>
    <mergeCell ref="K432:L432"/>
    <mergeCell ref="B435:E435"/>
    <mergeCell ref="G435:H435"/>
    <mergeCell ref="I435:J435"/>
    <mergeCell ref="K435:L435"/>
    <mergeCell ref="B436:E436"/>
    <mergeCell ref="G436:H436"/>
    <mergeCell ref="I436:J436"/>
    <mergeCell ref="K436:L436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7:E417"/>
    <mergeCell ref="G417:H417"/>
    <mergeCell ref="I417:J417"/>
    <mergeCell ref="K417:L417"/>
    <mergeCell ref="B418:E418"/>
    <mergeCell ref="G418:H418"/>
    <mergeCell ref="I418:J418"/>
    <mergeCell ref="K418:L418"/>
    <mergeCell ref="A429:A430"/>
    <mergeCell ref="G429:H430"/>
    <mergeCell ref="I429:J430"/>
    <mergeCell ref="K429:L430"/>
    <mergeCell ref="B429:E430"/>
    <mergeCell ref="F429:F430"/>
    <mergeCell ref="B410:E410"/>
    <mergeCell ref="G410:H410"/>
    <mergeCell ref="I410:J410"/>
    <mergeCell ref="K410:L410"/>
    <mergeCell ref="B411:E411"/>
    <mergeCell ref="G411:H411"/>
    <mergeCell ref="I411:J411"/>
    <mergeCell ref="K411:L411"/>
    <mergeCell ref="B412:E412"/>
    <mergeCell ref="G412:H412"/>
    <mergeCell ref="B415:E415"/>
    <mergeCell ref="G415:H415"/>
    <mergeCell ref="I415:J415"/>
    <mergeCell ref="K415:L415"/>
    <mergeCell ref="B416:E416"/>
    <mergeCell ref="G416:H416"/>
    <mergeCell ref="I416:J416"/>
    <mergeCell ref="K416:L416"/>
    <mergeCell ref="B413:E413"/>
    <mergeCell ref="G413:H413"/>
    <mergeCell ref="I413:J413"/>
    <mergeCell ref="K413:L413"/>
    <mergeCell ref="B414:E414"/>
    <mergeCell ref="G414:H414"/>
    <mergeCell ref="I414:J414"/>
    <mergeCell ref="K414:L414"/>
    <mergeCell ref="I412:J412"/>
    <mergeCell ref="K412:L412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A407:A408"/>
    <mergeCell ref="B407:E408"/>
    <mergeCell ref="F407:F408"/>
    <mergeCell ref="G407:H408"/>
    <mergeCell ref="I407:J408"/>
    <mergeCell ref="K407:L408"/>
    <mergeCell ref="M407:M408"/>
    <mergeCell ref="N407:N408"/>
    <mergeCell ref="B409:E409"/>
    <mergeCell ref="G409:H409"/>
    <mergeCell ref="I409:J409"/>
    <mergeCell ref="K409:L409"/>
    <mergeCell ref="A405:A406"/>
    <mergeCell ref="B405:C406"/>
    <mergeCell ref="D405:D406"/>
    <mergeCell ref="E405:F406"/>
    <mergeCell ref="G405:H406"/>
    <mergeCell ref="I405:J406"/>
    <mergeCell ref="K405:L406"/>
    <mergeCell ref="M405:N406"/>
    <mergeCell ref="B391:E391"/>
    <mergeCell ref="G391:H391"/>
    <mergeCell ref="B395:E395"/>
    <mergeCell ref="G395:H395"/>
    <mergeCell ref="I395:J395"/>
    <mergeCell ref="K395:L395"/>
    <mergeCell ref="B396:E396"/>
    <mergeCell ref="G396:H396"/>
    <mergeCell ref="I396:J396"/>
    <mergeCell ref="K396:L396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I391:J391"/>
    <mergeCell ref="K391:L391"/>
    <mergeCell ref="B392:E392"/>
    <mergeCell ref="G392:H392"/>
    <mergeCell ref="I392:J392"/>
    <mergeCell ref="K392:L392"/>
    <mergeCell ref="M385:M386"/>
    <mergeCell ref="N385:N386"/>
    <mergeCell ref="B387:E387"/>
    <mergeCell ref="G387:H387"/>
    <mergeCell ref="I387:J387"/>
    <mergeCell ref="K387:L387"/>
    <mergeCell ref="B388:E388"/>
    <mergeCell ref="G388:H388"/>
    <mergeCell ref="I388:J388"/>
    <mergeCell ref="K388:L388"/>
    <mergeCell ref="B389:E389"/>
    <mergeCell ref="G389:H389"/>
    <mergeCell ref="I389:J389"/>
    <mergeCell ref="K389:L389"/>
    <mergeCell ref="B390:E390"/>
    <mergeCell ref="G390:H390"/>
    <mergeCell ref="I390:J390"/>
    <mergeCell ref="K390:L390"/>
    <mergeCell ref="B377:E377"/>
    <mergeCell ref="G377:H377"/>
    <mergeCell ref="I377:J377"/>
    <mergeCell ref="K377:L377"/>
    <mergeCell ref="G378:H378"/>
    <mergeCell ref="I378:J378"/>
    <mergeCell ref="K378:L378"/>
    <mergeCell ref="A385:A386"/>
    <mergeCell ref="B385:E386"/>
    <mergeCell ref="F385:F386"/>
    <mergeCell ref="G385:H386"/>
    <mergeCell ref="I385:J386"/>
    <mergeCell ref="K385:L386"/>
    <mergeCell ref="A379:A381"/>
    <mergeCell ref="B379:C381"/>
    <mergeCell ref="D379:D381"/>
    <mergeCell ref="E379:F381"/>
    <mergeCell ref="G379:G381"/>
    <mergeCell ref="H379:H381"/>
    <mergeCell ref="I379:I381"/>
    <mergeCell ref="J379:J381"/>
    <mergeCell ref="K379:K381"/>
    <mergeCell ref="L379:L381"/>
    <mergeCell ref="G373:H373"/>
    <mergeCell ref="I373:J373"/>
    <mergeCell ref="K373:L373"/>
    <mergeCell ref="B374:E374"/>
    <mergeCell ref="G374:H374"/>
    <mergeCell ref="I374:J374"/>
    <mergeCell ref="K374:L374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M355:N355"/>
    <mergeCell ref="A356:E356"/>
    <mergeCell ref="M356:N356"/>
    <mergeCell ref="A363:A364"/>
    <mergeCell ref="B363:E364"/>
    <mergeCell ref="F363:F364"/>
    <mergeCell ref="G363:H364"/>
    <mergeCell ref="I363:J364"/>
    <mergeCell ref="K363:L364"/>
    <mergeCell ref="M363:M364"/>
    <mergeCell ref="N363:N364"/>
    <mergeCell ref="B365:E365"/>
    <mergeCell ref="G365:H365"/>
    <mergeCell ref="I365:J365"/>
    <mergeCell ref="K365:L365"/>
    <mergeCell ref="B366:E366"/>
    <mergeCell ref="G366:H366"/>
    <mergeCell ref="I366:J366"/>
    <mergeCell ref="K366:L366"/>
    <mergeCell ref="G356:H356"/>
    <mergeCell ref="I356:J356"/>
    <mergeCell ref="K356:L356"/>
    <mergeCell ref="B355:E355"/>
    <mergeCell ref="G355:H355"/>
    <mergeCell ref="I355:J355"/>
    <mergeCell ref="K355:L355"/>
    <mergeCell ref="A357:A359"/>
    <mergeCell ref="B357:C359"/>
    <mergeCell ref="D357:D359"/>
    <mergeCell ref="E357:F359"/>
    <mergeCell ref="G357:G359"/>
    <mergeCell ref="H357:H359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I351:J351"/>
    <mergeCell ref="K351:L351"/>
    <mergeCell ref="B352:E352"/>
    <mergeCell ref="G352:H352"/>
    <mergeCell ref="I352:J352"/>
    <mergeCell ref="K352:L352"/>
    <mergeCell ref="B348:E348"/>
    <mergeCell ref="G348:H348"/>
    <mergeCell ref="I348:J348"/>
    <mergeCell ref="K348:L348"/>
    <mergeCell ref="B349:E349"/>
    <mergeCell ref="G349:H349"/>
    <mergeCell ref="I349:J349"/>
    <mergeCell ref="K349:L349"/>
    <mergeCell ref="B350:E350"/>
    <mergeCell ref="G350:H350"/>
    <mergeCell ref="I350:J350"/>
    <mergeCell ref="K350:L350"/>
    <mergeCell ref="B351:E351"/>
    <mergeCell ref="G351:H351"/>
    <mergeCell ref="K341:L342"/>
    <mergeCell ref="M341:M342"/>
    <mergeCell ref="N341:N342"/>
    <mergeCell ref="G344:H344"/>
    <mergeCell ref="I344:J344"/>
    <mergeCell ref="K344:L344"/>
    <mergeCell ref="B344:E344"/>
    <mergeCell ref="B345:E345"/>
    <mergeCell ref="G345:H345"/>
    <mergeCell ref="I345:J345"/>
    <mergeCell ref="K345:L345"/>
    <mergeCell ref="B346:E346"/>
    <mergeCell ref="G346:H346"/>
    <mergeCell ref="I346:J346"/>
    <mergeCell ref="K346:L346"/>
    <mergeCell ref="B347:E347"/>
    <mergeCell ref="G347:H347"/>
    <mergeCell ref="I347:J347"/>
    <mergeCell ref="K347:L347"/>
    <mergeCell ref="M333:N333"/>
    <mergeCell ref="A334:E334"/>
    <mergeCell ref="M334:N334"/>
    <mergeCell ref="A335:A337"/>
    <mergeCell ref="B335:C337"/>
    <mergeCell ref="D335:D337"/>
    <mergeCell ref="E335:F337"/>
    <mergeCell ref="G335:G337"/>
    <mergeCell ref="H335:H337"/>
    <mergeCell ref="I335:I337"/>
    <mergeCell ref="J335:J337"/>
    <mergeCell ref="K335:K337"/>
    <mergeCell ref="L335:L337"/>
    <mergeCell ref="B343:E343"/>
    <mergeCell ref="G343:H343"/>
    <mergeCell ref="I343:J343"/>
    <mergeCell ref="K343:L343"/>
    <mergeCell ref="M335:M337"/>
    <mergeCell ref="N335:N337"/>
    <mergeCell ref="A339:A340"/>
    <mergeCell ref="B339:C340"/>
    <mergeCell ref="D339:D340"/>
    <mergeCell ref="E339:F340"/>
    <mergeCell ref="G339:H340"/>
    <mergeCell ref="I339:J340"/>
    <mergeCell ref="K339:L340"/>
    <mergeCell ref="M339:N340"/>
    <mergeCell ref="A341:A342"/>
    <mergeCell ref="B341:E342"/>
    <mergeCell ref="F341:F342"/>
    <mergeCell ref="G341:H342"/>
    <mergeCell ref="I341:J342"/>
    <mergeCell ref="I329:J329"/>
    <mergeCell ref="K329:L329"/>
    <mergeCell ref="B330:E330"/>
    <mergeCell ref="G330:H330"/>
    <mergeCell ref="I330:J330"/>
    <mergeCell ref="K330:L330"/>
    <mergeCell ref="B331:E331"/>
    <mergeCell ref="G331:H331"/>
    <mergeCell ref="B333:E333"/>
    <mergeCell ref="G333:H333"/>
    <mergeCell ref="I333:J333"/>
    <mergeCell ref="K333:L333"/>
    <mergeCell ref="G334:H334"/>
    <mergeCell ref="I334:J334"/>
    <mergeCell ref="K334:L334"/>
    <mergeCell ref="I331:J331"/>
    <mergeCell ref="K331:L331"/>
    <mergeCell ref="B332:E332"/>
    <mergeCell ref="G332:H332"/>
    <mergeCell ref="I332:J332"/>
    <mergeCell ref="K332:L332"/>
    <mergeCell ref="A317:A318"/>
    <mergeCell ref="B317:C318"/>
    <mergeCell ref="D317:D318"/>
    <mergeCell ref="E317:F318"/>
    <mergeCell ref="G317:H318"/>
    <mergeCell ref="I317:J318"/>
    <mergeCell ref="K317:L318"/>
    <mergeCell ref="M317:N318"/>
    <mergeCell ref="A319:A320"/>
    <mergeCell ref="B319:E320"/>
    <mergeCell ref="F319:F320"/>
    <mergeCell ref="G319:H320"/>
    <mergeCell ref="I319:J320"/>
    <mergeCell ref="B322:E322"/>
    <mergeCell ref="G322:H322"/>
    <mergeCell ref="I322:J322"/>
    <mergeCell ref="K322:L322"/>
    <mergeCell ref="K319:L320"/>
    <mergeCell ref="M319:M320"/>
    <mergeCell ref="N319:N320"/>
    <mergeCell ref="B321:E321"/>
    <mergeCell ref="G321:H321"/>
    <mergeCell ref="I321:J321"/>
    <mergeCell ref="K321:L321"/>
    <mergeCell ref="G310:H310"/>
    <mergeCell ref="I310:J310"/>
    <mergeCell ref="K310:L310"/>
    <mergeCell ref="B311:E311"/>
    <mergeCell ref="G311:H311"/>
    <mergeCell ref="I311:J311"/>
    <mergeCell ref="K311:L311"/>
    <mergeCell ref="M311:N311"/>
    <mergeCell ref="A312:E312"/>
    <mergeCell ref="G312:H312"/>
    <mergeCell ref="I312:J312"/>
    <mergeCell ref="K312:L312"/>
    <mergeCell ref="M312:N312"/>
    <mergeCell ref="A313:A315"/>
    <mergeCell ref="B313:C315"/>
    <mergeCell ref="D313:D315"/>
    <mergeCell ref="E313:F315"/>
    <mergeCell ref="G313:G315"/>
    <mergeCell ref="H313:H315"/>
    <mergeCell ref="I313:I315"/>
    <mergeCell ref="M313:M315"/>
    <mergeCell ref="N313:N315"/>
    <mergeCell ref="M289:N289"/>
    <mergeCell ref="A290:E290"/>
    <mergeCell ref="G290:H290"/>
    <mergeCell ref="I290:J290"/>
    <mergeCell ref="K290:L290"/>
    <mergeCell ref="M290:N290"/>
    <mergeCell ref="B301:E301"/>
    <mergeCell ref="G301:H301"/>
    <mergeCell ref="I301:J301"/>
    <mergeCell ref="K301:L301"/>
    <mergeCell ref="B302:E302"/>
    <mergeCell ref="G302:H302"/>
    <mergeCell ref="I302:J302"/>
    <mergeCell ref="K302:L302"/>
    <mergeCell ref="B299:E299"/>
    <mergeCell ref="G299:H299"/>
    <mergeCell ref="I299:J299"/>
    <mergeCell ref="K299:L299"/>
    <mergeCell ref="B300:E300"/>
    <mergeCell ref="G300:H300"/>
    <mergeCell ref="I300:J300"/>
    <mergeCell ref="K300:L300"/>
    <mergeCell ref="A291:A293"/>
    <mergeCell ref="B291:C293"/>
    <mergeCell ref="D291:D293"/>
    <mergeCell ref="E291:F293"/>
    <mergeCell ref="G291:G293"/>
    <mergeCell ref="H291:H293"/>
    <mergeCell ref="I291:I293"/>
    <mergeCell ref="J291:J293"/>
    <mergeCell ref="K291:K293"/>
    <mergeCell ref="L291:L293"/>
    <mergeCell ref="B285:E285"/>
    <mergeCell ref="G285:H285"/>
    <mergeCell ref="I285:J285"/>
    <mergeCell ref="K285:L285"/>
    <mergeCell ref="B286:E286"/>
    <mergeCell ref="G286:H286"/>
    <mergeCell ref="I286:J286"/>
    <mergeCell ref="K286:L286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A269:A271"/>
    <mergeCell ref="B269:C271"/>
    <mergeCell ref="D269:D271"/>
    <mergeCell ref="E269:F271"/>
    <mergeCell ref="G269:G271"/>
    <mergeCell ref="H269:H271"/>
    <mergeCell ref="I269:I271"/>
    <mergeCell ref="J269:J271"/>
    <mergeCell ref="K269:K271"/>
    <mergeCell ref="L269:L271"/>
    <mergeCell ref="M269:M271"/>
    <mergeCell ref="N269:N271"/>
    <mergeCell ref="B281:E281"/>
    <mergeCell ref="G281:H281"/>
    <mergeCell ref="I281:J281"/>
    <mergeCell ref="K281:L281"/>
    <mergeCell ref="B282:E282"/>
    <mergeCell ref="G282:H282"/>
    <mergeCell ref="I282:J282"/>
    <mergeCell ref="K282:L282"/>
    <mergeCell ref="B279:E279"/>
    <mergeCell ref="G279:H279"/>
    <mergeCell ref="I279:J279"/>
    <mergeCell ref="K279:L279"/>
    <mergeCell ref="B280:E280"/>
    <mergeCell ref="G280:H280"/>
    <mergeCell ref="I280:J280"/>
    <mergeCell ref="K280:L280"/>
    <mergeCell ref="B277:E277"/>
    <mergeCell ref="G277:H277"/>
    <mergeCell ref="I277:J277"/>
    <mergeCell ref="K277:L277"/>
    <mergeCell ref="B263:E263"/>
    <mergeCell ref="G263:H263"/>
    <mergeCell ref="I263:J263"/>
    <mergeCell ref="K263:L263"/>
    <mergeCell ref="G264:H264"/>
    <mergeCell ref="I264:J264"/>
    <mergeCell ref="K264:L264"/>
    <mergeCell ref="B267:E267"/>
    <mergeCell ref="G267:H267"/>
    <mergeCell ref="I267:J267"/>
    <mergeCell ref="K267:L267"/>
    <mergeCell ref="M267:N267"/>
    <mergeCell ref="A268:E268"/>
    <mergeCell ref="G268:H268"/>
    <mergeCell ref="I268:J268"/>
    <mergeCell ref="K268:L268"/>
    <mergeCell ref="M268:N268"/>
    <mergeCell ref="K262:L262"/>
    <mergeCell ref="B259:E259"/>
    <mergeCell ref="G259:H259"/>
    <mergeCell ref="I259:J259"/>
    <mergeCell ref="K259:L259"/>
    <mergeCell ref="B260:E260"/>
    <mergeCell ref="G260:H260"/>
    <mergeCell ref="I260:J260"/>
    <mergeCell ref="K260:L260"/>
    <mergeCell ref="B257:E257"/>
    <mergeCell ref="G257:H257"/>
    <mergeCell ref="I257:J257"/>
    <mergeCell ref="K257:L257"/>
    <mergeCell ref="B258:E258"/>
    <mergeCell ref="G258:H258"/>
    <mergeCell ref="I258:J258"/>
    <mergeCell ref="K258:L258"/>
    <mergeCell ref="A247:A249"/>
    <mergeCell ref="B247:C249"/>
    <mergeCell ref="D247:D249"/>
    <mergeCell ref="A251:A252"/>
    <mergeCell ref="G251:H252"/>
    <mergeCell ref="I251:J252"/>
    <mergeCell ref="K251:L252"/>
    <mergeCell ref="E247:F249"/>
    <mergeCell ref="G247:G249"/>
    <mergeCell ref="H247:H249"/>
    <mergeCell ref="I247:I249"/>
    <mergeCell ref="J247:J249"/>
    <mergeCell ref="K247:K249"/>
    <mergeCell ref="L247:L249"/>
    <mergeCell ref="M247:M249"/>
    <mergeCell ref="N247:N249"/>
    <mergeCell ref="B251:C252"/>
    <mergeCell ref="D251:D252"/>
    <mergeCell ref="E251:F252"/>
    <mergeCell ref="M251:N252"/>
    <mergeCell ref="B243:E243"/>
    <mergeCell ref="G243:H243"/>
    <mergeCell ref="I243:J243"/>
    <mergeCell ref="K243:L243"/>
    <mergeCell ref="G244:H244"/>
    <mergeCell ref="I244:J244"/>
    <mergeCell ref="K244:L244"/>
    <mergeCell ref="B244:E244"/>
    <mergeCell ref="B245:E245"/>
    <mergeCell ref="G245:H245"/>
    <mergeCell ref="I245:J245"/>
    <mergeCell ref="K245:L245"/>
    <mergeCell ref="M245:N245"/>
    <mergeCell ref="A246:E246"/>
    <mergeCell ref="G246:H246"/>
    <mergeCell ref="I246:J246"/>
    <mergeCell ref="K246:L246"/>
    <mergeCell ref="M246:N246"/>
    <mergeCell ref="B241:E241"/>
    <mergeCell ref="G241:H241"/>
    <mergeCell ref="I241:J241"/>
    <mergeCell ref="K241:L241"/>
    <mergeCell ref="B242:E242"/>
    <mergeCell ref="G242:H242"/>
    <mergeCell ref="I242:J242"/>
    <mergeCell ref="K242:L242"/>
    <mergeCell ref="B239:E239"/>
    <mergeCell ref="G239:H239"/>
    <mergeCell ref="I239:J239"/>
    <mergeCell ref="K239:L239"/>
    <mergeCell ref="B240:E240"/>
    <mergeCell ref="G240:H240"/>
    <mergeCell ref="I240:J240"/>
    <mergeCell ref="K240:L240"/>
    <mergeCell ref="B237:E237"/>
    <mergeCell ref="G237:H237"/>
    <mergeCell ref="I237:J237"/>
    <mergeCell ref="K237:L237"/>
    <mergeCell ref="B238:E238"/>
    <mergeCell ref="G238:H238"/>
    <mergeCell ref="I238:J238"/>
    <mergeCell ref="K238:L238"/>
    <mergeCell ref="B235:E235"/>
    <mergeCell ref="G235:H235"/>
    <mergeCell ref="I235:J235"/>
    <mergeCell ref="K235:L235"/>
    <mergeCell ref="B236:E236"/>
    <mergeCell ref="G236:H236"/>
    <mergeCell ref="I236:J236"/>
    <mergeCell ref="K236:L236"/>
    <mergeCell ref="B233:E233"/>
    <mergeCell ref="G233:H233"/>
    <mergeCell ref="I233:J233"/>
    <mergeCell ref="K233:L233"/>
    <mergeCell ref="B234:E234"/>
    <mergeCell ref="G234:H234"/>
    <mergeCell ref="I234:J234"/>
    <mergeCell ref="K234:L234"/>
    <mergeCell ref="M229:N230"/>
    <mergeCell ref="A231:A232"/>
    <mergeCell ref="B231:E232"/>
    <mergeCell ref="F231:F232"/>
    <mergeCell ref="G231:H232"/>
    <mergeCell ref="I231:J232"/>
    <mergeCell ref="K231:L232"/>
    <mergeCell ref="M231:M232"/>
    <mergeCell ref="N231:N232"/>
    <mergeCell ref="L225:L227"/>
    <mergeCell ref="M225:M227"/>
    <mergeCell ref="N225:N227"/>
    <mergeCell ref="A229:A230"/>
    <mergeCell ref="B229:C230"/>
    <mergeCell ref="D229:D230"/>
    <mergeCell ref="E229:F230"/>
    <mergeCell ref="G229:H230"/>
    <mergeCell ref="I229:J230"/>
    <mergeCell ref="K229:L230"/>
    <mergeCell ref="M224:N224"/>
    <mergeCell ref="A225:A227"/>
    <mergeCell ref="B225:C227"/>
    <mergeCell ref="D225:D227"/>
    <mergeCell ref="E225:F227"/>
    <mergeCell ref="G225:G227"/>
    <mergeCell ref="H225:H227"/>
    <mergeCell ref="I225:I227"/>
    <mergeCell ref="J225:J227"/>
    <mergeCell ref="K225:K227"/>
    <mergeCell ref="B223:E223"/>
    <mergeCell ref="G223:H223"/>
    <mergeCell ref="I223:J223"/>
    <mergeCell ref="K223:L223"/>
    <mergeCell ref="A224:E224"/>
    <mergeCell ref="G224:H224"/>
    <mergeCell ref="I224:J224"/>
    <mergeCell ref="K224:L224"/>
    <mergeCell ref="M223:N223"/>
    <mergeCell ref="B221:E221"/>
    <mergeCell ref="G221:H221"/>
    <mergeCell ref="I221:J221"/>
    <mergeCell ref="K221:L221"/>
    <mergeCell ref="B222:E222"/>
    <mergeCell ref="G222:H222"/>
    <mergeCell ref="I222:J222"/>
    <mergeCell ref="K222:L222"/>
    <mergeCell ref="B219:E219"/>
    <mergeCell ref="G219:H219"/>
    <mergeCell ref="I219:J219"/>
    <mergeCell ref="K219:L219"/>
    <mergeCell ref="B220:E220"/>
    <mergeCell ref="G220:H220"/>
    <mergeCell ref="I220:J220"/>
    <mergeCell ref="K220:L220"/>
    <mergeCell ref="B217:E217"/>
    <mergeCell ref="G217:H217"/>
    <mergeCell ref="I217:J217"/>
    <mergeCell ref="K217:L217"/>
    <mergeCell ref="B218:E218"/>
    <mergeCell ref="G218:H218"/>
    <mergeCell ref="I218:J218"/>
    <mergeCell ref="K218:L218"/>
    <mergeCell ref="M209:M210"/>
    <mergeCell ref="N209:N210"/>
    <mergeCell ref="B211:E211"/>
    <mergeCell ref="G211:H211"/>
    <mergeCell ref="I211:J211"/>
    <mergeCell ref="K211:L211"/>
    <mergeCell ref="B212:E212"/>
    <mergeCell ref="G212:H212"/>
    <mergeCell ref="I212:J212"/>
    <mergeCell ref="K212:L212"/>
    <mergeCell ref="B215:E215"/>
    <mergeCell ref="G215:H215"/>
    <mergeCell ref="I215:J215"/>
    <mergeCell ref="K215:L215"/>
    <mergeCell ref="B216:E216"/>
    <mergeCell ref="G216:H216"/>
    <mergeCell ref="I216:J216"/>
    <mergeCell ref="K216:L216"/>
    <mergeCell ref="B213:E213"/>
    <mergeCell ref="G213:H213"/>
    <mergeCell ref="I213:J213"/>
    <mergeCell ref="K213:L213"/>
    <mergeCell ref="B214:E214"/>
    <mergeCell ref="G214:H214"/>
    <mergeCell ref="I214:J214"/>
    <mergeCell ref="K214:L214"/>
    <mergeCell ref="B199:E199"/>
    <mergeCell ref="G199:H199"/>
    <mergeCell ref="I199:J199"/>
    <mergeCell ref="K199:L199"/>
    <mergeCell ref="B200:E200"/>
    <mergeCell ref="G200:H200"/>
    <mergeCell ref="I200:J200"/>
    <mergeCell ref="K200:L200"/>
    <mergeCell ref="B197:E197"/>
    <mergeCell ref="G197:H197"/>
    <mergeCell ref="I197:J197"/>
    <mergeCell ref="K197:L197"/>
    <mergeCell ref="B198:E198"/>
    <mergeCell ref="G198:H198"/>
    <mergeCell ref="I198:J198"/>
    <mergeCell ref="K198:L198"/>
    <mergeCell ref="A209:A210"/>
    <mergeCell ref="G209:H210"/>
    <mergeCell ref="I209:J210"/>
    <mergeCell ref="K209:L210"/>
    <mergeCell ref="B209:E210"/>
    <mergeCell ref="F209:F210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92:E192"/>
    <mergeCell ref="G192:H192"/>
    <mergeCell ref="B195:E195"/>
    <mergeCell ref="G195:H195"/>
    <mergeCell ref="I195:J195"/>
    <mergeCell ref="K195:L195"/>
    <mergeCell ref="B196:E196"/>
    <mergeCell ref="G196:H196"/>
    <mergeCell ref="I196:J196"/>
    <mergeCell ref="K196:L196"/>
    <mergeCell ref="B193:E193"/>
    <mergeCell ref="G193:H193"/>
    <mergeCell ref="I193:J193"/>
    <mergeCell ref="K193:L193"/>
    <mergeCell ref="B194:E194"/>
    <mergeCell ref="G194:H194"/>
    <mergeCell ref="I194:J194"/>
    <mergeCell ref="K194:L194"/>
    <mergeCell ref="I192:J192"/>
    <mergeCell ref="K192:L192"/>
    <mergeCell ref="B177:E177"/>
    <mergeCell ref="G177:H177"/>
    <mergeCell ref="I177:J177"/>
    <mergeCell ref="K177:L177"/>
    <mergeCell ref="B178:E178"/>
    <mergeCell ref="G178:H178"/>
    <mergeCell ref="I178:J178"/>
    <mergeCell ref="K178:L178"/>
    <mergeCell ref="A187:A188"/>
    <mergeCell ref="B187:E188"/>
    <mergeCell ref="F187:F188"/>
    <mergeCell ref="G187:H188"/>
    <mergeCell ref="I187:J188"/>
    <mergeCell ref="K187:L188"/>
    <mergeCell ref="M187:M188"/>
    <mergeCell ref="N187:N188"/>
    <mergeCell ref="B189:E189"/>
    <mergeCell ref="G189:H189"/>
    <mergeCell ref="I189:J189"/>
    <mergeCell ref="K189:L189"/>
    <mergeCell ref="A185:A186"/>
    <mergeCell ref="B185:C186"/>
    <mergeCell ref="D185:D186"/>
    <mergeCell ref="E185:F186"/>
    <mergeCell ref="G185:H186"/>
    <mergeCell ref="I185:J186"/>
    <mergeCell ref="K185:L186"/>
    <mergeCell ref="M185:N186"/>
    <mergeCell ref="B171:E171"/>
    <mergeCell ref="G171:H171"/>
    <mergeCell ref="B175:E175"/>
    <mergeCell ref="G175:H175"/>
    <mergeCell ref="I175:J175"/>
    <mergeCell ref="K175:L175"/>
    <mergeCell ref="B176:E176"/>
    <mergeCell ref="G176:H176"/>
    <mergeCell ref="I176:J176"/>
    <mergeCell ref="K176:L176"/>
    <mergeCell ref="B173:E173"/>
    <mergeCell ref="G173:H173"/>
    <mergeCell ref="I173:J173"/>
    <mergeCell ref="K173:L173"/>
    <mergeCell ref="B174:E174"/>
    <mergeCell ref="G174:H174"/>
    <mergeCell ref="I174:J174"/>
    <mergeCell ref="K174:L174"/>
    <mergeCell ref="I171:J171"/>
    <mergeCell ref="K171:L171"/>
    <mergeCell ref="B172:E172"/>
    <mergeCell ref="G172:H172"/>
    <mergeCell ref="I172:J172"/>
    <mergeCell ref="K172:L172"/>
    <mergeCell ref="M165:M166"/>
    <mergeCell ref="N165:N166"/>
    <mergeCell ref="B167:E167"/>
    <mergeCell ref="G167:H167"/>
    <mergeCell ref="I167:J167"/>
    <mergeCell ref="K167:L167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B170:E170"/>
    <mergeCell ref="G170:H170"/>
    <mergeCell ref="I170:J170"/>
    <mergeCell ref="K170:L170"/>
    <mergeCell ref="B157:E157"/>
    <mergeCell ref="G157:H157"/>
    <mergeCell ref="I157:J157"/>
    <mergeCell ref="K157:L157"/>
    <mergeCell ref="G158:H158"/>
    <mergeCell ref="I158:J158"/>
    <mergeCell ref="K158:L158"/>
    <mergeCell ref="A165:A166"/>
    <mergeCell ref="B165:E166"/>
    <mergeCell ref="F165:F166"/>
    <mergeCell ref="G165:H166"/>
    <mergeCell ref="I165:J166"/>
    <mergeCell ref="K165:L166"/>
    <mergeCell ref="A159:A161"/>
    <mergeCell ref="B159:C161"/>
    <mergeCell ref="D159:D161"/>
    <mergeCell ref="E159:F161"/>
    <mergeCell ref="G159:G161"/>
    <mergeCell ref="H159:H161"/>
    <mergeCell ref="I159:I161"/>
    <mergeCell ref="J159:J161"/>
    <mergeCell ref="K159:K161"/>
    <mergeCell ref="L159:L161"/>
    <mergeCell ref="G153:H153"/>
    <mergeCell ref="I153:J153"/>
    <mergeCell ref="K153:L153"/>
    <mergeCell ref="B154:E154"/>
    <mergeCell ref="G154:H154"/>
    <mergeCell ref="I154:J154"/>
    <mergeCell ref="K154:L154"/>
    <mergeCell ref="B150:E150"/>
    <mergeCell ref="G150:H150"/>
    <mergeCell ref="I150:J150"/>
    <mergeCell ref="K150:L150"/>
    <mergeCell ref="B151:E151"/>
    <mergeCell ref="G151:H151"/>
    <mergeCell ref="I151:J151"/>
    <mergeCell ref="K151:L151"/>
    <mergeCell ref="B152:E152"/>
    <mergeCell ref="G152:H152"/>
    <mergeCell ref="I152:J152"/>
    <mergeCell ref="K152:L152"/>
    <mergeCell ref="M135:N135"/>
    <mergeCell ref="A136:E136"/>
    <mergeCell ref="M136:N136"/>
    <mergeCell ref="A143:A144"/>
    <mergeCell ref="B143:E144"/>
    <mergeCell ref="F143:F144"/>
    <mergeCell ref="G143:H144"/>
    <mergeCell ref="I143:J144"/>
    <mergeCell ref="K143:L144"/>
    <mergeCell ref="M143:M144"/>
    <mergeCell ref="N143:N144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G136:H136"/>
    <mergeCell ref="I136:J136"/>
    <mergeCell ref="K136:L136"/>
    <mergeCell ref="B135:E135"/>
    <mergeCell ref="G135:H135"/>
    <mergeCell ref="I135:J135"/>
    <mergeCell ref="K135:L135"/>
    <mergeCell ref="A137:A139"/>
    <mergeCell ref="B137:C139"/>
    <mergeCell ref="D137:D139"/>
    <mergeCell ref="E137:F139"/>
    <mergeCell ref="G137:G139"/>
    <mergeCell ref="H137:H139"/>
    <mergeCell ref="B133:E133"/>
    <mergeCell ref="G133:H133"/>
    <mergeCell ref="I133:J133"/>
    <mergeCell ref="K133:L133"/>
    <mergeCell ref="B134:E134"/>
    <mergeCell ref="G134:H134"/>
    <mergeCell ref="I134:J134"/>
    <mergeCell ref="K134:L134"/>
    <mergeCell ref="I131:J131"/>
    <mergeCell ref="K131:L131"/>
    <mergeCell ref="B132:E132"/>
    <mergeCell ref="G132:H132"/>
    <mergeCell ref="I132:J132"/>
    <mergeCell ref="K132:L132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B130:E130"/>
    <mergeCell ref="G130:H130"/>
    <mergeCell ref="I130:J130"/>
    <mergeCell ref="K130:L130"/>
    <mergeCell ref="B131:E131"/>
    <mergeCell ref="G131:H131"/>
    <mergeCell ref="K121:L122"/>
    <mergeCell ref="M121:M122"/>
    <mergeCell ref="N121:N122"/>
    <mergeCell ref="G124:H124"/>
    <mergeCell ref="I124:J124"/>
    <mergeCell ref="K124:L124"/>
    <mergeCell ref="B124:E124"/>
    <mergeCell ref="B125:E125"/>
    <mergeCell ref="G125:H125"/>
    <mergeCell ref="I125:J125"/>
    <mergeCell ref="K125:L125"/>
    <mergeCell ref="B126:E126"/>
    <mergeCell ref="G126:H126"/>
    <mergeCell ref="I126:J126"/>
    <mergeCell ref="K126:L126"/>
    <mergeCell ref="B127:E127"/>
    <mergeCell ref="G127:H127"/>
    <mergeCell ref="I127:J127"/>
    <mergeCell ref="K127:L127"/>
    <mergeCell ref="M113:N113"/>
    <mergeCell ref="A114:E114"/>
    <mergeCell ref="M114:N114"/>
    <mergeCell ref="A115:A117"/>
    <mergeCell ref="B115:C117"/>
    <mergeCell ref="D115:D117"/>
    <mergeCell ref="E115:F117"/>
    <mergeCell ref="G115:G117"/>
    <mergeCell ref="H115:H117"/>
    <mergeCell ref="I115:I117"/>
    <mergeCell ref="J115:J117"/>
    <mergeCell ref="K115:K117"/>
    <mergeCell ref="L115:L117"/>
    <mergeCell ref="B123:E123"/>
    <mergeCell ref="G123:H123"/>
    <mergeCell ref="I123:J123"/>
    <mergeCell ref="K123:L123"/>
    <mergeCell ref="M115:M117"/>
    <mergeCell ref="N115:N117"/>
    <mergeCell ref="A119:A120"/>
    <mergeCell ref="B119:C120"/>
    <mergeCell ref="D119:D120"/>
    <mergeCell ref="E119:F120"/>
    <mergeCell ref="G119:H120"/>
    <mergeCell ref="I119:J120"/>
    <mergeCell ref="K119:L120"/>
    <mergeCell ref="M119:N120"/>
    <mergeCell ref="A121:A122"/>
    <mergeCell ref="B121:E122"/>
    <mergeCell ref="F121:F122"/>
    <mergeCell ref="G121:H122"/>
    <mergeCell ref="I121:J122"/>
    <mergeCell ref="I109:J109"/>
    <mergeCell ref="K109:L109"/>
    <mergeCell ref="B110:E110"/>
    <mergeCell ref="G110:H110"/>
    <mergeCell ref="I110:J110"/>
    <mergeCell ref="K110:L110"/>
    <mergeCell ref="B111:E111"/>
    <mergeCell ref="G111:H111"/>
    <mergeCell ref="B113:E113"/>
    <mergeCell ref="G113:H113"/>
    <mergeCell ref="I113:J113"/>
    <mergeCell ref="K113:L113"/>
    <mergeCell ref="G114:H114"/>
    <mergeCell ref="I114:J114"/>
    <mergeCell ref="K114:L114"/>
    <mergeCell ref="I111:J111"/>
    <mergeCell ref="K111:L111"/>
    <mergeCell ref="B112:E112"/>
    <mergeCell ref="G112:H112"/>
    <mergeCell ref="I112:J112"/>
    <mergeCell ref="K112:L112"/>
    <mergeCell ref="A97:A98"/>
    <mergeCell ref="B97:C98"/>
    <mergeCell ref="D97:D98"/>
    <mergeCell ref="E97:F98"/>
    <mergeCell ref="G97:H98"/>
    <mergeCell ref="I97:J98"/>
    <mergeCell ref="K97:L98"/>
    <mergeCell ref="M97:N98"/>
    <mergeCell ref="A99:A100"/>
    <mergeCell ref="B99:E100"/>
    <mergeCell ref="F99:F100"/>
    <mergeCell ref="G99:H100"/>
    <mergeCell ref="I99:J100"/>
    <mergeCell ref="B102:E102"/>
    <mergeCell ref="G102:H102"/>
    <mergeCell ref="I102:J102"/>
    <mergeCell ref="K102:L102"/>
    <mergeCell ref="K99:L100"/>
    <mergeCell ref="M99:M100"/>
    <mergeCell ref="N99:N100"/>
    <mergeCell ref="B101:E101"/>
    <mergeCell ref="G101:H101"/>
    <mergeCell ref="I101:J101"/>
    <mergeCell ref="K101:L101"/>
    <mergeCell ref="G90:H90"/>
    <mergeCell ref="I90:J90"/>
    <mergeCell ref="K90:L90"/>
    <mergeCell ref="B91:E91"/>
    <mergeCell ref="G91:H91"/>
    <mergeCell ref="I91:J91"/>
    <mergeCell ref="K91:L91"/>
    <mergeCell ref="M91:N91"/>
    <mergeCell ref="A92:E92"/>
    <mergeCell ref="G92:H92"/>
    <mergeCell ref="I92:J92"/>
    <mergeCell ref="K92:L92"/>
    <mergeCell ref="M92:N92"/>
    <mergeCell ref="A93:A95"/>
    <mergeCell ref="B93:C95"/>
    <mergeCell ref="D93:D95"/>
    <mergeCell ref="E93:F95"/>
    <mergeCell ref="G93:G95"/>
    <mergeCell ref="H93:H95"/>
    <mergeCell ref="I93:I95"/>
    <mergeCell ref="M93:M95"/>
    <mergeCell ref="N93:N95"/>
    <mergeCell ref="A70:E70"/>
    <mergeCell ref="G70:H70"/>
    <mergeCell ref="I70:J70"/>
    <mergeCell ref="K70:L70"/>
    <mergeCell ref="M70:N70"/>
    <mergeCell ref="B81:E81"/>
    <mergeCell ref="G81:H81"/>
    <mergeCell ref="I81:J81"/>
    <mergeCell ref="K81:L81"/>
    <mergeCell ref="B82:E82"/>
    <mergeCell ref="G82:H82"/>
    <mergeCell ref="I82:J82"/>
    <mergeCell ref="K82:L82"/>
    <mergeCell ref="B79:E79"/>
    <mergeCell ref="G79:H79"/>
    <mergeCell ref="I79:J79"/>
    <mergeCell ref="K79:L79"/>
    <mergeCell ref="B80:E80"/>
    <mergeCell ref="G80:H80"/>
    <mergeCell ref="I80:J80"/>
    <mergeCell ref="K80:L80"/>
    <mergeCell ref="A71:A73"/>
    <mergeCell ref="B71:C73"/>
    <mergeCell ref="D71:D73"/>
    <mergeCell ref="E71:F73"/>
    <mergeCell ref="G71:G73"/>
    <mergeCell ref="H71:H73"/>
    <mergeCell ref="I71:I73"/>
    <mergeCell ref="J71:J73"/>
    <mergeCell ref="K71:K73"/>
    <mergeCell ref="L71:L73"/>
    <mergeCell ref="M71:M73"/>
    <mergeCell ref="B66:E66"/>
    <mergeCell ref="G66:H66"/>
    <mergeCell ref="I66:J66"/>
    <mergeCell ref="K66:L66"/>
    <mergeCell ref="B67:E67"/>
    <mergeCell ref="G67:H67"/>
    <mergeCell ref="I67:J67"/>
    <mergeCell ref="K67:L67"/>
    <mergeCell ref="B68:E68"/>
    <mergeCell ref="G68:H68"/>
    <mergeCell ref="I68:J68"/>
    <mergeCell ref="K68:L68"/>
    <mergeCell ref="B69:E69"/>
    <mergeCell ref="G69:H69"/>
    <mergeCell ref="I69:J69"/>
    <mergeCell ref="K69:L69"/>
    <mergeCell ref="M69:N69"/>
    <mergeCell ref="K60:L60"/>
    <mergeCell ref="B57:E57"/>
    <mergeCell ref="G57:H57"/>
    <mergeCell ref="I57:J57"/>
    <mergeCell ref="K57:L57"/>
    <mergeCell ref="B58:E58"/>
    <mergeCell ref="G58:H58"/>
    <mergeCell ref="I58:J58"/>
    <mergeCell ref="K58:L58"/>
    <mergeCell ref="B63:E63"/>
    <mergeCell ref="G63:H63"/>
    <mergeCell ref="I63:J63"/>
    <mergeCell ref="K63:L63"/>
    <mergeCell ref="G64:H64"/>
    <mergeCell ref="I64:J64"/>
    <mergeCell ref="K64:L64"/>
    <mergeCell ref="B65:E65"/>
    <mergeCell ref="G65:H65"/>
    <mergeCell ref="I65:J65"/>
    <mergeCell ref="K65:L65"/>
    <mergeCell ref="M48:N48"/>
    <mergeCell ref="A49:A51"/>
    <mergeCell ref="B49:C51"/>
    <mergeCell ref="D49:D51"/>
    <mergeCell ref="E49:F51"/>
    <mergeCell ref="G49:G51"/>
    <mergeCell ref="H49:H51"/>
    <mergeCell ref="I49:I51"/>
    <mergeCell ref="J49:J51"/>
    <mergeCell ref="K49:K51"/>
    <mergeCell ref="B47:E47"/>
    <mergeCell ref="G47:H47"/>
    <mergeCell ref="I47:J47"/>
    <mergeCell ref="K47:L47"/>
    <mergeCell ref="A48:E48"/>
    <mergeCell ref="G48:H48"/>
    <mergeCell ref="I48:J48"/>
    <mergeCell ref="K48:L48"/>
    <mergeCell ref="L49:L51"/>
    <mergeCell ref="M49:M51"/>
    <mergeCell ref="N49:N51"/>
    <mergeCell ref="M47:N47"/>
    <mergeCell ref="B44:E44"/>
    <mergeCell ref="G44:H44"/>
    <mergeCell ref="I44:J44"/>
    <mergeCell ref="K44:L44"/>
    <mergeCell ref="B46:E46"/>
    <mergeCell ref="G46:H46"/>
    <mergeCell ref="I46:J46"/>
    <mergeCell ref="K46:L46"/>
    <mergeCell ref="B41:E41"/>
    <mergeCell ref="G41:H41"/>
    <mergeCell ref="I41:J41"/>
    <mergeCell ref="K41:L41"/>
    <mergeCell ref="B42:E42"/>
    <mergeCell ref="G42:H42"/>
    <mergeCell ref="I42:J42"/>
    <mergeCell ref="K42:L42"/>
    <mergeCell ref="B39:E39"/>
    <mergeCell ref="G39:H39"/>
    <mergeCell ref="I39:J39"/>
    <mergeCell ref="K39:L39"/>
    <mergeCell ref="B40:E40"/>
    <mergeCell ref="G40:H40"/>
    <mergeCell ref="I40:J40"/>
    <mergeCell ref="K40:L40"/>
    <mergeCell ref="B43:E43"/>
    <mergeCell ref="G43:H43"/>
    <mergeCell ref="I43:J43"/>
    <mergeCell ref="K43:L43"/>
    <mergeCell ref="B45:E45"/>
    <mergeCell ref="G45:H45"/>
    <mergeCell ref="I45:J45"/>
    <mergeCell ref="K45:L45"/>
    <mergeCell ref="B24:E24"/>
    <mergeCell ref="G23:H23"/>
    <mergeCell ref="G24:H24"/>
    <mergeCell ref="I23:J23"/>
    <mergeCell ref="K23:L23"/>
    <mergeCell ref="I24:J24"/>
    <mergeCell ref="K24:L24"/>
    <mergeCell ref="A33:A34"/>
    <mergeCell ref="B33:E34"/>
    <mergeCell ref="F33:F34"/>
    <mergeCell ref="G33:H34"/>
    <mergeCell ref="I33:J34"/>
    <mergeCell ref="K33:L34"/>
    <mergeCell ref="M33:M34"/>
    <mergeCell ref="N33:N34"/>
    <mergeCell ref="L27:L29"/>
    <mergeCell ref="M27:M29"/>
    <mergeCell ref="N27:N29"/>
    <mergeCell ref="A31:A32"/>
    <mergeCell ref="B31:C32"/>
    <mergeCell ref="D31:D32"/>
    <mergeCell ref="E31:F32"/>
    <mergeCell ref="G31:H32"/>
    <mergeCell ref="I31:J32"/>
    <mergeCell ref="K31:L32"/>
    <mergeCell ref="A27:A29"/>
    <mergeCell ref="B27:C29"/>
    <mergeCell ref="D27:D29"/>
    <mergeCell ref="E27:F29"/>
    <mergeCell ref="G27:G29"/>
    <mergeCell ref="H27:H29"/>
    <mergeCell ref="I27:I29"/>
    <mergeCell ref="B21:E21"/>
    <mergeCell ref="G21:H21"/>
    <mergeCell ref="I21:J21"/>
    <mergeCell ref="K21:L21"/>
    <mergeCell ref="B22:E22"/>
    <mergeCell ref="G22:H22"/>
    <mergeCell ref="I22:J22"/>
    <mergeCell ref="K22:L22"/>
    <mergeCell ref="B19:E19"/>
    <mergeCell ref="G19:H19"/>
    <mergeCell ref="I19:J19"/>
    <mergeCell ref="K19:L19"/>
    <mergeCell ref="B20:E20"/>
    <mergeCell ref="G20:H20"/>
    <mergeCell ref="I20:J20"/>
    <mergeCell ref="K20:L20"/>
    <mergeCell ref="B23:E23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6:N26"/>
    <mergeCell ref="M25:N25"/>
    <mergeCell ref="B37:E37"/>
    <mergeCell ref="G37:H37"/>
    <mergeCell ref="I37:J37"/>
    <mergeCell ref="K37:L37"/>
    <mergeCell ref="B38:E38"/>
    <mergeCell ref="G38:H38"/>
    <mergeCell ref="I38:J38"/>
    <mergeCell ref="K38:L38"/>
    <mergeCell ref="B35:E35"/>
    <mergeCell ref="G35:H35"/>
    <mergeCell ref="I35:J35"/>
    <mergeCell ref="K35:L35"/>
    <mergeCell ref="B36:E36"/>
    <mergeCell ref="B25:E25"/>
    <mergeCell ref="G25:H25"/>
    <mergeCell ref="I25:J25"/>
    <mergeCell ref="K25:L25"/>
    <mergeCell ref="A26:E26"/>
    <mergeCell ref="G26:H26"/>
    <mergeCell ref="I26:J26"/>
    <mergeCell ref="K26:L26"/>
    <mergeCell ref="J27:J29"/>
    <mergeCell ref="K27:K29"/>
    <mergeCell ref="G36:H36"/>
    <mergeCell ref="I36:J36"/>
    <mergeCell ref="K36:L36"/>
    <mergeCell ref="M31:N32"/>
    <mergeCell ref="A53:A54"/>
    <mergeCell ref="B53:C54"/>
    <mergeCell ref="D53:D54"/>
    <mergeCell ref="E53:F54"/>
    <mergeCell ref="G53:H54"/>
    <mergeCell ref="I53:J54"/>
    <mergeCell ref="K53:L54"/>
    <mergeCell ref="M53:N54"/>
    <mergeCell ref="A55:A56"/>
    <mergeCell ref="B55:E56"/>
    <mergeCell ref="F55:F56"/>
    <mergeCell ref="G55:H56"/>
    <mergeCell ref="I55:J56"/>
    <mergeCell ref="K55:L56"/>
    <mergeCell ref="M55:M56"/>
    <mergeCell ref="N55:N56"/>
    <mergeCell ref="B64:E64"/>
    <mergeCell ref="B61:E61"/>
    <mergeCell ref="G61:H61"/>
    <mergeCell ref="I61:J61"/>
    <mergeCell ref="K61:L61"/>
    <mergeCell ref="B62:E62"/>
    <mergeCell ref="G62:H62"/>
    <mergeCell ref="I62:J62"/>
    <mergeCell ref="K62:L62"/>
    <mergeCell ref="B59:E59"/>
    <mergeCell ref="G59:H59"/>
    <mergeCell ref="I59:J59"/>
    <mergeCell ref="K59:L59"/>
    <mergeCell ref="B60:E60"/>
    <mergeCell ref="G60:H60"/>
    <mergeCell ref="I60:J60"/>
    <mergeCell ref="N71:N73"/>
    <mergeCell ref="A75:A76"/>
    <mergeCell ref="B75:C76"/>
    <mergeCell ref="D75:D76"/>
    <mergeCell ref="E75:F76"/>
    <mergeCell ref="G75:H76"/>
    <mergeCell ref="I75:J76"/>
    <mergeCell ref="K75:L76"/>
    <mergeCell ref="M75:N76"/>
    <mergeCell ref="A77:A78"/>
    <mergeCell ref="B77:E78"/>
    <mergeCell ref="F77:F78"/>
    <mergeCell ref="G77:H78"/>
    <mergeCell ref="I77:J78"/>
    <mergeCell ref="K77:L78"/>
    <mergeCell ref="M77:M78"/>
    <mergeCell ref="N77:N78"/>
    <mergeCell ref="B84:E84"/>
    <mergeCell ref="B85:E85"/>
    <mergeCell ref="G85:H85"/>
    <mergeCell ref="I85:J85"/>
    <mergeCell ref="K85:L85"/>
    <mergeCell ref="B86:E86"/>
    <mergeCell ref="G86:H86"/>
    <mergeCell ref="I86:J86"/>
    <mergeCell ref="K86:L86"/>
    <mergeCell ref="B83:E83"/>
    <mergeCell ref="G83:H83"/>
    <mergeCell ref="I83:J83"/>
    <mergeCell ref="K83:L83"/>
    <mergeCell ref="G84:H84"/>
    <mergeCell ref="I84:J84"/>
    <mergeCell ref="K84:L84"/>
    <mergeCell ref="J93:J95"/>
    <mergeCell ref="K93:K95"/>
    <mergeCell ref="L93:L95"/>
    <mergeCell ref="B87:E87"/>
    <mergeCell ref="G87:H87"/>
    <mergeCell ref="I87:J87"/>
    <mergeCell ref="K87:L87"/>
    <mergeCell ref="B88:E88"/>
    <mergeCell ref="G88:H88"/>
    <mergeCell ref="I88:J88"/>
    <mergeCell ref="K88:L88"/>
    <mergeCell ref="B89:E89"/>
    <mergeCell ref="G89:H89"/>
    <mergeCell ref="I89:J89"/>
    <mergeCell ref="K89:L89"/>
    <mergeCell ref="B90:E90"/>
    <mergeCell ref="B103:E103"/>
    <mergeCell ref="G103:H103"/>
    <mergeCell ref="I103:J103"/>
    <mergeCell ref="K103:L103"/>
    <mergeCell ref="G104:H104"/>
    <mergeCell ref="I104:J104"/>
    <mergeCell ref="K104:L104"/>
    <mergeCell ref="I137:I139"/>
    <mergeCell ref="J137:J139"/>
    <mergeCell ref="K137:K139"/>
    <mergeCell ref="L137:L139"/>
    <mergeCell ref="M137:M139"/>
    <mergeCell ref="N137:N139"/>
    <mergeCell ref="B104:E104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9:E109"/>
    <mergeCell ref="G109:H109"/>
    <mergeCell ref="A141:A142"/>
    <mergeCell ref="B141:C142"/>
    <mergeCell ref="D141:D142"/>
    <mergeCell ref="E141:F142"/>
    <mergeCell ref="G141:H142"/>
    <mergeCell ref="I141:J142"/>
    <mergeCell ref="K141:L142"/>
    <mergeCell ref="M141:N142"/>
    <mergeCell ref="M157:N157"/>
    <mergeCell ref="A158:E158"/>
    <mergeCell ref="M158:N158"/>
    <mergeCell ref="B147:E147"/>
    <mergeCell ref="G147:H147"/>
    <mergeCell ref="I147:J147"/>
    <mergeCell ref="K147:L147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55:E155"/>
    <mergeCell ref="G155:H155"/>
    <mergeCell ref="I155:J155"/>
    <mergeCell ref="K155:L155"/>
    <mergeCell ref="B156:E156"/>
    <mergeCell ref="G156:H156"/>
    <mergeCell ref="I156:J156"/>
    <mergeCell ref="K156:L156"/>
    <mergeCell ref="B153:E153"/>
    <mergeCell ref="M159:M161"/>
    <mergeCell ref="N159:N161"/>
    <mergeCell ref="A163:A164"/>
    <mergeCell ref="B163:C164"/>
    <mergeCell ref="D163:D164"/>
    <mergeCell ref="E163:F164"/>
    <mergeCell ref="G163:H164"/>
    <mergeCell ref="I163:J164"/>
    <mergeCell ref="K163:L164"/>
    <mergeCell ref="M163:N164"/>
    <mergeCell ref="M179:N179"/>
    <mergeCell ref="A180:E180"/>
    <mergeCell ref="M180:N180"/>
    <mergeCell ref="A181:A183"/>
    <mergeCell ref="B181:C183"/>
    <mergeCell ref="D181:D183"/>
    <mergeCell ref="E181:F183"/>
    <mergeCell ref="G181:G183"/>
    <mergeCell ref="H181:H183"/>
    <mergeCell ref="I181:I183"/>
    <mergeCell ref="J181:J183"/>
    <mergeCell ref="K181:K183"/>
    <mergeCell ref="L181:L183"/>
    <mergeCell ref="M181:M183"/>
    <mergeCell ref="N181:N183"/>
    <mergeCell ref="B179:E179"/>
    <mergeCell ref="G179:H179"/>
    <mergeCell ref="I179:J179"/>
    <mergeCell ref="K179:L179"/>
    <mergeCell ref="G180:H180"/>
    <mergeCell ref="I180:J180"/>
    <mergeCell ref="K180:L180"/>
    <mergeCell ref="M201:N201"/>
    <mergeCell ref="A202:E202"/>
    <mergeCell ref="M202:N202"/>
    <mergeCell ref="A203:A205"/>
    <mergeCell ref="B203:C205"/>
    <mergeCell ref="D203:D205"/>
    <mergeCell ref="E203:F205"/>
    <mergeCell ref="G203:G205"/>
    <mergeCell ref="H203:H205"/>
    <mergeCell ref="I203:I205"/>
    <mergeCell ref="J203:J205"/>
    <mergeCell ref="K203:K205"/>
    <mergeCell ref="L203:L205"/>
    <mergeCell ref="M203:M205"/>
    <mergeCell ref="N203:N205"/>
    <mergeCell ref="A207:A208"/>
    <mergeCell ref="B207:C208"/>
    <mergeCell ref="D207:D208"/>
    <mergeCell ref="E207:F208"/>
    <mergeCell ref="G207:H208"/>
    <mergeCell ref="I207:J208"/>
    <mergeCell ref="K207:L208"/>
    <mergeCell ref="M207:N208"/>
    <mergeCell ref="B201:E201"/>
    <mergeCell ref="G201:H201"/>
    <mergeCell ref="I201:J201"/>
    <mergeCell ref="K201:L201"/>
    <mergeCell ref="G202:H202"/>
    <mergeCell ref="I202:J202"/>
    <mergeCell ref="K202:L202"/>
    <mergeCell ref="A253:A254"/>
    <mergeCell ref="B253:E254"/>
    <mergeCell ref="F253:F254"/>
    <mergeCell ref="G253:H254"/>
    <mergeCell ref="I253:J254"/>
    <mergeCell ref="K253:L254"/>
    <mergeCell ref="M253:M254"/>
    <mergeCell ref="N253:N254"/>
    <mergeCell ref="B264:E264"/>
    <mergeCell ref="B265:E265"/>
    <mergeCell ref="G265:H265"/>
    <mergeCell ref="I265:J265"/>
    <mergeCell ref="K265:L265"/>
    <mergeCell ref="B266:E266"/>
    <mergeCell ref="G266:H266"/>
    <mergeCell ref="I266:J266"/>
    <mergeCell ref="K266:L266"/>
    <mergeCell ref="B255:E255"/>
    <mergeCell ref="G255:H255"/>
    <mergeCell ref="I255:J255"/>
    <mergeCell ref="K255:L255"/>
    <mergeCell ref="B256:E256"/>
    <mergeCell ref="G256:H256"/>
    <mergeCell ref="I256:J256"/>
    <mergeCell ref="K256:L256"/>
    <mergeCell ref="B261:E261"/>
    <mergeCell ref="G261:H261"/>
    <mergeCell ref="I261:J261"/>
    <mergeCell ref="K261:L261"/>
    <mergeCell ref="B262:E262"/>
    <mergeCell ref="G262:H262"/>
    <mergeCell ref="I262:J262"/>
    <mergeCell ref="A273:A274"/>
    <mergeCell ref="B273:C274"/>
    <mergeCell ref="D273:D274"/>
    <mergeCell ref="E273:F274"/>
    <mergeCell ref="G273:H274"/>
    <mergeCell ref="I273:J274"/>
    <mergeCell ref="K273:L274"/>
    <mergeCell ref="M273:N274"/>
    <mergeCell ref="A275:A276"/>
    <mergeCell ref="B275:E276"/>
    <mergeCell ref="F275:F276"/>
    <mergeCell ref="G275:H276"/>
    <mergeCell ref="I275:J276"/>
    <mergeCell ref="K275:L276"/>
    <mergeCell ref="M275:M276"/>
    <mergeCell ref="N275:N276"/>
    <mergeCell ref="B284:E284"/>
    <mergeCell ref="B278:E278"/>
    <mergeCell ref="G278:H278"/>
    <mergeCell ref="I278:J278"/>
    <mergeCell ref="K278:L278"/>
    <mergeCell ref="B283:E283"/>
    <mergeCell ref="G283:H283"/>
    <mergeCell ref="I283:J283"/>
    <mergeCell ref="K283:L283"/>
    <mergeCell ref="G284:H284"/>
    <mergeCell ref="I284:J284"/>
    <mergeCell ref="K284:L284"/>
    <mergeCell ref="M291:M293"/>
    <mergeCell ref="N291:N293"/>
    <mergeCell ref="A295:A296"/>
    <mergeCell ref="B295:C296"/>
    <mergeCell ref="D295:D296"/>
    <mergeCell ref="E295:F296"/>
    <mergeCell ref="G295:H296"/>
    <mergeCell ref="I295:J296"/>
    <mergeCell ref="K295:L296"/>
    <mergeCell ref="M295:N296"/>
    <mergeCell ref="A297:A298"/>
    <mergeCell ref="B297:E298"/>
    <mergeCell ref="F297:F298"/>
    <mergeCell ref="G297:H298"/>
    <mergeCell ref="I297:J298"/>
    <mergeCell ref="K297:L298"/>
    <mergeCell ref="M297:M298"/>
    <mergeCell ref="N297:N298"/>
    <mergeCell ref="B304:E304"/>
    <mergeCell ref="B305:E305"/>
    <mergeCell ref="G305:H305"/>
    <mergeCell ref="I305:J305"/>
    <mergeCell ref="K305:L305"/>
    <mergeCell ref="B306:E306"/>
    <mergeCell ref="G306:H306"/>
    <mergeCell ref="I306:J306"/>
    <mergeCell ref="K306:L306"/>
    <mergeCell ref="B303:E303"/>
    <mergeCell ref="G303:H303"/>
    <mergeCell ref="I303:J303"/>
    <mergeCell ref="K303:L303"/>
    <mergeCell ref="G304:H304"/>
    <mergeCell ref="I304:J304"/>
    <mergeCell ref="K304:L304"/>
    <mergeCell ref="J313:J315"/>
    <mergeCell ref="K313:K315"/>
    <mergeCell ref="L313:L315"/>
    <mergeCell ref="B307:E307"/>
    <mergeCell ref="G307:H307"/>
    <mergeCell ref="I307:J307"/>
    <mergeCell ref="K307:L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B310:E310"/>
    <mergeCell ref="B323:E323"/>
    <mergeCell ref="G323:H323"/>
    <mergeCell ref="I323:J323"/>
    <mergeCell ref="K323:L323"/>
    <mergeCell ref="G324:H324"/>
    <mergeCell ref="I324:J324"/>
    <mergeCell ref="K324:L324"/>
    <mergeCell ref="I357:I359"/>
    <mergeCell ref="J357:J359"/>
    <mergeCell ref="K357:K359"/>
    <mergeCell ref="L357:L359"/>
    <mergeCell ref="M357:M359"/>
    <mergeCell ref="N357:N359"/>
    <mergeCell ref="B324:E324"/>
    <mergeCell ref="B325:E325"/>
    <mergeCell ref="G325:H325"/>
    <mergeCell ref="I325:J325"/>
    <mergeCell ref="K325:L325"/>
    <mergeCell ref="B326:E326"/>
    <mergeCell ref="G326:H326"/>
    <mergeCell ref="I326:J326"/>
    <mergeCell ref="K326:L326"/>
    <mergeCell ref="B327:E327"/>
    <mergeCell ref="G327:H327"/>
    <mergeCell ref="I327:J327"/>
    <mergeCell ref="K327:L327"/>
    <mergeCell ref="B328:E328"/>
    <mergeCell ref="G328:H328"/>
    <mergeCell ref="I328:J328"/>
    <mergeCell ref="K328:L328"/>
    <mergeCell ref="B329:E329"/>
    <mergeCell ref="G329:H329"/>
    <mergeCell ref="A361:A362"/>
    <mergeCell ref="B361:C362"/>
    <mergeCell ref="D361:D362"/>
    <mergeCell ref="E361:F362"/>
    <mergeCell ref="G361:H362"/>
    <mergeCell ref="I361:J362"/>
    <mergeCell ref="K361:L362"/>
    <mergeCell ref="M361:N362"/>
    <mergeCell ref="M377:N377"/>
    <mergeCell ref="A378:E378"/>
    <mergeCell ref="M378:N378"/>
    <mergeCell ref="B367:E367"/>
    <mergeCell ref="G367:H367"/>
    <mergeCell ref="I367:J367"/>
    <mergeCell ref="K367:L367"/>
    <mergeCell ref="B368:E368"/>
    <mergeCell ref="G368:H368"/>
    <mergeCell ref="I368:J368"/>
    <mergeCell ref="K368:L368"/>
    <mergeCell ref="B369:E369"/>
    <mergeCell ref="G369:H369"/>
    <mergeCell ref="I369:J369"/>
    <mergeCell ref="K369:L369"/>
    <mergeCell ref="B375:E375"/>
    <mergeCell ref="G375:H375"/>
    <mergeCell ref="I375:J375"/>
    <mergeCell ref="K375:L375"/>
    <mergeCell ref="B376:E376"/>
    <mergeCell ref="G376:H376"/>
    <mergeCell ref="I376:J376"/>
    <mergeCell ref="K376:L376"/>
    <mergeCell ref="B373:E373"/>
    <mergeCell ref="M379:M381"/>
    <mergeCell ref="N379:N381"/>
    <mergeCell ref="A383:A384"/>
    <mergeCell ref="B383:C384"/>
    <mergeCell ref="D383:D384"/>
    <mergeCell ref="E383:F384"/>
    <mergeCell ref="G383:H384"/>
    <mergeCell ref="I383:J384"/>
    <mergeCell ref="K383:L384"/>
    <mergeCell ref="M383:N384"/>
    <mergeCell ref="M399:N399"/>
    <mergeCell ref="A400:E400"/>
    <mergeCell ref="M400:N400"/>
    <mergeCell ref="A401:A403"/>
    <mergeCell ref="B401:C403"/>
    <mergeCell ref="D401:D403"/>
    <mergeCell ref="E401:F403"/>
    <mergeCell ref="G401:G403"/>
    <mergeCell ref="H401:H403"/>
    <mergeCell ref="I401:I403"/>
    <mergeCell ref="J401:J403"/>
    <mergeCell ref="K401:K403"/>
    <mergeCell ref="L401:L403"/>
    <mergeCell ref="M401:M403"/>
    <mergeCell ref="N401:N403"/>
    <mergeCell ref="B399:E399"/>
    <mergeCell ref="G399:H399"/>
    <mergeCell ref="I399:J399"/>
    <mergeCell ref="K399:L399"/>
    <mergeCell ref="G400:H400"/>
    <mergeCell ref="I400:J400"/>
    <mergeCell ref="K400:L400"/>
    <mergeCell ref="M421:N421"/>
    <mergeCell ref="A422:E422"/>
    <mergeCell ref="M422:N422"/>
    <mergeCell ref="A423:A425"/>
    <mergeCell ref="B423:C425"/>
    <mergeCell ref="D423:D425"/>
    <mergeCell ref="E423:F425"/>
    <mergeCell ref="G423:G425"/>
    <mergeCell ref="H423:H425"/>
    <mergeCell ref="I423:I425"/>
    <mergeCell ref="J423:J425"/>
    <mergeCell ref="K423:K425"/>
    <mergeCell ref="L423:L425"/>
    <mergeCell ref="M423:M425"/>
    <mergeCell ref="N423:N425"/>
    <mergeCell ref="A427:A428"/>
    <mergeCell ref="B427:C428"/>
    <mergeCell ref="D427:D428"/>
    <mergeCell ref="E427:F428"/>
    <mergeCell ref="G427:H428"/>
    <mergeCell ref="I427:J428"/>
    <mergeCell ref="K427:L428"/>
    <mergeCell ref="M427:N428"/>
    <mergeCell ref="B421:E421"/>
    <mergeCell ref="G421:H421"/>
    <mergeCell ref="I421:J421"/>
    <mergeCell ref="K421:L421"/>
    <mergeCell ref="G422:H422"/>
    <mergeCell ref="I422:J422"/>
    <mergeCell ref="K422:L42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4:E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B475:E475"/>
    <mergeCell ref="G475:H475"/>
    <mergeCell ref="I475:J475"/>
    <mergeCell ref="K475:L475"/>
    <mergeCell ref="B476:E476"/>
    <mergeCell ref="G476:H476"/>
    <mergeCell ref="I476:J476"/>
    <mergeCell ref="K476:L476"/>
    <mergeCell ref="B481:E481"/>
    <mergeCell ref="G481:H481"/>
    <mergeCell ref="I481:J481"/>
    <mergeCell ref="K481:L481"/>
    <mergeCell ref="B482:E482"/>
    <mergeCell ref="G482:H482"/>
    <mergeCell ref="I482:J482"/>
    <mergeCell ref="A493:A494"/>
    <mergeCell ref="B493:C494"/>
    <mergeCell ref="D493:D494"/>
    <mergeCell ref="E493:F494"/>
    <mergeCell ref="G493:H494"/>
    <mergeCell ref="I493:J494"/>
    <mergeCell ref="K493:L494"/>
    <mergeCell ref="M493:N494"/>
    <mergeCell ref="A495:A496"/>
    <mergeCell ref="B495:E496"/>
    <mergeCell ref="F495:F496"/>
    <mergeCell ref="G495:H496"/>
    <mergeCell ref="I495:J496"/>
    <mergeCell ref="K495:L496"/>
    <mergeCell ref="M495:M496"/>
    <mergeCell ref="N495:N496"/>
    <mergeCell ref="B504:E504"/>
    <mergeCell ref="B498:E498"/>
    <mergeCell ref="G498:H498"/>
    <mergeCell ref="I498:J498"/>
    <mergeCell ref="K498:L498"/>
    <mergeCell ref="B503:E503"/>
    <mergeCell ref="G503:H503"/>
    <mergeCell ref="I503:J503"/>
    <mergeCell ref="K503:L503"/>
    <mergeCell ref="G504:H504"/>
    <mergeCell ref="I504:J504"/>
    <mergeCell ref="K504:L504"/>
    <mergeCell ref="M511:M513"/>
    <mergeCell ref="N511:N513"/>
    <mergeCell ref="A515:A516"/>
    <mergeCell ref="B515:C516"/>
    <mergeCell ref="D515:D516"/>
    <mergeCell ref="E515:F516"/>
    <mergeCell ref="G515:H516"/>
    <mergeCell ref="I515:J516"/>
    <mergeCell ref="K515:L516"/>
    <mergeCell ref="M515:N516"/>
    <mergeCell ref="A517:A518"/>
    <mergeCell ref="B517:E518"/>
    <mergeCell ref="F517:F518"/>
    <mergeCell ref="G517:H518"/>
    <mergeCell ref="I517:J518"/>
    <mergeCell ref="K517:L518"/>
    <mergeCell ref="M517:M518"/>
    <mergeCell ref="N517:N518"/>
    <mergeCell ref="B524:E524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B523:E523"/>
    <mergeCell ref="G523:H523"/>
    <mergeCell ref="I523:J523"/>
    <mergeCell ref="K523:L523"/>
    <mergeCell ref="G524:H524"/>
    <mergeCell ref="I524:J524"/>
    <mergeCell ref="K524:L524"/>
    <mergeCell ref="J533:J535"/>
    <mergeCell ref="K533:K535"/>
    <mergeCell ref="L533:L535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9:E529"/>
    <mergeCell ref="G529:H529"/>
    <mergeCell ref="I529:J529"/>
    <mergeCell ref="K529:L529"/>
    <mergeCell ref="B530:E530"/>
    <mergeCell ref="B543:E543"/>
    <mergeCell ref="G543:H543"/>
    <mergeCell ref="I543:J543"/>
    <mergeCell ref="K543:L543"/>
    <mergeCell ref="G544:H544"/>
    <mergeCell ref="I544:J544"/>
    <mergeCell ref="K544:L544"/>
    <mergeCell ref="I577:I579"/>
    <mergeCell ref="J577:J579"/>
    <mergeCell ref="K577:K579"/>
    <mergeCell ref="L577:L579"/>
    <mergeCell ref="M577:M579"/>
    <mergeCell ref="N577:N579"/>
    <mergeCell ref="B544:E544"/>
    <mergeCell ref="B545:E545"/>
    <mergeCell ref="G545:H545"/>
    <mergeCell ref="I545:J545"/>
    <mergeCell ref="K545:L545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8:E548"/>
    <mergeCell ref="G548:H548"/>
    <mergeCell ref="I548:J548"/>
    <mergeCell ref="K548:L548"/>
    <mergeCell ref="B549:E549"/>
    <mergeCell ref="G549:H549"/>
    <mergeCell ref="A581:A582"/>
    <mergeCell ref="B581:C582"/>
    <mergeCell ref="D581:D582"/>
    <mergeCell ref="E581:F582"/>
    <mergeCell ref="G581:H582"/>
    <mergeCell ref="I581:J582"/>
    <mergeCell ref="K581:L582"/>
    <mergeCell ref="M581:N582"/>
    <mergeCell ref="B587:E587"/>
    <mergeCell ref="G587:H587"/>
    <mergeCell ref="I587:J587"/>
    <mergeCell ref="K587:L587"/>
    <mergeCell ref="B588:E588"/>
    <mergeCell ref="G588:H588"/>
    <mergeCell ref="M619:N619"/>
    <mergeCell ref="A620:E620"/>
    <mergeCell ref="M620:N620"/>
    <mergeCell ref="I588:J588"/>
    <mergeCell ref="K588:L588"/>
    <mergeCell ref="B589:E589"/>
    <mergeCell ref="G589:H589"/>
    <mergeCell ref="I589:J589"/>
    <mergeCell ref="K589:L589"/>
    <mergeCell ref="B595:E595"/>
    <mergeCell ref="G595:H595"/>
    <mergeCell ref="I595:J595"/>
    <mergeCell ref="K595:L595"/>
    <mergeCell ref="B596:E596"/>
    <mergeCell ref="G596:H596"/>
    <mergeCell ref="I596:J596"/>
    <mergeCell ref="K596:L596"/>
    <mergeCell ref="B593:E593"/>
    <mergeCell ref="A621:A623"/>
    <mergeCell ref="B621:C623"/>
    <mergeCell ref="D621:D623"/>
    <mergeCell ref="E621:F623"/>
    <mergeCell ref="G621:G623"/>
    <mergeCell ref="H621:H623"/>
    <mergeCell ref="I621:I623"/>
    <mergeCell ref="J621:J623"/>
    <mergeCell ref="K621:K623"/>
    <mergeCell ref="L621:L623"/>
    <mergeCell ref="M621:M623"/>
    <mergeCell ref="N621:N623"/>
    <mergeCell ref="M597:N597"/>
    <mergeCell ref="A598:E598"/>
    <mergeCell ref="M598:N598"/>
    <mergeCell ref="A599:A601"/>
    <mergeCell ref="B599:C601"/>
    <mergeCell ref="D599:D601"/>
    <mergeCell ref="E599:F601"/>
    <mergeCell ref="G599:G601"/>
    <mergeCell ref="H599:H601"/>
    <mergeCell ref="I599:I601"/>
    <mergeCell ref="J599:J601"/>
    <mergeCell ref="K599:K601"/>
    <mergeCell ref="L599:L601"/>
    <mergeCell ref="M599:M601"/>
    <mergeCell ref="N599:N601"/>
    <mergeCell ref="B597:E597"/>
    <mergeCell ref="G597:H597"/>
    <mergeCell ref="I597:J597"/>
    <mergeCell ref="K597:L597"/>
    <mergeCell ref="G598:H598"/>
    <mergeCell ref="A625:A626"/>
    <mergeCell ref="B625:C626"/>
    <mergeCell ref="D625:D626"/>
    <mergeCell ref="E625:F626"/>
    <mergeCell ref="G625:H626"/>
    <mergeCell ref="I625:J626"/>
    <mergeCell ref="K625:L626"/>
    <mergeCell ref="M625:N626"/>
    <mergeCell ref="A627:A628"/>
    <mergeCell ref="B627:E628"/>
    <mergeCell ref="F627:F628"/>
    <mergeCell ref="G627:H628"/>
    <mergeCell ref="I627:J628"/>
    <mergeCell ref="K627:L628"/>
    <mergeCell ref="M627:M628"/>
    <mergeCell ref="N627:N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B634:E634"/>
    <mergeCell ref="G634:H634"/>
    <mergeCell ref="I634:J634"/>
    <mergeCell ref="K634:L634"/>
    <mergeCell ref="B635:E635"/>
    <mergeCell ref="G635:H635"/>
    <mergeCell ref="I635:J635"/>
    <mergeCell ref="K635:L635"/>
    <mergeCell ref="B636:E636"/>
    <mergeCell ref="G636:H636"/>
    <mergeCell ref="I636:J636"/>
    <mergeCell ref="K636:L636"/>
    <mergeCell ref="B637:E637"/>
    <mergeCell ref="G637:H637"/>
    <mergeCell ref="I637:J637"/>
    <mergeCell ref="K637:L637"/>
    <mergeCell ref="B638:E638"/>
    <mergeCell ref="G638:H638"/>
    <mergeCell ref="I638:J638"/>
    <mergeCell ref="K638:L638"/>
    <mergeCell ref="B639:E639"/>
    <mergeCell ref="G639:H639"/>
    <mergeCell ref="I639:J639"/>
    <mergeCell ref="K639:L639"/>
    <mergeCell ref="B640:E640"/>
    <mergeCell ref="G640:H640"/>
    <mergeCell ref="I640:J640"/>
    <mergeCell ref="K640:L640"/>
    <mergeCell ref="B641:E641"/>
    <mergeCell ref="G641:H641"/>
    <mergeCell ref="I641:J641"/>
    <mergeCell ref="K641:L641"/>
    <mergeCell ref="M641:N641"/>
    <mergeCell ref="A642:E642"/>
    <mergeCell ref="G642:H642"/>
    <mergeCell ref="I642:J642"/>
    <mergeCell ref="K642:L642"/>
    <mergeCell ref="M642:N642"/>
    <mergeCell ref="A643:A645"/>
    <mergeCell ref="B643:C645"/>
    <mergeCell ref="D643:D645"/>
    <mergeCell ref="E643:F645"/>
    <mergeCell ref="G643:G645"/>
    <mergeCell ref="H643:H645"/>
    <mergeCell ref="I643:I645"/>
    <mergeCell ref="J643:J645"/>
    <mergeCell ref="K643:K645"/>
    <mergeCell ref="L643:L645"/>
    <mergeCell ref="M643:M645"/>
    <mergeCell ref="N643:N645"/>
    <mergeCell ref="A647:A648"/>
    <mergeCell ref="B647:C648"/>
    <mergeCell ref="D647:D648"/>
    <mergeCell ref="E647:F648"/>
    <mergeCell ref="G647:H648"/>
    <mergeCell ref="I647:J648"/>
    <mergeCell ref="K647:L648"/>
    <mergeCell ref="M647:N648"/>
    <mergeCell ref="A649:A650"/>
    <mergeCell ref="B649:E650"/>
    <mergeCell ref="F649:F650"/>
    <mergeCell ref="G649:H650"/>
    <mergeCell ref="I649:J650"/>
    <mergeCell ref="K649:L650"/>
    <mergeCell ref="M649:M650"/>
    <mergeCell ref="N649:N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B655:E655"/>
    <mergeCell ref="G655:H655"/>
    <mergeCell ref="I655:J655"/>
    <mergeCell ref="K655:L655"/>
    <mergeCell ref="B656:E656"/>
    <mergeCell ref="G656:H656"/>
    <mergeCell ref="I656:J656"/>
    <mergeCell ref="K656:L656"/>
    <mergeCell ref="B657:E657"/>
    <mergeCell ref="G657:H657"/>
    <mergeCell ref="I657:J657"/>
    <mergeCell ref="K657:L657"/>
    <mergeCell ref="B658:E658"/>
    <mergeCell ref="G658:H658"/>
    <mergeCell ref="I658:J658"/>
    <mergeCell ref="K658:L658"/>
    <mergeCell ref="B659:E659"/>
    <mergeCell ref="G659:H659"/>
    <mergeCell ref="I659:J659"/>
    <mergeCell ref="K659:L659"/>
    <mergeCell ref="B660:E660"/>
    <mergeCell ref="G660:H660"/>
    <mergeCell ref="I660:J660"/>
    <mergeCell ref="K660:L660"/>
    <mergeCell ref="B661:E661"/>
    <mergeCell ref="G661:H661"/>
    <mergeCell ref="I661:J661"/>
    <mergeCell ref="K661:L661"/>
    <mergeCell ref="B662:E662"/>
    <mergeCell ref="G662:H662"/>
    <mergeCell ref="I662:J662"/>
    <mergeCell ref="K662:L662"/>
    <mergeCell ref="B663:E663"/>
    <mergeCell ref="G663:H663"/>
    <mergeCell ref="I663:J663"/>
    <mergeCell ref="K663:L663"/>
    <mergeCell ref="M663:N663"/>
    <mergeCell ref="A664:E664"/>
    <mergeCell ref="G664:H664"/>
    <mergeCell ref="I664:J664"/>
    <mergeCell ref="K664:L664"/>
    <mergeCell ref="M664:N664"/>
    <mergeCell ref="A665:A667"/>
    <mergeCell ref="B665:C667"/>
    <mergeCell ref="D665:D667"/>
    <mergeCell ref="E665:F667"/>
    <mergeCell ref="G665:G667"/>
    <mergeCell ref="H665:H667"/>
    <mergeCell ref="I665:I667"/>
    <mergeCell ref="J665:J667"/>
    <mergeCell ref="K665:K667"/>
    <mergeCell ref="L665:L667"/>
    <mergeCell ref="M665:M667"/>
    <mergeCell ref="N665:N667"/>
    <mergeCell ref="A669:A670"/>
    <mergeCell ref="B669:C670"/>
    <mergeCell ref="D669:D670"/>
    <mergeCell ref="E669:F670"/>
    <mergeCell ref="G669:H670"/>
    <mergeCell ref="I669:J670"/>
    <mergeCell ref="K669:L670"/>
    <mergeCell ref="M669:N670"/>
    <mergeCell ref="A671:A672"/>
    <mergeCell ref="B671:E672"/>
    <mergeCell ref="F671:F672"/>
    <mergeCell ref="G671:H672"/>
    <mergeCell ref="I671:J672"/>
    <mergeCell ref="K671:L672"/>
    <mergeCell ref="M671:M672"/>
    <mergeCell ref="N671:N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B676:E676"/>
    <mergeCell ref="G676:H676"/>
    <mergeCell ref="I676:J676"/>
    <mergeCell ref="K676:L676"/>
    <mergeCell ref="B677:E677"/>
    <mergeCell ref="G677:H677"/>
    <mergeCell ref="I677:J677"/>
    <mergeCell ref="K677:L677"/>
    <mergeCell ref="B678:E678"/>
    <mergeCell ref="G678:H678"/>
    <mergeCell ref="I678:J678"/>
    <mergeCell ref="K678:L678"/>
    <mergeCell ref="B679:E679"/>
    <mergeCell ref="G679:H679"/>
    <mergeCell ref="I679:J679"/>
    <mergeCell ref="K679:L679"/>
    <mergeCell ref="B680:E680"/>
    <mergeCell ref="G680:H680"/>
    <mergeCell ref="I680:J680"/>
    <mergeCell ref="K680:L680"/>
    <mergeCell ref="B681:E681"/>
    <mergeCell ref="G681:H681"/>
    <mergeCell ref="I681:J681"/>
    <mergeCell ref="K681:L681"/>
    <mergeCell ref="B682:E682"/>
    <mergeCell ref="G682:H682"/>
    <mergeCell ref="I682:J682"/>
    <mergeCell ref="K682:L682"/>
    <mergeCell ref="B683:E683"/>
    <mergeCell ref="G683:H683"/>
    <mergeCell ref="I683:J683"/>
    <mergeCell ref="K683:L683"/>
    <mergeCell ref="B684:E684"/>
    <mergeCell ref="G684:H684"/>
    <mergeCell ref="I684:J684"/>
    <mergeCell ref="K684:L684"/>
    <mergeCell ref="B685:E685"/>
    <mergeCell ref="G685:H685"/>
    <mergeCell ref="I685:J685"/>
    <mergeCell ref="K685:L685"/>
    <mergeCell ref="M685:N685"/>
    <mergeCell ref="A686:E686"/>
    <mergeCell ref="G686:H686"/>
    <mergeCell ref="I686:J686"/>
    <mergeCell ref="K686:L686"/>
    <mergeCell ref="M686:N686"/>
    <mergeCell ref="A687:A689"/>
    <mergeCell ref="B687:C689"/>
    <mergeCell ref="D687:D689"/>
    <mergeCell ref="E687:F689"/>
    <mergeCell ref="G687:G689"/>
    <mergeCell ref="H687:H689"/>
    <mergeCell ref="I687:I689"/>
    <mergeCell ref="J687:J689"/>
    <mergeCell ref="K687:K689"/>
    <mergeCell ref="L687:L689"/>
    <mergeCell ref="M687:M689"/>
    <mergeCell ref="N687:N689"/>
    <mergeCell ref="A691:A692"/>
    <mergeCell ref="B691:C692"/>
    <mergeCell ref="D691:D692"/>
    <mergeCell ref="E691:F692"/>
    <mergeCell ref="G691:H692"/>
    <mergeCell ref="I691:J692"/>
    <mergeCell ref="K691:L692"/>
    <mergeCell ref="M691:N692"/>
    <mergeCell ref="A693:A694"/>
    <mergeCell ref="B693:E694"/>
    <mergeCell ref="F693:F694"/>
    <mergeCell ref="G693:H694"/>
    <mergeCell ref="I693:J694"/>
    <mergeCell ref="K693:L694"/>
    <mergeCell ref="M693:M694"/>
    <mergeCell ref="N693:N694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B697:E697"/>
    <mergeCell ref="G697:H697"/>
    <mergeCell ref="I697:J697"/>
    <mergeCell ref="K697:L697"/>
    <mergeCell ref="B698:E698"/>
    <mergeCell ref="G698:H698"/>
    <mergeCell ref="I698:J698"/>
    <mergeCell ref="K698:L698"/>
    <mergeCell ref="B699:E699"/>
    <mergeCell ref="G699:H699"/>
    <mergeCell ref="I699:J699"/>
    <mergeCell ref="K699:L699"/>
    <mergeCell ref="B700:E700"/>
    <mergeCell ref="G700:H700"/>
    <mergeCell ref="I700:J700"/>
    <mergeCell ref="K700:L700"/>
    <mergeCell ref="B701:E701"/>
    <mergeCell ref="G701:H701"/>
    <mergeCell ref="I701:J701"/>
    <mergeCell ref="K701:L701"/>
    <mergeCell ref="B702:E702"/>
    <mergeCell ref="G702:H702"/>
    <mergeCell ref="I702:J702"/>
    <mergeCell ref="K702:L702"/>
    <mergeCell ref="B703:E703"/>
    <mergeCell ref="G703:H703"/>
    <mergeCell ref="I703:J703"/>
    <mergeCell ref="K703:L703"/>
    <mergeCell ref="B704:E704"/>
    <mergeCell ref="G704:H704"/>
    <mergeCell ref="I704:J704"/>
    <mergeCell ref="K704:L704"/>
    <mergeCell ref="B705:E705"/>
    <mergeCell ref="G705:H705"/>
    <mergeCell ref="I705:J705"/>
    <mergeCell ref="K705:L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M707:N707"/>
    <mergeCell ref="A708:E708"/>
    <mergeCell ref="G708:H708"/>
    <mergeCell ref="I708:J708"/>
    <mergeCell ref="K708:L708"/>
    <mergeCell ref="M708:N708"/>
    <mergeCell ref="A709:A711"/>
    <mergeCell ref="B709:C711"/>
    <mergeCell ref="D709:D711"/>
    <mergeCell ref="E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A713:A714"/>
    <mergeCell ref="B713:C714"/>
    <mergeCell ref="D713:D714"/>
    <mergeCell ref="E713:F714"/>
    <mergeCell ref="G713:H714"/>
    <mergeCell ref="I713:J714"/>
    <mergeCell ref="K713:L714"/>
    <mergeCell ref="M713:N714"/>
    <mergeCell ref="A715:A716"/>
    <mergeCell ref="B715:E716"/>
    <mergeCell ref="F715:F716"/>
    <mergeCell ref="G715:H716"/>
    <mergeCell ref="I715:J716"/>
    <mergeCell ref="K715:L716"/>
    <mergeCell ref="M715:M716"/>
    <mergeCell ref="N715:N716"/>
    <mergeCell ref="B717:E717"/>
    <mergeCell ref="G717:H717"/>
    <mergeCell ref="I717:J717"/>
    <mergeCell ref="K717:L717"/>
    <mergeCell ref="B718:E718"/>
    <mergeCell ref="G718:H718"/>
    <mergeCell ref="I718:J718"/>
    <mergeCell ref="K718:L718"/>
    <mergeCell ref="B719:E719"/>
    <mergeCell ref="G719:H719"/>
    <mergeCell ref="I719:J719"/>
    <mergeCell ref="K719:L719"/>
    <mergeCell ref="B720:E720"/>
    <mergeCell ref="G720:H720"/>
    <mergeCell ref="I720:J720"/>
    <mergeCell ref="K720:L720"/>
    <mergeCell ref="B721:E721"/>
    <mergeCell ref="G721:H721"/>
    <mergeCell ref="I721:J721"/>
    <mergeCell ref="K721:L721"/>
    <mergeCell ref="B722:E722"/>
    <mergeCell ref="G722:H722"/>
    <mergeCell ref="I722:J722"/>
    <mergeCell ref="K722:L722"/>
    <mergeCell ref="B723:E723"/>
    <mergeCell ref="G723:H723"/>
    <mergeCell ref="I723:J723"/>
    <mergeCell ref="K723:L723"/>
    <mergeCell ref="B724:E724"/>
    <mergeCell ref="G724:H724"/>
    <mergeCell ref="I724:J724"/>
    <mergeCell ref="K724:L724"/>
    <mergeCell ref="B725:E725"/>
    <mergeCell ref="G725:H725"/>
    <mergeCell ref="I725:J725"/>
    <mergeCell ref="K725:L725"/>
    <mergeCell ref="B726:E726"/>
    <mergeCell ref="G726:H726"/>
    <mergeCell ref="I726:J726"/>
    <mergeCell ref="K726:L726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M729:N729"/>
    <mergeCell ref="A730:E730"/>
    <mergeCell ref="G730:H730"/>
    <mergeCell ref="I730:J730"/>
    <mergeCell ref="K730:L730"/>
    <mergeCell ref="M730:N730"/>
    <mergeCell ref="A731:A733"/>
    <mergeCell ref="B731:C733"/>
    <mergeCell ref="D731:D733"/>
    <mergeCell ref="E731:F733"/>
    <mergeCell ref="G731:G733"/>
    <mergeCell ref="H731:H733"/>
    <mergeCell ref="I731:I733"/>
    <mergeCell ref="J731:J733"/>
    <mergeCell ref="K731:K733"/>
    <mergeCell ref="L731:L733"/>
    <mergeCell ref="M731:M733"/>
    <mergeCell ref="N731:N733"/>
    <mergeCell ref="A735:A736"/>
    <mergeCell ref="B735:C736"/>
    <mergeCell ref="D735:D736"/>
    <mergeCell ref="E735:F736"/>
    <mergeCell ref="G735:H736"/>
    <mergeCell ref="I735:J736"/>
    <mergeCell ref="K735:L736"/>
    <mergeCell ref="M735:N736"/>
    <mergeCell ref="A737:A738"/>
    <mergeCell ref="B737:E738"/>
    <mergeCell ref="F737:F738"/>
    <mergeCell ref="G737:H738"/>
    <mergeCell ref="I737:J738"/>
    <mergeCell ref="K737:L738"/>
    <mergeCell ref="M737:M738"/>
    <mergeCell ref="N737:N738"/>
    <mergeCell ref="B739:E739"/>
    <mergeCell ref="G739:H739"/>
    <mergeCell ref="I739:J739"/>
    <mergeCell ref="K739:L739"/>
    <mergeCell ref="B740:E740"/>
    <mergeCell ref="G740:H740"/>
    <mergeCell ref="I740:J740"/>
    <mergeCell ref="K740:L740"/>
    <mergeCell ref="B741:E741"/>
    <mergeCell ref="G741:H741"/>
    <mergeCell ref="I741:J741"/>
    <mergeCell ref="K741:L741"/>
    <mergeCell ref="B742:E742"/>
    <mergeCell ref="G742:H742"/>
    <mergeCell ref="I742:J742"/>
    <mergeCell ref="K742:L742"/>
    <mergeCell ref="B743:E743"/>
    <mergeCell ref="G743:H743"/>
    <mergeCell ref="I743:J743"/>
    <mergeCell ref="K743:L743"/>
    <mergeCell ref="B744:E744"/>
    <mergeCell ref="G744:H744"/>
    <mergeCell ref="I744:J744"/>
    <mergeCell ref="K744:L744"/>
    <mergeCell ref="B745:E745"/>
    <mergeCell ref="G745:H745"/>
    <mergeCell ref="I745:J745"/>
    <mergeCell ref="K745:L745"/>
    <mergeCell ref="B746:E746"/>
    <mergeCell ref="G746:H746"/>
    <mergeCell ref="I746:J746"/>
    <mergeCell ref="K746:L746"/>
    <mergeCell ref="B747:E747"/>
    <mergeCell ref="G747:H747"/>
    <mergeCell ref="I747:J747"/>
    <mergeCell ref="K747:L747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M751:N751"/>
    <mergeCell ref="A752:E752"/>
    <mergeCell ref="G752:H752"/>
    <mergeCell ref="I752:J752"/>
    <mergeCell ref="K752:L752"/>
    <mergeCell ref="M752:N752"/>
    <mergeCell ref="A753:A755"/>
    <mergeCell ref="B753:C755"/>
    <mergeCell ref="D753:D755"/>
    <mergeCell ref="E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A757:A758"/>
    <mergeCell ref="B757:C758"/>
    <mergeCell ref="D757:D758"/>
    <mergeCell ref="E757:F758"/>
    <mergeCell ref="G757:H758"/>
    <mergeCell ref="I757:J758"/>
    <mergeCell ref="K757:L758"/>
    <mergeCell ref="M757:N758"/>
    <mergeCell ref="A759:A760"/>
    <mergeCell ref="B759:E760"/>
    <mergeCell ref="F759:F760"/>
    <mergeCell ref="G759:H760"/>
    <mergeCell ref="I759:J760"/>
    <mergeCell ref="K759:L760"/>
    <mergeCell ref="M759:M760"/>
    <mergeCell ref="N759:N760"/>
    <mergeCell ref="B761:E761"/>
    <mergeCell ref="G761:H761"/>
    <mergeCell ref="I761:J761"/>
    <mergeCell ref="K761:L761"/>
    <mergeCell ref="B762:E762"/>
    <mergeCell ref="G762:H762"/>
    <mergeCell ref="I762:J762"/>
    <mergeCell ref="K762:L762"/>
    <mergeCell ref="B763:E763"/>
    <mergeCell ref="G763:H763"/>
    <mergeCell ref="I763:J763"/>
    <mergeCell ref="K763:L763"/>
    <mergeCell ref="B764:E764"/>
    <mergeCell ref="G764:H764"/>
    <mergeCell ref="I764:J764"/>
    <mergeCell ref="K764:L764"/>
    <mergeCell ref="B765:E765"/>
    <mergeCell ref="G765:H765"/>
    <mergeCell ref="I765:J765"/>
    <mergeCell ref="K765:L765"/>
    <mergeCell ref="B766:E766"/>
    <mergeCell ref="G766:H766"/>
    <mergeCell ref="I766:J766"/>
    <mergeCell ref="K766:L766"/>
    <mergeCell ref="B767:E767"/>
    <mergeCell ref="G767:H767"/>
    <mergeCell ref="I767:J767"/>
    <mergeCell ref="K767:L767"/>
    <mergeCell ref="B768:E768"/>
    <mergeCell ref="G768:H768"/>
    <mergeCell ref="I768:J768"/>
    <mergeCell ref="K768:L768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M773:N773"/>
    <mergeCell ref="A774:E774"/>
    <mergeCell ref="G774:H774"/>
    <mergeCell ref="I774:J774"/>
    <mergeCell ref="K774:L774"/>
    <mergeCell ref="M774:N774"/>
    <mergeCell ref="A775:A777"/>
    <mergeCell ref="B775:C777"/>
    <mergeCell ref="D775:D777"/>
    <mergeCell ref="E775:F777"/>
    <mergeCell ref="G775:G777"/>
    <mergeCell ref="H775:H777"/>
    <mergeCell ref="I775:I777"/>
    <mergeCell ref="J775:J777"/>
    <mergeCell ref="K775:K777"/>
    <mergeCell ref="L775:L777"/>
    <mergeCell ref="M775:M777"/>
    <mergeCell ref="N775:N777"/>
    <mergeCell ref="A779:A780"/>
    <mergeCell ref="B779:C780"/>
    <mergeCell ref="D779:D780"/>
    <mergeCell ref="E779:F780"/>
    <mergeCell ref="G779:H780"/>
    <mergeCell ref="I779:J780"/>
    <mergeCell ref="K779:L780"/>
    <mergeCell ref="M779:N780"/>
    <mergeCell ref="A781:A782"/>
    <mergeCell ref="B781:E782"/>
    <mergeCell ref="F781:F782"/>
    <mergeCell ref="G781:H782"/>
    <mergeCell ref="I781:J782"/>
    <mergeCell ref="K781:L782"/>
    <mergeCell ref="M781:M782"/>
    <mergeCell ref="N781:N782"/>
    <mergeCell ref="B783:E783"/>
    <mergeCell ref="G783:H783"/>
    <mergeCell ref="I783:J783"/>
    <mergeCell ref="K783:L783"/>
    <mergeCell ref="B784:E784"/>
    <mergeCell ref="G784:H784"/>
    <mergeCell ref="I784:J784"/>
    <mergeCell ref="K784:L784"/>
    <mergeCell ref="B785:E785"/>
    <mergeCell ref="G785:H785"/>
    <mergeCell ref="I785:J785"/>
    <mergeCell ref="K785:L785"/>
    <mergeCell ref="B786:E786"/>
    <mergeCell ref="G786:H786"/>
    <mergeCell ref="I786:J786"/>
    <mergeCell ref="K786:L786"/>
    <mergeCell ref="B787:E787"/>
    <mergeCell ref="G787:H787"/>
    <mergeCell ref="I787:J787"/>
    <mergeCell ref="K787:L787"/>
    <mergeCell ref="B788:E788"/>
    <mergeCell ref="G788:H788"/>
    <mergeCell ref="I788:J788"/>
    <mergeCell ref="K788:L788"/>
    <mergeCell ref="B789:E789"/>
    <mergeCell ref="G789:H789"/>
    <mergeCell ref="I789:J789"/>
    <mergeCell ref="K789:L789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M795:N795"/>
    <mergeCell ref="A796:E796"/>
    <mergeCell ref="G796:H796"/>
    <mergeCell ref="I796:J796"/>
    <mergeCell ref="K796:L796"/>
    <mergeCell ref="M796:N796"/>
    <mergeCell ref="A797:A799"/>
    <mergeCell ref="B797:C799"/>
    <mergeCell ref="D797:D799"/>
    <mergeCell ref="E797:F799"/>
    <mergeCell ref="G797:G799"/>
    <mergeCell ref="H797:H799"/>
    <mergeCell ref="I797:I799"/>
    <mergeCell ref="J797:J799"/>
    <mergeCell ref="K797:K799"/>
    <mergeCell ref="L797:L799"/>
    <mergeCell ref="M797:M799"/>
    <mergeCell ref="N797:N799"/>
    <mergeCell ref="A801:A802"/>
    <mergeCell ref="B801:C802"/>
    <mergeCell ref="D801:D802"/>
    <mergeCell ref="E801:F802"/>
    <mergeCell ref="G801:H802"/>
    <mergeCell ref="I801:J802"/>
    <mergeCell ref="K801:L802"/>
    <mergeCell ref="M801:N802"/>
    <mergeCell ref="A803:A804"/>
    <mergeCell ref="B803:E804"/>
    <mergeCell ref="F803:F804"/>
    <mergeCell ref="G803:H804"/>
    <mergeCell ref="I803:J804"/>
    <mergeCell ref="K803:L804"/>
    <mergeCell ref="M803:M804"/>
    <mergeCell ref="N803:N804"/>
    <mergeCell ref="B805:E805"/>
    <mergeCell ref="G805:H805"/>
    <mergeCell ref="I805:J805"/>
    <mergeCell ref="K805:L805"/>
    <mergeCell ref="B806:E806"/>
    <mergeCell ref="G806:H806"/>
    <mergeCell ref="I806:J806"/>
    <mergeCell ref="K806:L806"/>
    <mergeCell ref="B807:E807"/>
    <mergeCell ref="G807:H807"/>
    <mergeCell ref="I807:J807"/>
    <mergeCell ref="K807:L807"/>
    <mergeCell ref="B808:E808"/>
    <mergeCell ref="G808:H808"/>
    <mergeCell ref="I808:J808"/>
    <mergeCell ref="K808:L808"/>
    <mergeCell ref="B809:E809"/>
    <mergeCell ref="G809:H809"/>
    <mergeCell ref="I809:J809"/>
    <mergeCell ref="K809:L809"/>
    <mergeCell ref="B810:E810"/>
    <mergeCell ref="G810:H810"/>
    <mergeCell ref="I810:J810"/>
    <mergeCell ref="K810:L810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7:E817"/>
    <mergeCell ref="G817:H817"/>
    <mergeCell ref="I817:J817"/>
    <mergeCell ref="K817:L817"/>
    <mergeCell ref="M817:N817"/>
    <mergeCell ref="A818:E818"/>
    <mergeCell ref="G818:H818"/>
    <mergeCell ref="I818:J818"/>
    <mergeCell ref="K818:L818"/>
    <mergeCell ref="M818:N818"/>
    <mergeCell ref="A819:A821"/>
    <mergeCell ref="B819:C821"/>
    <mergeCell ref="D819:D821"/>
    <mergeCell ref="E819:F821"/>
    <mergeCell ref="G819:G821"/>
    <mergeCell ref="H819:H821"/>
    <mergeCell ref="I819:I821"/>
    <mergeCell ref="J819:J821"/>
    <mergeCell ref="K819:K821"/>
    <mergeCell ref="L819:L821"/>
    <mergeCell ref="M819:M821"/>
    <mergeCell ref="N819:N821"/>
    <mergeCell ref="A823:A824"/>
    <mergeCell ref="B823:C824"/>
    <mergeCell ref="D823:D824"/>
    <mergeCell ref="E823:F824"/>
    <mergeCell ref="G823:H824"/>
    <mergeCell ref="I823:J824"/>
    <mergeCell ref="K823:L824"/>
    <mergeCell ref="M823:N824"/>
    <mergeCell ref="A825:A826"/>
    <mergeCell ref="B825:E826"/>
    <mergeCell ref="F825:F826"/>
    <mergeCell ref="G825:H826"/>
    <mergeCell ref="I825:J826"/>
    <mergeCell ref="K825:L826"/>
    <mergeCell ref="M825:M826"/>
    <mergeCell ref="N825:N826"/>
    <mergeCell ref="B827:E827"/>
    <mergeCell ref="G827:H827"/>
    <mergeCell ref="I827:J827"/>
    <mergeCell ref="K827:L827"/>
    <mergeCell ref="B828:E828"/>
    <mergeCell ref="G828:H828"/>
    <mergeCell ref="I828:J828"/>
    <mergeCell ref="K828:L828"/>
    <mergeCell ref="B829:E829"/>
    <mergeCell ref="G829:H829"/>
    <mergeCell ref="I829:J829"/>
    <mergeCell ref="K829:L829"/>
    <mergeCell ref="B830:E830"/>
    <mergeCell ref="G830:H830"/>
    <mergeCell ref="I830:J830"/>
    <mergeCell ref="K830:L830"/>
    <mergeCell ref="B831:E831"/>
    <mergeCell ref="G831:H831"/>
    <mergeCell ref="I831:J831"/>
    <mergeCell ref="K831:L831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M839:N839"/>
    <mergeCell ref="A840:E840"/>
    <mergeCell ref="G840:H840"/>
    <mergeCell ref="I840:J840"/>
    <mergeCell ref="K840:L840"/>
    <mergeCell ref="M840:N840"/>
    <mergeCell ref="A841:A843"/>
    <mergeCell ref="B841:C843"/>
    <mergeCell ref="D841:D843"/>
    <mergeCell ref="E841:F843"/>
    <mergeCell ref="G841:G843"/>
    <mergeCell ref="H841:H843"/>
    <mergeCell ref="I841:I843"/>
    <mergeCell ref="J841:J843"/>
    <mergeCell ref="K841:K843"/>
    <mergeCell ref="L841:L843"/>
    <mergeCell ref="M841:M843"/>
    <mergeCell ref="N841:N843"/>
    <mergeCell ref="A845:A846"/>
    <mergeCell ref="B845:C846"/>
    <mergeCell ref="D845:D846"/>
    <mergeCell ref="E845:F846"/>
    <mergeCell ref="G845:H846"/>
    <mergeCell ref="I845:J846"/>
    <mergeCell ref="K845:L846"/>
    <mergeCell ref="M845:N846"/>
    <mergeCell ref="A847:A848"/>
    <mergeCell ref="B847:E848"/>
    <mergeCell ref="F847:F848"/>
    <mergeCell ref="G847:H848"/>
    <mergeCell ref="I847:J848"/>
    <mergeCell ref="K847:L848"/>
    <mergeCell ref="M847:M848"/>
    <mergeCell ref="N847:N848"/>
    <mergeCell ref="B849:E849"/>
    <mergeCell ref="G849:H849"/>
    <mergeCell ref="I849:J849"/>
    <mergeCell ref="K849:L849"/>
    <mergeCell ref="B850:E850"/>
    <mergeCell ref="G850:H850"/>
    <mergeCell ref="I850:J850"/>
    <mergeCell ref="K850:L850"/>
    <mergeCell ref="B851:E851"/>
    <mergeCell ref="G851:H851"/>
    <mergeCell ref="I851:J851"/>
    <mergeCell ref="K851:L851"/>
    <mergeCell ref="B852:E852"/>
    <mergeCell ref="G852:H852"/>
    <mergeCell ref="I852:J852"/>
    <mergeCell ref="K852:L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M861:N861"/>
    <mergeCell ref="A862:E862"/>
    <mergeCell ref="G862:H862"/>
    <mergeCell ref="I862:J862"/>
    <mergeCell ref="K862:L862"/>
    <mergeCell ref="M862:N862"/>
    <mergeCell ref="A863:A865"/>
    <mergeCell ref="B863:C865"/>
    <mergeCell ref="D863:D865"/>
    <mergeCell ref="E863:F865"/>
    <mergeCell ref="G863:G865"/>
    <mergeCell ref="H863:H865"/>
    <mergeCell ref="I863:I865"/>
    <mergeCell ref="J863:J865"/>
    <mergeCell ref="K863:K865"/>
    <mergeCell ref="L863:L865"/>
    <mergeCell ref="M863:M865"/>
    <mergeCell ref="N863:N865"/>
  </mergeCells>
  <pageMargins left="0.70866141732283472" right="0.70866141732283472" top="0.2475" bottom="0.5671874999999999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7" manualBreakCount="7">
    <brk id="95" max="16383" man="1"/>
    <brk id="183" max="16383" man="1"/>
    <brk id="271" max="16383" man="1"/>
    <brk id="359" max="16383" man="1"/>
    <brk id="447" max="16383" man="1"/>
    <brk id="535" max="16383" man="1"/>
    <brk id="623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600"/>
  <sheetViews>
    <sheetView tabSelected="1" zoomScaleNormal="100" workbookViewId="0">
      <selection activeCell="J10" sqref="J10"/>
    </sheetView>
  </sheetViews>
  <sheetFormatPr baseColWidth="10" defaultColWidth="8.83203125" defaultRowHeight="28" customHeight="1" x14ac:dyDescent="0.2"/>
  <cols>
    <col min="5" max="5" width="15.83203125" customWidth="1"/>
  </cols>
  <sheetData>
    <row r="1" spans="1:10" ht="28" customHeight="1" x14ac:dyDescent="0.2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8" customHeight="1" x14ac:dyDescent="0.2">
      <c r="A2" s="52" t="s">
        <v>22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8" customHeight="1" x14ac:dyDescent="0.2">
      <c r="A3" s="53" t="s">
        <v>23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ht="28" customHeight="1" x14ac:dyDescent="0.2">
      <c r="A4" s="13"/>
      <c r="B4" s="54" t="s">
        <v>51</v>
      </c>
      <c r="C4" s="54"/>
      <c r="D4" s="54"/>
      <c r="E4" s="54"/>
      <c r="F4" s="54"/>
      <c r="G4" s="54"/>
      <c r="H4" s="54"/>
      <c r="I4" s="54"/>
      <c r="J4" s="13"/>
    </row>
    <row r="5" spans="1:10" ht="28" customHeight="1" x14ac:dyDescent="0.2">
      <c r="A5" s="14"/>
      <c r="B5" s="55" t="s">
        <v>91</v>
      </c>
      <c r="C5" s="55"/>
      <c r="D5" s="55"/>
      <c r="E5" s="55"/>
      <c r="F5" s="55"/>
      <c r="G5" s="55"/>
      <c r="H5" s="55"/>
      <c r="I5" s="55"/>
      <c r="J5" s="14"/>
    </row>
    <row r="6" spans="1:10" ht="28" customHeight="1" x14ac:dyDescent="0.2">
      <c r="B6" s="55"/>
      <c r="C6" s="55"/>
      <c r="D6" s="55"/>
      <c r="E6" s="55"/>
      <c r="F6" s="55"/>
      <c r="G6" s="55"/>
      <c r="H6" s="55"/>
      <c r="I6" s="55"/>
      <c r="J6" s="14"/>
    </row>
    <row r="7" spans="1:10" ht="28" customHeight="1" x14ac:dyDescent="0.2">
      <c r="A7" s="49" t="s">
        <v>26</v>
      </c>
      <c r="B7" s="49"/>
      <c r="C7" s="49" t="str">
        <f ca="1">INDIRECT(_xlfn.TEXTJOIN("",TRUE,A27,"!",ADDRESS(9+(A28-1)*A24,2)))</f>
        <v>AASHRIYA BISHT</v>
      </c>
      <c r="D7" s="49"/>
      <c r="E7" s="49"/>
      <c r="F7" s="49" t="s">
        <v>52</v>
      </c>
      <c r="G7" s="49"/>
      <c r="H7" s="49"/>
      <c r="I7" s="48">
        <f ca="1">INDIRECT(_xlfn.TEXTJOIN("",TRUE,A27,"!",ADDRESS(9+(A28-1)*A24,9)))</f>
        <v>250090120001</v>
      </c>
      <c r="J7" s="48"/>
    </row>
    <row r="8" spans="1:10" ht="28" customHeight="1" x14ac:dyDescent="0.2">
      <c r="A8" s="49" t="s">
        <v>27</v>
      </c>
      <c r="B8" s="49"/>
      <c r="C8" s="49" t="str">
        <f ca="1">INDIRECT(_xlfn.TEXTJOIN("",TRUE,A27,"!",ADDRESS(9+(A28-1)*A24,5)))</f>
        <v>NARENDRA SINGH BISHT</v>
      </c>
      <c r="D8" s="49"/>
      <c r="E8" s="49"/>
      <c r="F8" s="50" t="s">
        <v>53</v>
      </c>
      <c r="G8" s="50"/>
      <c r="H8" s="50"/>
      <c r="I8" s="48" t="str">
        <f ca="1">INDIRECT(_xlfn.TEXTJOIN("",TRUE,A27,"!",ADDRESS(9+(A28-1)*A24,13)))</f>
        <v>PUTU/2501103679</v>
      </c>
      <c r="J8" s="48"/>
    </row>
    <row r="9" spans="1:10" ht="28" customHeight="1" x14ac:dyDescent="0.2">
      <c r="A9" s="38" t="s">
        <v>30</v>
      </c>
      <c r="B9" s="38"/>
      <c r="C9" s="38" t="s">
        <v>31</v>
      </c>
      <c r="D9" s="38"/>
      <c r="E9" s="38"/>
      <c r="F9" s="38"/>
      <c r="G9" s="38"/>
      <c r="H9" s="15" t="s">
        <v>32</v>
      </c>
      <c r="I9" s="15" t="s">
        <v>12</v>
      </c>
      <c r="J9" s="15" t="s">
        <v>36</v>
      </c>
    </row>
    <row r="10" spans="1:10" ht="28" customHeight="1" x14ac:dyDescent="0.2">
      <c r="A10" s="46" t="str">
        <f ca="1">INDIRECT(_xlfn.TEXTJOIN("",TRUE,A27,"!",ADDRESS(13+(A28-1)*A24,1)))</f>
        <v>AHT 002</v>
      </c>
      <c r="B10" s="47"/>
      <c r="C10" s="43" t="str">
        <f ca="1">INDIRECT(_xlfn.TEXTJOIN("",TRUE,A27,"!",ADDRESS(13+(A28-1)*A24,2)))</f>
        <v>Engineering Chemistry</v>
      </c>
      <c r="D10" s="44"/>
      <c r="E10" s="44"/>
      <c r="F10" s="44"/>
      <c r="G10" s="45"/>
      <c r="H10" s="20">
        <f ca="1">INDIRECT(_xlfn.TEXTJOIN("",TRUE,A27,"!",ADDRESS(13+(A28-1)*A24,6)))</f>
        <v>4</v>
      </c>
      <c r="I10" s="20" t="str">
        <f ca="1">INDIRECT(_xlfn.TEXTJOIN("",TRUE,A27,"!",ADDRESS(13+(A28-1)*A24,13)))</f>
        <v>D</v>
      </c>
      <c r="J10" s="20">
        <f ca="1">INDIRECT(_xlfn.TEXTJOIN("",TRUE,A27,"!",ADDRESS(13+(A28-1)*A24,14)))</f>
        <v>6</v>
      </c>
    </row>
    <row r="11" spans="1:10" ht="28" customHeight="1" x14ac:dyDescent="0.2">
      <c r="A11" s="46" t="str">
        <f ca="1">INDIRECT(_xlfn.TEXTJOIN("",TRUE,A27,"!",ADDRESS(14+(A28-1)*A24,1)))</f>
        <v>AHT 003</v>
      </c>
      <c r="B11" s="47"/>
      <c r="C11" s="43" t="str">
        <f ca="1">INDIRECT(_xlfn.TEXTJOIN("",TRUE,A27,"!",ADDRESS(14+(A28-1)*A24,2)))</f>
        <v>Introduction to Engineering Mathematics</v>
      </c>
      <c r="D11" s="44"/>
      <c r="E11" s="44"/>
      <c r="F11" s="44"/>
      <c r="G11" s="45"/>
      <c r="H11" s="20">
        <f ca="1">INDIRECT(_xlfn.TEXTJOIN("",TRUE,A27,"!",ADDRESS(14+(A28-1)*A24,6)))</f>
        <v>4</v>
      </c>
      <c r="I11" s="20" t="str">
        <f ca="1">INDIRECT(_xlfn.TEXTJOIN("",TRUE,A27,"!",ADDRESS(14+(A28-1)*A24,13)))</f>
        <v>C+</v>
      </c>
      <c r="J11" s="20">
        <f ca="1">INDIRECT(_xlfn.TEXTJOIN("",TRUE,A27,"!",ADDRESS(14+(A28-1)*A24,14)))</f>
        <v>7.5</v>
      </c>
    </row>
    <row r="12" spans="1:10" ht="28" customHeight="1" x14ac:dyDescent="0.2">
      <c r="A12" s="46" t="str">
        <f ca="1">INDIRECT(_xlfn.TEXTJOIN("",TRUE,A27,"!",ADDRESS(15+(A28-1)*A24,1)))</f>
        <v>ECT 001</v>
      </c>
      <c r="B12" s="47"/>
      <c r="C12" s="43" t="str">
        <f ca="1">INDIRECT(_xlfn.TEXTJOIN("",TRUE,A27,"!",ADDRESS(15+(A28-1)*A24,2)))</f>
        <v>Basic Electronics Engineering</v>
      </c>
      <c r="D12" s="44"/>
      <c r="E12" s="44"/>
      <c r="F12" s="44"/>
      <c r="G12" s="45"/>
      <c r="H12" s="20">
        <f ca="1">INDIRECT(_xlfn.TEXTJOIN("",TRUE,A27,"!",ADDRESS(15+(A28-1)*A24,6)))</f>
        <v>4</v>
      </c>
      <c r="I12" s="20" t="str">
        <f ca="1">INDIRECT(_xlfn.TEXTJOIN("",TRUE,A27,"!",ADDRESS(15+(A28-1)*A24,13)))</f>
        <v>C</v>
      </c>
      <c r="J12" s="20">
        <f ca="1">INDIRECT(_xlfn.TEXTJOIN("",TRUE,A27,"!",ADDRESS(15+(A28-1)*A24,14)))</f>
        <v>7</v>
      </c>
    </row>
    <row r="13" spans="1:10" ht="28" customHeight="1" x14ac:dyDescent="0.2">
      <c r="A13" s="46" t="str">
        <f ca="1">INDIRECT(_xlfn.TEXTJOIN("",TRUE,A27,"!",ADDRESS(16+(A28-1)*A24,1)))</f>
        <v>MET 001</v>
      </c>
      <c r="B13" s="47"/>
      <c r="C13" s="43" t="str">
        <f ca="1">INDIRECT(_xlfn.TEXTJOIN("",TRUE,A27,"!",ADDRESS(16+(A28-1)*A24,2)))</f>
        <v>Basic Mechanical Engineering</v>
      </c>
      <c r="D13" s="44"/>
      <c r="E13" s="44"/>
      <c r="F13" s="44"/>
      <c r="G13" s="45"/>
      <c r="H13" s="20">
        <f ca="1">INDIRECT(_xlfn.TEXTJOIN("",TRUE,A27,"!",ADDRESS(16+(A28-1)*A24,6)))</f>
        <v>4</v>
      </c>
      <c r="I13" s="20" t="str">
        <f ca="1">INDIRECT(_xlfn.TEXTJOIN("",TRUE,A27,"!",ADDRESS(16+(A28-1)*A24,13)))</f>
        <v>C+</v>
      </c>
      <c r="J13" s="20">
        <f ca="1">INDIRECT(_xlfn.TEXTJOIN("",TRUE,A27,"!",ADDRESS(16+(A28-1)*A24,14)))</f>
        <v>7.5</v>
      </c>
    </row>
    <row r="14" spans="1:10" ht="28" customHeight="1" x14ac:dyDescent="0.2">
      <c r="A14" s="46" t="str">
        <f ca="1">INDIRECT(_xlfn.TEXTJOIN("",TRUE,A27,"!",ADDRESS(17+(A28-1)*A24,1)))</f>
        <v>BTT 001</v>
      </c>
      <c r="B14" s="47"/>
      <c r="C14" s="43" t="str">
        <f ca="1">INDIRECT(_xlfn.TEXTJOIN("",TRUE,A27,"!",ADDRESS(17+(A28-1)*A24,2)))</f>
        <v>Biology for Engineers (Bridge Course) ($)</v>
      </c>
      <c r="D14" s="44"/>
      <c r="E14" s="44"/>
      <c r="F14" s="44"/>
      <c r="G14" s="45"/>
      <c r="H14" s="20">
        <f ca="1">INDIRECT(_xlfn.TEXTJOIN("",TRUE,A27,"!",ADDRESS(17+(A28-1)*A24,6)))</f>
        <v>0</v>
      </c>
      <c r="I14" s="20" t="str">
        <f ca="1">INDIRECT(_xlfn.TEXTJOIN("",TRUE,A27,"!",ADDRESS(17+(A28-1)*A24,13)))</f>
        <v>C+</v>
      </c>
      <c r="J14" s="20">
        <f ca="1">INDIRECT(_xlfn.TEXTJOIN("",TRUE,A27,"!",ADDRESS(17+(A28-1)*A24,14)))</f>
        <v>7.5</v>
      </c>
    </row>
    <row r="15" spans="1:10" ht="28" customHeight="1" x14ac:dyDescent="0.2">
      <c r="A15" s="46" t="str">
        <f ca="1">INDIRECT(_xlfn.TEXTJOIN("",TRUE,A27,"!",ADDRESS(18+(A28-1)*A24,1)))</f>
        <v>AHP 002</v>
      </c>
      <c r="B15" s="47"/>
      <c r="C15" s="43" t="str">
        <f ca="1">INDIRECT(_xlfn.TEXTJOIN("",TRUE,A27,"!",ADDRESS(18+(A28-1)*A24,2)))</f>
        <v>Engineering Chemistry Lab</v>
      </c>
      <c r="D15" s="44"/>
      <c r="E15" s="44"/>
      <c r="F15" s="44"/>
      <c r="G15" s="45"/>
      <c r="H15" s="20">
        <f ca="1">INDIRECT(_xlfn.TEXTJOIN("",TRUE,A27,"!",ADDRESS(18+(A28-1)*A24,6)))</f>
        <v>1</v>
      </c>
      <c r="I15" s="20" t="str">
        <f ca="1">INDIRECT(_xlfn.TEXTJOIN("",TRUE,A27,"!",ADDRESS(18+(A28-1)*A24,13)))</f>
        <v>C+</v>
      </c>
      <c r="J15" s="20">
        <f ca="1">INDIRECT(_xlfn.TEXTJOIN("",TRUE,A27,"!",ADDRESS(18+(A28-1)*A24,14)))</f>
        <v>7.5</v>
      </c>
    </row>
    <row r="16" spans="1:10" ht="28" customHeight="1" x14ac:dyDescent="0.2">
      <c r="A16" s="46" t="str">
        <f ca="1">INDIRECT(_xlfn.TEXTJOIN("",TRUE,A27,"!",ADDRESS(19+(A28-1)*A24,1)))</f>
        <v>ECP 001</v>
      </c>
      <c r="B16" s="47"/>
      <c r="C16" s="43" t="str">
        <f ca="1">INDIRECT(_xlfn.TEXTJOIN("",TRUE,A27,"!",ADDRESS(19+(A28-1)*A24,2)))</f>
        <v>Basic Electronics Engineering Lab</v>
      </c>
      <c r="D16" s="44"/>
      <c r="E16" s="44"/>
      <c r="F16" s="44"/>
      <c r="G16" s="45"/>
      <c r="H16" s="20">
        <f ca="1">INDIRECT(_xlfn.TEXTJOIN("",TRUE,A27,"!",ADDRESS(19+(A28-1)*A24,6)))</f>
        <v>1</v>
      </c>
      <c r="I16" s="20" t="str">
        <f ca="1">INDIRECT(_xlfn.TEXTJOIN("",TRUE,A27,"!",ADDRESS(19+(A28-1)*A24,13)))</f>
        <v>A</v>
      </c>
      <c r="J16" s="20">
        <f ca="1">INDIRECT(_xlfn.TEXTJOIN("",TRUE,A27,"!",ADDRESS(19+(A28-1)*A24,14)))</f>
        <v>9</v>
      </c>
    </row>
    <row r="17" spans="1:10" ht="28" customHeight="1" x14ac:dyDescent="0.2">
      <c r="A17" s="46" t="str">
        <f ca="1">INDIRECT(_xlfn.TEXTJOIN("",TRUE,A27,"!",ADDRESS(20+(A28-1)*A24,1)))</f>
        <v>MEP 001</v>
      </c>
      <c r="B17" s="47"/>
      <c r="C17" s="43" t="str">
        <f ca="1">INDIRECT(_xlfn.TEXTJOIN("",TRUE,A27,"!",ADDRESS(20+(A28-1)*A24,2)))</f>
        <v>Basic Mechanical Engineering Lab</v>
      </c>
      <c r="D17" s="44"/>
      <c r="E17" s="44"/>
      <c r="F17" s="44"/>
      <c r="G17" s="45"/>
      <c r="H17" s="20">
        <f ca="1">INDIRECT(_xlfn.TEXTJOIN("",TRUE,A27,"!",ADDRESS(20+(A28-1)*A24,6)))</f>
        <v>1</v>
      </c>
      <c r="I17" s="20" t="str">
        <f ca="1">INDIRECT(_xlfn.TEXTJOIN("",TRUE,A27,"!",ADDRESS(20+(A28-1)*A24,13)))</f>
        <v>O</v>
      </c>
      <c r="J17" s="20">
        <f ca="1">INDIRECT(_xlfn.TEXTJOIN("",TRUE,A27,"!",ADDRESS(20+(A28-1)*A24,14)))</f>
        <v>10</v>
      </c>
    </row>
    <row r="18" spans="1:10" ht="28" customHeight="1" x14ac:dyDescent="0.2">
      <c r="A18" s="46" t="str">
        <f ca="1">INDIRECT(_xlfn.TEXTJOIN("",TRUE,A27,"!",ADDRESS(21+(A28-1)*A24,1)))</f>
        <v>MEP 003</v>
      </c>
      <c r="B18" s="47"/>
      <c r="C18" s="43" t="str">
        <f ca="1">INDIRECT(_xlfn.TEXTJOIN("",TRUE,A27,"!",ADDRESS(21+(A28-1)*A24,2)))</f>
        <v>Workshop Practices Lab</v>
      </c>
      <c r="D18" s="44"/>
      <c r="E18" s="44"/>
      <c r="F18" s="44"/>
      <c r="G18" s="45"/>
      <c r="H18" s="20">
        <f ca="1">INDIRECT(_xlfn.TEXTJOIN("",TRUE,A27,"!",ADDRESS(21+(A28-1)*A24,6)))</f>
        <v>2</v>
      </c>
      <c r="I18" s="20" t="str">
        <f ca="1">INDIRECT(_xlfn.TEXTJOIN("",TRUE,A27,"!",ADDRESS(21+(A28-1)*A24,13)))</f>
        <v>A</v>
      </c>
      <c r="J18" s="20">
        <f ca="1">INDIRECT(_xlfn.TEXTJOIN("",TRUE,A27,"!",ADDRESS(21+(A28-1)*A24,14)))</f>
        <v>9</v>
      </c>
    </row>
    <row r="19" spans="1:10" ht="28" customHeight="1" x14ac:dyDescent="0.2">
      <c r="A19" s="46" t="str">
        <f ca="1">INDIRECT(_xlfn.TEXTJOIN("",TRUE,A27,"!",ADDRESS(22+(A28-1)*A24,1)))</f>
        <v>AHP 004</v>
      </c>
      <c r="B19" s="47"/>
      <c r="C19" s="43" t="str">
        <f ca="1">INDIRECT(_xlfn.TEXTJOIN("",TRUE,A27,"!",ADDRESS(22+(A28-1)*A24,2)))</f>
        <v>Emerging Technologies in Engineering Lab</v>
      </c>
      <c r="D19" s="44"/>
      <c r="E19" s="44"/>
      <c r="F19" s="44"/>
      <c r="G19" s="45"/>
      <c r="H19" s="20">
        <f ca="1">INDIRECT(_xlfn.TEXTJOIN("",TRUE,A27,"!",ADDRESS(22+(A28-1)*A24,6)))</f>
        <v>1</v>
      </c>
      <c r="I19" s="20" t="str">
        <f ca="1">INDIRECT(_xlfn.TEXTJOIN("",TRUE,A27,"!",ADDRESS(22+(A28-1)*A24,13)))</f>
        <v>A</v>
      </c>
      <c r="J19" s="20">
        <f ca="1">INDIRECT(_xlfn.TEXTJOIN("",TRUE,A27,"!",ADDRESS(22+(A28-1)*A24,14)))</f>
        <v>9</v>
      </c>
    </row>
    <row r="20" spans="1:10" ht="28" customHeight="1" x14ac:dyDescent="0.2">
      <c r="A20" s="46" t="str">
        <f ca="1">INDIRECT(_xlfn.TEXTJOIN("",TRUE,A27,"!",ADDRESS(23+(A28-1)*A24,1)))</f>
        <v>CSP 002</v>
      </c>
      <c r="B20" s="47"/>
      <c r="C20" s="43" t="str">
        <f ca="1">INDIRECT(_xlfn.TEXTJOIN("",TRUE,A27,"!",ADDRESS(23+(A28-1)*A24,2)))</f>
        <v>Computer Applications and IOT</v>
      </c>
      <c r="D20" s="44"/>
      <c r="E20" s="44"/>
      <c r="F20" s="44"/>
      <c r="G20" s="45"/>
      <c r="H20" s="20">
        <f ca="1">INDIRECT(_xlfn.TEXTJOIN("",TRUE,A27,"!",ADDRESS(23+(A28-1)*A24,6)))</f>
        <v>1</v>
      </c>
      <c r="I20" s="20" t="str">
        <f ca="1">INDIRECT(_xlfn.TEXTJOIN("",TRUE,A27,"!",ADDRESS(23+(A28-1)*A24,13)))</f>
        <v>O</v>
      </c>
      <c r="J20" s="20">
        <f ca="1">INDIRECT(_xlfn.TEXTJOIN("",TRUE,A27,"!",ADDRESS(23+(A28-1)*A24,14)))</f>
        <v>10</v>
      </c>
    </row>
    <row r="21" spans="1:10" ht="28" customHeight="1" x14ac:dyDescent="0.2">
      <c r="A21" s="46" t="str">
        <f ca="1">INDIRECT(_xlfn.TEXTJOIN("",TRUE,A27,"!",ADDRESS(24+(A28-1)*A24,1)))</f>
        <v>AHP 006</v>
      </c>
      <c r="B21" s="47"/>
      <c r="C21" s="43" t="str">
        <f ca="1">INDIRECT(_xlfn.TEXTJOIN("",TRUE,A27,"!",ADDRESS(24+(A28-1)*A24,2)))</f>
        <v>English Language Lab ($)</v>
      </c>
      <c r="D21" s="44"/>
      <c r="E21" s="44"/>
      <c r="F21" s="44"/>
      <c r="G21" s="45"/>
      <c r="H21" s="20">
        <f ca="1">INDIRECT(_xlfn.TEXTJOIN("",TRUE,A27,"!",ADDRESS(24+(A28-1)*A24,6)))</f>
        <v>0</v>
      </c>
      <c r="I21" s="20" t="str">
        <f ca="1">INDIRECT(_xlfn.TEXTJOIN("",TRUE,A27,"!",ADDRESS(24+(A28-1)*A24,13)))</f>
        <v>B</v>
      </c>
      <c r="J21" s="20">
        <f ca="1">INDIRECT(_xlfn.TEXTJOIN("",TRUE,A27,"!",ADDRESS(24+(A28-1)*A24,14)))</f>
        <v>8</v>
      </c>
    </row>
    <row r="22" spans="1:10" ht="28" customHeight="1" x14ac:dyDescent="0.2">
      <c r="A22" s="46" t="str">
        <f ca="1">INDIRECT(_xlfn.TEXTJOIN("",TRUE,A27,"!",ADDRESS(25+(A28-1)*A24,1)))</f>
        <v>GP 01</v>
      </c>
      <c r="B22" s="47"/>
      <c r="C22" s="43" t="str">
        <f ca="1">INDIRECT(_xlfn.TEXTJOIN("",TRUE,A27,"!",ADDRESS(25+(A28-1)*A24,2)))</f>
        <v>General Proficiency ($)</v>
      </c>
      <c r="D22" s="44"/>
      <c r="E22" s="44"/>
      <c r="F22" s="44"/>
      <c r="G22" s="45"/>
      <c r="H22" s="20">
        <f ca="1">INDIRECT(_xlfn.TEXTJOIN("",TRUE,A27,"!",ADDRESS(25+(A28-1)*A24,6)))</f>
        <v>0</v>
      </c>
      <c r="I22" s="41" t="str">
        <f ca="1">INDIRECT(_xlfn.TEXTJOIN("",TRUE,A27,"!",ADDRESS(25+(A28-1)*A24,13)))</f>
        <v>Excellent</v>
      </c>
      <c r="J22" s="42"/>
    </row>
    <row r="23" spans="1:10" ht="28" customHeight="1" x14ac:dyDescent="0.2">
      <c r="A23" s="35" t="s">
        <v>54</v>
      </c>
      <c r="B23" s="35"/>
      <c r="C23" s="35"/>
      <c r="D23" s="35"/>
      <c r="E23" s="35"/>
      <c r="F23" s="35"/>
      <c r="G23" s="35"/>
      <c r="H23" s="16">
        <f ca="1">SUM(H10:H22)</f>
        <v>23</v>
      </c>
      <c r="I23" s="16" t="s">
        <v>46</v>
      </c>
      <c r="J23" s="16">
        <f ca="1">SUMPRODUCT(J10:J21,H10:H21)</f>
        <v>175.5</v>
      </c>
    </row>
    <row r="24" spans="1:10" ht="28" customHeight="1" x14ac:dyDescent="0.2">
      <c r="A24" s="22">
        <f>ROWS(A10:B22)+9</f>
        <v>22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28" customHeight="1" x14ac:dyDescent="0.2">
      <c r="A25" s="36" t="s">
        <v>42</v>
      </c>
      <c r="B25" s="36"/>
      <c r="C25" s="21">
        <f ca="1">INDIRECT(_xlfn.TEXTJOIN("",TRUE,A27,"!",ADDRESS(5+A28*A24,12)))</f>
        <v>23</v>
      </c>
      <c r="D25" s="36" t="s">
        <v>40</v>
      </c>
      <c r="E25" s="36"/>
      <c r="F25" s="18">
        <f ca="1">INDIRECT(_xlfn.TEXTJOIN("",TRUE,A27,"!",ADDRESS(5+A28*A24,8)))</f>
        <v>7.6304347826086953</v>
      </c>
      <c r="G25" s="36" t="s">
        <v>41</v>
      </c>
      <c r="H25" s="36"/>
      <c r="I25" s="37">
        <f ca="1">INDIRECT(_xlfn.TEXTJOIN("",TRUE,A27,"!",ADDRESS(5+A28*A24,10)))</f>
        <v>7.6304347826086953</v>
      </c>
      <c r="J25" s="37"/>
    </row>
    <row r="26" spans="1:10" ht="28" customHeight="1" x14ac:dyDescent="0.2">
      <c r="A26" s="19" t="s">
        <v>38</v>
      </c>
      <c r="B26" s="38" t="str">
        <f ca="1">INDIRECT(_xlfn.TEXTJOIN("",TRUE,A27,"!",ADDRESS(5+A28*A24,2)))</f>
        <v>PASS</v>
      </c>
      <c r="C26" s="38"/>
      <c r="D26" s="39" t="s">
        <v>39</v>
      </c>
      <c r="E26" s="39"/>
      <c r="F26" s="40" t="str">
        <f ca="1">INDIRECT(_xlfn.TEXTJOIN("",TRUE,A27,"!",ADDRESS(5+A28*A24,5)))</f>
        <v/>
      </c>
      <c r="G26" s="40"/>
      <c r="H26" s="40"/>
      <c r="I26" s="40"/>
      <c r="J26" s="40"/>
    </row>
    <row r="27" spans="1:10" ht="28" customHeight="1" x14ac:dyDescent="0.2">
      <c r="A27" s="22" t="s">
        <v>55</v>
      </c>
    </row>
    <row r="28" spans="1:10" ht="28" customHeight="1" x14ac:dyDescent="0.2">
      <c r="A28" s="22">
        <v>1</v>
      </c>
    </row>
    <row r="29" spans="1:10" ht="28" customHeight="1" x14ac:dyDescent="0.2">
      <c r="A29" s="49" t="s">
        <v>26</v>
      </c>
      <c r="B29" s="49"/>
      <c r="C29" s="49" t="str">
        <f ca="1">INDIRECT(_xlfn.TEXTJOIN("",TRUE,A49,"!",ADDRESS(9+(A50-1)*A46,2)))</f>
        <v>AKANSHA</v>
      </c>
      <c r="D29" s="49"/>
      <c r="E29" s="49"/>
      <c r="F29" s="49" t="s">
        <v>52</v>
      </c>
      <c r="G29" s="49"/>
      <c r="H29" s="49"/>
      <c r="I29" s="48">
        <f ca="1">INDIRECT(_xlfn.TEXTJOIN("",TRUE,A49,"!",ADDRESS(9+(A50-1)*A46,9)))</f>
        <v>250090120002</v>
      </c>
      <c r="J29" s="48"/>
    </row>
    <row r="30" spans="1:10" ht="28" customHeight="1" x14ac:dyDescent="0.2">
      <c r="A30" s="49" t="s">
        <v>27</v>
      </c>
      <c r="B30" s="49"/>
      <c r="C30" s="49" t="str">
        <f ca="1">INDIRECT(_xlfn.TEXTJOIN("",TRUE,A49,"!",ADDRESS(9+(A50-1)*A46,5)))</f>
        <v>BIRENDRA SINGH RAWAT</v>
      </c>
      <c r="D30" s="49"/>
      <c r="E30" s="49"/>
      <c r="F30" s="50" t="s">
        <v>53</v>
      </c>
      <c r="G30" s="50"/>
      <c r="H30" s="50"/>
      <c r="I30" s="48" t="str">
        <f ca="1">INDIRECT(_xlfn.TEXTJOIN("",TRUE,A49,"!",ADDRESS(9+(A50-1)*A46,13)))</f>
        <v>UTU/2501103983</v>
      </c>
      <c r="J30" s="48"/>
    </row>
    <row r="31" spans="1:10" ht="28" customHeight="1" x14ac:dyDescent="0.2">
      <c r="A31" s="38" t="s">
        <v>30</v>
      </c>
      <c r="B31" s="38"/>
      <c r="C31" s="38" t="s">
        <v>31</v>
      </c>
      <c r="D31" s="38"/>
      <c r="E31" s="38"/>
      <c r="F31" s="38"/>
      <c r="G31" s="38"/>
      <c r="H31" s="15" t="s">
        <v>32</v>
      </c>
      <c r="I31" s="15" t="s">
        <v>12</v>
      </c>
      <c r="J31" s="15" t="s">
        <v>36</v>
      </c>
    </row>
    <row r="32" spans="1:10" ht="28" customHeight="1" x14ac:dyDescent="0.2">
      <c r="A32" s="46" t="str">
        <f ca="1">INDIRECT(_xlfn.TEXTJOIN("",TRUE,A49,"!",ADDRESS(13+(A50-1)*A46,1)))</f>
        <v>AHT 002</v>
      </c>
      <c r="B32" s="47"/>
      <c r="C32" s="43" t="str">
        <f ca="1">INDIRECT(_xlfn.TEXTJOIN("",TRUE,A49,"!",ADDRESS(13+(A50-1)*A46,2)))</f>
        <v>Engineering Chemistry</v>
      </c>
      <c r="D32" s="44"/>
      <c r="E32" s="44"/>
      <c r="F32" s="44"/>
      <c r="G32" s="45"/>
      <c r="H32" s="20">
        <f ca="1">INDIRECT(_xlfn.TEXTJOIN("",TRUE,A49,"!",ADDRESS(13+(A50-1)*A46,6)))</f>
        <v>4</v>
      </c>
      <c r="I32" s="20" t="str">
        <f ca="1">INDIRECT(_xlfn.TEXTJOIN("",TRUE,A49,"!",ADDRESS(13+(A50-1)*A46,13)))</f>
        <v>D</v>
      </c>
      <c r="J32" s="20">
        <f ca="1">INDIRECT(_xlfn.TEXTJOIN("",TRUE,A49,"!",ADDRESS(13+(A50-1)*A46,14)))</f>
        <v>6</v>
      </c>
    </row>
    <row r="33" spans="1:10" ht="28" customHeight="1" x14ac:dyDescent="0.2">
      <c r="A33" s="46" t="str">
        <f ca="1">INDIRECT(_xlfn.TEXTJOIN("",TRUE,A49,"!",ADDRESS(14+(A50-1)*A46,1)))</f>
        <v>AHT 003</v>
      </c>
      <c r="B33" s="47"/>
      <c r="C33" s="43" t="str">
        <f ca="1">INDIRECT(_xlfn.TEXTJOIN("",TRUE,A49,"!",ADDRESS(14+(A50-1)*A46,2)))</f>
        <v>Introduction to Engineering Mathematics</v>
      </c>
      <c r="D33" s="44"/>
      <c r="E33" s="44"/>
      <c r="F33" s="44"/>
      <c r="G33" s="45"/>
      <c r="H33" s="20">
        <f ca="1">INDIRECT(_xlfn.TEXTJOIN("",TRUE,A49,"!",ADDRESS(14+(A50-1)*A46,6)))</f>
        <v>4</v>
      </c>
      <c r="I33" s="20" t="str">
        <f ca="1">INDIRECT(_xlfn.TEXTJOIN("",TRUE,A49,"!",ADDRESS(14+(A50-1)*A46,13)))</f>
        <v>F</v>
      </c>
      <c r="J33" s="20">
        <f ca="1">INDIRECT(_xlfn.TEXTJOIN("",TRUE,A49,"!",ADDRESS(14+(A50-1)*A46,14)))</f>
        <v>0</v>
      </c>
    </row>
    <row r="34" spans="1:10" ht="28" customHeight="1" x14ac:dyDescent="0.2">
      <c r="A34" s="46" t="str">
        <f ca="1">INDIRECT(_xlfn.TEXTJOIN("",TRUE,A49,"!",ADDRESS(15+(A50-1)*A46,1)))</f>
        <v>ECT 001</v>
      </c>
      <c r="B34" s="47"/>
      <c r="C34" s="43" t="str">
        <f ca="1">INDIRECT(_xlfn.TEXTJOIN("",TRUE,A49,"!",ADDRESS(15+(A50-1)*A46,2)))</f>
        <v>Basic Electronics Engineering</v>
      </c>
      <c r="D34" s="44"/>
      <c r="E34" s="44"/>
      <c r="F34" s="44"/>
      <c r="G34" s="45"/>
      <c r="H34" s="20">
        <f ca="1">INDIRECT(_xlfn.TEXTJOIN("",TRUE,A49,"!",ADDRESS(15+(A50-1)*A46,6)))</f>
        <v>4</v>
      </c>
      <c r="I34" s="20" t="str">
        <f ca="1">INDIRECT(_xlfn.TEXTJOIN("",TRUE,A49,"!",ADDRESS(15+(A50-1)*A46,13)))</f>
        <v>D</v>
      </c>
      <c r="J34" s="20">
        <f ca="1">INDIRECT(_xlfn.TEXTJOIN("",TRUE,A49,"!",ADDRESS(15+(A50-1)*A46,14)))</f>
        <v>6</v>
      </c>
    </row>
    <row r="35" spans="1:10" ht="28" customHeight="1" x14ac:dyDescent="0.2">
      <c r="A35" s="46" t="str">
        <f ca="1">INDIRECT(_xlfn.TEXTJOIN("",TRUE,A49,"!",ADDRESS(16+(A50-1)*A46,1)))</f>
        <v>MET 001</v>
      </c>
      <c r="B35" s="47"/>
      <c r="C35" s="43" t="str">
        <f ca="1">INDIRECT(_xlfn.TEXTJOIN("",TRUE,A49,"!",ADDRESS(16+(A50-1)*A46,2)))</f>
        <v>Basic Mechanical Engineering</v>
      </c>
      <c r="D35" s="44"/>
      <c r="E35" s="44"/>
      <c r="F35" s="44"/>
      <c r="G35" s="45"/>
      <c r="H35" s="20">
        <f ca="1">INDIRECT(_xlfn.TEXTJOIN("",TRUE,A49,"!",ADDRESS(16+(A50-1)*A46,6)))</f>
        <v>4</v>
      </c>
      <c r="I35" s="20" t="str">
        <f ca="1">INDIRECT(_xlfn.TEXTJOIN("",TRUE,A49,"!",ADDRESS(16+(A50-1)*A46,13)))</f>
        <v>C+</v>
      </c>
      <c r="J35" s="20">
        <f ca="1">INDIRECT(_xlfn.TEXTJOIN("",TRUE,A49,"!",ADDRESS(16+(A50-1)*A46,14)))</f>
        <v>7.5</v>
      </c>
    </row>
    <row r="36" spans="1:10" ht="28" customHeight="1" x14ac:dyDescent="0.2">
      <c r="A36" s="46" t="str">
        <f ca="1">INDIRECT(_xlfn.TEXTJOIN("",TRUE,A49,"!",ADDRESS(17+(A50-1)*A46,1)))</f>
        <v>AHT 000</v>
      </c>
      <c r="B36" s="47"/>
      <c r="C36" s="43" t="str">
        <f ca="1">INDIRECT(_xlfn.TEXTJOIN("",TRUE,A49,"!",ADDRESS(17+(A50-1)*A46,2)))</f>
        <v>Basic Mathematics (Bridge Course) ($)</v>
      </c>
      <c r="D36" s="44"/>
      <c r="E36" s="44"/>
      <c r="F36" s="44"/>
      <c r="G36" s="45"/>
      <c r="H36" s="20">
        <f ca="1">INDIRECT(_xlfn.TEXTJOIN("",TRUE,A49,"!",ADDRESS(17+(A50-1)*A46,6)))</f>
        <v>0</v>
      </c>
      <c r="I36" s="20" t="str">
        <f ca="1">INDIRECT(_xlfn.TEXTJOIN("",TRUE,A49,"!",ADDRESS(17+(A50-1)*A46,13)))</f>
        <v>D+</v>
      </c>
      <c r="J36" s="20">
        <f ca="1">INDIRECT(_xlfn.TEXTJOIN("",TRUE,A49,"!",ADDRESS(17+(A50-1)*A46,14)))</f>
        <v>6.5</v>
      </c>
    </row>
    <row r="37" spans="1:10" ht="28" customHeight="1" x14ac:dyDescent="0.2">
      <c r="A37" s="46" t="str">
        <f ca="1">INDIRECT(_xlfn.TEXTJOIN("",TRUE,A49,"!",ADDRESS(18+(A50-1)*A46,1)))</f>
        <v>AHP 002</v>
      </c>
      <c r="B37" s="47"/>
      <c r="C37" s="43" t="str">
        <f ca="1">INDIRECT(_xlfn.TEXTJOIN("",TRUE,A49,"!",ADDRESS(18+(A50-1)*A46,2)))</f>
        <v>Engineering Chemistry Lab</v>
      </c>
      <c r="D37" s="44"/>
      <c r="E37" s="44"/>
      <c r="F37" s="44"/>
      <c r="G37" s="45"/>
      <c r="H37" s="20">
        <f ca="1">INDIRECT(_xlfn.TEXTJOIN("",TRUE,A49,"!",ADDRESS(18+(A50-1)*A46,6)))</f>
        <v>1</v>
      </c>
      <c r="I37" s="20" t="str">
        <f ca="1">INDIRECT(_xlfn.TEXTJOIN("",TRUE,A49,"!",ADDRESS(18+(A50-1)*A46,13)))</f>
        <v>C+</v>
      </c>
      <c r="J37" s="20">
        <f ca="1">INDIRECT(_xlfn.TEXTJOIN("",TRUE,A49,"!",ADDRESS(18+(A50-1)*A46,14)))</f>
        <v>7.5</v>
      </c>
    </row>
    <row r="38" spans="1:10" ht="28" customHeight="1" x14ac:dyDescent="0.2">
      <c r="A38" s="46" t="str">
        <f ca="1">INDIRECT(_xlfn.TEXTJOIN("",TRUE,A49,"!",ADDRESS(19+(A50-1)*A46,1)))</f>
        <v>ECP 001</v>
      </c>
      <c r="B38" s="47"/>
      <c r="C38" s="43" t="str">
        <f ca="1">INDIRECT(_xlfn.TEXTJOIN("",TRUE,A49,"!",ADDRESS(19+(A50-1)*A46,2)))</f>
        <v>Basic Electronics Engineering Lab</v>
      </c>
      <c r="D38" s="44"/>
      <c r="E38" s="44"/>
      <c r="F38" s="44"/>
      <c r="G38" s="45"/>
      <c r="H38" s="20">
        <f ca="1">INDIRECT(_xlfn.TEXTJOIN("",TRUE,A49,"!",ADDRESS(19+(A50-1)*A46,6)))</f>
        <v>1</v>
      </c>
      <c r="I38" s="20" t="str">
        <f ca="1">INDIRECT(_xlfn.TEXTJOIN("",TRUE,A49,"!",ADDRESS(19+(A50-1)*A46,13)))</f>
        <v>B+</v>
      </c>
      <c r="J38" s="20">
        <f ca="1">INDIRECT(_xlfn.TEXTJOIN("",TRUE,A49,"!",ADDRESS(19+(A50-1)*A46,14)))</f>
        <v>8.5</v>
      </c>
    </row>
    <row r="39" spans="1:10" ht="28" customHeight="1" x14ac:dyDescent="0.2">
      <c r="A39" s="46" t="str">
        <f ca="1">INDIRECT(_xlfn.TEXTJOIN("",TRUE,A49,"!",ADDRESS(20+(A50-1)*A46,1)))</f>
        <v>MEP 001</v>
      </c>
      <c r="B39" s="47"/>
      <c r="C39" s="43" t="str">
        <f ca="1">INDIRECT(_xlfn.TEXTJOIN("",TRUE,A49,"!",ADDRESS(20+(A50-1)*A46,2)))</f>
        <v>Basic Mechanical Engineering Lab</v>
      </c>
      <c r="D39" s="44"/>
      <c r="E39" s="44"/>
      <c r="F39" s="44"/>
      <c r="G39" s="45"/>
      <c r="H39" s="20">
        <f ca="1">INDIRECT(_xlfn.TEXTJOIN("",TRUE,A49,"!",ADDRESS(20+(A50-1)*A46,6)))</f>
        <v>1</v>
      </c>
      <c r="I39" s="20" t="str">
        <f ca="1">INDIRECT(_xlfn.TEXTJOIN("",TRUE,A49,"!",ADDRESS(20+(A50-1)*A46,13)))</f>
        <v>A</v>
      </c>
      <c r="J39" s="20">
        <f ca="1">INDIRECT(_xlfn.TEXTJOIN("",TRUE,A49,"!",ADDRESS(20+(A50-1)*A46,14)))</f>
        <v>9</v>
      </c>
    </row>
    <row r="40" spans="1:10" ht="28" customHeight="1" x14ac:dyDescent="0.2">
      <c r="A40" s="46" t="str">
        <f ca="1">INDIRECT(_xlfn.TEXTJOIN("",TRUE,A49,"!",ADDRESS(21+(A50-1)*A46,1)))</f>
        <v>MEP 003</v>
      </c>
      <c r="B40" s="47"/>
      <c r="C40" s="43" t="str">
        <f ca="1">INDIRECT(_xlfn.TEXTJOIN("",TRUE,A49,"!",ADDRESS(21+(A50-1)*A46,2)))</f>
        <v>Workshop Practices Lab</v>
      </c>
      <c r="D40" s="44"/>
      <c r="E40" s="44"/>
      <c r="F40" s="44"/>
      <c r="G40" s="45"/>
      <c r="H40" s="20">
        <f ca="1">INDIRECT(_xlfn.TEXTJOIN("",TRUE,A49,"!",ADDRESS(21+(A50-1)*A46,6)))</f>
        <v>2</v>
      </c>
      <c r="I40" s="20" t="str">
        <f ca="1">INDIRECT(_xlfn.TEXTJOIN("",TRUE,A49,"!",ADDRESS(21+(A50-1)*A46,13)))</f>
        <v>B+</v>
      </c>
      <c r="J40" s="20">
        <f ca="1">INDIRECT(_xlfn.TEXTJOIN("",TRUE,A49,"!",ADDRESS(21+(A50-1)*A46,14)))</f>
        <v>8.5</v>
      </c>
    </row>
    <row r="41" spans="1:10" ht="28" customHeight="1" x14ac:dyDescent="0.2">
      <c r="A41" s="46" t="str">
        <f ca="1">INDIRECT(_xlfn.TEXTJOIN("",TRUE,A49,"!",ADDRESS(22+(A50-1)*A46,1)))</f>
        <v>AHP 004</v>
      </c>
      <c r="B41" s="47"/>
      <c r="C41" s="43" t="str">
        <f ca="1">INDIRECT(_xlfn.TEXTJOIN("",TRUE,A49,"!",ADDRESS(22+(A50-1)*A46,2)))</f>
        <v>Emerging Technologies in Engineering Lab</v>
      </c>
      <c r="D41" s="44"/>
      <c r="E41" s="44"/>
      <c r="F41" s="44"/>
      <c r="G41" s="45"/>
      <c r="H41" s="20">
        <f ca="1">INDIRECT(_xlfn.TEXTJOIN("",TRUE,A49,"!",ADDRESS(22+(A50-1)*A46,6)))</f>
        <v>1</v>
      </c>
      <c r="I41" s="20" t="str">
        <f ca="1">INDIRECT(_xlfn.TEXTJOIN("",TRUE,A49,"!",ADDRESS(22+(A50-1)*A46,13)))</f>
        <v>B+</v>
      </c>
      <c r="J41" s="20">
        <f ca="1">INDIRECT(_xlfn.TEXTJOIN("",TRUE,A49,"!",ADDRESS(22+(A50-1)*A46,14)))</f>
        <v>8.5</v>
      </c>
    </row>
    <row r="42" spans="1:10" ht="28" customHeight="1" x14ac:dyDescent="0.2">
      <c r="A42" s="46" t="str">
        <f ca="1">INDIRECT(_xlfn.TEXTJOIN("",TRUE,A49,"!",ADDRESS(23+(A50-1)*A46,1)))</f>
        <v>CSP 002</v>
      </c>
      <c r="B42" s="47"/>
      <c r="C42" s="43" t="str">
        <f ca="1">INDIRECT(_xlfn.TEXTJOIN("",TRUE,A49,"!",ADDRESS(23+(A50-1)*A46,2)))</f>
        <v>Computer Applications and IOT</v>
      </c>
      <c r="D42" s="44"/>
      <c r="E42" s="44"/>
      <c r="F42" s="44"/>
      <c r="G42" s="45"/>
      <c r="H42" s="20">
        <f ca="1">INDIRECT(_xlfn.TEXTJOIN("",TRUE,A49,"!",ADDRESS(23+(A50-1)*A46,6)))</f>
        <v>1</v>
      </c>
      <c r="I42" s="20" t="str">
        <f ca="1">INDIRECT(_xlfn.TEXTJOIN("",TRUE,A49,"!",ADDRESS(23+(A50-1)*A46,13)))</f>
        <v>A+</v>
      </c>
      <c r="J42" s="20">
        <f ca="1">INDIRECT(_xlfn.TEXTJOIN("",TRUE,A49,"!",ADDRESS(23+(A50-1)*A46,14)))</f>
        <v>9.5</v>
      </c>
    </row>
    <row r="43" spans="1:10" ht="28" customHeight="1" x14ac:dyDescent="0.2">
      <c r="A43" s="46" t="str">
        <f ca="1">INDIRECT(_xlfn.TEXTJOIN("",TRUE,A49,"!",ADDRESS(24+(A50-1)*A46,1)))</f>
        <v>AHP 006</v>
      </c>
      <c r="B43" s="47"/>
      <c r="C43" s="43" t="str">
        <f ca="1">INDIRECT(_xlfn.TEXTJOIN("",TRUE,A49,"!",ADDRESS(24+(A50-1)*A46,2)))</f>
        <v>English Language Lab ($)</v>
      </c>
      <c r="D43" s="44"/>
      <c r="E43" s="44"/>
      <c r="F43" s="44"/>
      <c r="G43" s="45"/>
      <c r="H43" s="20">
        <f ca="1">INDIRECT(_xlfn.TEXTJOIN("",TRUE,A49,"!",ADDRESS(24+(A50-1)*A46,6)))</f>
        <v>0</v>
      </c>
      <c r="I43" s="20" t="str">
        <f ca="1">INDIRECT(_xlfn.TEXTJOIN("",TRUE,A49,"!",ADDRESS(24+(A50-1)*A46,13)))</f>
        <v>C</v>
      </c>
      <c r="J43" s="20">
        <f ca="1">INDIRECT(_xlfn.TEXTJOIN("",TRUE,A49,"!",ADDRESS(24+(A50-1)*A46,14)))</f>
        <v>7</v>
      </c>
    </row>
    <row r="44" spans="1:10" ht="28" customHeight="1" x14ac:dyDescent="0.2">
      <c r="A44" s="46" t="str">
        <f ca="1">INDIRECT(_xlfn.TEXTJOIN("",TRUE,A49,"!",ADDRESS(25+(A50-1)*A46,1)))</f>
        <v>GP 01</v>
      </c>
      <c r="B44" s="47"/>
      <c r="C44" s="43" t="str">
        <f ca="1">INDIRECT(_xlfn.TEXTJOIN("",TRUE,A49,"!",ADDRESS(25+(A50-1)*A46,2)))</f>
        <v>General Proficiency ($)</v>
      </c>
      <c r="D44" s="44"/>
      <c r="E44" s="44"/>
      <c r="F44" s="44"/>
      <c r="G44" s="45"/>
      <c r="H44" s="20">
        <f ca="1">INDIRECT(_xlfn.TEXTJOIN("",TRUE,A49,"!",ADDRESS(25+(A50-1)*A46,6)))</f>
        <v>0</v>
      </c>
      <c r="I44" s="41" t="str">
        <f ca="1">INDIRECT(_xlfn.TEXTJOIN("",TRUE,A49,"!",ADDRESS(25+(A50-1)*A46,13)))</f>
        <v>Excellent</v>
      </c>
      <c r="J44" s="42"/>
    </row>
    <row r="45" spans="1:10" ht="28" customHeight="1" x14ac:dyDescent="0.2">
      <c r="A45" s="35" t="s">
        <v>54</v>
      </c>
      <c r="B45" s="35"/>
      <c r="C45" s="35"/>
      <c r="D45" s="35"/>
      <c r="E45" s="35"/>
      <c r="F45" s="35"/>
      <c r="G45" s="35"/>
      <c r="H45" s="16">
        <f ca="1">SUM(H32:H44)</f>
        <v>23</v>
      </c>
      <c r="I45" s="16" t="s">
        <v>46</v>
      </c>
      <c r="J45" s="16">
        <f ca="1">SUMPRODUCT(J32:J43,H32:H43)</f>
        <v>138</v>
      </c>
    </row>
    <row r="46" spans="1:10" ht="28" customHeight="1" x14ac:dyDescent="0.2">
      <c r="A46" s="22">
        <f>ROWS(A32:B44)+9</f>
        <v>22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28" customHeight="1" x14ac:dyDescent="0.2">
      <c r="A47" s="36" t="s">
        <v>42</v>
      </c>
      <c r="B47" s="36"/>
      <c r="C47" s="21">
        <f ca="1">INDIRECT(_xlfn.TEXTJOIN("",TRUE,A49,"!",ADDRESS(5+A50*A46,12)))</f>
        <v>19</v>
      </c>
      <c r="D47" s="36" t="s">
        <v>40</v>
      </c>
      <c r="E47" s="36"/>
      <c r="F47" s="18">
        <f ca="1">INDIRECT(_xlfn.TEXTJOIN("",TRUE,A49,"!",ADDRESS(5+A50*A46,8)))</f>
        <v>6</v>
      </c>
      <c r="G47" s="36" t="s">
        <v>41</v>
      </c>
      <c r="H47" s="36"/>
      <c r="I47" s="37">
        <f ca="1">INDIRECT(_xlfn.TEXTJOIN("",TRUE,A49,"!",ADDRESS(5+A50*A46,10)))</f>
        <v>6</v>
      </c>
      <c r="J47" s="37"/>
    </row>
    <row r="48" spans="1:10" ht="28" customHeight="1" x14ac:dyDescent="0.2">
      <c r="A48" s="19" t="s">
        <v>38</v>
      </c>
      <c r="B48" s="38" t="str">
        <f ca="1">INDIRECT(_xlfn.TEXTJOIN("",TRUE,A49,"!",ADDRESS(5+A50*A46,2)))</f>
        <v>CARRY OVER</v>
      </c>
      <c r="C48" s="38"/>
      <c r="D48" s="39" t="s">
        <v>39</v>
      </c>
      <c r="E48" s="39"/>
      <c r="F48" s="40" t="str">
        <f ca="1">INDIRECT(_xlfn.TEXTJOIN("",TRUE,A49,"!",ADDRESS(5+A50*A46,5)))</f>
        <v>BACK IN AHT 003</v>
      </c>
      <c r="G48" s="40"/>
      <c r="H48" s="40"/>
      <c r="I48" s="40"/>
      <c r="J48" s="40"/>
    </row>
    <row r="49" spans="1:10" ht="28" customHeight="1" x14ac:dyDescent="0.2">
      <c r="A49" s="22" t="str">
        <f>A27</f>
        <v>TC_I</v>
      </c>
    </row>
    <row r="50" spans="1:10" ht="28" customHeight="1" x14ac:dyDescent="0.2">
      <c r="A50" s="22">
        <f>A28+1</f>
        <v>2</v>
      </c>
    </row>
    <row r="51" spans="1:10" ht="28" customHeight="1" x14ac:dyDescent="0.2">
      <c r="A51" s="49" t="s">
        <v>26</v>
      </c>
      <c r="B51" s="49"/>
      <c r="C51" s="49" t="str">
        <f ca="1">INDIRECT(_xlfn.TEXTJOIN("",TRUE,A71,"!",ADDRESS(9+(A72-1)*A68,2)))</f>
        <v>AKSHITA TOMAR</v>
      </c>
      <c r="D51" s="49"/>
      <c r="E51" s="49"/>
      <c r="F51" s="49" t="s">
        <v>52</v>
      </c>
      <c r="G51" s="49"/>
      <c r="H51" s="49"/>
      <c r="I51" s="48">
        <f ca="1">INDIRECT(_xlfn.TEXTJOIN("",TRUE,A71,"!",ADDRESS(9+(A72-1)*A68,9)))</f>
        <v>250090120003</v>
      </c>
      <c r="J51" s="48"/>
    </row>
    <row r="52" spans="1:10" ht="28" customHeight="1" x14ac:dyDescent="0.2">
      <c r="A52" s="49" t="s">
        <v>27</v>
      </c>
      <c r="B52" s="49"/>
      <c r="C52" s="49" t="str">
        <f ca="1">INDIRECT(_xlfn.TEXTJOIN("",TRUE,A71,"!",ADDRESS(9+(A72-1)*A68,5)))</f>
        <v>RAVINDRA TOMAR</v>
      </c>
      <c r="D52" s="49"/>
      <c r="E52" s="49"/>
      <c r="F52" s="50" t="s">
        <v>53</v>
      </c>
      <c r="G52" s="50"/>
      <c r="H52" s="50"/>
      <c r="I52" s="48" t="str">
        <f ca="1">INDIRECT(_xlfn.TEXTJOIN("",TRUE,A71,"!",ADDRESS(9+(A72-1)*A68,13)))</f>
        <v>UTU/2501104245</v>
      </c>
      <c r="J52" s="48"/>
    </row>
    <row r="53" spans="1:10" ht="28" customHeight="1" x14ac:dyDescent="0.2">
      <c r="A53" s="38" t="s">
        <v>30</v>
      </c>
      <c r="B53" s="38"/>
      <c r="C53" s="38" t="s">
        <v>31</v>
      </c>
      <c r="D53" s="38"/>
      <c r="E53" s="38"/>
      <c r="F53" s="38"/>
      <c r="G53" s="38"/>
      <c r="H53" s="15" t="s">
        <v>32</v>
      </c>
      <c r="I53" s="15" t="s">
        <v>12</v>
      </c>
      <c r="J53" s="15" t="s">
        <v>36</v>
      </c>
    </row>
    <row r="54" spans="1:10" ht="28" customHeight="1" x14ac:dyDescent="0.2">
      <c r="A54" s="46" t="str">
        <f ca="1">INDIRECT(_xlfn.TEXTJOIN("",TRUE,A71,"!",ADDRESS(13+(A72-1)*A68,1)))</f>
        <v>AHT 002</v>
      </c>
      <c r="B54" s="47"/>
      <c r="C54" s="43" t="str">
        <f ca="1">INDIRECT(_xlfn.TEXTJOIN("",TRUE,A71,"!",ADDRESS(13+(A72-1)*A68,2)))</f>
        <v>Engineering Chemistry</v>
      </c>
      <c r="D54" s="44"/>
      <c r="E54" s="44"/>
      <c r="F54" s="44"/>
      <c r="G54" s="45"/>
      <c r="H54" s="20">
        <f ca="1">INDIRECT(_xlfn.TEXTJOIN("",TRUE,A71,"!",ADDRESS(13+(A72-1)*A68,6)))</f>
        <v>4</v>
      </c>
      <c r="I54" s="20" t="str">
        <f ca="1">INDIRECT(_xlfn.TEXTJOIN("",TRUE,A71,"!",ADDRESS(13+(A72-1)*A68,13)))</f>
        <v>P</v>
      </c>
      <c r="J54" s="20">
        <f ca="1">INDIRECT(_xlfn.TEXTJOIN("",TRUE,A71,"!",ADDRESS(13+(A72-1)*A68,14)))</f>
        <v>4.5</v>
      </c>
    </row>
    <row r="55" spans="1:10" ht="28" customHeight="1" x14ac:dyDescent="0.2">
      <c r="A55" s="46" t="str">
        <f ca="1">INDIRECT(_xlfn.TEXTJOIN("",TRUE,A71,"!",ADDRESS(14+(A72-1)*A68,1)))</f>
        <v>AHT 003</v>
      </c>
      <c r="B55" s="47"/>
      <c r="C55" s="43" t="str">
        <f ca="1">INDIRECT(_xlfn.TEXTJOIN("",TRUE,A71,"!",ADDRESS(14+(A72-1)*A68,2)))</f>
        <v>Introduction to Engineering Mathematics</v>
      </c>
      <c r="D55" s="44"/>
      <c r="E55" s="44"/>
      <c r="F55" s="44"/>
      <c r="G55" s="45"/>
      <c r="H55" s="20">
        <f ca="1">INDIRECT(_xlfn.TEXTJOIN("",TRUE,A71,"!",ADDRESS(14+(A72-1)*A68,6)))</f>
        <v>4</v>
      </c>
      <c r="I55" s="20" t="str">
        <f ca="1">INDIRECT(_xlfn.TEXTJOIN("",TRUE,A71,"!",ADDRESS(14+(A72-1)*A68,13)))</f>
        <v>F</v>
      </c>
      <c r="J55" s="20">
        <f ca="1">INDIRECT(_xlfn.TEXTJOIN("",TRUE,A71,"!",ADDRESS(14+(A72-1)*A68,14)))</f>
        <v>0</v>
      </c>
    </row>
    <row r="56" spans="1:10" ht="28" customHeight="1" x14ac:dyDescent="0.2">
      <c r="A56" s="46" t="str">
        <f ca="1">INDIRECT(_xlfn.TEXTJOIN("",TRUE,A71,"!",ADDRESS(15+(A72-1)*A68,1)))</f>
        <v>ECT 001</v>
      </c>
      <c r="B56" s="47"/>
      <c r="C56" s="43" t="str">
        <f ca="1">INDIRECT(_xlfn.TEXTJOIN("",TRUE,A71,"!",ADDRESS(15+(A72-1)*A68,2)))</f>
        <v>Basic Electronics Engineering</v>
      </c>
      <c r="D56" s="44"/>
      <c r="E56" s="44"/>
      <c r="F56" s="44"/>
      <c r="G56" s="45"/>
      <c r="H56" s="20">
        <f ca="1">INDIRECT(_xlfn.TEXTJOIN("",TRUE,A71,"!",ADDRESS(15+(A72-1)*A68,6)))</f>
        <v>4</v>
      </c>
      <c r="I56" s="20" t="str">
        <f ca="1">INDIRECT(_xlfn.TEXTJOIN("",TRUE,A71,"!",ADDRESS(15+(A72-1)*A68,13)))</f>
        <v>E+</v>
      </c>
      <c r="J56" s="20">
        <f ca="1">INDIRECT(_xlfn.TEXTJOIN("",TRUE,A71,"!",ADDRESS(15+(A72-1)*A68,14)))</f>
        <v>5.5</v>
      </c>
    </row>
    <row r="57" spans="1:10" ht="28" customHeight="1" x14ac:dyDescent="0.2">
      <c r="A57" s="46" t="str">
        <f ca="1">INDIRECT(_xlfn.TEXTJOIN("",TRUE,A71,"!",ADDRESS(16+(A72-1)*A68,1)))</f>
        <v>MET 001</v>
      </c>
      <c r="B57" s="47"/>
      <c r="C57" s="43" t="str">
        <f ca="1">INDIRECT(_xlfn.TEXTJOIN("",TRUE,A71,"!",ADDRESS(16+(A72-1)*A68,2)))</f>
        <v>Basic Mechanical Engineering</v>
      </c>
      <c r="D57" s="44"/>
      <c r="E57" s="44"/>
      <c r="F57" s="44"/>
      <c r="G57" s="45"/>
      <c r="H57" s="20">
        <f ca="1">INDIRECT(_xlfn.TEXTJOIN("",TRUE,A71,"!",ADDRESS(16+(A72-1)*A68,6)))</f>
        <v>4</v>
      </c>
      <c r="I57" s="20" t="str">
        <f ca="1">INDIRECT(_xlfn.TEXTJOIN("",TRUE,A71,"!",ADDRESS(16+(A72-1)*A68,13)))</f>
        <v>C</v>
      </c>
      <c r="J57" s="20">
        <f ca="1">INDIRECT(_xlfn.TEXTJOIN("",TRUE,A71,"!",ADDRESS(16+(A72-1)*A68,14)))</f>
        <v>7</v>
      </c>
    </row>
    <row r="58" spans="1:10" ht="28" customHeight="1" x14ac:dyDescent="0.2">
      <c r="A58" s="46" t="str">
        <f ca="1">INDIRECT(_xlfn.TEXTJOIN("",TRUE,A71,"!",ADDRESS(17+(A72-1)*A68,1)))</f>
        <v>AHT 000</v>
      </c>
      <c r="B58" s="47"/>
      <c r="C58" s="43" t="str">
        <f ca="1">INDIRECT(_xlfn.TEXTJOIN("",TRUE,A71,"!",ADDRESS(17+(A72-1)*A68,2)))</f>
        <v>Basic Mathematics (Bridge Course) ($)</v>
      </c>
      <c r="D58" s="44"/>
      <c r="E58" s="44"/>
      <c r="F58" s="44"/>
      <c r="G58" s="45"/>
      <c r="H58" s="20">
        <f ca="1">INDIRECT(_xlfn.TEXTJOIN("",TRUE,A71,"!",ADDRESS(17+(A72-1)*A68,6)))</f>
        <v>0</v>
      </c>
      <c r="I58" s="20" t="str">
        <f ca="1">INDIRECT(_xlfn.TEXTJOIN("",TRUE,A71,"!",ADDRESS(17+(A72-1)*A68,13)))</f>
        <v>E+</v>
      </c>
      <c r="J58" s="20">
        <f ca="1">INDIRECT(_xlfn.TEXTJOIN("",TRUE,A71,"!",ADDRESS(17+(A72-1)*A68,14)))</f>
        <v>5.5</v>
      </c>
    </row>
    <row r="59" spans="1:10" ht="28" customHeight="1" x14ac:dyDescent="0.2">
      <c r="A59" s="46" t="str">
        <f ca="1">INDIRECT(_xlfn.TEXTJOIN("",TRUE,A71,"!",ADDRESS(18+(A72-1)*A68,1)))</f>
        <v>AHP 002</v>
      </c>
      <c r="B59" s="47"/>
      <c r="C59" s="43" t="str">
        <f ca="1">INDIRECT(_xlfn.TEXTJOIN("",TRUE,A71,"!",ADDRESS(18+(A72-1)*A68,2)))</f>
        <v>Engineering Chemistry Lab</v>
      </c>
      <c r="D59" s="44"/>
      <c r="E59" s="44"/>
      <c r="F59" s="44"/>
      <c r="G59" s="45"/>
      <c r="H59" s="20">
        <f ca="1">INDIRECT(_xlfn.TEXTJOIN("",TRUE,A71,"!",ADDRESS(18+(A72-1)*A68,6)))</f>
        <v>1</v>
      </c>
      <c r="I59" s="20" t="str">
        <f ca="1">INDIRECT(_xlfn.TEXTJOIN("",TRUE,A71,"!",ADDRESS(18+(A72-1)*A68,13)))</f>
        <v>C</v>
      </c>
      <c r="J59" s="20">
        <f ca="1">INDIRECT(_xlfn.TEXTJOIN("",TRUE,A71,"!",ADDRESS(18+(A72-1)*A68,14)))</f>
        <v>7</v>
      </c>
    </row>
    <row r="60" spans="1:10" ht="28" customHeight="1" x14ac:dyDescent="0.2">
      <c r="A60" s="46" t="str">
        <f ca="1">INDIRECT(_xlfn.TEXTJOIN("",TRUE,A71,"!",ADDRESS(19+(A72-1)*A68,1)))</f>
        <v>ECP 001</v>
      </c>
      <c r="B60" s="47"/>
      <c r="C60" s="43" t="str">
        <f ca="1">INDIRECT(_xlfn.TEXTJOIN("",TRUE,A71,"!",ADDRESS(19+(A72-1)*A68,2)))</f>
        <v>Basic Electronics Engineering Lab</v>
      </c>
      <c r="D60" s="44"/>
      <c r="E60" s="44"/>
      <c r="F60" s="44"/>
      <c r="G60" s="45"/>
      <c r="H60" s="20">
        <f ca="1">INDIRECT(_xlfn.TEXTJOIN("",TRUE,A71,"!",ADDRESS(19+(A72-1)*A68,6)))</f>
        <v>1</v>
      </c>
      <c r="I60" s="20" t="str">
        <f ca="1">INDIRECT(_xlfn.TEXTJOIN("",TRUE,A71,"!",ADDRESS(19+(A72-1)*A68,13)))</f>
        <v>B+</v>
      </c>
      <c r="J60" s="20">
        <f ca="1">INDIRECT(_xlfn.TEXTJOIN("",TRUE,A71,"!",ADDRESS(19+(A72-1)*A68,14)))</f>
        <v>8.5</v>
      </c>
    </row>
    <row r="61" spans="1:10" ht="28" customHeight="1" x14ac:dyDescent="0.2">
      <c r="A61" s="46" t="str">
        <f ca="1">INDIRECT(_xlfn.TEXTJOIN("",TRUE,A71,"!",ADDRESS(20+(A72-1)*A68,1)))</f>
        <v>MEP 001</v>
      </c>
      <c r="B61" s="47"/>
      <c r="C61" s="43" t="str">
        <f ca="1">INDIRECT(_xlfn.TEXTJOIN("",TRUE,A71,"!",ADDRESS(20+(A72-1)*A68,2)))</f>
        <v>Basic Mechanical Engineering Lab</v>
      </c>
      <c r="D61" s="44"/>
      <c r="E61" s="44"/>
      <c r="F61" s="44"/>
      <c r="G61" s="45"/>
      <c r="H61" s="20">
        <f ca="1">INDIRECT(_xlfn.TEXTJOIN("",TRUE,A71,"!",ADDRESS(20+(A72-1)*A68,6)))</f>
        <v>1</v>
      </c>
      <c r="I61" s="20" t="str">
        <f ca="1">INDIRECT(_xlfn.TEXTJOIN("",TRUE,A71,"!",ADDRESS(20+(A72-1)*A68,13)))</f>
        <v>A+</v>
      </c>
      <c r="J61" s="20">
        <f ca="1">INDIRECT(_xlfn.TEXTJOIN("",TRUE,A71,"!",ADDRESS(20+(A72-1)*A68,14)))</f>
        <v>9.5</v>
      </c>
    </row>
    <row r="62" spans="1:10" ht="28" customHeight="1" x14ac:dyDescent="0.2">
      <c r="A62" s="46" t="str">
        <f ca="1">INDIRECT(_xlfn.TEXTJOIN("",TRUE,A71,"!",ADDRESS(21+(A72-1)*A68,1)))</f>
        <v>MEP 003</v>
      </c>
      <c r="B62" s="47"/>
      <c r="C62" s="43" t="str">
        <f ca="1">INDIRECT(_xlfn.TEXTJOIN("",TRUE,A71,"!",ADDRESS(21+(A72-1)*A68,2)))</f>
        <v>Workshop Practices Lab</v>
      </c>
      <c r="D62" s="44"/>
      <c r="E62" s="44"/>
      <c r="F62" s="44"/>
      <c r="G62" s="45"/>
      <c r="H62" s="20">
        <f ca="1">INDIRECT(_xlfn.TEXTJOIN("",TRUE,A71,"!",ADDRESS(21+(A72-1)*A68,6)))</f>
        <v>2</v>
      </c>
      <c r="I62" s="20" t="str">
        <f ca="1">INDIRECT(_xlfn.TEXTJOIN("",TRUE,A71,"!",ADDRESS(21+(A72-1)*A68,13)))</f>
        <v>A+</v>
      </c>
      <c r="J62" s="20">
        <f ca="1">INDIRECT(_xlfn.TEXTJOIN("",TRUE,A71,"!",ADDRESS(21+(A72-1)*A68,14)))</f>
        <v>9.5</v>
      </c>
    </row>
    <row r="63" spans="1:10" ht="28" customHeight="1" x14ac:dyDescent="0.2">
      <c r="A63" s="46" t="str">
        <f ca="1">INDIRECT(_xlfn.TEXTJOIN("",TRUE,A71,"!",ADDRESS(22+(A72-1)*A68,1)))</f>
        <v>AHP 004</v>
      </c>
      <c r="B63" s="47"/>
      <c r="C63" s="43" t="str">
        <f ca="1">INDIRECT(_xlfn.TEXTJOIN("",TRUE,A71,"!",ADDRESS(22+(A72-1)*A68,2)))</f>
        <v>Emerging Technologies in Engineering Lab</v>
      </c>
      <c r="D63" s="44"/>
      <c r="E63" s="44"/>
      <c r="F63" s="44"/>
      <c r="G63" s="45"/>
      <c r="H63" s="20">
        <f ca="1">INDIRECT(_xlfn.TEXTJOIN("",TRUE,A71,"!",ADDRESS(22+(A72-1)*A68,6)))</f>
        <v>1</v>
      </c>
      <c r="I63" s="20" t="str">
        <f ca="1">INDIRECT(_xlfn.TEXTJOIN("",TRUE,A71,"!",ADDRESS(22+(A72-1)*A68,13)))</f>
        <v>B+</v>
      </c>
      <c r="J63" s="20">
        <f ca="1">INDIRECT(_xlfn.TEXTJOIN("",TRUE,A71,"!",ADDRESS(22+(A72-1)*A68,14)))</f>
        <v>8.5</v>
      </c>
    </row>
    <row r="64" spans="1:10" ht="28" customHeight="1" x14ac:dyDescent="0.2">
      <c r="A64" s="46" t="str">
        <f ca="1">INDIRECT(_xlfn.TEXTJOIN("",TRUE,A71,"!",ADDRESS(23+(A72-1)*A68,1)))</f>
        <v>CSP 002</v>
      </c>
      <c r="B64" s="47"/>
      <c r="C64" s="43" t="str">
        <f ca="1">INDIRECT(_xlfn.TEXTJOIN("",TRUE,A71,"!",ADDRESS(23+(A72-1)*A68,2)))</f>
        <v>Computer Applications and IOT</v>
      </c>
      <c r="D64" s="44"/>
      <c r="E64" s="44"/>
      <c r="F64" s="44"/>
      <c r="G64" s="45"/>
      <c r="H64" s="20">
        <f ca="1">INDIRECT(_xlfn.TEXTJOIN("",TRUE,A71,"!",ADDRESS(23+(A72-1)*A68,6)))</f>
        <v>1</v>
      </c>
      <c r="I64" s="20" t="str">
        <f ca="1">INDIRECT(_xlfn.TEXTJOIN("",TRUE,A71,"!",ADDRESS(23+(A72-1)*A68,13)))</f>
        <v>O</v>
      </c>
      <c r="J64" s="20">
        <f ca="1">INDIRECT(_xlfn.TEXTJOIN("",TRUE,A71,"!",ADDRESS(23+(A72-1)*A68,14)))</f>
        <v>10</v>
      </c>
    </row>
    <row r="65" spans="1:10" ht="28" customHeight="1" x14ac:dyDescent="0.2">
      <c r="A65" s="46" t="str">
        <f ca="1">INDIRECT(_xlfn.TEXTJOIN("",TRUE,A71,"!",ADDRESS(24+(A72-1)*A68,1)))</f>
        <v>AHP 006</v>
      </c>
      <c r="B65" s="47"/>
      <c r="C65" s="43" t="str">
        <f ca="1">INDIRECT(_xlfn.TEXTJOIN("",TRUE,A71,"!",ADDRESS(24+(A72-1)*A68,2)))</f>
        <v>English Language Lab ($)</v>
      </c>
      <c r="D65" s="44"/>
      <c r="E65" s="44"/>
      <c r="F65" s="44"/>
      <c r="G65" s="45"/>
      <c r="H65" s="20">
        <f ca="1">INDIRECT(_xlfn.TEXTJOIN("",TRUE,A71,"!",ADDRESS(24+(A72-1)*A68,6)))</f>
        <v>0</v>
      </c>
      <c r="I65" s="20" t="str">
        <f ca="1">INDIRECT(_xlfn.TEXTJOIN("",TRUE,A71,"!",ADDRESS(24+(A72-1)*A68,13)))</f>
        <v>C+</v>
      </c>
      <c r="J65" s="20">
        <f ca="1">INDIRECT(_xlfn.TEXTJOIN("",TRUE,A71,"!",ADDRESS(24+(A72-1)*A68,14)))</f>
        <v>7.5</v>
      </c>
    </row>
    <row r="66" spans="1:10" ht="28" customHeight="1" x14ac:dyDescent="0.2">
      <c r="A66" s="46" t="str">
        <f ca="1">INDIRECT(_xlfn.TEXTJOIN("",TRUE,A71,"!",ADDRESS(25+(A72-1)*A68,1)))</f>
        <v>GP 01</v>
      </c>
      <c r="B66" s="47"/>
      <c r="C66" s="43" t="str">
        <f ca="1">INDIRECT(_xlfn.TEXTJOIN("",TRUE,A71,"!",ADDRESS(25+(A72-1)*A68,2)))</f>
        <v>General Proficiency ($)</v>
      </c>
      <c r="D66" s="44"/>
      <c r="E66" s="44"/>
      <c r="F66" s="44"/>
      <c r="G66" s="45"/>
      <c r="H66" s="20">
        <f ca="1">INDIRECT(_xlfn.TEXTJOIN("",TRUE,A71,"!",ADDRESS(25+(A72-1)*A68,6)))</f>
        <v>0</v>
      </c>
      <c r="I66" s="41" t="str">
        <f ca="1">INDIRECT(_xlfn.TEXTJOIN("",TRUE,A71,"!",ADDRESS(25+(A72-1)*A68,13)))</f>
        <v>Excellent</v>
      </c>
      <c r="J66" s="42"/>
    </row>
    <row r="67" spans="1:10" ht="28" customHeight="1" x14ac:dyDescent="0.2">
      <c r="A67" s="35" t="s">
        <v>54</v>
      </c>
      <c r="B67" s="35"/>
      <c r="C67" s="35"/>
      <c r="D67" s="35"/>
      <c r="E67" s="35"/>
      <c r="F67" s="35"/>
      <c r="G67" s="35"/>
      <c r="H67" s="16">
        <f ca="1">SUM(H54:H66)</f>
        <v>23</v>
      </c>
      <c r="I67" s="16" t="s">
        <v>46</v>
      </c>
      <c r="J67" s="16">
        <f ca="1">SUMPRODUCT(J54:J65,H54:H65)</f>
        <v>130.5</v>
      </c>
    </row>
    <row r="68" spans="1:10" ht="28" customHeight="1" x14ac:dyDescent="0.2">
      <c r="A68" s="22">
        <f>ROWS(A54:B66)+9</f>
        <v>22</v>
      </c>
      <c r="B68" s="17"/>
      <c r="C68" s="17"/>
      <c r="D68" s="17"/>
      <c r="E68" s="17"/>
      <c r="F68" s="17"/>
      <c r="G68" s="17"/>
      <c r="H68" s="17"/>
      <c r="I68" s="17"/>
      <c r="J68" s="17"/>
    </row>
    <row r="69" spans="1:10" ht="28" customHeight="1" x14ac:dyDescent="0.2">
      <c r="A69" s="36" t="s">
        <v>42</v>
      </c>
      <c r="B69" s="36"/>
      <c r="C69" s="21">
        <f ca="1">INDIRECT(_xlfn.TEXTJOIN("",TRUE,A71,"!",ADDRESS(5+A72*A68,12)))</f>
        <v>19</v>
      </c>
      <c r="D69" s="36" t="s">
        <v>40</v>
      </c>
      <c r="E69" s="36"/>
      <c r="F69" s="18">
        <f ca="1">INDIRECT(_xlfn.TEXTJOIN("",TRUE,A71,"!",ADDRESS(5+A72*A68,8)))</f>
        <v>5.6739130434782608</v>
      </c>
      <c r="G69" s="36" t="s">
        <v>41</v>
      </c>
      <c r="H69" s="36"/>
      <c r="I69" s="37">
        <f ca="1">INDIRECT(_xlfn.TEXTJOIN("",TRUE,A71,"!",ADDRESS(5+A72*A68,10)))</f>
        <v>5.6739130434782608</v>
      </c>
      <c r="J69" s="37"/>
    </row>
    <row r="70" spans="1:10" ht="28" customHeight="1" x14ac:dyDescent="0.2">
      <c r="A70" s="19" t="s">
        <v>38</v>
      </c>
      <c r="B70" s="38" t="str">
        <f ca="1">INDIRECT(_xlfn.TEXTJOIN("",TRUE,A71,"!",ADDRESS(5+A72*A68,2)))</f>
        <v>CARRY OVER</v>
      </c>
      <c r="C70" s="38"/>
      <c r="D70" s="39" t="s">
        <v>39</v>
      </c>
      <c r="E70" s="39"/>
      <c r="F70" s="40" t="str">
        <f ca="1">INDIRECT(_xlfn.TEXTJOIN("",TRUE,A71,"!",ADDRESS(5+A72*A68,5)))</f>
        <v>BACK IN AHT 003</v>
      </c>
      <c r="G70" s="40"/>
      <c r="H70" s="40"/>
      <c r="I70" s="40"/>
      <c r="J70" s="40"/>
    </row>
    <row r="71" spans="1:10" ht="28" customHeight="1" x14ac:dyDescent="0.2">
      <c r="A71" s="22" t="str">
        <f>A49</f>
        <v>TC_I</v>
      </c>
    </row>
    <row r="72" spans="1:10" ht="28" customHeight="1" x14ac:dyDescent="0.2">
      <c r="A72" s="22">
        <f>A50+1</f>
        <v>3</v>
      </c>
    </row>
    <row r="73" spans="1:10" ht="28" customHeight="1" x14ac:dyDescent="0.2">
      <c r="A73" s="49" t="s">
        <v>26</v>
      </c>
      <c r="B73" s="49"/>
      <c r="C73" s="49" t="str">
        <f ca="1">INDIRECT(_xlfn.TEXTJOIN("",TRUE,A93,"!",ADDRESS(9+(A94-1)*A90,2)))</f>
        <v>ANSHIKA SHARMA</v>
      </c>
      <c r="D73" s="49"/>
      <c r="E73" s="49"/>
      <c r="F73" s="49" t="s">
        <v>52</v>
      </c>
      <c r="G73" s="49"/>
      <c r="H73" s="49"/>
      <c r="I73" s="48">
        <f ca="1">INDIRECT(_xlfn.TEXTJOIN("",TRUE,A93,"!",ADDRESS(9+(A94-1)*A90,9)))</f>
        <v>250090120004</v>
      </c>
      <c r="J73" s="48"/>
    </row>
    <row r="74" spans="1:10" ht="28" customHeight="1" x14ac:dyDescent="0.2">
      <c r="A74" s="49" t="s">
        <v>27</v>
      </c>
      <c r="B74" s="49"/>
      <c r="C74" s="49" t="str">
        <f ca="1">INDIRECT(_xlfn.TEXTJOIN("",TRUE,A93,"!",ADDRESS(9+(A94-1)*A90,5)))</f>
        <v>SANJ EEV SHARMA</v>
      </c>
      <c r="D74" s="49"/>
      <c r="E74" s="49"/>
      <c r="F74" s="50" t="s">
        <v>53</v>
      </c>
      <c r="G74" s="50"/>
      <c r="H74" s="50"/>
      <c r="I74" s="48" t="str">
        <f ca="1">INDIRECT(_xlfn.TEXTJOIN("",TRUE,A93,"!",ADDRESS(9+(A94-1)*A90,13)))</f>
        <v>UTU/2501104042</v>
      </c>
      <c r="J74" s="48"/>
    </row>
    <row r="75" spans="1:10" ht="28" customHeight="1" x14ac:dyDescent="0.2">
      <c r="A75" s="38" t="s">
        <v>30</v>
      </c>
      <c r="B75" s="38"/>
      <c r="C75" s="38" t="s">
        <v>31</v>
      </c>
      <c r="D75" s="38"/>
      <c r="E75" s="38"/>
      <c r="F75" s="38"/>
      <c r="G75" s="38"/>
      <c r="H75" s="15" t="s">
        <v>32</v>
      </c>
      <c r="I75" s="15" t="s">
        <v>12</v>
      </c>
      <c r="J75" s="15" t="s">
        <v>36</v>
      </c>
    </row>
    <row r="76" spans="1:10" ht="28" customHeight="1" x14ac:dyDescent="0.2">
      <c r="A76" s="46" t="str">
        <f ca="1">INDIRECT(_xlfn.TEXTJOIN("",TRUE,A93,"!",ADDRESS(13+(A94-1)*A90,1)))</f>
        <v>AHT 002</v>
      </c>
      <c r="B76" s="47"/>
      <c r="C76" s="43" t="str">
        <f ca="1">INDIRECT(_xlfn.TEXTJOIN("",TRUE,A93,"!",ADDRESS(13+(A94-1)*A90,2)))</f>
        <v>Engineering Chemistry</v>
      </c>
      <c r="D76" s="44"/>
      <c r="E76" s="44"/>
      <c r="F76" s="44"/>
      <c r="G76" s="45"/>
      <c r="H76" s="20">
        <f ca="1">INDIRECT(_xlfn.TEXTJOIN("",TRUE,A93,"!",ADDRESS(13+(A94-1)*A90,6)))</f>
        <v>4</v>
      </c>
      <c r="I76" s="20" t="str">
        <f ca="1">INDIRECT(_xlfn.TEXTJOIN("",TRUE,A93,"!",ADDRESS(13+(A94-1)*A90,13)))</f>
        <v>D</v>
      </c>
      <c r="J76" s="20">
        <f ca="1">INDIRECT(_xlfn.TEXTJOIN("",TRUE,A93,"!",ADDRESS(13+(A94-1)*A90,14)))</f>
        <v>6</v>
      </c>
    </row>
    <row r="77" spans="1:10" ht="28" customHeight="1" x14ac:dyDescent="0.2">
      <c r="A77" s="46" t="str">
        <f ca="1">INDIRECT(_xlfn.TEXTJOIN("",TRUE,A93,"!",ADDRESS(14+(A94-1)*A90,1)))</f>
        <v>AHT 003</v>
      </c>
      <c r="B77" s="47"/>
      <c r="C77" s="43" t="str">
        <f ca="1">INDIRECT(_xlfn.TEXTJOIN("",TRUE,A93,"!",ADDRESS(14+(A94-1)*A90,2)))</f>
        <v>Introduction to Engineering Mathematics</v>
      </c>
      <c r="D77" s="44"/>
      <c r="E77" s="44"/>
      <c r="F77" s="44"/>
      <c r="G77" s="45"/>
      <c r="H77" s="20">
        <f ca="1">INDIRECT(_xlfn.TEXTJOIN("",TRUE,A93,"!",ADDRESS(14+(A94-1)*A90,6)))</f>
        <v>4</v>
      </c>
      <c r="I77" s="20" t="str">
        <f ca="1">INDIRECT(_xlfn.TEXTJOIN("",TRUE,A93,"!",ADDRESS(14+(A94-1)*A90,13)))</f>
        <v>F</v>
      </c>
      <c r="J77" s="20">
        <f ca="1">INDIRECT(_xlfn.TEXTJOIN("",TRUE,A93,"!",ADDRESS(14+(A94-1)*A90,14)))</f>
        <v>0</v>
      </c>
    </row>
    <row r="78" spans="1:10" ht="28" customHeight="1" x14ac:dyDescent="0.2">
      <c r="A78" s="46" t="str">
        <f ca="1">INDIRECT(_xlfn.TEXTJOIN("",TRUE,A93,"!",ADDRESS(15+(A94-1)*A90,1)))</f>
        <v>ECT 001</v>
      </c>
      <c r="B78" s="47"/>
      <c r="C78" s="43" t="str">
        <f ca="1">INDIRECT(_xlfn.TEXTJOIN("",TRUE,A93,"!",ADDRESS(15+(A94-1)*A90,2)))</f>
        <v>Basic Electronics Engineering</v>
      </c>
      <c r="D78" s="44"/>
      <c r="E78" s="44"/>
      <c r="F78" s="44"/>
      <c r="G78" s="45"/>
      <c r="H78" s="20">
        <f ca="1">INDIRECT(_xlfn.TEXTJOIN("",TRUE,A93,"!",ADDRESS(15+(A94-1)*A90,6)))</f>
        <v>4</v>
      </c>
      <c r="I78" s="20" t="str">
        <f ca="1">INDIRECT(_xlfn.TEXTJOIN("",TRUE,A93,"!",ADDRESS(15+(A94-1)*A90,13)))</f>
        <v>E+</v>
      </c>
      <c r="J78" s="20">
        <f ca="1">INDIRECT(_xlfn.TEXTJOIN("",TRUE,A93,"!",ADDRESS(15+(A94-1)*A90,14)))</f>
        <v>5.5</v>
      </c>
    </row>
    <row r="79" spans="1:10" ht="28" customHeight="1" x14ac:dyDescent="0.2">
      <c r="A79" s="46" t="str">
        <f ca="1">INDIRECT(_xlfn.TEXTJOIN("",TRUE,A93,"!",ADDRESS(16+(A94-1)*A90,1)))</f>
        <v>MET 001</v>
      </c>
      <c r="B79" s="47"/>
      <c r="C79" s="43" t="str">
        <f ca="1">INDIRECT(_xlfn.TEXTJOIN("",TRUE,A93,"!",ADDRESS(16+(A94-1)*A90,2)))</f>
        <v>Basic Mechanical Engineering</v>
      </c>
      <c r="D79" s="44"/>
      <c r="E79" s="44"/>
      <c r="F79" s="44"/>
      <c r="G79" s="45"/>
      <c r="H79" s="20">
        <f ca="1">INDIRECT(_xlfn.TEXTJOIN("",TRUE,A93,"!",ADDRESS(16+(A94-1)*A90,6)))</f>
        <v>4</v>
      </c>
      <c r="I79" s="20" t="str">
        <f ca="1">INDIRECT(_xlfn.TEXTJOIN("",TRUE,A93,"!",ADDRESS(16+(A94-1)*A90,13)))</f>
        <v>D+</v>
      </c>
      <c r="J79" s="20">
        <f ca="1">INDIRECT(_xlfn.TEXTJOIN("",TRUE,A93,"!",ADDRESS(16+(A94-1)*A90,14)))</f>
        <v>6.5</v>
      </c>
    </row>
    <row r="80" spans="1:10" ht="28" customHeight="1" x14ac:dyDescent="0.2">
      <c r="A80" s="46" t="str">
        <f ca="1">INDIRECT(_xlfn.TEXTJOIN("",TRUE,A93,"!",ADDRESS(17+(A94-1)*A90,1)))</f>
        <v>AHT 000</v>
      </c>
      <c r="B80" s="47"/>
      <c r="C80" s="43" t="str">
        <f ca="1">INDIRECT(_xlfn.TEXTJOIN("",TRUE,A93,"!",ADDRESS(17+(A94-1)*A90,2)))</f>
        <v>Basic Mathematics (Bridge Course) ($)</v>
      </c>
      <c r="D80" s="44"/>
      <c r="E80" s="44"/>
      <c r="F80" s="44"/>
      <c r="G80" s="45"/>
      <c r="H80" s="20">
        <f ca="1">INDIRECT(_xlfn.TEXTJOIN("",TRUE,A93,"!",ADDRESS(17+(A94-1)*A90,6)))</f>
        <v>0</v>
      </c>
      <c r="I80" s="20" t="str">
        <f ca="1">INDIRECT(_xlfn.TEXTJOIN("",TRUE,A93,"!",ADDRESS(17+(A94-1)*A90,13)))</f>
        <v>C</v>
      </c>
      <c r="J80" s="20">
        <f ca="1">INDIRECT(_xlfn.TEXTJOIN("",TRUE,A93,"!",ADDRESS(17+(A94-1)*A90,14)))</f>
        <v>7</v>
      </c>
    </row>
    <row r="81" spans="1:10" ht="28" customHeight="1" x14ac:dyDescent="0.2">
      <c r="A81" s="46" t="str">
        <f ca="1">INDIRECT(_xlfn.TEXTJOIN("",TRUE,A93,"!",ADDRESS(18+(A94-1)*A90,1)))</f>
        <v>AHP 002</v>
      </c>
      <c r="B81" s="47"/>
      <c r="C81" s="43" t="str">
        <f ca="1">INDIRECT(_xlfn.TEXTJOIN("",TRUE,A93,"!",ADDRESS(18+(A94-1)*A90,2)))</f>
        <v>Engineering Chemistry Lab</v>
      </c>
      <c r="D81" s="44"/>
      <c r="E81" s="44"/>
      <c r="F81" s="44"/>
      <c r="G81" s="45"/>
      <c r="H81" s="20">
        <f ca="1">INDIRECT(_xlfn.TEXTJOIN("",TRUE,A93,"!",ADDRESS(18+(A94-1)*A90,6)))</f>
        <v>1</v>
      </c>
      <c r="I81" s="20" t="str">
        <f ca="1">INDIRECT(_xlfn.TEXTJOIN("",TRUE,A93,"!",ADDRESS(18+(A94-1)*A90,13)))</f>
        <v>C</v>
      </c>
      <c r="J81" s="20">
        <f ca="1">INDIRECT(_xlfn.TEXTJOIN("",TRUE,A93,"!",ADDRESS(18+(A94-1)*A90,14)))</f>
        <v>7</v>
      </c>
    </row>
    <row r="82" spans="1:10" ht="28" customHeight="1" x14ac:dyDescent="0.2">
      <c r="A82" s="46" t="str">
        <f ca="1">INDIRECT(_xlfn.TEXTJOIN("",TRUE,A93,"!",ADDRESS(19+(A94-1)*A90,1)))</f>
        <v>ECP 001</v>
      </c>
      <c r="B82" s="47"/>
      <c r="C82" s="43" t="str">
        <f ca="1">INDIRECT(_xlfn.TEXTJOIN("",TRUE,A93,"!",ADDRESS(19+(A94-1)*A90,2)))</f>
        <v>Basic Electronics Engineering Lab</v>
      </c>
      <c r="D82" s="44"/>
      <c r="E82" s="44"/>
      <c r="F82" s="44"/>
      <c r="G82" s="45"/>
      <c r="H82" s="20">
        <f ca="1">INDIRECT(_xlfn.TEXTJOIN("",TRUE,A93,"!",ADDRESS(19+(A94-1)*A90,6)))</f>
        <v>1</v>
      </c>
      <c r="I82" s="20" t="str">
        <f ca="1">INDIRECT(_xlfn.TEXTJOIN("",TRUE,A93,"!",ADDRESS(19+(A94-1)*A90,13)))</f>
        <v>A</v>
      </c>
      <c r="J82" s="20">
        <f ca="1">INDIRECT(_xlfn.TEXTJOIN("",TRUE,A93,"!",ADDRESS(19+(A94-1)*A90,14)))</f>
        <v>9</v>
      </c>
    </row>
    <row r="83" spans="1:10" ht="28" customHeight="1" x14ac:dyDescent="0.2">
      <c r="A83" s="46" t="str">
        <f ca="1">INDIRECT(_xlfn.TEXTJOIN("",TRUE,A93,"!",ADDRESS(20+(A94-1)*A90,1)))</f>
        <v>MEP 001</v>
      </c>
      <c r="B83" s="47"/>
      <c r="C83" s="43" t="str">
        <f ca="1">INDIRECT(_xlfn.TEXTJOIN("",TRUE,A93,"!",ADDRESS(20+(A94-1)*A90,2)))</f>
        <v>Basic Mechanical Engineering Lab</v>
      </c>
      <c r="D83" s="44"/>
      <c r="E83" s="44"/>
      <c r="F83" s="44"/>
      <c r="G83" s="45"/>
      <c r="H83" s="20">
        <f ca="1">INDIRECT(_xlfn.TEXTJOIN("",TRUE,A93,"!",ADDRESS(20+(A94-1)*A90,6)))</f>
        <v>1</v>
      </c>
      <c r="I83" s="20" t="str">
        <f ca="1">INDIRECT(_xlfn.TEXTJOIN("",TRUE,A93,"!",ADDRESS(20+(A94-1)*A90,13)))</f>
        <v>B+</v>
      </c>
      <c r="J83" s="20">
        <f ca="1">INDIRECT(_xlfn.TEXTJOIN("",TRUE,A93,"!",ADDRESS(20+(A94-1)*A90,14)))</f>
        <v>8.5</v>
      </c>
    </row>
    <row r="84" spans="1:10" ht="28" customHeight="1" x14ac:dyDescent="0.2">
      <c r="A84" s="46" t="str">
        <f ca="1">INDIRECT(_xlfn.TEXTJOIN("",TRUE,A93,"!",ADDRESS(21+(A94-1)*A90,1)))</f>
        <v>MEP 003</v>
      </c>
      <c r="B84" s="47"/>
      <c r="C84" s="43" t="str">
        <f ca="1">INDIRECT(_xlfn.TEXTJOIN("",TRUE,A93,"!",ADDRESS(21+(A94-1)*A90,2)))</f>
        <v>Workshop Practices Lab</v>
      </c>
      <c r="D84" s="44"/>
      <c r="E84" s="44"/>
      <c r="F84" s="44"/>
      <c r="G84" s="45"/>
      <c r="H84" s="20">
        <f ca="1">INDIRECT(_xlfn.TEXTJOIN("",TRUE,A93,"!",ADDRESS(21+(A94-1)*A90,6)))</f>
        <v>2</v>
      </c>
      <c r="I84" s="20" t="str">
        <f ca="1">INDIRECT(_xlfn.TEXTJOIN("",TRUE,A93,"!",ADDRESS(21+(A94-1)*A90,13)))</f>
        <v>B+</v>
      </c>
      <c r="J84" s="20">
        <f ca="1">INDIRECT(_xlfn.TEXTJOIN("",TRUE,A93,"!",ADDRESS(21+(A94-1)*A90,14)))</f>
        <v>8.5</v>
      </c>
    </row>
    <row r="85" spans="1:10" ht="28" customHeight="1" x14ac:dyDescent="0.2">
      <c r="A85" s="46" t="str">
        <f ca="1">INDIRECT(_xlfn.TEXTJOIN("",TRUE,A93,"!",ADDRESS(22+(A94-1)*A90,1)))</f>
        <v>AHP 004</v>
      </c>
      <c r="B85" s="47"/>
      <c r="C85" s="43" t="str">
        <f ca="1">INDIRECT(_xlfn.TEXTJOIN("",TRUE,A93,"!",ADDRESS(22+(A94-1)*A90,2)))</f>
        <v>Emerging Technologies in Engineering Lab</v>
      </c>
      <c r="D85" s="44"/>
      <c r="E85" s="44"/>
      <c r="F85" s="44"/>
      <c r="G85" s="45"/>
      <c r="H85" s="20">
        <f ca="1">INDIRECT(_xlfn.TEXTJOIN("",TRUE,A93,"!",ADDRESS(22+(A94-1)*A90,6)))</f>
        <v>1</v>
      </c>
      <c r="I85" s="20" t="str">
        <f ca="1">INDIRECT(_xlfn.TEXTJOIN("",TRUE,A93,"!",ADDRESS(22+(A94-1)*A90,13)))</f>
        <v>B+</v>
      </c>
      <c r="J85" s="20">
        <f ca="1">INDIRECT(_xlfn.TEXTJOIN("",TRUE,A93,"!",ADDRESS(22+(A94-1)*A90,14)))</f>
        <v>8.5</v>
      </c>
    </row>
    <row r="86" spans="1:10" ht="28" customHeight="1" x14ac:dyDescent="0.2">
      <c r="A86" s="46" t="str">
        <f ca="1">INDIRECT(_xlfn.TEXTJOIN("",TRUE,A93,"!",ADDRESS(23+(A94-1)*A90,1)))</f>
        <v>CSP 002</v>
      </c>
      <c r="B86" s="47"/>
      <c r="C86" s="43" t="str">
        <f ca="1">INDIRECT(_xlfn.TEXTJOIN("",TRUE,A93,"!",ADDRESS(23+(A94-1)*A90,2)))</f>
        <v>Computer Applications and IOT</v>
      </c>
      <c r="D86" s="44"/>
      <c r="E86" s="44"/>
      <c r="F86" s="44"/>
      <c r="G86" s="45"/>
      <c r="H86" s="20">
        <f ca="1">INDIRECT(_xlfn.TEXTJOIN("",TRUE,A93,"!",ADDRESS(23+(A94-1)*A90,6)))</f>
        <v>1</v>
      </c>
      <c r="I86" s="20" t="str">
        <f ca="1">INDIRECT(_xlfn.TEXTJOIN("",TRUE,A93,"!",ADDRESS(23+(A94-1)*A90,13)))</f>
        <v>O</v>
      </c>
      <c r="J86" s="20">
        <f ca="1">INDIRECT(_xlfn.TEXTJOIN("",TRUE,A93,"!",ADDRESS(23+(A94-1)*A90,14)))</f>
        <v>10</v>
      </c>
    </row>
    <row r="87" spans="1:10" ht="28" customHeight="1" x14ac:dyDescent="0.2">
      <c r="A87" s="46" t="str">
        <f ca="1">INDIRECT(_xlfn.TEXTJOIN("",TRUE,A93,"!",ADDRESS(24+(A94-1)*A90,1)))</f>
        <v>AHP 006</v>
      </c>
      <c r="B87" s="47"/>
      <c r="C87" s="43" t="str">
        <f ca="1">INDIRECT(_xlfn.TEXTJOIN("",TRUE,A93,"!",ADDRESS(24+(A94-1)*A90,2)))</f>
        <v>English Language Lab ($)</v>
      </c>
      <c r="D87" s="44"/>
      <c r="E87" s="44"/>
      <c r="F87" s="44"/>
      <c r="G87" s="45"/>
      <c r="H87" s="20">
        <f ca="1">INDIRECT(_xlfn.TEXTJOIN("",TRUE,A93,"!",ADDRESS(24+(A94-1)*A90,6)))</f>
        <v>0</v>
      </c>
      <c r="I87" s="20" t="str">
        <f ca="1">INDIRECT(_xlfn.TEXTJOIN("",TRUE,A93,"!",ADDRESS(24+(A94-1)*A90,13)))</f>
        <v>C</v>
      </c>
      <c r="J87" s="20">
        <f ca="1">INDIRECT(_xlfn.TEXTJOIN("",TRUE,A93,"!",ADDRESS(24+(A94-1)*A90,14)))</f>
        <v>7</v>
      </c>
    </row>
    <row r="88" spans="1:10" ht="28" customHeight="1" x14ac:dyDescent="0.2">
      <c r="A88" s="46" t="str">
        <f ca="1">INDIRECT(_xlfn.TEXTJOIN("",TRUE,A93,"!",ADDRESS(25+(A94-1)*A90,1)))</f>
        <v>GP 01</v>
      </c>
      <c r="B88" s="47"/>
      <c r="C88" s="43" t="str">
        <f ca="1">INDIRECT(_xlfn.TEXTJOIN("",TRUE,A93,"!",ADDRESS(25+(A94-1)*A90,2)))</f>
        <v>General Proficiency ($)</v>
      </c>
      <c r="D88" s="44"/>
      <c r="E88" s="44"/>
      <c r="F88" s="44"/>
      <c r="G88" s="45"/>
      <c r="H88" s="20">
        <f ca="1">INDIRECT(_xlfn.TEXTJOIN("",TRUE,A93,"!",ADDRESS(25+(A94-1)*A90,6)))</f>
        <v>0</v>
      </c>
      <c r="I88" s="41" t="str">
        <f ca="1">INDIRECT(_xlfn.TEXTJOIN("",TRUE,A93,"!",ADDRESS(25+(A94-1)*A90,13)))</f>
        <v>Excellent</v>
      </c>
      <c r="J88" s="42"/>
    </row>
    <row r="89" spans="1:10" ht="28" customHeight="1" x14ac:dyDescent="0.2">
      <c r="A89" s="35" t="s">
        <v>54</v>
      </c>
      <c r="B89" s="35"/>
      <c r="C89" s="35"/>
      <c r="D89" s="35"/>
      <c r="E89" s="35"/>
      <c r="F89" s="35"/>
      <c r="G89" s="35"/>
      <c r="H89" s="16">
        <f ca="1">SUM(H76:H88)</f>
        <v>23</v>
      </c>
      <c r="I89" s="16" t="s">
        <v>46</v>
      </c>
      <c r="J89" s="16">
        <f ca="1">SUMPRODUCT(J76:J87,H76:H87)</f>
        <v>132</v>
      </c>
    </row>
    <row r="90" spans="1:10" ht="28" customHeight="1" x14ac:dyDescent="0.2">
      <c r="A90" s="22">
        <f>ROWS(A76:B88)+9</f>
        <v>22</v>
      </c>
      <c r="B90" s="17"/>
      <c r="C90" s="17"/>
      <c r="D90" s="17"/>
      <c r="E90" s="17"/>
      <c r="F90" s="17"/>
      <c r="G90" s="17"/>
      <c r="H90" s="17"/>
      <c r="I90" s="17"/>
      <c r="J90" s="17"/>
    </row>
    <row r="91" spans="1:10" ht="28" customHeight="1" x14ac:dyDescent="0.2">
      <c r="A91" s="36" t="s">
        <v>42</v>
      </c>
      <c r="B91" s="36"/>
      <c r="C91" s="21">
        <f ca="1">INDIRECT(_xlfn.TEXTJOIN("",TRUE,A93,"!",ADDRESS(5+A94*A90,12)))</f>
        <v>19</v>
      </c>
      <c r="D91" s="36" t="s">
        <v>40</v>
      </c>
      <c r="E91" s="36"/>
      <c r="F91" s="18">
        <f ca="1">INDIRECT(_xlfn.TEXTJOIN("",TRUE,A93,"!",ADDRESS(5+A94*A90,8)))</f>
        <v>5.7391304347826084</v>
      </c>
      <c r="G91" s="36" t="s">
        <v>41</v>
      </c>
      <c r="H91" s="36"/>
      <c r="I91" s="37">
        <f ca="1">INDIRECT(_xlfn.TEXTJOIN("",TRUE,A93,"!",ADDRESS(5+A94*A90,10)))</f>
        <v>5.7391304347826084</v>
      </c>
      <c r="J91" s="37"/>
    </row>
    <row r="92" spans="1:10" ht="28" customHeight="1" x14ac:dyDescent="0.2">
      <c r="A92" s="19" t="s">
        <v>38</v>
      </c>
      <c r="B92" s="38" t="str">
        <f ca="1">INDIRECT(_xlfn.TEXTJOIN("",TRUE,A93,"!",ADDRESS(5+A94*A90,2)))</f>
        <v>CARRY OVER</v>
      </c>
      <c r="C92" s="38"/>
      <c r="D92" s="39" t="s">
        <v>39</v>
      </c>
      <c r="E92" s="39"/>
      <c r="F92" s="40" t="str">
        <f ca="1">INDIRECT(_xlfn.TEXTJOIN("",TRUE,A93,"!",ADDRESS(5+A94*A90,5)))</f>
        <v>BACK IN AHT 003</v>
      </c>
      <c r="G92" s="40"/>
      <c r="H92" s="40"/>
      <c r="I92" s="40"/>
      <c r="J92" s="40"/>
    </row>
    <row r="93" spans="1:10" ht="28" customHeight="1" x14ac:dyDescent="0.2">
      <c r="A93" s="22" t="str">
        <f>A71</f>
        <v>TC_I</v>
      </c>
    </row>
    <row r="94" spans="1:10" ht="28" customHeight="1" x14ac:dyDescent="0.2">
      <c r="A94" s="22">
        <f>A72+1</f>
        <v>4</v>
      </c>
    </row>
    <row r="95" spans="1:10" ht="28" customHeight="1" x14ac:dyDescent="0.2">
      <c r="A95" s="49" t="s">
        <v>26</v>
      </c>
      <c r="B95" s="49"/>
      <c r="C95" s="49" t="str">
        <f ca="1">INDIRECT(_xlfn.TEXTJOIN("",TRUE,A115,"!",ADDRESS(9+(A116-1)*A112,2)))</f>
        <v>ANUBHAV KESTWAL</v>
      </c>
      <c r="D95" s="49"/>
      <c r="E95" s="49"/>
      <c r="F95" s="49" t="s">
        <v>52</v>
      </c>
      <c r="G95" s="49"/>
      <c r="H95" s="49"/>
      <c r="I95" s="48">
        <f ca="1">INDIRECT(_xlfn.TEXTJOIN("",TRUE,A115,"!",ADDRESS(9+(A116-1)*A112,9)))</f>
        <v>250090120005</v>
      </c>
      <c r="J95" s="48"/>
    </row>
    <row r="96" spans="1:10" ht="28" customHeight="1" x14ac:dyDescent="0.2">
      <c r="A96" s="49" t="s">
        <v>27</v>
      </c>
      <c r="B96" s="49"/>
      <c r="C96" s="49" t="str">
        <f ca="1">INDIRECT(_xlfn.TEXTJOIN("",TRUE,A115,"!",ADDRESS(9+(A116-1)*A112,5)))</f>
        <v>SANJAY KESTWAL</v>
      </c>
      <c r="D96" s="49"/>
      <c r="E96" s="49"/>
      <c r="F96" s="50" t="s">
        <v>53</v>
      </c>
      <c r="G96" s="50"/>
      <c r="H96" s="50"/>
      <c r="I96" s="48" t="str">
        <f ca="1">INDIRECT(_xlfn.TEXTJOIN("",TRUE,A115,"!",ADDRESS(9+(A116-1)*A112,13)))</f>
        <v>UTU/2501104203</v>
      </c>
      <c r="J96" s="48"/>
    </row>
    <row r="97" spans="1:10" ht="28" customHeight="1" x14ac:dyDescent="0.2">
      <c r="A97" s="38" t="s">
        <v>30</v>
      </c>
      <c r="B97" s="38"/>
      <c r="C97" s="38" t="s">
        <v>31</v>
      </c>
      <c r="D97" s="38"/>
      <c r="E97" s="38"/>
      <c r="F97" s="38"/>
      <c r="G97" s="38"/>
      <c r="H97" s="15" t="s">
        <v>32</v>
      </c>
      <c r="I97" s="15" t="s">
        <v>12</v>
      </c>
      <c r="J97" s="15" t="s">
        <v>36</v>
      </c>
    </row>
    <row r="98" spans="1:10" ht="28" customHeight="1" x14ac:dyDescent="0.2">
      <c r="A98" s="46" t="str">
        <f ca="1">INDIRECT(_xlfn.TEXTJOIN("",TRUE,A115,"!",ADDRESS(13+(A116-1)*A112,1)))</f>
        <v>AHT 002</v>
      </c>
      <c r="B98" s="47"/>
      <c r="C98" s="43" t="str">
        <f ca="1">INDIRECT(_xlfn.TEXTJOIN("",TRUE,A115,"!",ADDRESS(13+(A116-1)*A112,2)))</f>
        <v>Engineering Chemistry</v>
      </c>
      <c r="D98" s="44"/>
      <c r="E98" s="44"/>
      <c r="F98" s="44"/>
      <c r="G98" s="45"/>
      <c r="H98" s="20">
        <f ca="1">INDIRECT(_xlfn.TEXTJOIN("",TRUE,A115,"!",ADDRESS(13+(A116-1)*A112,6)))</f>
        <v>4</v>
      </c>
      <c r="I98" s="20" t="str">
        <f ca="1">INDIRECT(_xlfn.TEXTJOIN("",TRUE,A115,"!",ADDRESS(13+(A116-1)*A112,13)))</f>
        <v>D+</v>
      </c>
      <c r="J98" s="20">
        <f ca="1">INDIRECT(_xlfn.TEXTJOIN("",TRUE,A115,"!",ADDRESS(13+(A116-1)*A112,14)))</f>
        <v>6.5</v>
      </c>
    </row>
    <row r="99" spans="1:10" ht="28" customHeight="1" x14ac:dyDescent="0.2">
      <c r="A99" s="46" t="str">
        <f ca="1">INDIRECT(_xlfn.TEXTJOIN("",TRUE,A115,"!",ADDRESS(14+(A116-1)*A112,1)))</f>
        <v>AHT 003</v>
      </c>
      <c r="B99" s="47"/>
      <c r="C99" s="43" t="str">
        <f ca="1">INDIRECT(_xlfn.TEXTJOIN("",TRUE,A115,"!",ADDRESS(14+(A116-1)*A112,2)))</f>
        <v>Introduction to Engineering Mathematics</v>
      </c>
      <c r="D99" s="44"/>
      <c r="E99" s="44"/>
      <c r="F99" s="44"/>
      <c r="G99" s="45"/>
      <c r="H99" s="20">
        <f ca="1">INDIRECT(_xlfn.TEXTJOIN("",TRUE,A115,"!",ADDRESS(14+(A116-1)*A112,6)))</f>
        <v>4</v>
      </c>
      <c r="I99" s="20" t="str">
        <f ca="1">INDIRECT(_xlfn.TEXTJOIN("",TRUE,A115,"!",ADDRESS(14+(A116-1)*A112,13)))</f>
        <v>F</v>
      </c>
      <c r="J99" s="20">
        <f ca="1">INDIRECT(_xlfn.TEXTJOIN("",TRUE,A115,"!",ADDRESS(14+(A116-1)*A112,14)))</f>
        <v>0</v>
      </c>
    </row>
    <row r="100" spans="1:10" ht="28" customHeight="1" x14ac:dyDescent="0.2">
      <c r="A100" s="46" t="str">
        <f ca="1">INDIRECT(_xlfn.TEXTJOIN("",TRUE,A115,"!",ADDRESS(15+(A116-1)*A112,1)))</f>
        <v>ECT 001</v>
      </c>
      <c r="B100" s="47"/>
      <c r="C100" s="43" t="str">
        <f ca="1">INDIRECT(_xlfn.TEXTJOIN("",TRUE,A115,"!",ADDRESS(15+(A116-1)*A112,2)))</f>
        <v>Basic Electronics Engineering</v>
      </c>
      <c r="D100" s="44"/>
      <c r="E100" s="44"/>
      <c r="F100" s="44"/>
      <c r="G100" s="45"/>
      <c r="H100" s="20">
        <f ca="1">INDIRECT(_xlfn.TEXTJOIN("",TRUE,A115,"!",ADDRESS(15+(A116-1)*A112,6)))</f>
        <v>4</v>
      </c>
      <c r="I100" s="20" t="str">
        <f ca="1">INDIRECT(_xlfn.TEXTJOIN("",TRUE,A115,"!",ADDRESS(15+(A116-1)*A112,13)))</f>
        <v>E+</v>
      </c>
      <c r="J100" s="20">
        <f ca="1">INDIRECT(_xlfn.TEXTJOIN("",TRUE,A115,"!",ADDRESS(15+(A116-1)*A112,14)))</f>
        <v>5.5</v>
      </c>
    </row>
    <row r="101" spans="1:10" ht="28" customHeight="1" x14ac:dyDescent="0.2">
      <c r="A101" s="46" t="str">
        <f ca="1">INDIRECT(_xlfn.TEXTJOIN("",TRUE,A115,"!",ADDRESS(16+(A116-1)*A112,1)))</f>
        <v>MET 001</v>
      </c>
      <c r="B101" s="47"/>
      <c r="C101" s="43" t="str">
        <f ca="1">INDIRECT(_xlfn.TEXTJOIN("",TRUE,A115,"!",ADDRESS(16+(A116-1)*A112,2)))</f>
        <v>Basic Mechanical Engineering</v>
      </c>
      <c r="D101" s="44"/>
      <c r="E101" s="44"/>
      <c r="F101" s="44"/>
      <c r="G101" s="45"/>
      <c r="H101" s="20">
        <f ca="1">INDIRECT(_xlfn.TEXTJOIN("",TRUE,A115,"!",ADDRESS(16+(A116-1)*A112,6)))</f>
        <v>4</v>
      </c>
      <c r="I101" s="20" t="str">
        <f ca="1">INDIRECT(_xlfn.TEXTJOIN("",TRUE,A115,"!",ADDRESS(16+(A116-1)*A112,13)))</f>
        <v>C</v>
      </c>
      <c r="J101" s="20">
        <f ca="1">INDIRECT(_xlfn.TEXTJOIN("",TRUE,A115,"!",ADDRESS(16+(A116-1)*A112,14)))</f>
        <v>7</v>
      </c>
    </row>
    <row r="102" spans="1:10" ht="28" customHeight="1" x14ac:dyDescent="0.2">
      <c r="A102" s="46" t="str">
        <f ca="1">INDIRECT(_xlfn.TEXTJOIN("",TRUE,A115,"!",ADDRESS(17+(A116-1)*A112,1)))</f>
        <v>AHT 000</v>
      </c>
      <c r="B102" s="47"/>
      <c r="C102" s="43" t="str">
        <f ca="1">INDIRECT(_xlfn.TEXTJOIN("",TRUE,A115,"!",ADDRESS(17+(A116-1)*A112,2)))</f>
        <v>Basic Mathematics (Bridge Course) ($)</v>
      </c>
      <c r="D102" s="44"/>
      <c r="E102" s="44"/>
      <c r="F102" s="44"/>
      <c r="G102" s="45"/>
      <c r="H102" s="20">
        <f ca="1">INDIRECT(_xlfn.TEXTJOIN("",TRUE,A115,"!",ADDRESS(17+(A116-1)*A112,6)))</f>
        <v>0</v>
      </c>
      <c r="I102" s="20" t="str">
        <f ca="1">INDIRECT(_xlfn.TEXTJOIN("",TRUE,A115,"!",ADDRESS(17+(A116-1)*A112,13)))</f>
        <v>C+</v>
      </c>
      <c r="J102" s="20">
        <f ca="1">INDIRECT(_xlfn.TEXTJOIN("",TRUE,A115,"!",ADDRESS(17+(A116-1)*A112,14)))</f>
        <v>7.5</v>
      </c>
    </row>
    <row r="103" spans="1:10" ht="28" customHeight="1" x14ac:dyDescent="0.2">
      <c r="A103" s="46" t="str">
        <f ca="1">INDIRECT(_xlfn.TEXTJOIN("",TRUE,A115,"!",ADDRESS(18+(A116-1)*A112,1)))</f>
        <v>AHP 002</v>
      </c>
      <c r="B103" s="47"/>
      <c r="C103" s="43" t="str">
        <f ca="1">INDIRECT(_xlfn.TEXTJOIN("",TRUE,A115,"!",ADDRESS(18+(A116-1)*A112,2)))</f>
        <v>Engineering Chemistry Lab</v>
      </c>
      <c r="D103" s="44"/>
      <c r="E103" s="44"/>
      <c r="F103" s="44"/>
      <c r="G103" s="45"/>
      <c r="H103" s="20">
        <f ca="1">INDIRECT(_xlfn.TEXTJOIN("",TRUE,A115,"!",ADDRESS(18+(A116-1)*A112,6)))</f>
        <v>1</v>
      </c>
      <c r="I103" s="20" t="str">
        <f ca="1">INDIRECT(_xlfn.TEXTJOIN("",TRUE,A115,"!",ADDRESS(18+(A116-1)*A112,13)))</f>
        <v>C</v>
      </c>
      <c r="J103" s="20">
        <f ca="1">INDIRECT(_xlfn.TEXTJOIN("",TRUE,A115,"!",ADDRESS(18+(A116-1)*A112,14)))</f>
        <v>7</v>
      </c>
    </row>
    <row r="104" spans="1:10" ht="28" customHeight="1" x14ac:dyDescent="0.2">
      <c r="A104" s="46" t="str">
        <f ca="1">INDIRECT(_xlfn.TEXTJOIN("",TRUE,A115,"!",ADDRESS(19+(A116-1)*A112,1)))</f>
        <v>ECP 001</v>
      </c>
      <c r="B104" s="47"/>
      <c r="C104" s="43" t="str">
        <f ca="1">INDIRECT(_xlfn.TEXTJOIN("",TRUE,A115,"!",ADDRESS(19+(A116-1)*A112,2)))</f>
        <v>Basic Electronics Engineering Lab</v>
      </c>
      <c r="D104" s="44"/>
      <c r="E104" s="44"/>
      <c r="F104" s="44"/>
      <c r="G104" s="45"/>
      <c r="H104" s="20">
        <f ca="1">INDIRECT(_xlfn.TEXTJOIN("",TRUE,A115,"!",ADDRESS(19+(A116-1)*A112,6)))</f>
        <v>1</v>
      </c>
      <c r="I104" s="20" t="str">
        <f ca="1">INDIRECT(_xlfn.TEXTJOIN("",TRUE,A115,"!",ADDRESS(19+(A116-1)*A112,13)))</f>
        <v>C+</v>
      </c>
      <c r="J104" s="20">
        <f ca="1">INDIRECT(_xlfn.TEXTJOIN("",TRUE,A115,"!",ADDRESS(19+(A116-1)*A112,14)))</f>
        <v>7.5</v>
      </c>
    </row>
    <row r="105" spans="1:10" ht="28" customHeight="1" x14ac:dyDescent="0.2">
      <c r="A105" s="46" t="str">
        <f ca="1">INDIRECT(_xlfn.TEXTJOIN("",TRUE,A115,"!",ADDRESS(20+(A116-1)*A112,1)))</f>
        <v>MEP 001</v>
      </c>
      <c r="B105" s="47"/>
      <c r="C105" s="43" t="str">
        <f ca="1">INDIRECT(_xlfn.TEXTJOIN("",TRUE,A115,"!",ADDRESS(20+(A116-1)*A112,2)))</f>
        <v>Basic Mechanical Engineering Lab</v>
      </c>
      <c r="D105" s="44"/>
      <c r="E105" s="44"/>
      <c r="F105" s="44"/>
      <c r="G105" s="45"/>
      <c r="H105" s="20">
        <f ca="1">INDIRECT(_xlfn.TEXTJOIN("",TRUE,A115,"!",ADDRESS(20+(A116-1)*A112,6)))</f>
        <v>1</v>
      </c>
      <c r="I105" s="20" t="str">
        <f ca="1">INDIRECT(_xlfn.TEXTJOIN("",TRUE,A115,"!",ADDRESS(20+(A116-1)*A112,13)))</f>
        <v>C+</v>
      </c>
      <c r="J105" s="20">
        <f ca="1">INDIRECT(_xlfn.TEXTJOIN("",TRUE,A115,"!",ADDRESS(20+(A116-1)*A112,14)))</f>
        <v>7.5</v>
      </c>
    </row>
    <row r="106" spans="1:10" ht="28" customHeight="1" x14ac:dyDescent="0.2">
      <c r="A106" s="46" t="str">
        <f ca="1">INDIRECT(_xlfn.TEXTJOIN("",TRUE,A115,"!",ADDRESS(21+(A116-1)*A112,1)))</f>
        <v>MEP 003</v>
      </c>
      <c r="B106" s="47"/>
      <c r="C106" s="43" t="str">
        <f ca="1">INDIRECT(_xlfn.TEXTJOIN("",TRUE,A115,"!",ADDRESS(21+(A116-1)*A112,2)))</f>
        <v>Workshop Practices Lab</v>
      </c>
      <c r="D106" s="44"/>
      <c r="E106" s="44"/>
      <c r="F106" s="44"/>
      <c r="G106" s="45"/>
      <c r="H106" s="20">
        <f ca="1">INDIRECT(_xlfn.TEXTJOIN("",TRUE,A115,"!",ADDRESS(21+(A116-1)*A112,6)))</f>
        <v>2</v>
      </c>
      <c r="I106" s="20" t="str">
        <f ca="1">INDIRECT(_xlfn.TEXTJOIN("",TRUE,A115,"!",ADDRESS(21+(A116-1)*A112,13)))</f>
        <v>O</v>
      </c>
      <c r="J106" s="20">
        <f ca="1">INDIRECT(_xlfn.TEXTJOIN("",TRUE,A115,"!",ADDRESS(21+(A116-1)*A112,14)))</f>
        <v>10</v>
      </c>
    </row>
    <row r="107" spans="1:10" ht="28" customHeight="1" x14ac:dyDescent="0.2">
      <c r="A107" s="46" t="str">
        <f ca="1">INDIRECT(_xlfn.TEXTJOIN("",TRUE,A115,"!",ADDRESS(22+(A116-1)*A112,1)))</f>
        <v>AHP 004</v>
      </c>
      <c r="B107" s="47"/>
      <c r="C107" s="43" t="str">
        <f ca="1">INDIRECT(_xlfn.TEXTJOIN("",TRUE,A115,"!",ADDRESS(22+(A116-1)*A112,2)))</f>
        <v>Emerging Technologies in Engineering Lab</v>
      </c>
      <c r="D107" s="44"/>
      <c r="E107" s="44"/>
      <c r="F107" s="44"/>
      <c r="G107" s="45"/>
      <c r="H107" s="20">
        <f ca="1">INDIRECT(_xlfn.TEXTJOIN("",TRUE,A115,"!",ADDRESS(22+(A116-1)*A112,6)))</f>
        <v>1</v>
      </c>
      <c r="I107" s="20" t="str">
        <f ca="1">INDIRECT(_xlfn.TEXTJOIN("",TRUE,A115,"!",ADDRESS(22+(A116-1)*A112,13)))</f>
        <v>B+</v>
      </c>
      <c r="J107" s="20">
        <f ca="1">INDIRECT(_xlfn.TEXTJOIN("",TRUE,A115,"!",ADDRESS(22+(A116-1)*A112,14)))</f>
        <v>8.5</v>
      </c>
    </row>
    <row r="108" spans="1:10" ht="28" customHeight="1" x14ac:dyDescent="0.2">
      <c r="A108" s="46" t="str">
        <f ca="1">INDIRECT(_xlfn.TEXTJOIN("",TRUE,A115,"!",ADDRESS(23+(A116-1)*A112,1)))</f>
        <v>CSP 002</v>
      </c>
      <c r="B108" s="47"/>
      <c r="C108" s="43" t="str">
        <f ca="1">INDIRECT(_xlfn.TEXTJOIN("",TRUE,A115,"!",ADDRESS(23+(A116-1)*A112,2)))</f>
        <v>Computer Applications and IOT</v>
      </c>
      <c r="D108" s="44"/>
      <c r="E108" s="44"/>
      <c r="F108" s="44"/>
      <c r="G108" s="45"/>
      <c r="H108" s="20">
        <f ca="1">INDIRECT(_xlfn.TEXTJOIN("",TRUE,A115,"!",ADDRESS(23+(A116-1)*A112,6)))</f>
        <v>1</v>
      </c>
      <c r="I108" s="20" t="str">
        <f ca="1">INDIRECT(_xlfn.TEXTJOIN("",TRUE,A115,"!",ADDRESS(23+(A116-1)*A112,13)))</f>
        <v>B+</v>
      </c>
      <c r="J108" s="20">
        <f ca="1">INDIRECT(_xlfn.TEXTJOIN("",TRUE,A115,"!",ADDRESS(23+(A116-1)*A112,14)))</f>
        <v>8.5</v>
      </c>
    </row>
    <row r="109" spans="1:10" ht="28" customHeight="1" x14ac:dyDescent="0.2">
      <c r="A109" s="46" t="str">
        <f ca="1">INDIRECT(_xlfn.TEXTJOIN("",TRUE,A115,"!",ADDRESS(24+(A116-1)*A112,1)))</f>
        <v>AHP 006</v>
      </c>
      <c r="B109" s="47"/>
      <c r="C109" s="43" t="str">
        <f ca="1">INDIRECT(_xlfn.TEXTJOIN("",TRUE,A115,"!",ADDRESS(24+(A116-1)*A112,2)))</f>
        <v>English Language Lab ($)</v>
      </c>
      <c r="D109" s="44"/>
      <c r="E109" s="44"/>
      <c r="F109" s="44"/>
      <c r="G109" s="45"/>
      <c r="H109" s="20">
        <f ca="1">INDIRECT(_xlfn.TEXTJOIN("",TRUE,A115,"!",ADDRESS(24+(A116-1)*A112,6)))</f>
        <v>0</v>
      </c>
      <c r="I109" s="20" t="str">
        <f ca="1">INDIRECT(_xlfn.TEXTJOIN("",TRUE,A115,"!",ADDRESS(24+(A116-1)*A112,13)))</f>
        <v>D+</v>
      </c>
      <c r="J109" s="20">
        <f ca="1">INDIRECT(_xlfn.TEXTJOIN("",TRUE,A115,"!",ADDRESS(24+(A116-1)*A112,14)))</f>
        <v>6.5</v>
      </c>
    </row>
    <row r="110" spans="1:10" ht="28" customHeight="1" x14ac:dyDescent="0.2">
      <c r="A110" s="46" t="str">
        <f ca="1">INDIRECT(_xlfn.TEXTJOIN("",TRUE,A115,"!",ADDRESS(25+(A116-1)*A112,1)))</f>
        <v>GP 01</v>
      </c>
      <c r="B110" s="47"/>
      <c r="C110" s="43" t="str">
        <f ca="1">INDIRECT(_xlfn.TEXTJOIN("",TRUE,A115,"!",ADDRESS(25+(A116-1)*A112,2)))</f>
        <v>General Proficiency ($)</v>
      </c>
      <c r="D110" s="44"/>
      <c r="E110" s="44"/>
      <c r="F110" s="44"/>
      <c r="G110" s="45"/>
      <c r="H110" s="20">
        <f ca="1">INDIRECT(_xlfn.TEXTJOIN("",TRUE,A115,"!",ADDRESS(25+(A116-1)*A112,6)))</f>
        <v>0</v>
      </c>
      <c r="I110" s="41" t="str">
        <f ca="1">INDIRECT(_xlfn.TEXTJOIN("",TRUE,A115,"!",ADDRESS(25+(A116-1)*A112,13)))</f>
        <v>Excellent</v>
      </c>
      <c r="J110" s="42"/>
    </row>
    <row r="111" spans="1:10" ht="28" customHeight="1" x14ac:dyDescent="0.2">
      <c r="A111" s="35" t="s">
        <v>54</v>
      </c>
      <c r="B111" s="35"/>
      <c r="C111" s="35"/>
      <c r="D111" s="35"/>
      <c r="E111" s="35"/>
      <c r="F111" s="35"/>
      <c r="G111" s="35"/>
      <c r="H111" s="16">
        <f ca="1">SUM(H98:H110)</f>
        <v>23</v>
      </c>
      <c r="I111" s="16" t="s">
        <v>46</v>
      </c>
      <c r="J111" s="16">
        <f ca="1">SUMPRODUCT(J98:J109,H98:H109)</f>
        <v>135</v>
      </c>
    </row>
    <row r="112" spans="1:10" ht="28" customHeight="1" x14ac:dyDescent="0.2">
      <c r="A112" s="22">
        <f>ROWS(A98:B110)+9</f>
        <v>22</v>
      </c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1:10" ht="28" customHeight="1" x14ac:dyDescent="0.2">
      <c r="A113" s="36" t="s">
        <v>42</v>
      </c>
      <c r="B113" s="36"/>
      <c r="C113" s="21">
        <f ca="1">INDIRECT(_xlfn.TEXTJOIN("",TRUE,A115,"!",ADDRESS(5+A116*A112,12)))</f>
        <v>19</v>
      </c>
      <c r="D113" s="36" t="s">
        <v>40</v>
      </c>
      <c r="E113" s="36"/>
      <c r="F113" s="18">
        <f ca="1">INDIRECT(_xlfn.TEXTJOIN("",TRUE,A115,"!",ADDRESS(5+A116*A112,8)))</f>
        <v>5.8695652173913047</v>
      </c>
      <c r="G113" s="36" t="s">
        <v>41</v>
      </c>
      <c r="H113" s="36"/>
      <c r="I113" s="37">
        <f ca="1">INDIRECT(_xlfn.TEXTJOIN("",TRUE,A115,"!",ADDRESS(5+A116*A112,10)))</f>
        <v>5.8695652173913047</v>
      </c>
      <c r="J113" s="37"/>
    </row>
    <row r="114" spans="1:10" ht="28" customHeight="1" x14ac:dyDescent="0.2">
      <c r="A114" s="19" t="s">
        <v>38</v>
      </c>
      <c r="B114" s="38" t="str">
        <f ca="1">INDIRECT(_xlfn.TEXTJOIN("",TRUE,A115,"!",ADDRESS(5+A116*A112,2)))</f>
        <v>CARRY OVER</v>
      </c>
      <c r="C114" s="38"/>
      <c r="D114" s="39" t="s">
        <v>39</v>
      </c>
      <c r="E114" s="39"/>
      <c r="F114" s="40" t="str">
        <f ca="1">INDIRECT(_xlfn.TEXTJOIN("",TRUE,A115,"!",ADDRESS(5+A116*A112,5)))</f>
        <v>BACK IN AHT 003</v>
      </c>
      <c r="G114" s="40"/>
      <c r="H114" s="40"/>
      <c r="I114" s="40"/>
      <c r="J114" s="40"/>
    </row>
    <row r="115" spans="1:10" ht="28" customHeight="1" x14ac:dyDescent="0.2">
      <c r="A115" s="22" t="str">
        <f>A93</f>
        <v>TC_I</v>
      </c>
    </row>
    <row r="116" spans="1:10" ht="28" customHeight="1" x14ac:dyDescent="0.2">
      <c r="A116" s="22">
        <f>A94+1</f>
        <v>5</v>
      </c>
    </row>
    <row r="117" spans="1:10" ht="28" customHeight="1" x14ac:dyDescent="0.2">
      <c r="A117" s="49" t="s">
        <v>26</v>
      </c>
      <c r="B117" s="49"/>
      <c r="C117" s="49" t="str">
        <f ca="1">INDIRECT(_xlfn.TEXTJOIN("",TRUE,A137,"!",ADDRESS(9+(A138-1)*A134,2)))</f>
        <v>ANUSHKA BHATT</v>
      </c>
      <c r="D117" s="49"/>
      <c r="E117" s="49"/>
      <c r="F117" s="49" t="s">
        <v>52</v>
      </c>
      <c r="G117" s="49"/>
      <c r="H117" s="49"/>
      <c r="I117" s="48">
        <f ca="1">INDIRECT(_xlfn.TEXTJOIN("",TRUE,A137,"!",ADDRESS(9+(A138-1)*A134,9)))</f>
        <v>250090120006</v>
      </c>
      <c r="J117" s="48"/>
    </row>
    <row r="118" spans="1:10" ht="28" customHeight="1" x14ac:dyDescent="0.2">
      <c r="A118" s="49" t="s">
        <v>27</v>
      </c>
      <c r="B118" s="49"/>
      <c r="C118" s="49" t="str">
        <f ca="1">INDIRECT(_xlfn.TEXTJOIN("",TRUE,A137,"!",ADDRESS(9+(A138-1)*A134,5)))</f>
        <v>HARISH CHANDRA BHATT</v>
      </c>
      <c r="D118" s="49"/>
      <c r="E118" s="49"/>
      <c r="F118" s="50" t="s">
        <v>53</v>
      </c>
      <c r="G118" s="50"/>
      <c r="H118" s="50"/>
      <c r="I118" s="48" t="str">
        <f ca="1">INDIRECT(_xlfn.TEXTJOIN("",TRUE,A137,"!",ADDRESS(9+(A138-1)*A134,13)))</f>
        <v>UTU/2501103854</v>
      </c>
      <c r="J118" s="48"/>
    </row>
    <row r="119" spans="1:10" ht="28" customHeight="1" x14ac:dyDescent="0.2">
      <c r="A119" s="38" t="s">
        <v>30</v>
      </c>
      <c r="B119" s="38"/>
      <c r="C119" s="38" t="s">
        <v>31</v>
      </c>
      <c r="D119" s="38"/>
      <c r="E119" s="38"/>
      <c r="F119" s="38"/>
      <c r="G119" s="38"/>
      <c r="H119" s="15" t="s">
        <v>32</v>
      </c>
      <c r="I119" s="15" t="s">
        <v>12</v>
      </c>
      <c r="J119" s="15" t="s">
        <v>36</v>
      </c>
    </row>
    <row r="120" spans="1:10" ht="28" customHeight="1" x14ac:dyDescent="0.2">
      <c r="A120" s="46" t="str">
        <f ca="1">INDIRECT(_xlfn.TEXTJOIN("",TRUE,A137,"!",ADDRESS(13+(A138-1)*A134,1)))</f>
        <v>AHT 002</v>
      </c>
      <c r="B120" s="47"/>
      <c r="C120" s="43" t="str">
        <f ca="1">INDIRECT(_xlfn.TEXTJOIN("",TRUE,A137,"!",ADDRESS(13+(A138-1)*A134,2)))</f>
        <v>Engineering Chemistry</v>
      </c>
      <c r="D120" s="44"/>
      <c r="E120" s="44"/>
      <c r="F120" s="44"/>
      <c r="G120" s="45"/>
      <c r="H120" s="20">
        <f ca="1">INDIRECT(_xlfn.TEXTJOIN("",TRUE,A137,"!",ADDRESS(13+(A138-1)*A134,6)))</f>
        <v>4</v>
      </c>
      <c r="I120" s="20" t="str">
        <f ca="1">INDIRECT(_xlfn.TEXTJOIN("",TRUE,A137,"!",ADDRESS(13+(A138-1)*A134,13)))</f>
        <v>D</v>
      </c>
      <c r="J120" s="20">
        <f ca="1">INDIRECT(_xlfn.TEXTJOIN("",TRUE,A137,"!",ADDRESS(13+(A138-1)*A134,14)))</f>
        <v>6</v>
      </c>
    </row>
    <row r="121" spans="1:10" ht="28" customHeight="1" x14ac:dyDescent="0.2">
      <c r="A121" s="46" t="str">
        <f ca="1">INDIRECT(_xlfn.TEXTJOIN("",TRUE,A137,"!",ADDRESS(14+(A138-1)*A134,1)))</f>
        <v>AHT 003</v>
      </c>
      <c r="B121" s="47"/>
      <c r="C121" s="43" t="str">
        <f ca="1">INDIRECT(_xlfn.TEXTJOIN("",TRUE,A137,"!",ADDRESS(14+(A138-1)*A134,2)))</f>
        <v>Introduction to Engineering Mathematics</v>
      </c>
      <c r="D121" s="44"/>
      <c r="E121" s="44"/>
      <c r="F121" s="44"/>
      <c r="G121" s="45"/>
      <c r="H121" s="20">
        <f ca="1">INDIRECT(_xlfn.TEXTJOIN("",TRUE,A137,"!",ADDRESS(14+(A138-1)*A134,6)))</f>
        <v>4</v>
      </c>
      <c r="I121" s="20" t="str">
        <f ca="1">INDIRECT(_xlfn.TEXTJOIN("",TRUE,A137,"!",ADDRESS(14+(A138-1)*A134,13)))</f>
        <v>F</v>
      </c>
      <c r="J121" s="20">
        <f ca="1">INDIRECT(_xlfn.TEXTJOIN("",TRUE,A137,"!",ADDRESS(14+(A138-1)*A134,14)))</f>
        <v>0</v>
      </c>
    </row>
    <row r="122" spans="1:10" ht="28" customHeight="1" x14ac:dyDescent="0.2">
      <c r="A122" s="46" t="str">
        <f ca="1">INDIRECT(_xlfn.TEXTJOIN("",TRUE,A137,"!",ADDRESS(15+(A138-1)*A134,1)))</f>
        <v>ECT 001</v>
      </c>
      <c r="B122" s="47"/>
      <c r="C122" s="43" t="str">
        <f ca="1">INDIRECT(_xlfn.TEXTJOIN("",TRUE,A137,"!",ADDRESS(15+(A138-1)*A134,2)))</f>
        <v>Basic Electronics Engineering</v>
      </c>
      <c r="D122" s="44"/>
      <c r="E122" s="44"/>
      <c r="F122" s="44"/>
      <c r="G122" s="45"/>
      <c r="H122" s="20">
        <f ca="1">INDIRECT(_xlfn.TEXTJOIN("",TRUE,A137,"!",ADDRESS(15+(A138-1)*A134,6)))</f>
        <v>4</v>
      </c>
      <c r="I122" s="20" t="str">
        <f ca="1">INDIRECT(_xlfn.TEXTJOIN("",TRUE,A137,"!",ADDRESS(15+(A138-1)*A134,13)))</f>
        <v>E+</v>
      </c>
      <c r="J122" s="20">
        <f ca="1">INDIRECT(_xlfn.TEXTJOIN("",TRUE,A137,"!",ADDRESS(15+(A138-1)*A134,14)))</f>
        <v>5.5</v>
      </c>
    </row>
    <row r="123" spans="1:10" ht="28" customHeight="1" x14ac:dyDescent="0.2">
      <c r="A123" s="46" t="str">
        <f ca="1">INDIRECT(_xlfn.TEXTJOIN("",TRUE,A137,"!",ADDRESS(16+(A138-1)*A134,1)))</f>
        <v>MET 001</v>
      </c>
      <c r="B123" s="47"/>
      <c r="C123" s="43" t="str">
        <f ca="1">INDIRECT(_xlfn.TEXTJOIN("",TRUE,A137,"!",ADDRESS(16+(A138-1)*A134,2)))</f>
        <v>Basic Mechanical Engineering</v>
      </c>
      <c r="D123" s="44"/>
      <c r="E123" s="44"/>
      <c r="F123" s="44"/>
      <c r="G123" s="45"/>
      <c r="H123" s="20">
        <f ca="1">INDIRECT(_xlfn.TEXTJOIN("",TRUE,A137,"!",ADDRESS(16+(A138-1)*A134,6)))</f>
        <v>4</v>
      </c>
      <c r="I123" s="20" t="str">
        <f ca="1">INDIRECT(_xlfn.TEXTJOIN("",TRUE,A137,"!",ADDRESS(16+(A138-1)*A134,13)))</f>
        <v>D+</v>
      </c>
      <c r="J123" s="20">
        <f ca="1">INDIRECT(_xlfn.TEXTJOIN("",TRUE,A137,"!",ADDRESS(16+(A138-1)*A134,14)))</f>
        <v>6.5</v>
      </c>
    </row>
    <row r="124" spans="1:10" ht="28" customHeight="1" x14ac:dyDescent="0.2">
      <c r="A124" s="46" t="str">
        <f ca="1">INDIRECT(_xlfn.TEXTJOIN("",TRUE,A137,"!",ADDRESS(17+(A138-1)*A134,1)))</f>
        <v>AHT 000</v>
      </c>
      <c r="B124" s="47"/>
      <c r="C124" s="43" t="str">
        <f ca="1">INDIRECT(_xlfn.TEXTJOIN("",TRUE,A137,"!",ADDRESS(17+(A138-1)*A134,2)))</f>
        <v>Basic Mathematics (Bridge Course) ($)</v>
      </c>
      <c r="D124" s="44"/>
      <c r="E124" s="44"/>
      <c r="F124" s="44"/>
      <c r="G124" s="45"/>
      <c r="H124" s="20">
        <f ca="1">INDIRECT(_xlfn.TEXTJOIN("",TRUE,A137,"!",ADDRESS(17+(A138-1)*A134,6)))</f>
        <v>0</v>
      </c>
      <c r="I124" s="20" t="str">
        <f ca="1">INDIRECT(_xlfn.TEXTJOIN("",TRUE,A137,"!",ADDRESS(17+(A138-1)*A134,13)))</f>
        <v>E+</v>
      </c>
      <c r="J124" s="20">
        <f ca="1">INDIRECT(_xlfn.TEXTJOIN("",TRUE,A137,"!",ADDRESS(17+(A138-1)*A134,14)))</f>
        <v>5.5</v>
      </c>
    </row>
    <row r="125" spans="1:10" ht="28" customHeight="1" x14ac:dyDescent="0.2">
      <c r="A125" s="46" t="str">
        <f ca="1">INDIRECT(_xlfn.TEXTJOIN("",TRUE,A137,"!",ADDRESS(18+(A138-1)*A134,1)))</f>
        <v>AHP 002</v>
      </c>
      <c r="B125" s="47"/>
      <c r="C125" s="43" t="str">
        <f ca="1">INDIRECT(_xlfn.TEXTJOIN("",TRUE,A137,"!",ADDRESS(18+(A138-1)*A134,2)))</f>
        <v>Engineering Chemistry Lab</v>
      </c>
      <c r="D125" s="44"/>
      <c r="E125" s="44"/>
      <c r="F125" s="44"/>
      <c r="G125" s="45"/>
      <c r="H125" s="20">
        <f ca="1">INDIRECT(_xlfn.TEXTJOIN("",TRUE,A137,"!",ADDRESS(18+(A138-1)*A134,6)))</f>
        <v>1</v>
      </c>
      <c r="I125" s="20" t="str">
        <f ca="1">INDIRECT(_xlfn.TEXTJOIN("",TRUE,A137,"!",ADDRESS(18+(A138-1)*A134,13)))</f>
        <v>C+</v>
      </c>
      <c r="J125" s="20">
        <f ca="1">INDIRECT(_xlfn.TEXTJOIN("",TRUE,A137,"!",ADDRESS(18+(A138-1)*A134,14)))</f>
        <v>7.5</v>
      </c>
    </row>
    <row r="126" spans="1:10" ht="28" customHeight="1" x14ac:dyDescent="0.2">
      <c r="A126" s="46" t="str">
        <f ca="1">INDIRECT(_xlfn.TEXTJOIN("",TRUE,A137,"!",ADDRESS(19+(A138-1)*A134,1)))</f>
        <v>ECP 001</v>
      </c>
      <c r="B126" s="47"/>
      <c r="C126" s="43" t="str">
        <f ca="1">INDIRECT(_xlfn.TEXTJOIN("",TRUE,A137,"!",ADDRESS(19+(A138-1)*A134,2)))</f>
        <v>Basic Electronics Engineering Lab</v>
      </c>
      <c r="D126" s="44"/>
      <c r="E126" s="44"/>
      <c r="F126" s="44"/>
      <c r="G126" s="45"/>
      <c r="H126" s="20">
        <f ca="1">INDIRECT(_xlfn.TEXTJOIN("",TRUE,A137,"!",ADDRESS(19+(A138-1)*A134,6)))</f>
        <v>1</v>
      </c>
      <c r="I126" s="20" t="str">
        <f ca="1">INDIRECT(_xlfn.TEXTJOIN("",TRUE,A137,"!",ADDRESS(19+(A138-1)*A134,13)))</f>
        <v>A+</v>
      </c>
      <c r="J126" s="20">
        <f ca="1">INDIRECT(_xlfn.TEXTJOIN("",TRUE,A137,"!",ADDRESS(19+(A138-1)*A134,14)))</f>
        <v>9.5</v>
      </c>
    </row>
    <row r="127" spans="1:10" ht="28" customHeight="1" x14ac:dyDescent="0.2">
      <c r="A127" s="46" t="str">
        <f ca="1">INDIRECT(_xlfn.TEXTJOIN("",TRUE,A137,"!",ADDRESS(20+(A138-1)*A134,1)))</f>
        <v>MEP 001</v>
      </c>
      <c r="B127" s="47"/>
      <c r="C127" s="43" t="str">
        <f ca="1">INDIRECT(_xlfn.TEXTJOIN("",TRUE,A137,"!",ADDRESS(20+(A138-1)*A134,2)))</f>
        <v>Basic Mechanical Engineering Lab</v>
      </c>
      <c r="D127" s="44"/>
      <c r="E127" s="44"/>
      <c r="F127" s="44"/>
      <c r="G127" s="45"/>
      <c r="H127" s="20">
        <f ca="1">INDIRECT(_xlfn.TEXTJOIN("",TRUE,A137,"!",ADDRESS(20+(A138-1)*A134,6)))</f>
        <v>1</v>
      </c>
      <c r="I127" s="20" t="str">
        <f ca="1">INDIRECT(_xlfn.TEXTJOIN("",TRUE,A137,"!",ADDRESS(20+(A138-1)*A134,13)))</f>
        <v>B+</v>
      </c>
      <c r="J127" s="20">
        <f ca="1">INDIRECT(_xlfn.TEXTJOIN("",TRUE,A137,"!",ADDRESS(20+(A138-1)*A134,14)))</f>
        <v>8.5</v>
      </c>
    </row>
    <row r="128" spans="1:10" ht="28" customHeight="1" x14ac:dyDescent="0.2">
      <c r="A128" s="46" t="str">
        <f ca="1">INDIRECT(_xlfn.TEXTJOIN("",TRUE,A137,"!",ADDRESS(21+(A138-1)*A134,1)))</f>
        <v>MEP 003</v>
      </c>
      <c r="B128" s="47"/>
      <c r="C128" s="43" t="str">
        <f ca="1">INDIRECT(_xlfn.TEXTJOIN("",TRUE,A137,"!",ADDRESS(21+(A138-1)*A134,2)))</f>
        <v>Workshop Practices Lab</v>
      </c>
      <c r="D128" s="44"/>
      <c r="E128" s="44"/>
      <c r="F128" s="44"/>
      <c r="G128" s="45"/>
      <c r="H128" s="20">
        <f ca="1">INDIRECT(_xlfn.TEXTJOIN("",TRUE,A137,"!",ADDRESS(21+(A138-1)*A134,6)))</f>
        <v>2</v>
      </c>
      <c r="I128" s="20" t="str">
        <f ca="1">INDIRECT(_xlfn.TEXTJOIN("",TRUE,A137,"!",ADDRESS(21+(A138-1)*A134,13)))</f>
        <v>A+</v>
      </c>
      <c r="J128" s="20">
        <f ca="1">INDIRECT(_xlfn.TEXTJOIN("",TRUE,A137,"!",ADDRESS(21+(A138-1)*A134,14)))</f>
        <v>9.5</v>
      </c>
    </row>
    <row r="129" spans="1:10" ht="28" customHeight="1" x14ac:dyDescent="0.2">
      <c r="A129" s="46" t="str">
        <f ca="1">INDIRECT(_xlfn.TEXTJOIN("",TRUE,A137,"!",ADDRESS(22+(A138-1)*A134,1)))</f>
        <v>AHP 004</v>
      </c>
      <c r="B129" s="47"/>
      <c r="C129" s="43" t="str">
        <f ca="1">INDIRECT(_xlfn.TEXTJOIN("",TRUE,A137,"!",ADDRESS(22+(A138-1)*A134,2)))</f>
        <v>Emerging Technologies in Engineering Lab</v>
      </c>
      <c r="D129" s="44"/>
      <c r="E129" s="44"/>
      <c r="F129" s="44"/>
      <c r="G129" s="45"/>
      <c r="H129" s="20">
        <f ca="1">INDIRECT(_xlfn.TEXTJOIN("",TRUE,A137,"!",ADDRESS(22+(A138-1)*A134,6)))</f>
        <v>1</v>
      </c>
      <c r="I129" s="20" t="str">
        <f ca="1">INDIRECT(_xlfn.TEXTJOIN("",TRUE,A137,"!",ADDRESS(22+(A138-1)*A134,13)))</f>
        <v>A+</v>
      </c>
      <c r="J129" s="20">
        <f ca="1">INDIRECT(_xlfn.TEXTJOIN("",TRUE,A137,"!",ADDRESS(22+(A138-1)*A134,14)))</f>
        <v>9.5</v>
      </c>
    </row>
    <row r="130" spans="1:10" ht="28" customHeight="1" x14ac:dyDescent="0.2">
      <c r="A130" s="46" t="str">
        <f ca="1">INDIRECT(_xlfn.TEXTJOIN("",TRUE,A137,"!",ADDRESS(23+(A138-1)*A134,1)))</f>
        <v>CSP 002</v>
      </c>
      <c r="B130" s="47"/>
      <c r="C130" s="43" t="str">
        <f ca="1">INDIRECT(_xlfn.TEXTJOIN("",TRUE,A137,"!",ADDRESS(23+(A138-1)*A134,2)))</f>
        <v>Computer Applications and IOT</v>
      </c>
      <c r="D130" s="44"/>
      <c r="E130" s="44"/>
      <c r="F130" s="44"/>
      <c r="G130" s="45"/>
      <c r="H130" s="20">
        <f ca="1">INDIRECT(_xlfn.TEXTJOIN("",TRUE,A137,"!",ADDRESS(23+(A138-1)*A134,6)))</f>
        <v>1</v>
      </c>
      <c r="I130" s="20" t="str">
        <f ca="1">INDIRECT(_xlfn.TEXTJOIN("",TRUE,A137,"!",ADDRESS(23+(A138-1)*A134,13)))</f>
        <v>A</v>
      </c>
      <c r="J130" s="20">
        <f ca="1">INDIRECT(_xlfn.TEXTJOIN("",TRUE,A137,"!",ADDRESS(23+(A138-1)*A134,14)))</f>
        <v>9</v>
      </c>
    </row>
    <row r="131" spans="1:10" ht="28" customHeight="1" x14ac:dyDescent="0.2">
      <c r="A131" s="46" t="str">
        <f ca="1">INDIRECT(_xlfn.TEXTJOIN("",TRUE,A137,"!",ADDRESS(24+(A138-1)*A134,1)))</f>
        <v>AHP 006</v>
      </c>
      <c r="B131" s="47"/>
      <c r="C131" s="43" t="str">
        <f ca="1">INDIRECT(_xlfn.TEXTJOIN("",TRUE,A137,"!",ADDRESS(24+(A138-1)*A134,2)))</f>
        <v>English Language Lab ($)</v>
      </c>
      <c r="D131" s="44"/>
      <c r="E131" s="44"/>
      <c r="F131" s="44"/>
      <c r="G131" s="45"/>
      <c r="H131" s="20">
        <f ca="1">INDIRECT(_xlfn.TEXTJOIN("",TRUE,A137,"!",ADDRESS(24+(A138-1)*A134,6)))</f>
        <v>0</v>
      </c>
      <c r="I131" s="20" t="str">
        <f ca="1">INDIRECT(_xlfn.TEXTJOIN("",TRUE,A137,"!",ADDRESS(24+(A138-1)*A134,13)))</f>
        <v>C+</v>
      </c>
      <c r="J131" s="20">
        <f ca="1">INDIRECT(_xlfn.TEXTJOIN("",TRUE,A137,"!",ADDRESS(24+(A138-1)*A134,14)))</f>
        <v>7.5</v>
      </c>
    </row>
    <row r="132" spans="1:10" ht="28" customHeight="1" x14ac:dyDescent="0.2">
      <c r="A132" s="46" t="str">
        <f ca="1">INDIRECT(_xlfn.TEXTJOIN("",TRUE,A137,"!",ADDRESS(25+(A138-1)*A134,1)))</f>
        <v>GP 01</v>
      </c>
      <c r="B132" s="47"/>
      <c r="C132" s="43" t="str">
        <f ca="1">INDIRECT(_xlfn.TEXTJOIN("",TRUE,A137,"!",ADDRESS(25+(A138-1)*A134,2)))</f>
        <v>General Proficiency ($)</v>
      </c>
      <c r="D132" s="44"/>
      <c r="E132" s="44"/>
      <c r="F132" s="44"/>
      <c r="G132" s="45"/>
      <c r="H132" s="20">
        <f ca="1">INDIRECT(_xlfn.TEXTJOIN("",TRUE,A137,"!",ADDRESS(25+(A138-1)*A134,6)))</f>
        <v>0</v>
      </c>
      <c r="I132" s="41" t="str">
        <f ca="1">INDIRECT(_xlfn.TEXTJOIN("",TRUE,A137,"!",ADDRESS(25+(A138-1)*A134,13)))</f>
        <v>Excellent</v>
      </c>
      <c r="J132" s="42"/>
    </row>
    <row r="133" spans="1:10" ht="28" customHeight="1" x14ac:dyDescent="0.2">
      <c r="A133" s="35" t="s">
        <v>54</v>
      </c>
      <c r="B133" s="35"/>
      <c r="C133" s="35"/>
      <c r="D133" s="35"/>
      <c r="E133" s="35"/>
      <c r="F133" s="35"/>
      <c r="G133" s="35"/>
      <c r="H133" s="16">
        <f ca="1">SUM(H120:H132)</f>
        <v>23</v>
      </c>
      <c r="I133" s="16" t="s">
        <v>46</v>
      </c>
      <c r="J133" s="16">
        <f ca="1">SUMPRODUCT(J120:J131,H120:H131)</f>
        <v>135</v>
      </c>
    </row>
    <row r="134" spans="1:10" ht="28" customHeight="1" x14ac:dyDescent="0.2">
      <c r="A134" s="22">
        <f>ROWS(A120:B132)+9</f>
        <v>22</v>
      </c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28" customHeight="1" x14ac:dyDescent="0.2">
      <c r="A135" s="36" t="s">
        <v>42</v>
      </c>
      <c r="B135" s="36"/>
      <c r="C135" s="21">
        <f ca="1">INDIRECT(_xlfn.TEXTJOIN("",TRUE,A137,"!",ADDRESS(5+A138*A134,12)))</f>
        <v>19</v>
      </c>
      <c r="D135" s="36" t="s">
        <v>40</v>
      </c>
      <c r="E135" s="36"/>
      <c r="F135" s="18">
        <f ca="1">INDIRECT(_xlfn.TEXTJOIN("",TRUE,A137,"!",ADDRESS(5+A138*A134,8)))</f>
        <v>5.8695652173913047</v>
      </c>
      <c r="G135" s="36" t="s">
        <v>41</v>
      </c>
      <c r="H135" s="36"/>
      <c r="I135" s="37">
        <f ca="1">INDIRECT(_xlfn.TEXTJOIN("",TRUE,A137,"!",ADDRESS(5+A138*A134,10)))</f>
        <v>5.8695652173913047</v>
      </c>
      <c r="J135" s="37"/>
    </row>
    <row r="136" spans="1:10" ht="28" customHeight="1" x14ac:dyDescent="0.2">
      <c r="A136" s="19" t="s">
        <v>38</v>
      </c>
      <c r="B136" s="38" t="str">
        <f ca="1">INDIRECT(_xlfn.TEXTJOIN("",TRUE,A137,"!",ADDRESS(5+A138*A134,2)))</f>
        <v>CARRY OVER</v>
      </c>
      <c r="C136" s="38"/>
      <c r="D136" s="39" t="s">
        <v>39</v>
      </c>
      <c r="E136" s="39"/>
      <c r="F136" s="40" t="str">
        <f ca="1">INDIRECT(_xlfn.TEXTJOIN("",TRUE,A137,"!",ADDRESS(5+A138*A134,5)))</f>
        <v>BACK IN AHT 003</v>
      </c>
      <c r="G136" s="40"/>
      <c r="H136" s="40"/>
      <c r="I136" s="40"/>
      <c r="J136" s="40"/>
    </row>
    <row r="137" spans="1:10" ht="28" customHeight="1" x14ac:dyDescent="0.2">
      <c r="A137" s="22" t="str">
        <f>A115</f>
        <v>TC_I</v>
      </c>
    </row>
    <row r="138" spans="1:10" ht="28" customHeight="1" x14ac:dyDescent="0.2">
      <c r="A138" s="22">
        <f>A116+1</f>
        <v>6</v>
      </c>
    </row>
    <row r="139" spans="1:10" ht="28" customHeight="1" x14ac:dyDescent="0.2">
      <c r="A139" s="49" t="s">
        <v>26</v>
      </c>
      <c r="B139" s="49"/>
      <c r="C139" s="49" t="str">
        <f ca="1">INDIRECT(_xlfn.TEXTJOIN("",TRUE,A159,"!",ADDRESS(9+(A160-1)*A156,2)))</f>
        <v>ANWESHIKA PRIY GAUTAM</v>
      </c>
      <c r="D139" s="49"/>
      <c r="E139" s="49"/>
      <c r="F139" s="49" t="s">
        <v>52</v>
      </c>
      <c r="G139" s="49"/>
      <c r="H139" s="49"/>
      <c r="I139" s="48">
        <f ca="1">INDIRECT(_xlfn.TEXTJOIN("",TRUE,A159,"!",ADDRESS(9+(A160-1)*A156,9)))</f>
        <v>250090120007</v>
      </c>
      <c r="J139" s="48"/>
    </row>
    <row r="140" spans="1:10" ht="28" customHeight="1" x14ac:dyDescent="0.2">
      <c r="A140" s="49" t="s">
        <v>27</v>
      </c>
      <c r="B140" s="49"/>
      <c r="C140" s="49" t="str">
        <f ca="1">INDIRECT(_xlfn.TEXTJOIN("",TRUE,A159,"!",ADDRESS(9+(A160-1)*A156,5)))</f>
        <v>SATYENDRA PRIY GAUTAM</v>
      </c>
      <c r="D140" s="49"/>
      <c r="E140" s="49"/>
      <c r="F140" s="50" t="s">
        <v>53</v>
      </c>
      <c r="G140" s="50"/>
      <c r="H140" s="50"/>
      <c r="I140" s="48" t="str">
        <f ca="1">INDIRECT(_xlfn.TEXTJOIN("",TRUE,A159,"!",ADDRESS(9+(A160-1)*A156,13)))</f>
        <v>UTU/2501104050</v>
      </c>
      <c r="J140" s="48"/>
    </row>
    <row r="141" spans="1:10" ht="28" customHeight="1" x14ac:dyDescent="0.2">
      <c r="A141" s="38" t="s">
        <v>30</v>
      </c>
      <c r="B141" s="38"/>
      <c r="C141" s="38" t="s">
        <v>31</v>
      </c>
      <c r="D141" s="38"/>
      <c r="E141" s="38"/>
      <c r="F141" s="38"/>
      <c r="G141" s="38"/>
      <c r="H141" s="15" t="s">
        <v>32</v>
      </c>
      <c r="I141" s="15" t="s">
        <v>12</v>
      </c>
      <c r="J141" s="15" t="s">
        <v>36</v>
      </c>
    </row>
    <row r="142" spans="1:10" ht="28" customHeight="1" x14ac:dyDescent="0.2">
      <c r="A142" s="46" t="str">
        <f ca="1">INDIRECT(_xlfn.TEXTJOIN("",TRUE,A159,"!",ADDRESS(13+(A160-1)*A156,1)))</f>
        <v>AHT 002</v>
      </c>
      <c r="B142" s="47"/>
      <c r="C142" s="43" t="str">
        <f ca="1">INDIRECT(_xlfn.TEXTJOIN("",TRUE,A159,"!",ADDRESS(13+(A160-1)*A156,2)))</f>
        <v>Engineering Chemistry</v>
      </c>
      <c r="D142" s="44"/>
      <c r="E142" s="44"/>
      <c r="F142" s="44"/>
      <c r="G142" s="45"/>
      <c r="H142" s="20">
        <f ca="1">INDIRECT(_xlfn.TEXTJOIN("",TRUE,A159,"!",ADDRESS(13+(A160-1)*A156,6)))</f>
        <v>4</v>
      </c>
      <c r="I142" s="20" t="str">
        <f ca="1">INDIRECT(_xlfn.TEXTJOIN("",TRUE,A159,"!",ADDRESS(13+(A160-1)*A156,13)))</f>
        <v>P</v>
      </c>
      <c r="J142" s="20">
        <f ca="1">INDIRECT(_xlfn.TEXTJOIN("",TRUE,A159,"!",ADDRESS(13+(A160-1)*A156,14)))</f>
        <v>4.5</v>
      </c>
    </row>
    <row r="143" spans="1:10" ht="28" customHeight="1" x14ac:dyDescent="0.2">
      <c r="A143" s="46" t="str">
        <f ca="1">INDIRECT(_xlfn.TEXTJOIN("",TRUE,A159,"!",ADDRESS(14+(A160-1)*A156,1)))</f>
        <v>AHT 003</v>
      </c>
      <c r="B143" s="47"/>
      <c r="C143" s="43" t="str">
        <f ca="1">INDIRECT(_xlfn.TEXTJOIN("",TRUE,A159,"!",ADDRESS(14+(A160-1)*A156,2)))</f>
        <v>Introduction to Engineering Mathematics</v>
      </c>
      <c r="D143" s="44"/>
      <c r="E143" s="44"/>
      <c r="F143" s="44"/>
      <c r="G143" s="45"/>
      <c r="H143" s="20">
        <f ca="1">INDIRECT(_xlfn.TEXTJOIN("",TRUE,A159,"!",ADDRESS(14+(A160-1)*A156,6)))</f>
        <v>4</v>
      </c>
      <c r="I143" s="20" t="str">
        <f ca="1">INDIRECT(_xlfn.TEXTJOIN("",TRUE,A159,"!",ADDRESS(14+(A160-1)*A156,13)))</f>
        <v>F</v>
      </c>
      <c r="J143" s="20">
        <f ca="1">INDIRECT(_xlfn.TEXTJOIN("",TRUE,A159,"!",ADDRESS(14+(A160-1)*A156,14)))</f>
        <v>0</v>
      </c>
    </row>
    <row r="144" spans="1:10" ht="28" customHeight="1" x14ac:dyDescent="0.2">
      <c r="A144" s="46" t="str">
        <f ca="1">INDIRECT(_xlfn.TEXTJOIN("",TRUE,A159,"!",ADDRESS(15+(A160-1)*A156,1)))</f>
        <v>ECT 001</v>
      </c>
      <c r="B144" s="47"/>
      <c r="C144" s="43" t="str">
        <f ca="1">INDIRECT(_xlfn.TEXTJOIN("",TRUE,A159,"!",ADDRESS(15+(A160-1)*A156,2)))</f>
        <v>Basic Electronics Engineering</v>
      </c>
      <c r="D144" s="44"/>
      <c r="E144" s="44"/>
      <c r="F144" s="44"/>
      <c r="G144" s="45"/>
      <c r="H144" s="20">
        <f ca="1">INDIRECT(_xlfn.TEXTJOIN("",TRUE,A159,"!",ADDRESS(15+(A160-1)*A156,6)))</f>
        <v>4</v>
      </c>
      <c r="I144" s="20" t="str">
        <f ca="1">INDIRECT(_xlfn.TEXTJOIN("",TRUE,A159,"!",ADDRESS(15+(A160-1)*A156,13)))</f>
        <v>P</v>
      </c>
      <c r="J144" s="20">
        <f ca="1">INDIRECT(_xlfn.TEXTJOIN("",TRUE,A159,"!",ADDRESS(15+(A160-1)*A156,14)))</f>
        <v>4.5</v>
      </c>
    </row>
    <row r="145" spans="1:10" ht="28" customHeight="1" x14ac:dyDescent="0.2">
      <c r="A145" s="46" t="str">
        <f ca="1">INDIRECT(_xlfn.TEXTJOIN("",TRUE,A159,"!",ADDRESS(16+(A160-1)*A156,1)))</f>
        <v>MET 001</v>
      </c>
      <c r="B145" s="47"/>
      <c r="C145" s="43" t="str">
        <f ca="1">INDIRECT(_xlfn.TEXTJOIN("",TRUE,A159,"!",ADDRESS(16+(A160-1)*A156,2)))</f>
        <v>Basic Mechanical Engineering</v>
      </c>
      <c r="D145" s="44"/>
      <c r="E145" s="44"/>
      <c r="F145" s="44"/>
      <c r="G145" s="45"/>
      <c r="H145" s="20">
        <f ca="1">INDIRECT(_xlfn.TEXTJOIN("",TRUE,A159,"!",ADDRESS(16+(A160-1)*A156,6)))</f>
        <v>4</v>
      </c>
      <c r="I145" s="20" t="str">
        <f ca="1">INDIRECT(_xlfn.TEXTJOIN("",TRUE,A159,"!",ADDRESS(16+(A160-1)*A156,13)))</f>
        <v>P</v>
      </c>
      <c r="J145" s="20">
        <f ca="1">INDIRECT(_xlfn.TEXTJOIN("",TRUE,A159,"!",ADDRESS(16+(A160-1)*A156,14)))</f>
        <v>4.5</v>
      </c>
    </row>
    <row r="146" spans="1:10" ht="28" customHeight="1" x14ac:dyDescent="0.2">
      <c r="A146" s="46" t="str">
        <f ca="1">INDIRECT(_xlfn.TEXTJOIN("",TRUE,A159,"!",ADDRESS(17+(A160-1)*A156,1)))</f>
        <v>AHT 000</v>
      </c>
      <c r="B146" s="47"/>
      <c r="C146" s="43" t="str">
        <f ca="1">INDIRECT(_xlfn.TEXTJOIN("",TRUE,A159,"!",ADDRESS(17+(A160-1)*A156,2)))</f>
        <v>Basic Mathematics (Bridge Course) ($)</v>
      </c>
      <c r="D146" s="44"/>
      <c r="E146" s="44"/>
      <c r="F146" s="44"/>
      <c r="G146" s="45"/>
      <c r="H146" s="20">
        <f ca="1">INDIRECT(_xlfn.TEXTJOIN("",TRUE,A159,"!",ADDRESS(17+(A160-1)*A156,6)))</f>
        <v>0</v>
      </c>
      <c r="I146" s="20" t="str">
        <f ca="1">INDIRECT(_xlfn.TEXTJOIN("",TRUE,A159,"!",ADDRESS(17+(A160-1)*A156,13)))</f>
        <v>E+</v>
      </c>
      <c r="J146" s="20">
        <f ca="1">INDIRECT(_xlfn.TEXTJOIN("",TRUE,A159,"!",ADDRESS(17+(A160-1)*A156,14)))</f>
        <v>5.5</v>
      </c>
    </row>
    <row r="147" spans="1:10" ht="28" customHeight="1" x14ac:dyDescent="0.2">
      <c r="A147" s="46" t="str">
        <f ca="1">INDIRECT(_xlfn.TEXTJOIN("",TRUE,A159,"!",ADDRESS(18+(A160-1)*A156,1)))</f>
        <v>AHP 002</v>
      </c>
      <c r="B147" s="47"/>
      <c r="C147" s="43" t="str">
        <f ca="1">INDIRECT(_xlfn.TEXTJOIN("",TRUE,A159,"!",ADDRESS(18+(A160-1)*A156,2)))</f>
        <v>Engineering Chemistry Lab</v>
      </c>
      <c r="D147" s="44"/>
      <c r="E147" s="44"/>
      <c r="F147" s="44"/>
      <c r="G147" s="45"/>
      <c r="H147" s="20">
        <f ca="1">INDIRECT(_xlfn.TEXTJOIN("",TRUE,A159,"!",ADDRESS(18+(A160-1)*A156,6)))</f>
        <v>1</v>
      </c>
      <c r="I147" s="20" t="str">
        <f ca="1">INDIRECT(_xlfn.TEXTJOIN("",TRUE,A159,"!",ADDRESS(18+(A160-1)*A156,13)))</f>
        <v>D</v>
      </c>
      <c r="J147" s="20">
        <f ca="1">INDIRECT(_xlfn.TEXTJOIN("",TRUE,A159,"!",ADDRESS(18+(A160-1)*A156,14)))</f>
        <v>6</v>
      </c>
    </row>
    <row r="148" spans="1:10" ht="28" customHeight="1" x14ac:dyDescent="0.2">
      <c r="A148" s="46" t="str">
        <f ca="1">INDIRECT(_xlfn.TEXTJOIN("",TRUE,A159,"!",ADDRESS(19+(A160-1)*A156,1)))</f>
        <v>ECP 001</v>
      </c>
      <c r="B148" s="47"/>
      <c r="C148" s="43" t="str">
        <f ca="1">INDIRECT(_xlfn.TEXTJOIN("",TRUE,A159,"!",ADDRESS(19+(A160-1)*A156,2)))</f>
        <v>Basic Electronics Engineering Lab</v>
      </c>
      <c r="D148" s="44"/>
      <c r="E148" s="44"/>
      <c r="F148" s="44"/>
      <c r="G148" s="45"/>
      <c r="H148" s="20">
        <f ca="1">INDIRECT(_xlfn.TEXTJOIN("",TRUE,A159,"!",ADDRESS(19+(A160-1)*A156,6)))</f>
        <v>1</v>
      </c>
      <c r="I148" s="20" t="str">
        <f ca="1">INDIRECT(_xlfn.TEXTJOIN("",TRUE,A159,"!",ADDRESS(19+(A160-1)*A156,13)))</f>
        <v>C</v>
      </c>
      <c r="J148" s="20">
        <f ca="1">INDIRECT(_xlfn.TEXTJOIN("",TRUE,A159,"!",ADDRESS(19+(A160-1)*A156,14)))</f>
        <v>7</v>
      </c>
    </row>
    <row r="149" spans="1:10" ht="28" customHeight="1" x14ac:dyDescent="0.2">
      <c r="A149" s="46" t="str">
        <f ca="1">INDIRECT(_xlfn.TEXTJOIN("",TRUE,A159,"!",ADDRESS(20+(A160-1)*A156,1)))</f>
        <v>MEP 001</v>
      </c>
      <c r="B149" s="47"/>
      <c r="C149" s="43" t="str">
        <f ca="1">INDIRECT(_xlfn.TEXTJOIN("",TRUE,A159,"!",ADDRESS(20+(A160-1)*A156,2)))</f>
        <v>Basic Mechanical Engineering Lab</v>
      </c>
      <c r="D149" s="44"/>
      <c r="E149" s="44"/>
      <c r="F149" s="44"/>
      <c r="G149" s="45"/>
      <c r="H149" s="20">
        <f ca="1">INDIRECT(_xlfn.TEXTJOIN("",TRUE,A159,"!",ADDRESS(20+(A160-1)*A156,6)))</f>
        <v>1</v>
      </c>
      <c r="I149" s="20" t="str">
        <f ca="1">INDIRECT(_xlfn.TEXTJOIN("",TRUE,A159,"!",ADDRESS(20+(A160-1)*A156,13)))</f>
        <v>B</v>
      </c>
      <c r="J149" s="20">
        <f ca="1">INDIRECT(_xlfn.TEXTJOIN("",TRUE,A159,"!",ADDRESS(20+(A160-1)*A156,14)))</f>
        <v>8</v>
      </c>
    </row>
    <row r="150" spans="1:10" ht="28" customHeight="1" x14ac:dyDescent="0.2">
      <c r="A150" s="46" t="str">
        <f ca="1">INDIRECT(_xlfn.TEXTJOIN("",TRUE,A159,"!",ADDRESS(21+(A160-1)*A156,1)))</f>
        <v>MEP 003</v>
      </c>
      <c r="B150" s="47"/>
      <c r="C150" s="43" t="str">
        <f ca="1">INDIRECT(_xlfn.TEXTJOIN("",TRUE,A159,"!",ADDRESS(21+(A160-1)*A156,2)))</f>
        <v>Workshop Practices Lab</v>
      </c>
      <c r="D150" s="44"/>
      <c r="E150" s="44"/>
      <c r="F150" s="44"/>
      <c r="G150" s="45"/>
      <c r="H150" s="20">
        <f ca="1">INDIRECT(_xlfn.TEXTJOIN("",TRUE,A159,"!",ADDRESS(21+(A160-1)*A156,6)))</f>
        <v>2</v>
      </c>
      <c r="I150" s="20" t="str">
        <f ca="1">INDIRECT(_xlfn.TEXTJOIN("",TRUE,A159,"!",ADDRESS(21+(A160-1)*A156,13)))</f>
        <v>A</v>
      </c>
      <c r="J150" s="20">
        <f ca="1">INDIRECT(_xlfn.TEXTJOIN("",TRUE,A159,"!",ADDRESS(21+(A160-1)*A156,14)))</f>
        <v>9</v>
      </c>
    </row>
    <row r="151" spans="1:10" ht="28" customHeight="1" x14ac:dyDescent="0.2">
      <c r="A151" s="46" t="str">
        <f ca="1">INDIRECT(_xlfn.TEXTJOIN("",TRUE,A159,"!",ADDRESS(22+(A160-1)*A156,1)))</f>
        <v>AHP 004</v>
      </c>
      <c r="B151" s="47"/>
      <c r="C151" s="43" t="str">
        <f ca="1">INDIRECT(_xlfn.TEXTJOIN("",TRUE,A159,"!",ADDRESS(22+(A160-1)*A156,2)))</f>
        <v>Emerging Technologies in Engineering Lab</v>
      </c>
      <c r="D151" s="44"/>
      <c r="E151" s="44"/>
      <c r="F151" s="44"/>
      <c r="G151" s="45"/>
      <c r="H151" s="20">
        <f ca="1">INDIRECT(_xlfn.TEXTJOIN("",TRUE,A159,"!",ADDRESS(22+(A160-1)*A156,6)))</f>
        <v>1</v>
      </c>
      <c r="I151" s="20" t="str">
        <f ca="1">INDIRECT(_xlfn.TEXTJOIN("",TRUE,A159,"!",ADDRESS(22+(A160-1)*A156,13)))</f>
        <v>B</v>
      </c>
      <c r="J151" s="20">
        <f ca="1">INDIRECT(_xlfn.TEXTJOIN("",TRUE,A159,"!",ADDRESS(22+(A160-1)*A156,14)))</f>
        <v>8</v>
      </c>
    </row>
    <row r="152" spans="1:10" ht="28" customHeight="1" x14ac:dyDescent="0.2">
      <c r="A152" s="46" t="str">
        <f ca="1">INDIRECT(_xlfn.TEXTJOIN("",TRUE,A159,"!",ADDRESS(23+(A160-1)*A156,1)))</f>
        <v>CSP 002</v>
      </c>
      <c r="B152" s="47"/>
      <c r="C152" s="43" t="str">
        <f ca="1">INDIRECT(_xlfn.TEXTJOIN("",TRUE,A159,"!",ADDRESS(23+(A160-1)*A156,2)))</f>
        <v>Computer Applications and IOT</v>
      </c>
      <c r="D152" s="44"/>
      <c r="E152" s="44"/>
      <c r="F152" s="44"/>
      <c r="G152" s="45"/>
      <c r="H152" s="20">
        <f ca="1">INDIRECT(_xlfn.TEXTJOIN("",TRUE,A159,"!",ADDRESS(23+(A160-1)*A156,6)))</f>
        <v>1</v>
      </c>
      <c r="I152" s="20" t="str">
        <f ca="1">INDIRECT(_xlfn.TEXTJOIN("",TRUE,A159,"!",ADDRESS(23+(A160-1)*A156,13)))</f>
        <v>B+</v>
      </c>
      <c r="J152" s="20">
        <f ca="1">INDIRECT(_xlfn.TEXTJOIN("",TRUE,A159,"!",ADDRESS(23+(A160-1)*A156,14)))</f>
        <v>8.5</v>
      </c>
    </row>
    <row r="153" spans="1:10" ht="28" customHeight="1" x14ac:dyDescent="0.2">
      <c r="A153" s="46" t="str">
        <f ca="1">INDIRECT(_xlfn.TEXTJOIN("",TRUE,A159,"!",ADDRESS(24+(A160-1)*A156,1)))</f>
        <v>AHP 006</v>
      </c>
      <c r="B153" s="47"/>
      <c r="C153" s="43" t="str">
        <f ca="1">INDIRECT(_xlfn.TEXTJOIN("",TRUE,A159,"!",ADDRESS(24+(A160-1)*A156,2)))</f>
        <v>English Language Lab ($)</v>
      </c>
      <c r="D153" s="44"/>
      <c r="E153" s="44"/>
      <c r="F153" s="44"/>
      <c r="G153" s="45"/>
      <c r="H153" s="20">
        <f ca="1">INDIRECT(_xlfn.TEXTJOIN("",TRUE,A159,"!",ADDRESS(24+(A160-1)*A156,6)))</f>
        <v>0</v>
      </c>
      <c r="I153" s="20" t="str">
        <f ca="1">INDIRECT(_xlfn.TEXTJOIN("",TRUE,A159,"!",ADDRESS(24+(A160-1)*A156,13)))</f>
        <v>D</v>
      </c>
      <c r="J153" s="20">
        <f ca="1">INDIRECT(_xlfn.TEXTJOIN("",TRUE,A159,"!",ADDRESS(24+(A160-1)*A156,14)))</f>
        <v>6</v>
      </c>
    </row>
    <row r="154" spans="1:10" ht="28" customHeight="1" x14ac:dyDescent="0.2">
      <c r="A154" s="46" t="str">
        <f ca="1">INDIRECT(_xlfn.TEXTJOIN("",TRUE,A159,"!",ADDRESS(25+(A160-1)*A156,1)))</f>
        <v>GP 01</v>
      </c>
      <c r="B154" s="47"/>
      <c r="C154" s="43" t="str">
        <f ca="1">INDIRECT(_xlfn.TEXTJOIN("",TRUE,A159,"!",ADDRESS(25+(A160-1)*A156,2)))</f>
        <v>General Proficiency ($)</v>
      </c>
      <c r="D154" s="44"/>
      <c r="E154" s="44"/>
      <c r="F154" s="44"/>
      <c r="G154" s="45"/>
      <c r="H154" s="20">
        <f ca="1">INDIRECT(_xlfn.TEXTJOIN("",TRUE,A159,"!",ADDRESS(25+(A160-1)*A156,6)))</f>
        <v>0</v>
      </c>
      <c r="I154" s="41" t="str">
        <f ca="1">INDIRECT(_xlfn.TEXTJOIN("",TRUE,A159,"!",ADDRESS(25+(A160-1)*A156,13)))</f>
        <v>Excellent</v>
      </c>
      <c r="J154" s="42"/>
    </row>
    <row r="155" spans="1:10" ht="28" customHeight="1" x14ac:dyDescent="0.2">
      <c r="A155" s="35" t="s">
        <v>54</v>
      </c>
      <c r="B155" s="35"/>
      <c r="C155" s="35"/>
      <c r="D155" s="35"/>
      <c r="E155" s="35"/>
      <c r="F155" s="35"/>
      <c r="G155" s="35"/>
      <c r="H155" s="16">
        <f ca="1">SUM(H142:H154)</f>
        <v>23</v>
      </c>
      <c r="I155" s="16" t="s">
        <v>46</v>
      </c>
      <c r="J155" s="16">
        <f ca="1">SUMPRODUCT(J142:J153,H142:H153)</f>
        <v>109.5</v>
      </c>
    </row>
    <row r="156" spans="1:10" ht="28" customHeight="1" x14ac:dyDescent="0.2">
      <c r="A156" s="22">
        <f>ROWS(A142:B154)+9</f>
        <v>22</v>
      </c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ht="28" customHeight="1" x14ac:dyDescent="0.2">
      <c r="A157" s="36" t="s">
        <v>42</v>
      </c>
      <c r="B157" s="36"/>
      <c r="C157" s="21">
        <f ca="1">INDIRECT(_xlfn.TEXTJOIN("",TRUE,A159,"!",ADDRESS(5+A160*A156,12)))</f>
        <v>19</v>
      </c>
      <c r="D157" s="36" t="s">
        <v>40</v>
      </c>
      <c r="E157" s="36"/>
      <c r="F157" s="18">
        <f ca="1">INDIRECT(_xlfn.TEXTJOIN("",TRUE,A159,"!",ADDRESS(5+A160*A156,8)))</f>
        <v>4.7608695652173916</v>
      </c>
      <c r="G157" s="36" t="s">
        <v>41</v>
      </c>
      <c r="H157" s="36"/>
      <c r="I157" s="37">
        <f ca="1">INDIRECT(_xlfn.TEXTJOIN("",TRUE,A159,"!",ADDRESS(5+A160*A156,10)))</f>
        <v>4.7608695652173916</v>
      </c>
      <c r="J157" s="37"/>
    </row>
    <row r="158" spans="1:10" ht="28" customHeight="1" x14ac:dyDescent="0.2">
      <c r="A158" s="19" t="s">
        <v>38</v>
      </c>
      <c r="B158" s="38" t="str">
        <f ca="1">INDIRECT(_xlfn.TEXTJOIN("",TRUE,A159,"!",ADDRESS(5+A160*A156,2)))</f>
        <v>CARRY OVER</v>
      </c>
      <c r="C158" s="38"/>
      <c r="D158" s="39" t="s">
        <v>39</v>
      </c>
      <c r="E158" s="39"/>
      <c r="F158" s="40" t="str">
        <f ca="1">INDIRECT(_xlfn.TEXTJOIN("",TRUE,A159,"!",ADDRESS(5+A160*A156,5)))</f>
        <v>BACK IN AHT 003</v>
      </c>
      <c r="G158" s="40"/>
      <c r="H158" s="40"/>
      <c r="I158" s="40"/>
      <c r="J158" s="40"/>
    </row>
    <row r="159" spans="1:10" ht="28" customHeight="1" x14ac:dyDescent="0.2">
      <c r="A159" s="22" t="str">
        <f>A137</f>
        <v>TC_I</v>
      </c>
    </row>
    <row r="160" spans="1:10" ht="28" customHeight="1" x14ac:dyDescent="0.2">
      <c r="A160" s="22">
        <f>A138+1</f>
        <v>7</v>
      </c>
    </row>
    <row r="161" spans="1:10" ht="28" customHeight="1" x14ac:dyDescent="0.2">
      <c r="A161" s="49" t="s">
        <v>26</v>
      </c>
      <c r="B161" s="49"/>
      <c r="C161" s="49" t="str">
        <f ca="1">INDIRECT(_xlfn.TEXTJOIN("",TRUE,A181,"!",ADDRESS(9+(A182-1)*A178,2)))</f>
        <v>ARYAN SAINI</v>
      </c>
      <c r="D161" s="49"/>
      <c r="E161" s="49"/>
      <c r="F161" s="49" t="s">
        <v>52</v>
      </c>
      <c r="G161" s="49"/>
      <c r="H161" s="49"/>
      <c r="I161" s="48">
        <f ca="1">INDIRECT(_xlfn.TEXTJOIN("",TRUE,A181,"!",ADDRESS(9+(A182-1)*A178,9)))</f>
        <v>250090120008</v>
      </c>
      <c r="J161" s="48"/>
    </row>
    <row r="162" spans="1:10" ht="28" customHeight="1" x14ac:dyDescent="0.2">
      <c r="A162" s="49" t="s">
        <v>27</v>
      </c>
      <c r="B162" s="49"/>
      <c r="C162" s="49" t="str">
        <f ca="1">INDIRECT(_xlfn.TEXTJOIN("",TRUE,A181,"!",ADDRESS(9+(A182-1)*A178,5)))</f>
        <v>ANUJ KUMAR</v>
      </c>
      <c r="D162" s="49"/>
      <c r="E162" s="49"/>
      <c r="F162" s="50" t="s">
        <v>53</v>
      </c>
      <c r="G162" s="50"/>
      <c r="H162" s="50"/>
      <c r="I162" s="48" t="str">
        <f ca="1">INDIRECT(_xlfn.TEXTJOIN("",TRUE,A181,"!",ADDRESS(9+(A182-1)*A178,13)))</f>
        <v>UTU/2501103650</v>
      </c>
      <c r="J162" s="48"/>
    </row>
    <row r="163" spans="1:10" ht="28" customHeight="1" x14ac:dyDescent="0.2">
      <c r="A163" s="38" t="s">
        <v>30</v>
      </c>
      <c r="B163" s="38"/>
      <c r="C163" s="38" t="s">
        <v>31</v>
      </c>
      <c r="D163" s="38"/>
      <c r="E163" s="38"/>
      <c r="F163" s="38"/>
      <c r="G163" s="38"/>
      <c r="H163" s="15" t="s">
        <v>32</v>
      </c>
      <c r="I163" s="15" t="s">
        <v>12</v>
      </c>
      <c r="J163" s="15" t="s">
        <v>36</v>
      </c>
    </row>
    <row r="164" spans="1:10" ht="28" customHeight="1" x14ac:dyDescent="0.2">
      <c r="A164" s="46" t="str">
        <f ca="1">INDIRECT(_xlfn.TEXTJOIN("",TRUE,A181,"!",ADDRESS(13+(A182-1)*A178,1)))</f>
        <v>AHT 002</v>
      </c>
      <c r="B164" s="47"/>
      <c r="C164" s="43" t="str">
        <f ca="1">INDIRECT(_xlfn.TEXTJOIN("",TRUE,A181,"!",ADDRESS(13+(A182-1)*A178,2)))</f>
        <v>Engineering Chemistry</v>
      </c>
      <c r="D164" s="44"/>
      <c r="E164" s="44"/>
      <c r="F164" s="44"/>
      <c r="G164" s="45"/>
      <c r="H164" s="20">
        <f ca="1">INDIRECT(_xlfn.TEXTJOIN("",TRUE,A181,"!",ADDRESS(13+(A182-1)*A178,6)))</f>
        <v>4</v>
      </c>
      <c r="I164" s="20" t="str">
        <f ca="1">INDIRECT(_xlfn.TEXTJOIN("",TRUE,A181,"!",ADDRESS(13+(A182-1)*A178,13)))</f>
        <v>E</v>
      </c>
      <c r="J164" s="20">
        <f ca="1">INDIRECT(_xlfn.TEXTJOIN("",TRUE,A181,"!",ADDRESS(13+(A182-1)*A178,14)))</f>
        <v>5</v>
      </c>
    </row>
    <row r="165" spans="1:10" ht="28" customHeight="1" x14ac:dyDescent="0.2">
      <c r="A165" s="46" t="str">
        <f ca="1">INDIRECT(_xlfn.TEXTJOIN("",TRUE,A181,"!",ADDRESS(14+(A182-1)*A178,1)))</f>
        <v>AHT 003</v>
      </c>
      <c r="B165" s="47"/>
      <c r="C165" s="43" t="str">
        <f ca="1">INDIRECT(_xlfn.TEXTJOIN("",TRUE,A181,"!",ADDRESS(14+(A182-1)*A178,2)))</f>
        <v>Introduction to Engineering Mathematics</v>
      </c>
      <c r="D165" s="44"/>
      <c r="E165" s="44"/>
      <c r="F165" s="44"/>
      <c r="G165" s="45"/>
      <c r="H165" s="20">
        <f ca="1">INDIRECT(_xlfn.TEXTJOIN("",TRUE,A181,"!",ADDRESS(14+(A182-1)*A178,6)))</f>
        <v>4</v>
      </c>
      <c r="I165" s="20" t="str">
        <f ca="1">INDIRECT(_xlfn.TEXTJOIN("",TRUE,A181,"!",ADDRESS(14+(A182-1)*A178,13)))</f>
        <v>F</v>
      </c>
      <c r="J165" s="20">
        <f ca="1">INDIRECT(_xlfn.TEXTJOIN("",TRUE,A181,"!",ADDRESS(14+(A182-1)*A178,14)))</f>
        <v>0</v>
      </c>
    </row>
    <row r="166" spans="1:10" ht="28" customHeight="1" x14ac:dyDescent="0.2">
      <c r="A166" s="46" t="str">
        <f ca="1">INDIRECT(_xlfn.TEXTJOIN("",TRUE,A181,"!",ADDRESS(15+(A182-1)*A178,1)))</f>
        <v>ECT 001</v>
      </c>
      <c r="B166" s="47"/>
      <c r="C166" s="43" t="str">
        <f ca="1">INDIRECT(_xlfn.TEXTJOIN("",TRUE,A181,"!",ADDRESS(15+(A182-1)*A178,2)))</f>
        <v>Basic Electronics Engineering</v>
      </c>
      <c r="D166" s="44"/>
      <c r="E166" s="44"/>
      <c r="F166" s="44"/>
      <c r="G166" s="45"/>
      <c r="H166" s="20">
        <f ca="1">INDIRECT(_xlfn.TEXTJOIN("",TRUE,A181,"!",ADDRESS(15+(A182-1)*A178,6)))</f>
        <v>4</v>
      </c>
      <c r="I166" s="20" t="str">
        <f ca="1">INDIRECT(_xlfn.TEXTJOIN("",TRUE,A181,"!",ADDRESS(15+(A182-1)*A178,13)))</f>
        <v>E+</v>
      </c>
      <c r="J166" s="20">
        <f ca="1">INDIRECT(_xlfn.TEXTJOIN("",TRUE,A181,"!",ADDRESS(15+(A182-1)*A178,14)))</f>
        <v>5.5</v>
      </c>
    </row>
    <row r="167" spans="1:10" ht="28" customHeight="1" x14ac:dyDescent="0.2">
      <c r="A167" s="46" t="str">
        <f ca="1">INDIRECT(_xlfn.TEXTJOIN("",TRUE,A181,"!",ADDRESS(16+(A182-1)*A178,1)))</f>
        <v>MET 001</v>
      </c>
      <c r="B167" s="47"/>
      <c r="C167" s="43" t="str">
        <f ca="1">INDIRECT(_xlfn.TEXTJOIN("",TRUE,A181,"!",ADDRESS(16+(A182-1)*A178,2)))</f>
        <v>Basic Mechanical Engineering</v>
      </c>
      <c r="D167" s="44"/>
      <c r="E167" s="44"/>
      <c r="F167" s="44"/>
      <c r="G167" s="45"/>
      <c r="H167" s="20">
        <f ca="1">INDIRECT(_xlfn.TEXTJOIN("",TRUE,A181,"!",ADDRESS(16+(A182-1)*A178,6)))</f>
        <v>4</v>
      </c>
      <c r="I167" s="20" t="str">
        <f ca="1">INDIRECT(_xlfn.TEXTJOIN("",TRUE,A181,"!",ADDRESS(16+(A182-1)*A178,13)))</f>
        <v>D+</v>
      </c>
      <c r="J167" s="20">
        <f ca="1">INDIRECT(_xlfn.TEXTJOIN("",TRUE,A181,"!",ADDRESS(16+(A182-1)*A178,14)))</f>
        <v>6.5</v>
      </c>
    </row>
    <row r="168" spans="1:10" ht="28" customHeight="1" x14ac:dyDescent="0.2">
      <c r="A168" s="46" t="str">
        <f ca="1">INDIRECT(_xlfn.TEXTJOIN("",TRUE,A181,"!",ADDRESS(17+(A182-1)*A178,1)))</f>
        <v>AHT 000</v>
      </c>
      <c r="B168" s="47"/>
      <c r="C168" s="43" t="str">
        <f ca="1">INDIRECT(_xlfn.TEXTJOIN("",TRUE,A181,"!",ADDRESS(17+(A182-1)*A178,2)))</f>
        <v>Basic Mathematics (Bridge Course) ($)</v>
      </c>
      <c r="D168" s="44"/>
      <c r="E168" s="44"/>
      <c r="F168" s="44"/>
      <c r="G168" s="45"/>
      <c r="H168" s="20">
        <f ca="1">INDIRECT(_xlfn.TEXTJOIN("",TRUE,A181,"!",ADDRESS(17+(A182-1)*A178,6)))</f>
        <v>0</v>
      </c>
      <c r="I168" s="20" t="str">
        <f ca="1">INDIRECT(_xlfn.TEXTJOIN("",TRUE,A181,"!",ADDRESS(17+(A182-1)*A178,13)))</f>
        <v>D</v>
      </c>
      <c r="J168" s="20">
        <f ca="1">INDIRECT(_xlfn.TEXTJOIN("",TRUE,A181,"!",ADDRESS(17+(A182-1)*A178,14)))</f>
        <v>6</v>
      </c>
    </row>
    <row r="169" spans="1:10" ht="28" customHeight="1" x14ac:dyDescent="0.2">
      <c r="A169" s="46" t="str">
        <f ca="1">INDIRECT(_xlfn.TEXTJOIN("",TRUE,A181,"!",ADDRESS(18+(A182-1)*A178,1)))</f>
        <v>AHP 002</v>
      </c>
      <c r="B169" s="47"/>
      <c r="C169" s="43" t="str">
        <f ca="1">INDIRECT(_xlfn.TEXTJOIN("",TRUE,A181,"!",ADDRESS(18+(A182-1)*A178,2)))</f>
        <v>Engineering Chemistry Lab</v>
      </c>
      <c r="D169" s="44"/>
      <c r="E169" s="44"/>
      <c r="F169" s="44"/>
      <c r="G169" s="45"/>
      <c r="H169" s="20">
        <f ca="1">INDIRECT(_xlfn.TEXTJOIN("",TRUE,A181,"!",ADDRESS(18+(A182-1)*A178,6)))</f>
        <v>1</v>
      </c>
      <c r="I169" s="20" t="str">
        <f ca="1">INDIRECT(_xlfn.TEXTJOIN("",TRUE,A181,"!",ADDRESS(18+(A182-1)*A178,13)))</f>
        <v>C+</v>
      </c>
      <c r="J169" s="20">
        <f ca="1">INDIRECT(_xlfn.TEXTJOIN("",TRUE,A181,"!",ADDRESS(18+(A182-1)*A178,14)))</f>
        <v>7.5</v>
      </c>
    </row>
    <row r="170" spans="1:10" ht="28" customHeight="1" x14ac:dyDescent="0.2">
      <c r="A170" s="46" t="str">
        <f ca="1">INDIRECT(_xlfn.TEXTJOIN("",TRUE,A181,"!",ADDRESS(19+(A182-1)*A178,1)))</f>
        <v>ECP 001</v>
      </c>
      <c r="B170" s="47"/>
      <c r="C170" s="43" t="str">
        <f ca="1">INDIRECT(_xlfn.TEXTJOIN("",TRUE,A181,"!",ADDRESS(19+(A182-1)*A178,2)))</f>
        <v>Basic Electronics Engineering Lab</v>
      </c>
      <c r="D170" s="44"/>
      <c r="E170" s="44"/>
      <c r="F170" s="44"/>
      <c r="G170" s="45"/>
      <c r="H170" s="20">
        <f ca="1">INDIRECT(_xlfn.TEXTJOIN("",TRUE,A181,"!",ADDRESS(19+(A182-1)*A178,6)))</f>
        <v>1</v>
      </c>
      <c r="I170" s="20" t="str">
        <f ca="1">INDIRECT(_xlfn.TEXTJOIN("",TRUE,A181,"!",ADDRESS(19+(A182-1)*A178,13)))</f>
        <v>C+</v>
      </c>
      <c r="J170" s="20">
        <f ca="1">INDIRECT(_xlfn.TEXTJOIN("",TRUE,A181,"!",ADDRESS(19+(A182-1)*A178,14)))</f>
        <v>7.5</v>
      </c>
    </row>
    <row r="171" spans="1:10" ht="28" customHeight="1" x14ac:dyDescent="0.2">
      <c r="A171" s="46" t="str">
        <f ca="1">INDIRECT(_xlfn.TEXTJOIN("",TRUE,A181,"!",ADDRESS(20+(A182-1)*A178,1)))</f>
        <v>MEP 001</v>
      </c>
      <c r="B171" s="47"/>
      <c r="C171" s="43" t="str">
        <f ca="1">INDIRECT(_xlfn.TEXTJOIN("",TRUE,A181,"!",ADDRESS(20+(A182-1)*A178,2)))</f>
        <v>Basic Mechanical Engineering Lab</v>
      </c>
      <c r="D171" s="44"/>
      <c r="E171" s="44"/>
      <c r="F171" s="44"/>
      <c r="G171" s="45"/>
      <c r="H171" s="20">
        <f ca="1">INDIRECT(_xlfn.TEXTJOIN("",TRUE,A181,"!",ADDRESS(20+(A182-1)*A178,6)))</f>
        <v>1</v>
      </c>
      <c r="I171" s="20" t="str">
        <f ca="1">INDIRECT(_xlfn.TEXTJOIN("",TRUE,A181,"!",ADDRESS(20+(A182-1)*A178,13)))</f>
        <v>B+</v>
      </c>
      <c r="J171" s="20">
        <f ca="1">INDIRECT(_xlfn.TEXTJOIN("",TRUE,A181,"!",ADDRESS(20+(A182-1)*A178,14)))</f>
        <v>8.5</v>
      </c>
    </row>
    <row r="172" spans="1:10" ht="28" customHeight="1" x14ac:dyDescent="0.2">
      <c r="A172" s="46" t="str">
        <f ca="1">INDIRECT(_xlfn.TEXTJOIN("",TRUE,A181,"!",ADDRESS(21+(A182-1)*A178,1)))</f>
        <v>MEP 003</v>
      </c>
      <c r="B172" s="47"/>
      <c r="C172" s="43" t="str">
        <f ca="1">INDIRECT(_xlfn.TEXTJOIN("",TRUE,A181,"!",ADDRESS(21+(A182-1)*A178,2)))</f>
        <v>Workshop Practices Lab</v>
      </c>
      <c r="D172" s="44"/>
      <c r="E172" s="44"/>
      <c r="F172" s="44"/>
      <c r="G172" s="45"/>
      <c r="H172" s="20">
        <f ca="1">INDIRECT(_xlfn.TEXTJOIN("",TRUE,A181,"!",ADDRESS(21+(A182-1)*A178,6)))</f>
        <v>2</v>
      </c>
      <c r="I172" s="20" t="str">
        <f ca="1">INDIRECT(_xlfn.TEXTJOIN("",TRUE,A181,"!",ADDRESS(21+(A182-1)*A178,13)))</f>
        <v>A</v>
      </c>
      <c r="J172" s="20">
        <f ca="1">INDIRECT(_xlfn.TEXTJOIN("",TRUE,A181,"!",ADDRESS(21+(A182-1)*A178,14)))</f>
        <v>9</v>
      </c>
    </row>
    <row r="173" spans="1:10" ht="28" customHeight="1" x14ac:dyDescent="0.2">
      <c r="A173" s="46" t="str">
        <f ca="1">INDIRECT(_xlfn.TEXTJOIN("",TRUE,A181,"!",ADDRESS(22+(A182-1)*A178,1)))</f>
        <v>AHP 004</v>
      </c>
      <c r="B173" s="47"/>
      <c r="C173" s="43" t="str">
        <f ca="1">INDIRECT(_xlfn.TEXTJOIN("",TRUE,A181,"!",ADDRESS(22+(A182-1)*A178,2)))</f>
        <v>Emerging Technologies in Engineering Lab</v>
      </c>
      <c r="D173" s="44"/>
      <c r="E173" s="44"/>
      <c r="F173" s="44"/>
      <c r="G173" s="45"/>
      <c r="H173" s="20">
        <f ca="1">INDIRECT(_xlfn.TEXTJOIN("",TRUE,A181,"!",ADDRESS(22+(A182-1)*A178,6)))</f>
        <v>1</v>
      </c>
      <c r="I173" s="20" t="str">
        <f ca="1">INDIRECT(_xlfn.TEXTJOIN("",TRUE,A181,"!",ADDRESS(22+(A182-1)*A178,13)))</f>
        <v>A</v>
      </c>
      <c r="J173" s="20">
        <f ca="1">INDIRECT(_xlfn.TEXTJOIN("",TRUE,A181,"!",ADDRESS(22+(A182-1)*A178,14)))</f>
        <v>9</v>
      </c>
    </row>
    <row r="174" spans="1:10" ht="28" customHeight="1" x14ac:dyDescent="0.2">
      <c r="A174" s="46" t="str">
        <f ca="1">INDIRECT(_xlfn.TEXTJOIN("",TRUE,A181,"!",ADDRESS(23+(A182-1)*A178,1)))</f>
        <v>CSP 002</v>
      </c>
      <c r="B174" s="47"/>
      <c r="C174" s="43" t="str">
        <f ca="1">INDIRECT(_xlfn.TEXTJOIN("",TRUE,A181,"!",ADDRESS(23+(A182-1)*A178,2)))</f>
        <v>Computer Applications and IOT</v>
      </c>
      <c r="D174" s="44"/>
      <c r="E174" s="44"/>
      <c r="F174" s="44"/>
      <c r="G174" s="45"/>
      <c r="H174" s="20">
        <f ca="1">INDIRECT(_xlfn.TEXTJOIN("",TRUE,A181,"!",ADDRESS(23+(A182-1)*A178,6)))</f>
        <v>1</v>
      </c>
      <c r="I174" s="20" t="str">
        <f ca="1">INDIRECT(_xlfn.TEXTJOIN("",TRUE,A181,"!",ADDRESS(23+(A182-1)*A178,13)))</f>
        <v>O</v>
      </c>
      <c r="J174" s="20">
        <f ca="1">INDIRECT(_xlfn.TEXTJOIN("",TRUE,A181,"!",ADDRESS(23+(A182-1)*A178,14)))</f>
        <v>10</v>
      </c>
    </row>
    <row r="175" spans="1:10" ht="28" customHeight="1" x14ac:dyDescent="0.2">
      <c r="A175" s="46" t="str">
        <f ca="1">INDIRECT(_xlfn.TEXTJOIN("",TRUE,A181,"!",ADDRESS(24+(A182-1)*A178,1)))</f>
        <v>AHP 006</v>
      </c>
      <c r="B175" s="47"/>
      <c r="C175" s="43" t="str">
        <f ca="1">INDIRECT(_xlfn.TEXTJOIN("",TRUE,A181,"!",ADDRESS(24+(A182-1)*A178,2)))</f>
        <v>English Language Lab ($)</v>
      </c>
      <c r="D175" s="44"/>
      <c r="E175" s="44"/>
      <c r="F175" s="44"/>
      <c r="G175" s="45"/>
      <c r="H175" s="20">
        <f ca="1">INDIRECT(_xlfn.TEXTJOIN("",TRUE,A181,"!",ADDRESS(24+(A182-1)*A178,6)))</f>
        <v>0</v>
      </c>
      <c r="I175" s="20" t="str">
        <f ca="1">INDIRECT(_xlfn.TEXTJOIN("",TRUE,A181,"!",ADDRESS(24+(A182-1)*A178,13)))</f>
        <v>C</v>
      </c>
      <c r="J175" s="20">
        <f ca="1">INDIRECT(_xlfn.TEXTJOIN("",TRUE,A181,"!",ADDRESS(24+(A182-1)*A178,14)))</f>
        <v>7</v>
      </c>
    </row>
    <row r="176" spans="1:10" ht="28" customHeight="1" x14ac:dyDescent="0.2">
      <c r="A176" s="46" t="str">
        <f ca="1">INDIRECT(_xlfn.TEXTJOIN("",TRUE,A181,"!",ADDRESS(25+(A182-1)*A178,1)))</f>
        <v>GP 01</v>
      </c>
      <c r="B176" s="47"/>
      <c r="C176" s="43" t="str">
        <f ca="1">INDIRECT(_xlfn.TEXTJOIN("",TRUE,A181,"!",ADDRESS(25+(A182-1)*A178,2)))</f>
        <v>General Proficiency ($)</v>
      </c>
      <c r="D176" s="44"/>
      <c r="E176" s="44"/>
      <c r="F176" s="44"/>
      <c r="G176" s="45"/>
      <c r="H176" s="20">
        <f ca="1">INDIRECT(_xlfn.TEXTJOIN("",TRUE,A181,"!",ADDRESS(25+(A182-1)*A178,6)))</f>
        <v>0</v>
      </c>
      <c r="I176" s="41" t="str">
        <f ca="1">INDIRECT(_xlfn.TEXTJOIN("",TRUE,A181,"!",ADDRESS(25+(A182-1)*A178,13)))</f>
        <v>Excellent</v>
      </c>
      <c r="J176" s="42"/>
    </row>
    <row r="177" spans="1:10" ht="28" customHeight="1" x14ac:dyDescent="0.2">
      <c r="A177" s="35" t="s">
        <v>54</v>
      </c>
      <c r="B177" s="35"/>
      <c r="C177" s="35"/>
      <c r="D177" s="35"/>
      <c r="E177" s="35"/>
      <c r="F177" s="35"/>
      <c r="G177" s="35"/>
      <c r="H177" s="16">
        <f ca="1">SUM(H164:H176)</f>
        <v>23</v>
      </c>
      <c r="I177" s="16" t="s">
        <v>46</v>
      </c>
      <c r="J177" s="16">
        <f ca="1">SUMPRODUCT(J164:J175,H164:H175)</f>
        <v>128.5</v>
      </c>
    </row>
    <row r="178" spans="1:10" ht="28" customHeight="1" x14ac:dyDescent="0.2">
      <c r="A178" s="22">
        <f>ROWS(A164:B176)+9</f>
        <v>22</v>
      </c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28" customHeight="1" x14ac:dyDescent="0.2">
      <c r="A179" s="36" t="s">
        <v>42</v>
      </c>
      <c r="B179" s="36"/>
      <c r="C179" s="21">
        <f ca="1">INDIRECT(_xlfn.TEXTJOIN("",TRUE,A181,"!",ADDRESS(5+A182*A178,12)))</f>
        <v>19</v>
      </c>
      <c r="D179" s="36" t="s">
        <v>40</v>
      </c>
      <c r="E179" s="36"/>
      <c r="F179" s="18">
        <f ca="1">INDIRECT(_xlfn.TEXTJOIN("",TRUE,A181,"!",ADDRESS(5+A182*A178,8)))</f>
        <v>5.5869565217391308</v>
      </c>
      <c r="G179" s="36" t="s">
        <v>41</v>
      </c>
      <c r="H179" s="36"/>
      <c r="I179" s="37">
        <f ca="1">INDIRECT(_xlfn.TEXTJOIN("",TRUE,A181,"!",ADDRESS(5+A182*A178,10)))</f>
        <v>5.5869565217391308</v>
      </c>
      <c r="J179" s="37"/>
    </row>
    <row r="180" spans="1:10" ht="28" customHeight="1" x14ac:dyDescent="0.2">
      <c r="A180" s="19" t="s">
        <v>38</v>
      </c>
      <c r="B180" s="38" t="str">
        <f ca="1">INDIRECT(_xlfn.TEXTJOIN("",TRUE,A181,"!",ADDRESS(5+A182*A178,2)))</f>
        <v>CARRY OVER</v>
      </c>
      <c r="C180" s="38"/>
      <c r="D180" s="39" t="s">
        <v>39</v>
      </c>
      <c r="E180" s="39"/>
      <c r="F180" s="40" t="str">
        <f ca="1">INDIRECT(_xlfn.TEXTJOIN("",TRUE,A181,"!",ADDRESS(5+A182*A178,5)))</f>
        <v>BACK IN AHT 003</v>
      </c>
      <c r="G180" s="40"/>
      <c r="H180" s="40"/>
      <c r="I180" s="40"/>
      <c r="J180" s="40"/>
    </row>
    <row r="181" spans="1:10" ht="28" customHeight="1" x14ac:dyDescent="0.2">
      <c r="A181" s="22" t="str">
        <f>A159</f>
        <v>TC_I</v>
      </c>
    </row>
    <row r="182" spans="1:10" ht="28" customHeight="1" x14ac:dyDescent="0.2">
      <c r="A182" s="22">
        <f>A160+1</f>
        <v>8</v>
      </c>
    </row>
    <row r="183" spans="1:10" ht="28" customHeight="1" x14ac:dyDescent="0.2">
      <c r="A183" s="49" t="s">
        <v>26</v>
      </c>
      <c r="B183" s="49"/>
      <c r="C183" s="49" t="str">
        <f ca="1">INDIRECT(_xlfn.TEXTJOIN("",TRUE,A203,"!",ADDRESS(9+(A204-1)*A200,2)))</f>
        <v>BANSHIKA</v>
      </c>
      <c r="D183" s="49"/>
      <c r="E183" s="49"/>
      <c r="F183" s="49" t="s">
        <v>52</v>
      </c>
      <c r="G183" s="49"/>
      <c r="H183" s="49"/>
      <c r="I183" s="48">
        <f ca="1">INDIRECT(_xlfn.TEXTJOIN("",TRUE,A203,"!",ADDRESS(9+(A204-1)*A200,9)))</f>
        <v>250090120009</v>
      </c>
      <c r="J183" s="48"/>
    </row>
    <row r="184" spans="1:10" ht="28" customHeight="1" x14ac:dyDescent="0.2">
      <c r="A184" s="49" t="s">
        <v>27</v>
      </c>
      <c r="B184" s="49"/>
      <c r="C184" s="49" t="str">
        <f ca="1">INDIRECT(_xlfn.TEXTJOIN("",TRUE,A203,"!",ADDRESS(9+(A204-1)*A200,5)))</f>
        <v>OM PRAKASH</v>
      </c>
      <c r="D184" s="49"/>
      <c r="E184" s="49"/>
      <c r="F184" s="50" t="s">
        <v>53</v>
      </c>
      <c r="G184" s="50"/>
      <c r="H184" s="50"/>
      <c r="I184" s="48" t="str">
        <f ca="1">INDIRECT(_xlfn.TEXTJOIN("",TRUE,A203,"!",ADDRESS(9+(A204-1)*A200,13)))</f>
        <v>UTU/2501103705</v>
      </c>
      <c r="J184" s="48"/>
    </row>
    <row r="185" spans="1:10" ht="28" customHeight="1" x14ac:dyDescent="0.2">
      <c r="A185" s="38" t="s">
        <v>30</v>
      </c>
      <c r="B185" s="38"/>
      <c r="C185" s="38" t="s">
        <v>31</v>
      </c>
      <c r="D185" s="38"/>
      <c r="E185" s="38"/>
      <c r="F185" s="38"/>
      <c r="G185" s="38"/>
      <c r="H185" s="15" t="s">
        <v>32</v>
      </c>
      <c r="I185" s="15" t="s">
        <v>12</v>
      </c>
      <c r="J185" s="15" t="s">
        <v>36</v>
      </c>
    </row>
    <row r="186" spans="1:10" ht="28" customHeight="1" x14ac:dyDescent="0.2">
      <c r="A186" s="46" t="str">
        <f ca="1">INDIRECT(_xlfn.TEXTJOIN("",TRUE,A203,"!",ADDRESS(13+(A204-1)*A200,1)))</f>
        <v>AHT 002</v>
      </c>
      <c r="B186" s="47"/>
      <c r="C186" s="43" t="str">
        <f ca="1">INDIRECT(_xlfn.TEXTJOIN("",TRUE,A203,"!",ADDRESS(13+(A204-1)*A200,2)))</f>
        <v>Engineering Chemistry</v>
      </c>
      <c r="D186" s="44"/>
      <c r="E186" s="44"/>
      <c r="F186" s="44"/>
      <c r="G186" s="45"/>
      <c r="H186" s="20">
        <f ca="1">INDIRECT(_xlfn.TEXTJOIN("",TRUE,A203,"!",ADDRESS(13+(A204-1)*A200,6)))</f>
        <v>4</v>
      </c>
      <c r="I186" s="20" t="str">
        <f ca="1">INDIRECT(_xlfn.TEXTJOIN("",TRUE,A203,"!",ADDRESS(13+(A204-1)*A200,13)))</f>
        <v>D</v>
      </c>
      <c r="J186" s="20">
        <f ca="1">INDIRECT(_xlfn.TEXTJOIN("",TRUE,A203,"!",ADDRESS(13+(A204-1)*A200,14)))</f>
        <v>6</v>
      </c>
    </row>
    <row r="187" spans="1:10" ht="28" customHeight="1" x14ac:dyDescent="0.2">
      <c r="A187" s="46" t="str">
        <f ca="1">INDIRECT(_xlfn.TEXTJOIN("",TRUE,A203,"!",ADDRESS(14+(A204-1)*A200,1)))</f>
        <v>AHT 003</v>
      </c>
      <c r="B187" s="47"/>
      <c r="C187" s="43" t="str">
        <f ca="1">INDIRECT(_xlfn.TEXTJOIN("",TRUE,A203,"!",ADDRESS(14+(A204-1)*A200,2)))</f>
        <v>Introduction to Engineering Mathematics</v>
      </c>
      <c r="D187" s="44"/>
      <c r="E187" s="44"/>
      <c r="F187" s="44"/>
      <c r="G187" s="45"/>
      <c r="H187" s="20">
        <f ca="1">INDIRECT(_xlfn.TEXTJOIN("",TRUE,A203,"!",ADDRESS(14+(A204-1)*A200,6)))</f>
        <v>4</v>
      </c>
      <c r="I187" s="20" t="str">
        <f ca="1">INDIRECT(_xlfn.TEXTJOIN("",TRUE,A203,"!",ADDRESS(14+(A204-1)*A200,13)))</f>
        <v>F</v>
      </c>
      <c r="J187" s="20">
        <f ca="1">INDIRECT(_xlfn.TEXTJOIN("",TRUE,A203,"!",ADDRESS(14+(A204-1)*A200,14)))</f>
        <v>0</v>
      </c>
    </row>
    <row r="188" spans="1:10" ht="28" customHeight="1" x14ac:dyDescent="0.2">
      <c r="A188" s="46" t="str">
        <f ca="1">INDIRECT(_xlfn.TEXTJOIN("",TRUE,A203,"!",ADDRESS(15+(A204-1)*A200,1)))</f>
        <v>ECT 001</v>
      </c>
      <c r="B188" s="47"/>
      <c r="C188" s="43" t="str">
        <f ca="1">INDIRECT(_xlfn.TEXTJOIN("",TRUE,A203,"!",ADDRESS(15+(A204-1)*A200,2)))</f>
        <v>Basic Electronics Engineering</v>
      </c>
      <c r="D188" s="44"/>
      <c r="E188" s="44"/>
      <c r="F188" s="44"/>
      <c r="G188" s="45"/>
      <c r="H188" s="20">
        <f ca="1">INDIRECT(_xlfn.TEXTJOIN("",TRUE,A203,"!",ADDRESS(15+(A204-1)*A200,6)))</f>
        <v>4</v>
      </c>
      <c r="I188" s="20" t="str">
        <f ca="1">INDIRECT(_xlfn.TEXTJOIN("",TRUE,A203,"!",ADDRESS(15+(A204-1)*A200,13)))</f>
        <v>E+</v>
      </c>
      <c r="J188" s="20">
        <f ca="1">INDIRECT(_xlfn.TEXTJOIN("",TRUE,A203,"!",ADDRESS(15+(A204-1)*A200,14)))</f>
        <v>5.5</v>
      </c>
    </row>
    <row r="189" spans="1:10" ht="28" customHeight="1" x14ac:dyDescent="0.2">
      <c r="A189" s="46" t="str">
        <f ca="1">INDIRECT(_xlfn.TEXTJOIN("",TRUE,A203,"!",ADDRESS(16+(A204-1)*A200,1)))</f>
        <v>MET 001</v>
      </c>
      <c r="B189" s="47"/>
      <c r="C189" s="43" t="str">
        <f ca="1">INDIRECT(_xlfn.TEXTJOIN("",TRUE,A203,"!",ADDRESS(16+(A204-1)*A200,2)))</f>
        <v>Basic Mechanical Engineering</v>
      </c>
      <c r="D189" s="44"/>
      <c r="E189" s="44"/>
      <c r="F189" s="44"/>
      <c r="G189" s="45"/>
      <c r="H189" s="20">
        <f ca="1">INDIRECT(_xlfn.TEXTJOIN("",TRUE,A203,"!",ADDRESS(16+(A204-1)*A200,6)))</f>
        <v>4</v>
      </c>
      <c r="I189" s="20" t="str">
        <f ca="1">INDIRECT(_xlfn.TEXTJOIN("",TRUE,A203,"!",ADDRESS(16+(A204-1)*A200,13)))</f>
        <v>D+</v>
      </c>
      <c r="J189" s="20">
        <f ca="1">INDIRECT(_xlfn.TEXTJOIN("",TRUE,A203,"!",ADDRESS(16+(A204-1)*A200,14)))</f>
        <v>6.5</v>
      </c>
    </row>
    <row r="190" spans="1:10" ht="28" customHeight="1" x14ac:dyDescent="0.2">
      <c r="A190" s="46" t="str">
        <f ca="1">INDIRECT(_xlfn.TEXTJOIN("",TRUE,A203,"!",ADDRESS(17+(A204-1)*A200,1)))</f>
        <v>AHT 000</v>
      </c>
      <c r="B190" s="47"/>
      <c r="C190" s="43" t="str">
        <f ca="1">INDIRECT(_xlfn.TEXTJOIN("",TRUE,A203,"!",ADDRESS(17+(A204-1)*A200,2)))</f>
        <v>Basic Mathematics (Bridge Course) ($)</v>
      </c>
      <c r="D190" s="44"/>
      <c r="E190" s="44"/>
      <c r="F190" s="44"/>
      <c r="G190" s="45"/>
      <c r="H190" s="20">
        <f ca="1">INDIRECT(_xlfn.TEXTJOIN("",TRUE,A203,"!",ADDRESS(17+(A204-1)*A200,6)))</f>
        <v>0</v>
      </c>
      <c r="I190" s="20" t="str">
        <f ca="1">INDIRECT(_xlfn.TEXTJOIN("",TRUE,A203,"!",ADDRESS(17+(A204-1)*A200,13)))</f>
        <v>E+</v>
      </c>
      <c r="J190" s="20">
        <f ca="1">INDIRECT(_xlfn.TEXTJOIN("",TRUE,A203,"!",ADDRESS(17+(A204-1)*A200,14)))</f>
        <v>5.5</v>
      </c>
    </row>
    <row r="191" spans="1:10" ht="28" customHeight="1" x14ac:dyDescent="0.2">
      <c r="A191" s="46" t="str">
        <f ca="1">INDIRECT(_xlfn.TEXTJOIN("",TRUE,A203,"!",ADDRESS(18+(A204-1)*A200,1)))</f>
        <v>AHP 002</v>
      </c>
      <c r="B191" s="47"/>
      <c r="C191" s="43" t="str">
        <f ca="1">INDIRECT(_xlfn.TEXTJOIN("",TRUE,A203,"!",ADDRESS(18+(A204-1)*A200,2)))</f>
        <v>Engineering Chemistry Lab</v>
      </c>
      <c r="D191" s="44"/>
      <c r="E191" s="44"/>
      <c r="F191" s="44"/>
      <c r="G191" s="45"/>
      <c r="H191" s="20">
        <f ca="1">INDIRECT(_xlfn.TEXTJOIN("",TRUE,A203,"!",ADDRESS(18+(A204-1)*A200,6)))</f>
        <v>1</v>
      </c>
      <c r="I191" s="20" t="str">
        <f ca="1">INDIRECT(_xlfn.TEXTJOIN("",TRUE,A203,"!",ADDRESS(18+(A204-1)*A200,13)))</f>
        <v>D+</v>
      </c>
      <c r="J191" s="20">
        <f ca="1">INDIRECT(_xlfn.TEXTJOIN("",TRUE,A203,"!",ADDRESS(18+(A204-1)*A200,14)))</f>
        <v>6.5</v>
      </c>
    </row>
    <row r="192" spans="1:10" ht="28" customHeight="1" x14ac:dyDescent="0.2">
      <c r="A192" s="46" t="str">
        <f ca="1">INDIRECT(_xlfn.TEXTJOIN("",TRUE,A203,"!",ADDRESS(19+(A204-1)*A200,1)))</f>
        <v>ECP 001</v>
      </c>
      <c r="B192" s="47"/>
      <c r="C192" s="43" t="str">
        <f ca="1">INDIRECT(_xlfn.TEXTJOIN("",TRUE,A203,"!",ADDRESS(19+(A204-1)*A200,2)))</f>
        <v>Basic Electronics Engineering Lab</v>
      </c>
      <c r="D192" s="44"/>
      <c r="E192" s="44"/>
      <c r="F192" s="44"/>
      <c r="G192" s="45"/>
      <c r="H192" s="20">
        <f ca="1">INDIRECT(_xlfn.TEXTJOIN("",TRUE,A203,"!",ADDRESS(19+(A204-1)*A200,6)))</f>
        <v>1</v>
      </c>
      <c r="I192" s="20" t="str">
        <f ca="1">INDIRECT(_xlfn.TEXTJOIN("",TRUE,A203,"!",ADDRESS(19+(A204-1)*A200,13)))</f>
        <v>C+</v>
      </c>
      <c r="J192" s="20">
        <f ca="1">INDIRECT(_xlfn.TEXTJOIN("",TRUE,A203,"!",ADDRESS(19+(A204-1)*A200,14)))</f>
        <v>7.5</v>
      </c>
    </row>
    <row r="193" spans="1:10" ht="28" customHeight="1" x14ac:dyDescent="0.2">
      <c r="A193" s="46" t="str">
        <f ca="1">INDIRECT(_xlfn.TEXTJOIN("",TRUE,A203,"!",ADDRESS(20+(A204-1)*A200,1)))</f>
        <v>MEP 001</v>
      </c>
      <c r="B193" s="47"/>
      <c r="C193" s="43" t="str">
        <f ca="1">INDIRECT(_xlfn.TEXTJOIN("",TRUE,A203,"!",ADDRESS(20+(A204-1)*A200,2)))</f>
        <v>Basic Mechanical Engineering Lab</v>
      </c>
      <c r="D193" s="44"/>
      <c r="E193" s="44"/>
      <c r="F193" s="44"/>
      <c r="G193" s="45"/>
      <c r="H193" s="20">
        <f ca="1">INDIRECT(_xlfn.TEXTJOIN("",TRUE,A203,"!",ADDRESS(20+(A204-1)*A200,6)))</f>
        <v>1</v>
      </c>
      <c r="I193" s="20" t="str">
        <f ca="1">INDIRECT(_xlfn.TEXTJOIN("",TRUE,A203,"!",ADDRESS(20+(A204-1)*A200,13)))</f>
        <v>A</v>
      </c>
      <c r="J193" s="20">
        <f ca="1">INDIRECT(_xlfn.TEXTJOIN("",TRUE,A203,"!",ADDRESS(20+(A204-1)*A200,14)))</f>
        <v>9</v>
      </c>
    </row>
    <row r="194" spans="1:10" ht="28" customHeight="1" x14ac:dyDescent="0.2">
      <c r="A194" s="46" t="str">
        <f ca="1">INDIRECT(_xlfn.TEXTJOIN("",TRUE,A203,"!",ADDRESS(21+(A204-1)*A200,1)))</f>
        <v>MEP 003</v>
      </c>
      <c r="B194" s="47"/>
      <c r="C194" s="43" t="str">
        <f ca="1">INDIRECT(_xlfn.TEXTJOIN("",TRUE,A203,"!",ADDRESS(21+(A204-1)*A200,2)))</f>
        <v>Workshop Practices Lab</v>
      </c>
      <c r="D194" s="44"/>
      <c r="E194" s="44"/>
      <c r="F194" s="44"/>
      <c r="G194" s="45"/>
      <c r="H194" s="20">
        <f ca="1">INDIRECT(_xlfn.TEXTJOIN("",TRUE,A203,"!",ADDRESS(21+(A204-1)*A200,6)))</f>
        <v>2</v>
      </c>
      <c r="I194" s="20" t="str">
        <f ca="1">INDIRECT(_xlfn.TEXTJOIN("",TRUE,A203,"!",ADDRESS(21+(A204-1)*A200,13)))</f>
        <v>A</v>
      </c>
      <c r="J194" s="20">
        <f ca="1">INDIRECT(_xlfn.TEXTJOIN("",TRUE,A203,"!",ADDRESS(21+(A204-1)*A200,14)))</f>
        <v>9</v>
      </c>
    </row>
    <row r="195" spans="1:10" ht="28" customHeight="1" x14ac:dyDescent="0.2">
      <c r="A195" s="46" t="str">
        <f ca="1">INDIRECT(_xlfn.TEXTJOIN("",TRUE,A203,"!",ADDRESS(22+(A204-1)*A200,1)))</f>
        <v>AHP 004</v>
      </c>
      <c r="B195" s="47"/>
      <c r="C195" s="43" t="str">
        <f ca="1">INDIRECT(_xlfn.TEXTJOIN("",TRUE,A203,"!",ADDRESS(22+(A204-1)*A200,2)))</f>
        <v>Emerging Technologies in Engineering Lab</v>
      </c>
      <c r="D195" s="44"/>
      <c r="E195" s="44"/>
      <c r="F195" s="44"/>
      <c r="G195" s="45"/>
      <c r="H195" s="20">
        <f ca="1">INDIRECT(_xlfn.TEXTJOIN("",TRUE,A203,"!",ADDRESS(22+(A204-1)*A200,6)))</f>
        <v>1</v>
      </c>
      <c r="I195" s="20" t="str">
        <f ca="1">INDIRECT(_xlfn.TEXTJOIN("",TRUE,A203,"!",ADDRESS(22+(A204-1)*A200,13)))</f>
        <v>A+</v>
      </c>
      <c r="J195" s="20">
        <f ca="1">INDIRECT(_xlfn.TEXTJOIN("",TRUE,A203,"!",ADDRESS(22+(A204-1)*A200,14)))</f>
        <v>9.5</v>
      </c>
    </row>
    <row r="196" spans="1:10" ht="28" customHeight="1" x14ac:dyDescent="0.2">
      <c r="A196" s="46" t="str">
        <f ca="1">INDIRECT(_xlfn.TEXTJOIN("",TRUE,A203,"!",ADDRESS(23+(A204-1)*A200,1)))</f>
        <v>CSP 002</v>
      </c>
      <c r="B196" s="47"/>
      <c r="C196" s="43" t="str">
        <f ca="1">INDIRECT(_xlfn.TEXTJOIN("",TRUE,A203,"!",ADDRESS(23+(A204-1)*A200,2)))</f>
        <v>Computer Applications and IOT</v>
      </c>
      <c r="D196" s="44"/>
      <c r="E196" s="44"/>
      <c r="F196" s="44"/>
      <c r="G196" s="45"/>
      <c r="H196" s="20">
        <f ca="1">INDIRECT(_xlfn.TEXTJOIN("",TRUE,A203,"!",ADDRESS(23+(A204-1)*A200,6)))</f>
        <v>1</v>
      </c>
      <c r="I196" s="20" t="str">
        <f ca="1">INDIRECT(_xlfn.TEXTJOIN("",TRUE,A203,"!",ADDRESS(23+(A204-1)*A200,13)))</f>
        <v>A+</v>
      </c>
      <c r="J196" s="20">
        <f ca="1">INDIRECT(_xlfn.TEXTJOIN("",TRUE,A203,"!",ADDRESS(23+(A204-1)*A200,14)))</f>
        <v>9.5</v>
      </c>
    </row>
    <row r="197" spans="1:10" ht="28" customHeight="1" x14ac:dyDescent="0.2">
      <c r="A197" s="46" t="str">
        <f ca="1">INDIRECT(_xlfn.TEXTJOIN("",TRUE,A203,"!",ADDRESS(24+(A204-1)*A200,1)))</f>
        <v>AHP 006</v>
      </c>
      <c r="B197" s="47"/>
      <c r="C197" s="43" t="str">
        <f ca="1">INDIRECT(_xlfn.TEXTJOIN("",TRUE,A203,"!",ADDRESS(24+(A204-1)*A200,2)))</f>
        <v>English Language Lab ($)</v>
      </c>
      <c r="D197" s="44"/>
      <c r="E197" s="44"/>
      <c r="F197" s="44"/>
      <c r="G197" s="45"/>
      <c r="H197" s="20">
        <f ca="1">INDIRECT(_xlfn.TEXTJOIN("",TRUE,A203,"!",ADDRESS(24+(A204-1)*A200,6)))</f>
        <v>0</v>
      </c>
      <c r="I197" s="20" t="str">
        <f ca="1">INDIRECT(_xlfn.TEXTJOIN("",TRUE,A203,"!",ADDRESS(24+(A204-1)*A200,13)))</f>
        <v>C</v>
      </c>
      <c r="J197" s="20">
        <f ca="1">INDIRECT(_xlfn.TEXTJOIN("",TRUE,A203,"!",ADDRESS(24+(A204-1)*A200,14)))</f>
        <v>7</v>
      </c>
    </row>
    <row r="198" spans="1:10" ht="28" customHeight="1" x14ac:dyDescent="0.2">
      <c r="A198" s="46" t="str">
        <f ca="1">INDIRECT(_xlfn.TEXTJOIN("",TRUE,A203,"!",ADDRESS(25+(A204-1)*A200,1)))</f>
        <v>GP 01</v>
      </c>
      <c r="B198" s="47"/>
      <c r="C198" s="43" t="str">
        <f ca="1">INDIRECT(_xlfn.TEXTJOIN("",TRUE,A203,"!",ADDRESS(25+(A204-1)*A200,2)))</f>
        <v>General Proficiency ($)</v>
      </c>
      <c r="D198" s="44"/>
      <c r="E198" s="44"/>
      <c r="F198" s="44"/>
      <c r="G198" s="45"/>
      <c r="H198" s="20">
        <f ca="1">INDIRECT(_xlfn.TEXTJOIN("",TRUE,A203,"!",ADDRESS(25+(A204-1)*A200,6)))</f>
        <v>0</v>
      </c>
      <c r="I198" s="41" t="str">
        <f ca="1">INDIRECT(_xlfn.TEXTJOIN("",TRUE,A203,"!",ADDRESS(25+(A204-1)*A200,13)))</f>
        <v>Excellent</v>
      </c>
      <c r="J198" s="42"/>
    </row>
    <row r="199" spans="1:10" ht="28" customHeight="1" x14ac:dyDescent="0.2">
      <c r="A199" s="35" t="s">
        <v>54</v>
      </c>
      <c r="B199" s="35"/>
      <c r="C199" s="35"/>
      <c r="D199" s="35"/>
      <c r="E199" s="35"/>
      <c r="F199" s="35"/>
      <c r="G199" s="35"/>
      <c r="H199" s="16">
        <f ca="1">SUM(H186:H198)</f>
        <v>23</v>
      </c>
      <c r="I199" s="16" t="s">
        <v>46</v>
      </c>
      <c r="J199" s="16">
        <f ca="1">SUMPRODUCT(J186:J197,H186:H197)</f>
        <v>132</v>
      </c>
    </row>
    <row r="200" spans="1:10" ht="28" customHeight="1" x14ac:dyDescent="0.2">
      <c r="A200" s="22">
        <f>ROWS(A186:B198)+9</f>
        <v>22</v>
      </c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ht="28" customHeight="1" x14ac:dyDescent="0.2">
      <c r="A201" s="36" t="s">
        <v>42</v>
      </c>
      <c r="B201" s="36"/>
      <c r="C201" s="21">
        <f ca="1">INDIRECT(_xlfn.TEXTJOIN("",TRUE,A203,"!",ADDRESS(5+A204*A200,12)))</f>
        <v>19</v>
      </c>
      <c r="D201" s="36" t="s">
        <v>40</v>
      </c>
      <c r="E201" s="36"/>
      <c r="F201" s="18">
        <f ca="1">INDIRECT(_xlfn.TEXTJOIN("",TRUE,A203,"!",ADDRESS(5+A204*A200,8)))</f>
        <v>5.7391304347826084</v>
      </c>
      <c r="G201" s="36" t="s">
        <v>41</v>
      </c>
      <c r="H201" s="36"/>
      <c r="I201" s="37">
        <f ca="1">INDIRECT(_xlfn.TEXTJOIN("",TRUE,A203,"!",ADDRESS(5+A204*A200,10)))</f>
        <v>5.7391304347826084</v>
      </c>
      <c r="J201" s="37"/>
    </row>
    <row r="202" spans="1:10" ht="28" customHeight="1" x14ac:dyDescent="0.2">
      <c r="A202" s="19" t="s">
        <v>38</v>
      </c>
      <c r="B202" s="38" t="str">
        <f ca="1">INDIRECT(_xlfn.TEXTJOIN("",TRUE,A203,"!",ADDRESS(5+A204*A200,2)))</f>
        <v>CARRY OVER</v>
      </c>
      <c r="C202" s="38"/>
      <c r="D202" s="39" t="s">
        <v>39</v>
      </c>
      <c r="E202" s="39"/>
      <c r="F202" s="40" t="str">
        <f ca="1">INDIRECT(_xlfn.TEXTJOIN("",TRUE,A203,"!",ADDRESS(5+A204*A200,5)))</f>
        <v>BACK IN AHT 003</v>
      </c>
      <c r="G202" s="40"/>
      <c r="H202" s="40"/>
      <c r="I202" s="40"/>
      <c r="J202" s="40"/>
    </row>
    <row r="203" spans="1:10" ht="28" customHeight="1" x14ac:dyDescent="0.2">
      <c r="A203" s="22" t="str">
        <f>A181</f>
        <v>TC_I</v>
      </c>
    </row>
    <row r="204" spans="1:10" ht="28" customHeight="1" x14ac:dyDescent="0.2">
      <c r="A204" s="22">
        <f>A182+1</f>
        <v>9</v>
      </c>
    </row>
    <row r="205" spans="1:10" ht="28" customHeight="1" x14ac:dyDescent="0.2">
      <c r="A205" s="49" t="s">
        <v>26</v>
      </c>
      <c r="B205" s="49"/>
      <c r="C205" s="49" t="str">
        <f ca="1">INDIRECT(_xlfn.TEXTJOIN("",TRUE,A225,"!",ADDRESS(9+(A226-1)*A222,2)))</f>
        <v>GAURAV SINGH KRISHALI</v>
      </c>
      <c r="D205" s="49"/>
      <c r="E205" s="49"/>
      <c r="F205" s="49" t="s">
        <v>52</v>
      </c>
      <c r="G205" s="49"/>
      <c r="H205" s="49"/>
      <c r="I205" s="48">
        <f ca="1">INDIRECT(_xlfn.TEXTJOIN("",TRUE,A225,"!",ADDRESS(9+(A226-1)*A222,9)))</f>
        <v>250090120010</v>
      </c>
      <c r="J205" s="48"/>
    </row>
    <row r="206" spans="1:10" ht="28" customHeight="1" x14ac:dyDescent="0.2">
      <c r="A206" s="49" t="s">
        <v>27</v>
      </c>
      <c r="B206" s="49"/>
      <c r="C206" s="49" t="str">
        <f ca="1">INDIRECT(_xlfn.TEXTJOIN("",TRUE,A225,"!",ADDRESS(9+(A226-1)*A222,5)))</f>
        <v>SURENDRA SINGH KRISHALI</v>
      </c>
      <c r="D206" s="49"/>
      <c r="E206" s="49"/>
      <c r="F206" s="50" t="s">
        <v>53</v>
      </c>
      <c r="G206" s="50"/>
      <c r="H206" s="50"/>
      <c r="I206" s="48" t="str">
        <f ca="1">INDIRECT(_xlfn.TEXTJOIN("",TRUE,A225,"!",ADDRESS(9+(A226-1)*A222,13)))</f>
        <v>UTU/2501103642</v>
      </c>
      <c r="J206" s="48"/>
    </row>
    <row r="207" spans="1:10" ht="28" customHeight="1" x14ac:dyDescent="0.2">
      <c r="A207" s="38" t="s">
        <v>30</v>
      </c>
      <c r="B207" s="38"/>
      <c r="C207" s="38" t="s">
        <v>31</v>
      </c>
      <c r="D207" s="38"/>
      <c r="E207" s="38"/>
      <c r="F207" s="38"/>
      <c r="G207" s="38"/>
      <c r="H207" s="15" t="s">
        <v>32</v>
      </c>
      <c r="I207" s="15" t="s">
        <v>12</v>
      </c>
      <c r="J207" s="15" t="s">
        <v>36</v>
      </c>
    </row>
    <row r="208" spans="1:10" ht="28" customHeight="1" x14ac:dyDescent="0.2">
      <c r="A208" s="46" t="str">
        <f ca="1">INDIRECT(_xlfn.TEXTJOIN("",TRUE,A225,"!",ADDRESS(13+(A226-1)*A222,1)))</f>
        <v>AHT 002</v>
      </c>
      <c r="B208" s="47"/>
      <c r="C208" s="43" t="str">
        <f ca="1">INDIRECT(_xlfn.TEXTJOIN("",TRUE,A225,"!",ADDRESS(13+(A226-1)*A222,2)))</f>
        <v>Engineering Chemistry</v>
      </c>
      <c r="D208" s="44"/>
      <c r="E208" s="44"/>
      <c r="F208" s="44"/>
      <c r="G208" s="45"/>
      <c r="H208" s="20">
        <f ca="1">INDIRECT(_xlfn.TEXTJOIN("",TRUE,A225,"!",ADDRESS(13+(A226-1)*A222,6)))</f>
        <v>4</v>
      </c>
      <c r="I208" s="20" t="str">
        <f ca="1">INDIRECT(_xlfn.TEXTJOIN("",TRUE,A225,"!",ADDRESS(13+(A226-1)*A222,13)))</f>
        <v>D+</v>
      </c>
      <c r="J208" s="20">
        <f ca="1">INDIRECT(_xlfn.TEXTJOIN("",TRUE,A225,"!",ADDRESS(13+(A226-1)*A222,14)))</f>
        <v>6.5</v>
      </c>
    </row>
    <row r="209" spans="1:10" ht="28" customHeight="1" x14ac:dyDescent="0.2">
      <c r="A209" s="46" t="str">
        <f ca="1">INDIRECT(_xlfn.TEXTJOIN("",TRUE,A225,"!",ADDRESS(14+(A226-1)*A222,1)))</f>
        <v>AHT 003</v>
      </c>
      <c r="B209" s="47"/>
      <c r="C209" s="43" t="str">
        <f ca="1">INDIRECT(_xlfn.TEXTJOIN("",TRUE,A225,"!",ADDRESS(14+(A226-1)*A222,2)))</f>
        <v>Introduction to Engineering Mathematics</v>
      </c>
      <c r="D209" s="44"/>
      <c r="E209" s="44"/>
      <c r="F209" s="44"/>
      <c r="G209" s="45"/>
      <c r="H209" s="20">
        <f ca="1">INDIRECT(_xlfn.TEXTJOIN("",TRUE,A225,"!",ADDRESS(14+(A226-1)*A222,6)))</f>
        <v>4</v>
      </c>
      <c r="I209" s="20" t="str">
        <f ca="1">INDIRECT(_xlfn.TEXTJOIN("",TRUE,A225,"!",ADDRESS(14+(A226-1)*A222,13)))</f>
        <v>E+</v>
      </c>
      <c r="J209" s="20">
        <f ca="1">INDIRECT(_xlfn.TEXTJOIN("",TRUE,A225,"!",ADDRESS(14+(A226-1)*A222,14)))</f>
        <v>5.5</v>
      </c>
    </row>
    <row r="210" spans="1:10" ht="28" customHeight="1" x14ac:dyDescent="0.2">
      <c r="A210" s="46" t="str">
        <f ca="1">INDIRECT(_xlfn.TEXTJOIN("",TRUE,A225,"!",ADDRESS(15+(A226-1)*A222,1)))</f>
        <v>ECT 001</v>
      </c>
      <c r="B210" s="47"/>
      <c r="C210" s="43" t="str">
        <f ca="1">INDIRECT(_xlfn.TEXTJOIN("",TRUE,A225,"!",ADDRESS(15+(A226-1)*A222,2)))</f>
        <v>Basic Electronics Engineering</v>
      </c>
      <c r="D210" s="44"/>
      <c r="E210" s="44"/>
      <c r="F210" s="44"/>
      <c r="G210" s="45"/>
      <c r="H210" s="20">
        <f ca="1">INDIRECT(_xlfn.TEXTJOIN("",TRUE,A225,"!",ADDRESS(15+(A226-1)*A222,6)))</f>
        <v>4</v>
      </c>
      <c r="I210" s="20" t="str">
        <f ca="1">INDIRECT(_xlfn.TEXTJOIN("",TRUE,A225,"!",ADDRESS(15+(A226-1)*A222,13)))</f>
        <v>C+</v>
      </c>
      <c r="J210" s="20">
        <f ca="1">INDIRECT(_xlfn.TEXTJOIN("",TRUE,A225,"!",ADDRESS(15+(A226-1)*A222,14)))</f>
        <v>7.5</v>
      </c>
    </row>
    <row r="211" spans="1:10" ht="28" customHeight="1" x14ac:dyDescent="0.2">
      <c r="A211" s="46" t="str">
        <f ca="1">INDIRECT(_xlfn.TEXTJOIN("",TRUE,A225,"!",ADDRESS(16+(A226-1)*A222,1)))</f>
        <v>MET 001</v>
      </c>
      <c r="B211" s="47"/>
      <c r="C211" s="43" t="str">
        <f ca="1">INDIRECT(_xlfn.TEXTJOIN("",TRUE,A225,"!",ADDRESS(16+(A226-1)*A222,2)))</f>
        <v>Basic Mechanical Engineering</v>
      </c>
      <c r="D211" s="44"/>
      <c r="E211" s="44"/>
      <c r="F211" s="44"/>
      <c r="G211" s="45"/>
      <c r="H211" s="20">
        <f ca="1">INDIRECT(_xlfn.TEXTJOIN("",TRUE,A225,"!",ADDRESS(16+(A226-1)*A222,6)))</f>
        <v>4</v>
      </c>
      <c r="I211" s="20" t="str">
        <f ca="1">INDIRECT(_xlfn.TEXTJOIN("",TRUE,A225,"!",ADDRESS(16+(A226-1)*A222,13)))</f>
        <v>D+</v>
      </c>
      <c r="J211" s="20">
        <f ca="1">INDIRECT(_xlfn.TEXTJOIN("",TRUE,A225,"!",ADDRESS(16+(A226-1)*A222,14)))</f>
        <v>6.5</v>
      </c>
    </row>
    <row r="212" spans="1:10" ht="28" customHeight="1" x14ac:dyDescent="0.2">
      <c r="A212" s="46" t="str">
        <f ca="1">INDIRECT(_xlfn.TEXTJOIN("",TRUE,A225,"!",ADDRESS(17+(A226-1)*A222,1)))</f>
        <v>BTT 001</v>
      </c>
      <c r="B212" s="47"/>
      <c r="C212" s="43" t="str">
        <f ca="1">INDIRECT(_xlfn.TEXTJOIN("",TRUE,A225,"!",ADDRESS(17+(A226-1)*A222,2)))</f>
        <v>Biology for Engineers (Bridge Course) ($)</v>
      </c>
      <c r="D212" s="44"/>
      <c r="E212" s="44"/>
      <c r="F212" s="44"/>
      <c r="G212" s="45"/>
      <c r="H212" s="20">
        <f ca="1">INDIRECT(_xlfn.TEXTJOIN("",TRUE,A225,"!",ADDRESS(17+(A226-1)*A222,6)))</f>
        <v>0</v>
      </c>
      <c r="I212" s="20" t="str">
        <f ca="1">INDIRECT(_xlfn.TEXTJOIN("",TRUE,A225,"!",ADDRESS(17+(A226-1)*A222,13)))</f>
        <v>D+</v>
      </c>
      <c r="J212" s="20">
        <f ca="1">INDIRECT(_xlfn.TEXTJOIN("",TRUE,A225,"!",ADDRESS(17+(A226-1)*A222,14)))</f>
        <v>6.5</v>
      </c>
    </row>
    <row r="213" spans="1:10" ht="28" customHeight="1" x14ac:dyDescent="0.2">
      <c r="A213" s="46" t="str">
        <f ca="1">INDIRECT(_xlfn.TEXTJOIN("",TRUE,A225,"!",ADDRESS(18+(A226-1)*A222,1)))</f>
        <v>AHP 002</v>
      </c>
      <c r="B213" s="47"/>
      <c r="C213" s="43" t="str">
        <f ca="1">INDIRECT(_xlfn.TEXTJOIN("",TRUE,A225,"!",ADDRESS(18+(A226-1)*A222,2)))</f>
        <v>Engineering Chemistry Lab</v>
      </c>
      <c r="D213" s="44"/>
      <c r="E213" s="44"/>
      <c r="F213" s="44"/>
      <c r="G213" s="45"/>
      <c r="H213" s="20">
        <f ca="1">INDIRECT(_xlfn.TEXTJOIN("",TRUE,A225,"!",ADDRESS(18+(A226-1)*A222,6)))</f>
        <v>1</v>
      </c>
      <c r="I213" s="20" t="str">
        <f ca="1">INDIRECT(_xlfn.TEXTJOIN("",TRUE,A225,"!",ADDRESS(18+(A226-1)*A222,13)))</f>
        <v>C+</v>
      </c>
      <c r="J213" s="20">
        <f ca="1">INDIRECT(_xlfn.TEXTJOIN("",TRUE,A225,"!",ADDRESS(18+(A226-1)*A222,14)))</f>
        <v>7.5</v>
      </c>
    </row>
    <row r="214" spans="1:10" ht="28" customHeight="1" x14ac:dyDescent="0.2">
      <c r="A214" s="46" t="str">
        <f ca="1">INDIRECT(_xlfn.TEXTJOIN("",TRUE,A225,"!",ADDRESS(19+(A226-1)*A222,1)))</f>
        <v>ECP 001</v>
      </c>
      <c r="B214" s="47"/>
      <c r="C214" s="43" t="str">
        <f ca="1">INDIRECT(_xlfn.TEXTJOIN("",TRUE,A225,"!",ADDRESS(19+(A226-1)*A222,2)))</f>
        <v>Basic Electronics Engineering Lab</v>
      </c>
      <c r="D214" s="44"/>
      <c r="E214" s="44"/>
      <c r="F214" s="44"/>
      <c r="G214" s="45"/>
      <c r="H214" s="20">
        <f ca="1">INDIRECT(_xlfn.TEXTJOIN("",TRUE,A225,"!",ADDRESS(19+(A226-1)*A222,6)))</f>
        <v>1</v>
      </c>
      <c r="I214" s="20" t="str">
        <f ca="1">INDIRECT(_xlfn.TEXTJOIN("",TRUE,A225,"!",ADDRESS(19+(A226-1)*A222,13)))</f>
        <v>C+</v>
      </c>
      <c r="J214" s="20">
        <f ca="1">INDIRECT(_xlfn.TEXTJOIN("",TRUE,A225,"!",ADDRESS(19+(A226-1)*A222,14)))</f>
        <v>7.5</v>
      </c>
    </row>
    <row r="215" spans="1:10" ht="28" customHeight="1" x14ac:dyDescent="0.2">
      <c r="A215" s="46" t="str">
        <f ca="1">INDIRECT(_xlfn.TEXTJOIN("",TRUE,A225,"!",ADDRESS(20+(A226-1)*A222,1)))</f>
        <v>MEP 001</v>
      </c>
      <c r="B215" s="47"/>
      <c r="C215" s="43" t="str">
        <f ca="1">INDIRECT(_xlfn.TEXTJOIN("",TRUE,A225,"!",ADDRESS(20+(A226-1)*A222,2)))</f>
        <v>Basic Mechanical Engineering Lab</v>
      </c>
      <c r="D215" s="44"/>
      <c r="E215" s="44"/>
      <c r="F215" s="44"/>
      <c r="G215" s="45"/>
      <c r="H215" s="20">
        <f ca="1">INDIRECT(_xlfn.TEXTJOIN("",TRUE,A225,"!",ADDRESS(20+(A226-1)*A222,6)))</f>
        <v>1</v>
      </c>
      <c r="I215" s="20" t="str">
        <f ca="1">INDIRECT(_xlfn.TEXTJOIN("",TRUE,A225,"!",ADDRESS(20+(A226-1)*A222,13)))</f>
        <v>A+</v>
      </c>
      <c r="J215" s="20">
        <f ca="1">INDIRECT(_xlfn.TEXTJOIN("",TRUE,A225,"!",ADDRESS(20+(A226-1)*A222,14)))</f>
        <v>9.5</v>
      </c>
    </row>
    <row r="216" spans="1:10" ht="28" customHeight="1" x14ac:dyDescent="0.2">
      <c r="A216" s="46" t="str">
        <f ca="1">INDIRECT(_xlfn.TEXTJOIN("",TRUE,A225,"!",ADDRESS(21+(A226-1)*A222,1)))</f>
        <v>MEP 003</v>
      </c>
      <c r="B216" s="47"/>
      <c r="C216" s="43" t="str">
        <f ca="1">INDIRECT(_xlfn.TEXTJOIN("",TRUE,A225,"!",ADDRESS(21+(A226-1)*A222,2)))</f>
        <v>Workshop Practices Lab</v>
      </c>
      <c r="D216" s="44"/>
      <c r="E216" s="44"/>
      <c r="F216" s="44"/>
      <c r="G216" s="45"/>
      <c r="H216" s="20">
        <f ca="1">INDIRECT(_xlfn.TEXTJOIN("",TRUE,A225,"!",ADDRESS(21+(A226-1)*A222,6)))</f>
        <v>2</v>
      </c>
      <c r="I216" s="20" t="str">
        <f ca="1">INDIRECT(_xlfn.TEXTJOIN("",TRUE,A225,"!",ADDRESS(21+(A226-1)*A222,13)))</f>
        <v>O</v>
      </c>
      <c r="J216" s="20">
        <f ca="1">INDIRECT(_xlfn.TEXTJOIN("",TRUE,A225,"!",ADDRESS(21+(A226-1)*A222,14)))</f>
        <v>10</v>
      </c>
    </row>
    <row r="217" spans="1:10" ht="28" customHeight="1" x14ac:dyDescent="0.2">
      <c r="A217" s="46" t="str">
        <f ca="1">INDIRECT(_xlfn.TEXTJOIN("",TRUE,A225,"!",ADDRESS(22+(A226-1)*A222,1)))</f>
        <v>AHP 004</v>
      </c>
      <c r="B217" s="47"/>
      <c r="C217" s="43" t="str">
        <f ca="1">INDIRECT(_xlfn.TEXTJOIN("",TRUE,A225,"!",ADDRESS(22+(A226-1)*A222,2)))</f>
        <v>Emerging Technologies in Engineering Lab</v>
      </c>
      <c r="D217" s="44"/>
      <c r="E217" s="44"/>
      <c r="F217" s="44"/>
      <c r="G217" s="45"/>
      <c r="H217" s="20">
        <f ca="1">INDIRECT(_xlfn.TEXTJOIN("",TRUE,A225,"!",ADDRESS(22+(A226-1)*A222,6)))</f>
        <v>1</v>
      </c>
      <c r="I217" s="20" t="str">
        <f ca="1">INDIRECT(_xlfn.TEXTJOIN("",TRUE,A225,"!",ADDRESS(22+(A226-1)*A222,13)))</f>
        <v>B+</v>
      </c>
      <c r="J217" s="20">
        <f ca="1">INDIRECT(_xlfn.TEXTJOIN("",TRUE,A225,"!",ADDRESS(22+(A226-1)*A222,14)))</f>
        <v>8.5</v>
      </c>
    </row>
    <row r="218" spans="1:10" ht="28" customHeight="1" x14ac:dyDescent="0.2">
      <c r="A218" s="46" t="str">
        <f ca="1">INDIRECT(_xlfn.TEXTJOIN("",TRUE,A225,"!",ADDRESS(23+(A226-1)*A222,1)))</f>
        <v>CSP 002</v>
      </c>
      <c r="B218" s="47"/>
      <c r="C218" s="43" t="str">
        <f ca="1">INDIRECT(_xlfn.TEXTJOIN("",TRUE,A225,"!",ADDRESS(23+(A226-1)*A222,2)))</f>
        <v>Computer Applications and IOT</v>
      </c>
      <c r="D218" s="44"/>
      <c r="E218" s="44"/>
      <c r="F218" s="44"/>
      <c r="G218" s="45"/>
      <c r="H218" s="20">
        <f ca="1">INDIRECT(_xlfn.TEXTJOIN("",TRUE,A225,"!",ADDRESS(23+(A226-1)*A222,6)))</f>
        <v>1</v>
      </c>
      <c r="I218" s="20" t="str">
        <f ca="1">INDIRECT(_xlfn.TEXTJOIN("",TRUE,A225,"!",ADDRESS(23+(A226-1)*A222,13)))</f>
        <v>A</v>
      </c>
      <c r="J218" s="20">
        <f ca="1">INDIRECT(_xlfn.TEXTJOIN("",TRUE,A225,"!",ADDRESS(23+(A226-1)*A222,14)))</f>
        <v>9</v>
      </c>
    </row>
    <row r="219" spans="1:10" ht="28" customHeight="1" x14ac:dyDescent="0.2">
      <c r="A219" s="46" t="str">
        <f ca="1">INDIRECT(_xlfn.TEXTJOIN("",TRUE,A225,"!",ADDRESS(24+(A226-1)*A222,1)))</f>
        <v>AHP 006</v>
      </c>
      <c r="B219" s="47"/>
      <c r="C219" s="43" t="str">
        <f ca="1">INDIRECT(_xlfn.TEXTJOIN("",TRUE,A225,"!",ADDRESS(24+(A226-1)*A222,2)))</f>
        <v>English Language Lab ($)</v>
      </c>
      <c r="D219" s="44"/>
      <c r="E219" s="44"/>
      <c r="F219" s="44"/>
      <c r="G219" s="45"/>
      <c r="H219" s="20">
        <f ca="1">INDIRECT(_xlfn.TEXTJOIN("",TRUE,A225,"!",ADDRESS(24+(A226-1)*A222,6)))</f>
        <v>0</v>
      </c>
      <c r="I219" s="20" t="str">
        <f ca="1">INDIRECT(_xlfn.TEXTJOIN("",TRUE,A225,"!",ADDRESS(24+(A226-1)*A222,13)))</f>
        <v>D+</v>
      </c>
      <c r="J219" s="20">
        <f ca="1">INDIRECT(_xlfn.TEXTJOIN("",TRUE,A225,"!",ADDRESS(24+(A226-1)*A222,14)))</f>
        <v>6.5</v>
      </c>
    </row>
    <row r="220" spans="1:10" ht="28" customHeight="1" x14ac:dyDescent="0.2">
      <c r="A220" s="46" t="str">
        <f ca="1">INDIRECT(_xlfn.TEXTJOIN("",TRUE,A225,"!",ADDRESS(25+(A226-1)*A222,1)))</f>
        <v>GP 01</v>
      </c>
      <c r="B220" s="47"/>
      <c r="C220" s="43" t="str">
        <f ca="1">INDIRECT(_xlfn.TEXTJOIN("",TRUE,A225,"!",ADDRESS(25+(A226-1)*A222,2)))</f>
        <v>General Proficiency ($)</v>
      </c>
      <c r="D220" s="44"/>
      <c r="E220" s="44"/>
      <c r="F220" s="44"/>
      <c r="G220" s="45"/>
      <c r="H220" s="20">
        <f ca="1">INDIRECT(_xlfn.TEXTJOIN("",TRUE,A225,"!",ADDRESS(25+(A226-1)*A222,6)))</f>
        <v>0</v>
      </c>
      <c r="I220" s="41" t="str">
        <f ca="1">INDIRECT(_xlfn.TEXTJOIN("",TRUE,A225,"!",ADDRESS(25+(A226-1)*A222,13)))</f>
        <v>Excellent</v>
      </c>
      <c r="J220" s="42"/>
    </row>
    <row r="221" spans="1:10" ht="28" customHeight="1" x14ac:dyDescent="0.2">
      <c r="A221" s="35" t="s">
        <v>54</v>
      </c>
      <c r="B221" s="35"/>
      <c r="C221" s="35"/>
      <c r="D221" s="35"/>
      <c r="E221" s="35"/>
      <c r="F221" s="35"/>
      <c r="G221" s="35"/>
      <c r="H221" s="16">
        <f ca="1">SUM(H208:H220)</f>
        <v>23</v>
      </c>
      <c r="I221" s="16" t="s">
        <v>46</v>
      </c>
      <c r="J221" s="16">
        <f ca="1">SUMPRODUCT(J208:J219,H208:H219)</f>
        <v>166</v>
      </c>
    </row>
    <row r="222" spans="1:10" ht="28" customHeight="1" x14ac:dyDescent="0.2">
      <c r="A222" s="22">
        <f>ROWS(A208:B220)+9</f>
        <v>22</v>
      </c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1:10" ht="28" customHeight="1" x14ac:dyDescent="0.2">
      <c r="A223" s="36" t="s">
        <v>42</v>
      </c>
      <c r="B223" s="36"/>
      <c r="C223" s="21">
        <f ca="1">INDIRECT(_xlfn.TEXTJOIN("",TRUE,A225,"!",ADDRESS(5+A226*A222,12)))</f>
        <v>23</v>
      </c>
      <c r="D223" s="36" t="s">
        <v>40</v>
      </c>
      <c r="E223" s="36"/>
      <c r="F223" s="18">
        <f ca="1">INDIRECT(_xlfn.TEXTJOIN("",TRUE,A225,"!",ADDRESS(5+A226*A222,8)))</f>
        <v>7.2173913043478262</v>
      </c>
      <c r="G223" s="36" t="s">
        <v>41</v>
      </c>
      <c r="H223" s="36"/>
      <c r="I223" s="37">
        <f ca="1">INDIRECT(_xlfn.TEXTJOIN("",TRUE,A225,"!",ADDRESS(5+A226*A222,10)))</f>
        <v>7.2173913043478262</v>
      </c>
      <c r="J223" s="37"/>
    </row>
    <row r="224" spans="1:10" ht="28" customHeight="1" x14ac:dyDescent="0.2">
      <c r="A224" s="19" t="s">
        <v>38</v>
      </c>
      <c r="B224" s="38" t="str">
        <f ca="1">INDIRECT(_xlfn.TEXTJOIN("",TRUE,A225,"!",ADDRESS(5+A226*A222,2)))</f>
        <v>PASS</v>
      </c>
      <c r="C224" s="38"/>
      <c r="D224" s="39" t="s">
        <v>39</v>
      </c>
      <c r="E224" s="39"/>
      <c r="F224" s="40" t="str">
        <f ca="1">INDIRECT(_xlfn.TEXTJOIN("",TRUE,A225,"!",ADDRESS(5+A226*A222,5)))</f>
        <v/>
      </c>
      <c r="G224" s="40"/>
      <c r="H224" s="40"/>
      <c r="I224" s="40"/>
      <c r="J224" s="40"/>
    </row>
    <row r="225" spans="1:10" ht="28" customHeight="1" x14ac:dyDescent="0.2">
      <c r="A225" s="22" t="str">
        <f>A203</f>
        <v>TC_I</v>
      </c>
    </row>
    <row r="226" spans="1:10" ht="28" customHeight="1" x14ac:dyDescent="0.2">
      <c r="A226" s="22">
        <f>A204+1</f>
        <v>10</v>
      </c>
    </row>
    <row r="227" spans="1:10" ht="28" customHeight="1" x14ac:dyDescent="0.2">
      <c r="A227" s="49" t="s">
        <v>26</v>
      </c>
      <c r="B227" s="49"/>
      <c r="C227" s="49" t="str">
        <f ca="1">INDIRECT(_xlfn.TEXTJOIN("",TRUE,A247,"!",ADDRESS(9+(A248-1)*A244,2)))</f>
        <v>KHUSHI BUDAKOTI</v>
      </c>
      <c r="D227" s="49"/>
      <c r="E227" s="49"/>
      <c r="F227" s="49" t="s">
        <v>52</v>
      </c>
      <c r="G227" s="49"/>
      <c r="H227" s="49"/>
      <c r="I227" s="48">
        <f ca="1">INDIRECT(_xlfn.TEXTJOIN("",TRUE,A247,"!",ADDRESS(9+(A248-1)*A244,9)))</f>
        <v>250090120012</v>
      </c>
      <c r="J227" s="48"/>
    </row>
    <row r="228" spans="1:10" ht="28" customHeight="1" x14ac:dyDescent="0.2">
      <c r="A228" s="49" t="s">
        <v>27</v>
      </c>
      <c r="B228" s="49"/>
      <c r="C228" s="49" t="str">
        <f ca="1">INDIRECT(_xlfn.TEXTJOIN("",TRUE,A247,"!",ADDRESS(9+(A248-1)*A244,5)))</f>
        <v>RAKESH CHANDRA</v>
      </c>
      <c r="D228" s="49"/>
      <c r="E228" s="49"/>
      <c r="F228" s="50" t="s">
        <v>53</v>
      </c>
      <c r="G228" s="50"/>
      <c r="H228" s="50"/>
      <c r="I228" s="48" t="str">
        <f ca="1">INDIRECT(_xlfn.TEXTJOIN("",TRUE,A247,"!",ADDRESS(9+(A248-1)*A244,13)))</f>
        <v>UTU/2501103798</v>
      </c>
      <c r="J228" s="48"/>
    </row>
    <row r="229" spans="1:10" ht="28" customHeight="1" x14ac:dyDescent="0.2">
      <c r="A229" s="38" t="s">
        <v>30</v>
      </c>
      <c r="B229" s="38"/>
      <c r="C229" s="38" t="s">
        <v>31</v>
      </c>
      <c r="D229" s="38"/>
      <c r="E229" s="38"/>
      <c r="F229" s="38"/>
      <c r="G229" s="38"/>
      <c r="H229" s="15" t="s">
        <v>32</v>
      </c>
      <c r="I229" s="15" t="s">
        <v>12</v>
      </c>
      <c r="J229" s="15" t="s">
        <v>36</v>
      </c>
    </row>
    <row r="230" spans="1:10" ht="28" customHeight="1" x14ac:dyDescent="0.2">
      <c r="A230" s="46" t="str">
        <f ca="1">INDIRECT(_xlfn.TEXTJOIN("",TRUE,A247,"!",ADDRESS(13+(A248-1)*A244,1)))</f>
        <v>AHT 002</v>
      </c>
      <c r="B230" s="47"/>
      <c r="C230" s="43" t="str">
        <f ca="1">INDIRECT(_xlfn.TEXTJOIN("",TRUE,A247,"!",ADDRESS(13+(A248-1)*A244,2)))</f>
        <v>Engineering Chemistry</v>
      </c>
      <c r="D230" s="44"/>
      <c r="E230" s="44"/>
      <c r="F230" s="44"/>
      <c r="G230" s="45"/>
      <c r="H230" s="20">
        <f ca="1">INDIRECT(_xlfn.TEXTJOIN("",TRUE,A247,"!",ADDRESS(13+(A248-1)*A244,6)))</f>
        <v>4</v>
      </c>
      <c r="I230" s="20" t="str">
        <f ca="1">INDIRECT(_xlfn.TEXTJOIN("",TRUE,A247,"!",ADDRESS(13+(A248-1)*A244,13)))</f>
        <v>E+</v>
      </c>
      <c r="J230" s="20">
        <f ca="1">INDIRECT(_xlfn.TEXTJOIN("",TRUE,A247,"!",ADDRESS(13+(A248-1)*A244,14)))</f>
        <v>5.5</v>
      </c>
    </row>
    <row r="231" spans="1:10" ht="28" customHeight="1" x14ac:dyDescent="0.2">
      <c r="A231" s="46" t="str">
        <f ca="1">INDIRECT(_xlfn.TEXTJOIN("",TRUE,A247,"!",ADDRESS(14+(A248-1)*A244,1)))</f>
        <v>AHT 003</v>
      </c>
      <c r="B231" s="47"/>
      <c r="C231" s="43" t="str">
        <f ca="1">INDIRECT(_xlfn.TEXTJOIN("",TRUE,A247,"!",ADDRESS(14+(A248-1)*A244,2)))</f>
        <v>Introduction to Engineering Mathematics</v>
      </c>
      <c r="D231" s="44"/>
      <c r="E231" s="44"/>
      <c r="F231" s="44"/>
      <c r="G231" s="45"/>
      <c r="H231" s="20">
        <f ca="1">INDIRECT(_xlfn.TEXTJOIN("",TRUE,A247,"!",ADDRESS(14+(A248-1)*A244,6)))</f>
        <v>4</v>
      </c>
      <c r="I231" s="20" t="str">
        <f ca="1">INDIRECT(_xlfn.TEXTJOIN("",TRUE,A247,"!",ADDRESS(14+(A248-1)*A244,13)))</f>
        <v>F</v>
      </c>
      <c r="J231" s="20">
        <f ca="1">INDIRECT(_xlfn.TEXTJOIN("",TRUE,A247,"!",ADDRESS(14+(A248-1)*A244,14)))</f>
        <v>0</v>
      </c>
    </row>
    <row r="232" spans="1:10" ht="28" customHeight="1" x14ac:dyDescent="0.2">
      <c r="A232" s="46" t="str">
        <f ca="1">INDIRECT(_xlfn.TEXTJOIN("",TRUE,A247,"!",ADDRESS(15+(A248-1)*A244,1)))</f>
        <v>ECT 001</v>
      </c>
      <c r="B232" s="47"/>
      <c r="C232" s="43" t="str">
        <f ca="1">INDIRECT(_xlfn.TEXTJOIN("",TRUE,A247,"!",ADDRESS(15+(A248-1)*A244,2)))</f>
        <v>Basic Electronics Engineering</v>
      </c>
      <c r="D232" s="44"/>
      <c r="E232" s="44"/>
      <c r="F232" s="44"/>
      <c r="G232" s="45"/>
      <c r="H232" s="20">
        <f ca="1">INDIRECT(_xlfn.TEXTJOIN("",TRUE,A247,"!",ADDRESS(15+(A248-1)*A244,6)))</f>
        <v>4</v>
      </c>
      <c r="I232" s="20" t="str">
        <f ca="1">INDIRECT(_xlfn.TEXTJOIN("",TRUE,A247,"!",ADDRESS(15+(A248-1)*A244,13)))</f>
        <v>D</v>
      </c>
      <c r="J232" s="20">
        <f ca="1">INDIRECT(_xlfn.TEXTJOIN("",TRUE,A247,"!",ADDRESS(15+(A248-1)*A244,14)))</f>
        <v>6</v>
      </c>
    </row>
    <row r="233" spans="1:10" ht="28" customHeight="1" x14ac:dyDescent="0.2">
      <c r="A233" s="46" t="str">
        <f ca="1">INDIRECT(_xlfn.TEXTJOIN("",TRUE,A247,"!",ADDRESS(16+(A248-1)*A244,1)))</f>
        <v>MET 001</v>
      </c>
      <c r="B233" s="47"/>
      <c r="C233" s="43" t="str">
        <f ca="1">INDIRECT(_xlfn.TEXTJOIN("",TRUE,A247,"!",ADDRESS(16+(A248-1)*A244,2)))</f>
        <v>Basic Mechanical Engineering</v>
      </c>
      <c r="D233" s="44"/>
      <c r="E233" s="44"/>
      <c r="F233" s="44"/>
      <c r="G233" s="45"/>
      <c r="H233" s="20">
        <f ca="1">INDIRECT(_xlfn.TEXTJOIN("",TRUE,A247,"!",ADDRESS(16+(A248-1)*A244,6)))</f>
        <v>4</v>
      </c>
      <c r="I233" s="20" t="str">
        <f ca="1">INDIRECT(_xlfn.TEXTJOIN("",TRUE,A247,"!",ADDRESS(16+(A248-1)*A244,13)))</f>
        <v>D+</v>
      </c>
      <c r="J233" s="20">
        <f ca="1">INDIRECT(_xlfn.TEXTJOIN("",TRUE,A247,"!",ADDRESS(16+(A248-1)*A244,14)))</f>
        <v>6.5</v>
      </c>
    </row>
    <row r="234" spans="1:10" ht="28" customHeight="1" x14ac:dyDescent="0.2">
      <c r="A234" s="46" t="str">
        <f ca="1">INDIRECT(_xlfn.TEXTJOIN("",TRUE,A247,"!",ADDRESS(17+(A248-1)*A244,1)))</f>
        <v>AHT 000</v>
      </c>
      <c r="B234" s="47"/>
      <c r="C234" s="43" t="str">
        <f ca="1">INDIRECT(_xlfn.TEXTJOIN("",TRUE,A247,"!",ADDRESS(17+(A248-1)*A244,2)))</f>
        <v>Basic Mathematics (Bridge Course) ($)</v>
      </c>
      <c r="D234" s="44"/>
      <c r="E234" s="44"/>
      <c r="F234" s="44"/>
      <c r="G234" s="45"/>
      <c r="H234" s="20">
        <f ca="1">INDIRECT(_xlfn.TEXTJOIN("",TRUE,A247,"!",ADDRESS(17+(A248-1)*A244,6)))</f>
        <v>0</v>
      </c>
      <c r="I234" s="20" t="str">
        <f ca="1">INDIRECT(_xlfn.TEXTJOIN("",TRUE,A247,"!",ADDRESS(17+(A248-1)*A244,13)))</f>
        <v>P</v>
      </c>
      <c r="J234" s="20">
        <f ca="1">INDIRECT(_xlfn.TEXTJOIN("",TRUE,A247,"!",ADDRESS(17+(A248-1)*A244,14)))</f>
        <v>4.5</v>
      </c>
    </row>
    <row r="235" spans="1:10" ht="28" customHeight="1" x14ac:dyDescent="0.2">
      <c r="A235" s="46" t="str">
        <f ca="1">INDIRECT(_xlfn.TEXTJOIN("",TRUE,A247,"!",ADDRESS(18+(A248-1)*A244,1)))</f>
        <v>AHP 002</v>
      </c>
      <c r="B235" s="47"/>
      <c r="C235" s="43" t="str">
        <f ca="1">INDIRECT(_xlfn.TEXTJOIN("",TRUE,A247,"!",ADDRESS(18+(A248-1)*A244,2)))</f>
        <v>Engineering Chemistry Lab</v>
      </c>
      <c r="D235" s="44"/>
      <c r="E235" s="44"/>
      <c r="F235" s="44"/>
      <c r="G235" s="45"/>
      <c r="H235" s="20">
        <f ca="1">INDIRECT(_xlfn.TEXTJOIN("",TRUE,A247,"!",ADDRESS(18+(A248-1)*A244,6)))</f>
        <v>1</v>
      </c>
      <c r="I235" s="20" t="str">
        <f ca="1">INDIRECT(_xlfn.TEXTJOIN("",TRUE,A247,"!",ADDRESS(18+(A248-1)*A244,13)))</f>
        <v>C</v>
      </c>
      <c r="J235" s="20">
        <f ca="1">INDIRECT(_xlfn.TEXTJOIN("",TRUE,A247,"!",ADDRESS(18+(A248-1)*A244,14)))</f>
        <v>7</v>
      </c>
    </row>
    <row r="236" spans="1:10" ht="28" customHeight="1" x14ac:dyDescent="0.2">
      <c r="A236" s="46" t="str">
        <f ca="1">INDIRECT(_xlfn.TEXTJOIN("",TRUE,A247,"!",ADDRESS(19+(A248-1)*A244,1)))</f>
        <v>ECP 001</v>
      </c>
      <c r="B236" s="47"/>
      <c r="C236" s="43" t="str">
        <f ca="1">INDIRECT(_xlfn.TEXTJOIN("",TRUE,A247,"!",ADDRESS(19+(A248-1)*A244,2)))</f>
        <v>Basic Electronics Engineering Lab</v>
      </c>
      <c r="D236" s="44"/>
      <c r="E236" s="44"/>
      <c r="F236" s="44"/>
      <c r="G236" s="45"/>
      <c r="H236" s="20">
        <f ca="1">INDIRECT(_xlfn.TEXTJOIN("",TRUE,A247,"!",ADDRESS(19+(A248-1)*A244,6)))</f>
        <v>1</v>
      </c>
      <c r="I236" s="20" t="str">
        <f ca="1">INDIRECT(_xlfn.TEXTJOIN("",TRUE,A247,"!",ADDRESS(19+(A248-1)*A244,13)))</f>
        <v>C+</v>
      </c>
      <c r="J236" s="20">
        <f ca="1">INDIRECT(_xlfn.TEXTJOIN("",TRUE,A247,"!",ADDRESS(19+(A248-1)*A244,14)))</f>
        <v>7.5</v>
      </c>
    </row>
    <row r="237" spans="1:10" ht="28" customHeight="1" x14ac:dyDescent="0.2">
      <c r="A237" s="46" t="str">
        <f ca="1">INDIRECT(_xlfn.TEXTJOIN("",TRUE,A247,"!",ADDRESS(20+(A248-1)*A244,1)))</f>
        <v>MEP 001</v>
      </c>
      <c r="B237" s="47"/>
      <c r="C237" s="43" t="str">
        <f ca="1">INDIRECT(_xlfn.TEXTJOIN("",TRUE,A247,"!",ADDRESS(20+(A248-1)*A244,2)))</f>
        <v>Basic Mechanical Engineering Lab</v>
      </c>
      <c r="D237" s="44"/>
      <c r="E237" s="44"/>
      <c r="F237" s="44"/>
      <c r="G237" s="45"/>
      <c r="H237" s="20">
        <f ca="1">INDIRECT(_xlfn.TEXTJOIN("",TRUE,A247,"!",ADDRESS(20+(A248-1)*A244,6)))</f>
        <v>1</v>
      </c>
      <c r="I237" s="20" t="str">
        <f ca="1">INDIRECT(_xlfn.TEXTJOIN("",TRUE,A247,"!",ADDRESS(20+(A248-1)*A244,13)))</f>
        <v>A</v>
      </c>
      <c r="J237" s="20">
        <f ca="1">INDIRECT(_xlfn.TEXTJOIN("",TRUE,A247,"!",ADDRESS(20+(A248-1)*A244,14)))</f>
        <v>9</v>
      </c>
    </row>
    <row r="238" spans="1:10" ht="28" customHeight="1" x14ac:dyDescent="0.2">
      <c r="A238" s="46" t="str">
        <f ca="1">INDIRECT(_xlfn.TEXTJOIN("",TRUE,A247,"!",ADDRESS(21+(A248-1)*A244,1)))</f>
        <v>MEP 003</v>
      </c>
      <c r="B238" s="47"/>
      <c r="C238" s="43" t="str">
        <f ca="1">INDIRECT(_xlfn.TEXTJOIN("",TRUE,A247,"!",ADDRESS(21+(A248-1)*A244,2)))</f>
        <v>Workshop Practices Lab</v>
      </c>
      <c r="D238" s="44"/>
      <c r="E238" s="44"/>
      <c r="F238" s="44"/>
      <c r="G238" s="45"/>
      <c r="H238" s="20">
        <f ca="1">INDIRECT(_xlfn.TEXTJOIN("",TRUE,A247,"!",ADDRESS(21+(A248-1)*A244,6)))</f>
        <v>2</v>
      </c>
      <c r="I238" s="20" t="str">
        <f ca="1">INDIRECT(_xlfn.TEXTJOIN("",TRUE,A247,"!",ADDRESS(21+(A248-1)*A244,13)))</f>
        <v>A</v>
      </c>
      <c r="J238" s="20">
        <f ca="1">INDIRECT(_xlfn.TEXTJOIN("",TRUE,A247,"!",ADDRESS(21+(A248-1)*A244,14)))</f>
        <v>9</v>
      </c>
    </row>
    <row r="239" spans="1:10" ht="28" customHeight="1" x14ac:dyDescent="0.2">
      <c r="A239" s="46" t="str">
        <f ca="1">INDIRECT(_xlfn.TEXTJOIN("",TRUE,A247,"!",ADDRESS(22+(A248-1)*A244,1)))</f>
        <v>AHP 004</v>
      </c>
      <c r="B239" s="47"/>
      <c r="C239" s="43" t="str">
        <f ca="1">INDIRECT(_xlfn.TEXTJOIN("",TRUE,A247,"!",ADDRESS(22+(A248-1)*A244,2)))</f>
        <v>Emerging Technologies in Engineering Lab</v>
      </c>
      <c r="D239" s="44"/>
      <c r="E239" s="44"/>
      <c r="F239" s="44"/>
      <c r="G239" s="45"/>
      <c r="H239" s="20">
        <f ca="1">INDIRECT(_xlfn.TEXTJOIN("",TRUE,A247,"!",ADDRESS(22+(A248-1)*A244,6)))</f>
        <v>1</v>
      </c>
      <c r="I239" s="20" t="str">
        <f ca="1">INDIRECT(_xlfn.TEXTJOIN("",TRUE,A247,"!",ADDRESS(22+(A248-1)*A244,13)))</f>
        <v>A+</v>
      </c>
      <c r="J239" s="20">
        <f ca="1">INDIRECT(_xlfn.TEXTJOIN("",TRUE,A247,"!",ADDRESS(22+(A248-1)*A244,14)))</f>
        <v>9.5</v>
      </c>
    </row>
    <row r="240" spans="1:10" ht="28" customHeight="1" x14ac:dyDescent="0.2">
      <c r="A240" s="46" t="str">
        <f ca="1">INDIRECT(_xlfn.TEXTJOIN("",TRUE,A247,"!",ADDRESS(23+(A248-1)*A244,1)))</f>
        <v>CSP 002</v>
      </c>
      <c r="B240" s="47"/>
      <c r="C240" s="43" t="str">
        <f ca="1">INDIRECT(_xlfn.TEXTJOIN("",TRUE,A247,"!",ADDRESS(23+(A248-1)*A244,2)))</f>
        <v>Computer Applications and IOT</v>
      </c>
      <c r="D240" s="44"/>
      <c r="E240" s="44"/>
      <c r="F240" s="44"/>
      <c r="G240" s="45"/>
      <c r="H240" s="20">
        <f ca="1">INDIRECT(_xlfn.TEXTJOIN("",TRUE,A247,"!",ADDRESS(23+(A248-1)*A244,6)))</f>
        <v>1</v>
      </c>
      <c r="I240" s="20" t="str">
        <f ca="1">INDIRECT(_xlfn.TEXTJOIN("",TRUE,A247,"!",ADDRESS(23+(A248-1)*A244,13)))</f>
        <v>O</v>
      </c>
      <c r="J240" s="20">
        <f ca="1">INDIRECT(_xlfn.TEXTJOIN("",TRUE,A247,"!",ADDRESS(23+(A248-1)*A244,14)))</f>
        <v>10</v>
      </c>
    </row>
    <row r="241" spans="1:10" ht="28" customHeight="1" x14ac:dyDescent="0.2">
      <c r="A241" s="46" t="str">
        <f ca="1">INDIRECT(_xlfn.TEXTJOIN("",TRUE,A247,"!",ADDRESS(24+(A248-1)*A244,1)))</f>
        <v>AHP 006</v>
      </c>
      <c r="B241" s="47"/>
      <c r="C241" s="43" t="str">
        <f ca="1">INDIRECT(_xlfn.TEXTJOIN("",TRUE,A247,"!",ADDRESS(24+(A248-1)*A244,2)))</f>
        <v>English Language Lab ($)</v>
      </c>
      <c r="D241" s="44"/>
      <c r="E241" s="44"/>
      <c r="F241" s="44"/>
      <c r="G241" s="45"/>
      <c r="H241" s="20">
        <f ca="1">INDIRECT(_xlfn.TEXTJOIN("",TRUE,A247,"!",ADDRESS(24+(A248-1)*A244,6)))</f>
        <v>0</v>
      </c>
      <c r="I241" s="20" t="str">
        <f ca="1">INDIRECT(_xlfn.TEXTJOIN("",TRUE,A247,"!",ADDRESS(24+(A248-1)*A244,13)))</f>
        <v>C+</v>
      </c>
      <c r="J241" s="20">
        <f ca="1">INDIRECT(_xlfn.TEXTJOIN("",TRUE,A247,"!",ADDRESS(24+(A248-1)*A244,14)))</f>
        <v>7.5</v>
      </c>
    </row>
    <row r="242" spans="1:10" ht="28" customHeight="1" x14ac:dyDescent="0.2">
      <c r="A242" s="46" t="str">
        <f ca="1">INDIRECT(_xlfn.TEXTJOIN("",TRUE,A247,"!",ADDRESS(25+(A248-1)*A244,1)))</f>
        <v>GP 01</v>
      </c>
      <c r="B242" s="47"/>
      <c r="C242" s="43" t="str">
        <f ca="1">INDIRECT(_xlfn.TEXTJOIN("",TRUE,A247,"!",ADDRESS(25+(A248-1)*A244,2)))</f>
        <v>General Proficiency ($)</v>
      </c>
      <c r="D242" s="44"/>
      <c r="E242" s="44"/>
      <c r="F242" s="44"/>
      <c r="G242" s="45"/>
      <c r="H242" s="20">
        <f ca="1">INDIRECT(_xlfn.TEXTJOIN("",TRUE,A247,"!",ADDRESS(25+(A248-1)*A244,6)))</f>
        <v>0</v>
      </c>
      <c r="I242" s="41" t="str">
        <f ca="1">INDIRECT(_xlfn.TEXTJOIN("",TRUE,A247,"!",ADDRESS(25+(A248-1)*A244,13)))</f>
        <v>Excellent</v>
      </c>
      <c r="J242" s="42"/>
    </row>
    <row r="243" spans="1:10" ht="28" customHeight="1" x14ac:dyDescent="0.2">
      <c r="A243" s="35" t="s">
        <v>54</v>
      </c>
      <c r="B243" s="35"/>
      <c r="C243" s="35"/>
      <c r="D243" s="35"/>
      <c r="E243" s="35"/>
      <c r="F243" s="35"/>
      <c r="G243" s="35"/>
      <c r="H243" s="16">
        <f ca="1">SUM(H230:H242)</f>
        <v>23</v>
      </c>
      <c r="I243" s="16" t="s">
        <v>46</v>
      </c>
      <c r="J243" s="16">
        <f ca="1">SUMPRODUCT(J230:J241,H230:H241)</f>
        <v>133</v>
      </c>
    </row>
    <row r="244" spans="1:10" ht="28" customHeight="1" x14ac:dyDescent="0.2">
      <c r="A244" s="22">
        <f>ROWS(A230:B242)+9</f>
        <v>22</v>
      </c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1:10" ht="28" customHeight="1" x14ac:dyDescent="0.2">
      <c r="A245" s="36" t="s">
        <v>42</v>
      </c>
      <c r="B245" s="36"/>
      <c r="C245" s="21">
        <f ca="1">INDIRECT(_xlfn.TEXTJOIN("",TRUE,A247,"!",ADDRESS(5+A248*A244,12)))</f>
        <v>19</v>
      </c>
      <c r="D245" s="36" t="s">
        <v>40</v>
      </c>
      <c r="E245" s="36"/>
      <c r="F245" s="18">
        <f ca="1">INDIRECT(_xlfn.TEXTJOIN("",TRUE,A247,"!",ADDRESS(5+A248*A244,8)))</f>
        <v>5.7826086956521738</v>
      </c>
      <c r="G245" s="36" t="s">
        <v>41</v>
      </c>
      <c r="H245" s="36"/>
      <c r="I245" s="37">
        <f ca="1">INDIRECT(_xlfn.TEXTJOIN("",TRUE,A247,"!",ADDRESS(5+A248*A244,10)))</f>
        <v>5.7826086956521738</v>
      </c>
      <c r="J245" s="37"/>
    </row>
    <row r="246" spans="1:10" ht="28" customHeight="1" x14ac:dyDescent="0.2">
      <c r="A246" s="19" t="s">
        <v>38</v>
      </c>
      <c r="B246" s="38" t="str">
        <f ca="1">INDIRECT(_xlfn.TEXTJOIN("",TRUE,A247,"!",ADDRESS(5+A248*A244,2)))</f>
        <v>CARRY OVER</v>
      </c>
      <c r="C246" s="38"/>
      <c r="D246" s="39" t="s">
        <v>39</v>
      </c>
      <c r="E246" s="39"/>
      <c r="F246" s="40" t="str">
        <f ca="1">INDIRECT(_xlfn.TEXTJOIN("",TRUE,A247,"!",ADDRESS(5+A248*A244,5)))</f>
        <v>BACK IN AHT 003</v>
      </c>
      <c r="G246" s="40"/>
      <c r="H246" s="40"/>
      <c r="I246" s="40"/>
      <c r="J246" s="40"/>
    </row>
    <row r="247" spans="1:10" ht="28" customHeight="1" x14ac:dyDescent="0.2">
      <c r="A247" s="22" t="str">
        <f>A225</f>
        <v>TC_I</v>
      </c>
    </row>
    <row r="248" spans="1:10" ht="28" customHeight="1" x14ac:dyDescent="0.2">
      <c r="A248" s="22">
        <f>A226+1</f>
        <v>11</v>
      </c>
    </row>
    <row r="249" spans="1:10" ht="28" customHeight="1" x14ac:dyDescent="0.2">
      <c r="A249" s="49" t="s">
        <v>26</v>
      </c>
      <c r="B249" s="49"/>
      <c r="C249" s="49" t="str">
        <f ca="1">INDIRECT(_xlfn.TEXTJOIN("",TRUE,A269,"!",ADDRESS(9+(A270-1)*A266,2)))</f>
        <v>KHYATI NEGI</v>
      </c>
      <c r="D249" s="49"/>
      <c r="E249" s="49"/>
      <c r="F249" s="49" t="s">
        <v>52</v>
      </c>
      <c r="G249" s="49"/>
      <c r="H249" s="49"/>
      <c r="I249" s="48">
        <f ca="1">INDIRECT(_xlfn.TEXTJOIN("",TRUE,A269,"!",ADDRESS(9+(A270-1)*A266,9)))</f>
        <v>250090120013</v>
      </c>
      <c r="J249" s="48"/>
    </row>
    <row r="250" spans="1:10" ht="28" customHeight="1" x14ac:dyDescent="0.2">
      <c r="A250" s="49" t="s">
        <v>27</v>
      </c>
      <c r="B250" s="49"/>
      <c r="C250" s="49" t="str">
        <f ca="1">INDIRECT(_xlfn.TEXTJOIN("",TRUE,A269,"!",ADDRESS(9+(A270-1)*A266,5)))</f>
        <v>RAVINDRA SINGH NEGI</v>
      </c>
      <c r="D250" s="49"/>
      <c r="E250" s="49"/>
      <c r="F250" s="50" t="s">
        <v>53</v>
      </c>
      <c r="G250" s="50"/>
      <c r="H250" s="50"/>
      <c r="I250" s="48" t="str">
        <f ca="1">INDIRECT(_xlfn.TEXTJOIN("",TRUE,A269,"!",ADDRESS(9+(A270-1)*A266,13)))</f>
        <v>UTU/2501104023</v>
      </c>
      <c r="J250" s="48"/>
    </row>
    <row r="251" spans="1:10" ht="28" customHeight="1" x14ac:dyDescent="0.2">
      <c r="A251" s="38" t="s">
        <v>30</v>
      </c>
      <c r="B251" s="38"/>
      <c r="C251" s="38" t="s">
        <v>31</v>
      </c>
      <c r="D251" s="38"/>
      <c r="E251" s="38"/>
      <c r="F251" s="38"/>
      <c r="G251" s="38"/>
      <c r="H251" s="15" t="s">
        <v>32</v>
      </c>
      <c r="I251" s="15" t="s">
        <v>12</v>
      </c>
      <c r="J251" s="15" t="s">
        <v>36</v>
      </c>
    </row>
    <row r="252" spans="1:10" ht="28" customHeight="1" x14ac:dyDescent="0.2">
      <c r="A252" s="46" t="str">
        <f ca="1">INDIRECT(_xlfn.TEXTJOIN("",TRUE,A269,"!",ADDRESS(13+(A270-1)*A266,1)))</f>
        <v>AHT 002</v>
      </c>
      <c r="B252" s="47"/>
      <c r="C252" s="43" t="str">
        <f ca="1">INDIRECT(_xlfn.TEXTJOIN("",TRUE,A269,"!",ADDRESS(13+(A270-1)*A266,2)))</f>
        <v>Engineering Chemistry</v>
      </c>
      <c r="D252" s="44"/>
      <c r="E252" s="44"/>
      <c r="F252" s="44"/>
      <c r="G252" s="45"/>
      <c r="H252" s="20">
        <f ca="1">INDIRECT(_xlfn.TEXTJOIN("",TRUE,A269,"!",ADDRESS(13+(A270-1)*A266,6)))</f>
        <v>4</v>
      </c>
      <c r="I252" s="20" t="str">
        <f ca="1">INDIRECT(_xlfn.TEXTJOIN("",TRUE,A269,"!",ADDRESS(13+(A270-1)*A266,13)))</f>
        <v>D</v>
      </c>
      <c r="J252" s="20">
        <f ca="1">INDIRECT(_xlfn.TEXTJOIN("",TRUE,A269,"!",ADDRESS(13+(A270-1)*A266,14)))</f>
        <v>6</v>
      </c>
    </row>
    <row r="253" spans="1:10" ht="28" customHeight="1" x14ac:dyDescent="0.2">
      <c r="A253" s="46" t="str">
        <f ca="1">INDIRECT(_xlfn.TEXTJOIN("",TRUE,A269,"!",ADDRESS(14+(A270-1)*A266,1)))</f>
        <v>AHT 003</v>
      </c>
      <c r="B253" s="47"/>
      <c r="C253" s="43" t="str">
        <f ca="1">INDIRECT(_xlfn.TEXTJOIN("",TRUE,A269,"!",ADDRESS(14+(A270-1)*A266,2)))</f>
        <v>Introduction to Engineering Mathematics</v>
      </c>
      <c r="D253" s="44"/>
      <c r="E253" s="44"/>
      <c r="F253" s="44"/>
      <c r="G253" s="45"/>
      <c r="H253" s="20">
        <f ca="1">INDIRECT(_xlfn.TEXTJOIN("",TRUE,A269,"!",ADDRESS(14+(A270-1)*A266,6)))</f>
        <v>4</v>
      </c>
      <c r="I253" s="20" t="str">
        <f ca="1">INDIRECT(_xlfn.TEXTJOIN("",TRUE,A269,"!",ADDRESS(14+(A270-1)*A266,13)))</f>
        <v>E+</v>
      </c>
      <c r="J253" s="20">
        <f ca="1">INDIRECT(_xlfn.TEXTJOIN("",TRUE,A269,"!",ADDRESS(14+(A270-1)*A266,14)))</f>
        <v>5.5</v>
      </c>
    </row>
    <row r="254" spans="1:10" ht="28" customHeight="1" x14ac:dyDescent="0.2">
      <c r="A254" s="46" t="str">
        <f ca="1">INDIRECT(_xlfn.TEXTJOIN("",TRUE,A269,"!",ADDRESS(15+(A270-1)*A266,1)))</f>
        <v>ECT 001</v>
      </c>
      <c r="B254" s="47"/>
      <c r="C254" s="43" t="str">
        <f ca="1">INDIRECT(_xlfn.TEXTJOIN("",TRUE,A269,"!",ADDRESS(15+(A270-1)*A266,2)))</f>
        <v>Basic Electronics Engineering</v>
      </c>
      <c r="D254" s="44"/>
      <c r="E254" s="44"/>
      <c r="F254" s="44"/>
      <c r="G254" s="45"/>
      <c r="H254" s="20">
        <f ca="1">INDIRECT(_xlfn.TEXTJOIN("",TRUE,A269,"!",ADDRESS(15+(A270-1)*A266,6)))</f>
        <v>4</v>
      </c>
      <c r="I254" s="20" t="str">
        <f ca="1">INDIRECT(_xlfn.TEXTJOIN("",TRUE,A269,"!",ADDRESS(15+(A270-1)*A266,13)))</f>
        <v>D+</v>
      </c>
      <c r="J254" s="20">
        <f ca="1">INDIRECT(_xlfn.TEXTJOIN("",TRUE,A269,"!",ADDRESS(15+(A270-1)*A266,14)))</f>
        <v>6.5</v>
      </c>
    </row>
    <row r="255" spans="1:10" ht="28" customHeight="1" x14ac:dyDescent="0.2">
      <c r="A255" s="46" t="str">
        <f ca="1">INDIRECT(_xlfn.TEXTJOIN("",TRUE,A269,"!",ADDRESS(16+(A270-1)*A266,1)))</f>
        <v>MET 001</v>
      </c>
      <c r="B255" s="47"/>
      <c r="C255" s="43" t="str">
        <f ca="1">INDIRECT(_xlfn.TEXTJOIN("",TRUE,A269,"!",ADDRESS(16+(A270-1)*A266,2)))</f>
        <v>Basic Mechanical Engineering</v>
      </c>
      <c r="D255" s="44"/>
      <c r="E255" s="44"/>
      <c r="F255" s="44"/>
      <c r="G255" s="45"/>
      <c r="H255" s="20">
        <f ca="1">INDIRECT(_xlfn.TEXTJOIN("",TRUE,A269,"!",ADDRESS(16+(A270-1)*A266,6)))</f>
        <v>4</v>
      </c>
      <c r="I255" s="20" t="str">
        <f ca="1">INDIRECT(_xlfn.TEXTJOIN("",TRUE,A269,"!",ADDRESS(16+(A270-1)*A266,13)))</f>
        <v>C+</v>
      </c>
      <c r="J255" s="20">
        <f ca="1">INDIRECT(_xlfn.TEXTJOIN("",TRUE,A269,"!",ADDRESS(16+(A270-1)*A266,14)))</f>
        <v>7.5</v>
      </c>
    </row>
    <row r="256" spans="1:10" ht="28" customHeight="1" x14ac:dyDescent="0.2">
      <c r="A256" s="46" t="str">
        <f ca="1">INDIRECT(_xlfn.TEXTJOIN("",TRUE,A269,"!",ADDRESS(17+(A270-1)*A266,1)))</f>
        <v>AHT 000</v>
      </c>
      <c r="B256" s="47"/>
      <c r="C256" s="43" t="str">
        <f ca="1">INDIRECT(_xlfn.TEXTJOIN("",TRUE,A269,"!",ADDRESS(17+(A270-1)*A266,2)))</f>
        <v>Basic Mathematics (Bridge Course) ($)</v>
      </c>
      <c r="D256" s="44"/>
      <c r="E256" s="44"/>
      <c r="F256" s="44"/>
      <c r="G256" s="45"/>
      <c r="H256" s="20">
        <f ca="1">INDIRECT(_xlfn.TEXTJOIN("",TRUE,A269,"!",ADDRESS(17+(A270-1)*A266,6)))</f>
        <v>0</v>
      </c>
      <c r="I256" s="20" t="str">
        <f ca="1">INDIRECT(_xlfn.TEXTJOIN("",TRUE,A269,"!",ADDRESS(17+(A270-1)*A266,13)))</f>
        <v>B</v>
      </c>
      <c r="J256" s="20">
        <f ca="1">INDIRECT(_xlfn.TEXTJOIN("",TRUE,A269,"!",ADDRESS(17+(A270-1)*A266,14)))</f>
        <v>8</v>
      </c>
    </row>
    <row r="257" spans="1:10" ht="28" customHeight="1" x14ac:dyDescent="0.2">
      <c r="A257" s="46" t="str">
        <f ca="1">INDIRECT(_xlfn.TEXTJOIN("",TRUE,A269,"!",ADDRESS(18+(A270-1)*A266,1)))</f>
        <v>AHP 002</v>
      </c>
      <c r="B257" s="47"/>
      <c r="C257" s="43" t="str">
        <f ca="1">INDIRECT(_xlfn.TEXTJOIN("",TRUE,A269,"!",ADDRESS(18+(A270-1)*A266,2)))</f>
        <v>Engineering Chemistry Lab</v>
      </c>
      <c r="D257" s="44"/>
      <c r="E257" s="44"/>
      <c r="F257" s="44"/>
      <c r="G257" s="45"/>
      <c r="H257" s="20">
        <f ca="1">INDIRECT(_xlfn.TEXTJOIN("",TRUE,A269,"!",ADDRESS(18+(A270-1)*A266,6)))</f>
        <v>1</v>
      </c>
      <c r="I257" s="20" t="str">
        <f ca="1">INDIRECT(_xlfn.TEXTJOIN("",TRUE,A269,"!",ADDRESS(18+(A270-1)*A266,13)))</f>
        <v>C</v>
      </c>
      <c r="J257" s="20">
        <f ca="1">INDIRECT(_xlfn.TEXTJOIN("",TRUE,A269,"!",ADDRESS(18+(A270-1)*A266,14)))</f>
        <v>7</v>
      </c>
    </row>
    <row r="258" spans="1:10" ht="28" customHeight="1" x14ac:dyDescent="0.2">
      <c r="A258" s="46" t="str">
        <f ca="1">INDIRECT(_xlfn.TEXTJOIN("",TRUE,A269,"!",ADDRESS(19+(A270-1)*A266,1)))</f>
        <v>ECP 001</v>
      </c>
      <c r="B258" s="47"/>
      <c r="C258" s="43" t="str">
        <f ca="1">INDIRECT(_xlfn.TEXTJOIN("",TRUE,A269,"!",ADDRESS(19+(A270-1)*A266,2)))</f>
        <v>Basic Electronics Engineering Lab</v>
      </c>
      <c r="D258" s="44"/>
      <c r="E258" s="44"/>
      <c r="F258" s="44"/>
      <c r="G258" s="45"/>
      <c r="H258" s="20">
        <f ca="1">INDIRECT(_xlfn.TEXTJOIN("",TRUE,A269,"!",ADDRESS(19+(A270-1)*A266,6)))</f>
        <v>1</v>
      </c>
      <c r="I258" s="20" t="str">
        <f ca="1">INDIRECT(_xlfn.TEXTJOIN("",TRUE,A269,"!",ADDRESS(19+(A270-1)*A266,13)))</f>
        <v>A</v>
      </c>
      <c r="J258" s="20">
        <f ca="1">INDIRECT(_xlfn.TEXTJOIN("",TRUE,A269,"!",ADDRESS(19+(A270-1)*A266,14)))</f>
        <v>9</v>
      </c>
    </row>
    <row r="259" spans="1:10" ht="28" customHeight="1" x14ac:dyDescent="0.2">
      <c r="A259" s="46" t="str">
        <f ca="1">INDIRECT(_xlfn.TEXTJOIN("",TRUE,A269,"!",ADDRESS(20+(A270-1)*A266,1)))</f>
        <v>MEP 001</v>
      </c>
      <c r="B259" s="47"/>
      <c r="C259" s="43" t="str">
        <f ca="1">INDIRECT(_xlfn.TEXTJOIN("",TRUE,A269,"!",ADDRESS(20+(A270-1)*A266,2)))</f>
        <v>Basic Mechanical Engineering Lab</v>
      </c>
      <c r="D259" s="44"/>
      <c r="E259" s="44"/>
      <c r="F259" s="44"/>
      <c r="G259" s="45"/>
      <c r="H259" s="20">
        <f ca="1">INDIRECT(_xlfn.TEXTJOIN("",TRUE,A269,"!",ADDRESS(20+(A270-1)*A266,6)))</f>
        <v>1</v>
      </c>
      <c r="I259" s="20" t="str">
        <f ca="1">INDIRECT(_xlfn.TEXTJOIN("",TRUE,A269,"!",ADDRESS(20+(A270-1)*A266,13)))</f>
        <v>A+</v>
      </c>
      <c r="J259" s="20">
        <f ca="1">INDIRECT(_xlfn.TEXTJOIN("",TRUE,A269,"!",ADDRESS(20+(A270-1)*A266,14)))</f>
        <v>9.5</v>
      </c>
    </row>
    <row r="260" spans="1:10" ht="28" customHeight="1" x14ac:dyDescent="0.2">
      <c r="A260" s="46" t="str">
        <f ca="1">INDIRECT(_xlfn.TEXTJOIN("",TRUE,A269,"!",ADDRESS(21+(A270-1)*A266,1)))</f>
        <v>MEP 003</v>
      </c>
      <c r="B260" s="47"/>
      <c r="C260" s="43" t="str">
        <f ca="1">INDIRECT(_xlfn.TEXTJOIN("",TRUE,A269,"!",ADDRESS(21+(A270-1)*A266,2)))</f>
        <v>Workshop Practices Lab</v>
      </c>
      <c r="D260" s="44"/>
      <c r="E260" s="44"/>
      <c r="F260" s="44"/>
      <c r="G260" s="45"/>
      <c r="H260" s="20">
        <f ca="1">INDIRECT(_xlfn.TEXTJOIN("",TRUE,A269,"!",ADDRESS(21+(A270-1)*A266,6)))</f>
        <v>2</v>
      </c>
      <c r="I260" s="20" t="str">
        <f ca="1">INDIRECT(_xlfn.TEXTJOIN("",TRUE,A269,"!",ADDRESS(21+(A270-1)*A266,13)))</f>
        <v>A</v>
      </c>
      <c r="J260" s="20">
        <f ca="1">INDIRECT(_xlfn.TEXTJOIN("",TRUE,A269,"!",ADDRESS(21+(A270-1)*A266,14)))</f>
        <v>9</v>
      </c>
    </row>
    <row r="261" spans="1:10" ht="28" customHeight="1" x14ac:dyDescent="0.2">
      <c r="A261" s="46" t="str">
        <f ca="1">INDIRECT(_xlfn.TEXTJOIN("",TRUE,A269,"!",ADDRESS(22+(A270-1)*A266,1)))</f>
        <v>AHP 004</v>
      </c>
      <c r="B261" s="47"/>
      <c r="C261" s="43" t="str">
        <f ca="1">INDIRECT(_xlfn.TEXTJOIN("",TRUE,A269,"!",ADDRESS(22+(A270-1)*A266,2)))</f>
        <v>Emerging Technologies in Engineering Lab</v>
      </c>
      <c r="D261" s="44"/>
      <c r="E261" s="44"/>
      <c r="F261" s="44"/>
      <c r="G261" s="45"/>
      <c r="H261" s="20">
        <f ca="1">INDIRECT(_xlfn.TEXTJOIN("",TRUE,A269,"!",ADDRESS(22+(A270-1)*A266,6)))</f>
        <v>1</v>
      </c>
      <c r="I261" s="20" t="str">
        <f ca="1">INDIRECT(_xlfn.TEXTJOIN("",TRUE,A269,"!",ADDRESS(22+(A270-1)*A266,13)))</f>
        <v>A+</v>
      </c>
      <c r="J261" s="20">
        <f ca="1">INDIRECT(_xlfn.TEXTJOIN("",TRUE,A269,"!",ADDRESS(22+(A270-1)*A266,14)))</f>
        <v>9.5</v>
      </c>
    </row>
    <row r="262" spans="1:10" ht="28" customHeight="1" x14ac:dyDescent="0.2">
      <c r="A262" s="46" t="str">
        <f ca="1">INDIRECT(_xlfn.TEXTJOIN("",TRUE,A269,"!",ADDRESS(23+(A270-1)*A266,1)))</f>
        <v>CSP 002</v>
      </c>
      <c r="B262" s="47"/>
      <c r="C262" s="43" t="str">
        <f ca="1">INDIRECT(_xlfn.TEXTJOIN("",TRUE,A269,"!",ADDRESS(23+(A270-1)*A266,2)))</f>
        <v>Computer Applications and IOT</v>
      </c>
      <c r="D262" s="44"/>
      <c r="E262" s="44"/>
      <c r="F262" s="44"/>
      <c r="G262" s="45"/>
      <c r="H262" s="20">
        <f ca="1">INDIRECT(_xlfn.TEXTJOIN("",TRUE,A269,"!",ADDRESS(23+(A270-1)*A266,6)))</f>
        <v>1</v>
      </c>
      <c r="I262" s="20" t="str">
        <f ca="1">INDIRECT(_xlfn.TEXTJOIN("",TRUE,A269,"!",ADDRESS(23+(A270-1)*A266,13)))</f>
        <v>O</v>
      </c>
      <c r="J262" s="20">
        <f ca="1">INDIRECT(_xlfn.TEXTJOIN("",TRUE,A269,"!",ADDRESS(23+(A270-1)*A266,14)))</f>
        <v>10</v>
      </c>
    </row>
    <row r="263" spans="1:10" ht="28" customHeight="1" x14ac:dyDescent="0.2">
      <c r="A263" s="46" t="str">
        <f ca="1">INDIRECT(_xlfn.TEXTJOIN("",TRUE,A269,"!",ADDRESS(24+(A270-1)*A266,1)))</f>
        <v>AHP 006</v>
      </c>
      <c r="B263" s="47"/>
      <c r="C263" s="43" t="str">
        <f ca="1">INDIRECT(_xlfn.TEXTJOIN("",TRUE,A269,"!",ADDRESS(24+(A270-1)*A266,2)))</f>
        <v>English Language Lab ($)</v>
      </c>
      <c r="D263" s="44"/>
      <c r="E263" s="44"/>
      <c r="F263" s="44"/>
      <c r="G263" s="45"/>
      <c r="H263" s="20">
        <f ca="1">INDIRECT(_xlfn.TEXTJOIN("",TRUE,A269,"!",ADDRESS(24+(A270-1)*A266,6)))</f>
        <v>0</v>
      </c>
      <c r="I263" s="20" t="str">
        <f ca="1">INDIRECT(_xlfn.TEXTJOIN("",TRUE,A269,"!",ADDRESS(24+(A270-1)*A266,13)))</f>
        <v>B+</v>
      </c>
      <c r="J263" s="20">
        <f ca="1">INDIRECT(_xlfn.TEXTJOIN("",TRUE,A269,"!",ADDRESS(24+(A270-1)*A266,14)))</f>
        <v>8.5</v>
      </c>
    </row>
    <row r="264" spans="1:10" ht="28" customHeight="1" x14ac:dyDescent="0.2">
      <c r="A264" s="46" t="str">
        <f ca="1">INDIRECT(_xlfn.TEXTJOIN("",TRUE,A269,"!",ADDRESS(25+(A270-1)*A266,1)))</f>
        <v>GP 01</v>
      </c>
      <c r="B264" s="47"/>
      <c r="C264" s="43" t="str">
        <f ca="1">INDIRECT(_xlfn.TEXTJOIN("",TRUE,A269,"!",ADDRESS(25+(A270-1)*A266,2)))</f>
        <v>General Proficiency ($)</v>
      </c>
      <c r="D264" s="44"/>
      <c r="E264" s="44"/>
      <c r="F264" s="44"/>
      <c r="G264" s="45"/>
      <c r="H264" s="20">
        <f ca="1">INDIRECT(_xlfn.TEXTJOIN("",TRUE,A269,"!",ADDRESS(25+(A270-1)*A266,6)))</f>
        <v>0</v>
      </c>
      <c r="I264" s="41" t="str">
        <f ca="1">INDIRECT(_xlfn.TEXTJOIN("",TRUE,A269,"!",ADDRESS(25+(A270-1)*A266,13)))</f>
        <v>Excellent</v>
      </c>
      <c r="J264" s="42"/>
    </row>
    <row r="265" spans="1:10" ht="28" customHeight="1" x14ac:dyDescent="0.2">
      <c r="A265" s="35" t="s">
        <v>54</v>
      </c>
      <c r="B265" s="35"/>
      <c r="C265" s="35"/>
      <c r="D265" s="35"/>
      <c r="E265" s="35"/>
      <c r="F265" s="35"/>
      <c r="G265" s="35"/>
      <c r="H265" s="16">
        <f ca="1">SUM(H252:H264)</f>
        <v>23</v>
      </c>
      <c r="I265" s="16" t="s">
        <v>46</v>
      </c>
      <c r="J265" s="16">
        <f ca="1">SUMPRODUCT(J252:J263,H252:H263)</f>
        <v>165</v>
      </c>
    </row>
    <row r="266" spans="1:10" ht="28" customHeight="1" x14ac:dyDescent="0.2">
      <c r="A266" s="22">
        <f>ROWS(A252:B264)+9</f>
        <v>22</v>
      </c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1:10" ht="28" customHeight="1" x14ac:dyDescent="0.2">
      <c r="A267" s="36" t="s">
        <v>42</v>
      </c>
      <c r="B267" s="36"/>
      <c r="C267" s="21">
        <f ca="1">INDIRECT(_xlfn.TEXTJOIN("",TRUE,A269,"!",ADDRESS(5+A270*A266,12)))</f>
        <v>23</v>
      </c>
      <c r="D267" s="36" t="s">
        <v>40</v>
      </c>
      <c r="E267" s="36"/>
      <c r="F267" s="18">
        <f ca="1">INDIRECT(_xlfn.TEXTJOIN("",TRUE,A269,"!",ADDRESS(5+A270*A266,8)))</f>
        <v>7.1739130434782608</v>
      </c>
      <c r="G267" s="36" t="s">
        <v>41</v>
      </c>
      <c r="H267" s="36"/>
      <c r="I267" s="37">
        <f ca="1">INDIRECT(_xlfn.TEXTJOIN("",TRUE,A269,"!",ADDRESS(5+A270*A266,10)))</f>
        <v>7.1739130434782608</v>
      </c>
      <c r="J267" s="37"/>
    </row>
    <row r="268" spans="1:10" ht="28" customHeight="1" x14ac:dyDescent="0.2">
      <c r="A268" s="19" t="s">
        <v>38</v>
      </c>
      <c r="B268" s="38" t="str">
        <f ca="1">INDIRECT(_xlfn.TEXTJOIN("",TRUE,A269,"!",ADDRESS(5+A270*A266,2)))</f>
        <v>PASS</v>
      </c>
      <c r="C268" s="38"/>
      <c r="D268" s="39" t="s">
        <v>39</v>
      </c>
      <c r="E268" s="39"/>
      <c r="F268" s="40" t="str">
        <f ca="1">INDIRECT(_xlfn.TEXTJOIN("",TRUE,A269,"!",ADDRESS(5+A270*A266,5)))</f>
        <v/>
      </c>
      <c r="G268" s="40"/>
      <c r="H268" s="40"/>
      <c r="I268" s="40"/>
      <c r="J268" s="40"/>
    </row>
    <row r="269" spans="1:10" ht="28" customHeight="1" x14ac:dyDescent="0.2">
      <c r="A269" s="22" t="str">
        <f>A247</f>
        <v>TC_I</v>
      </c>
    </row>
    <row r="270" spans="1:10" ht="28" customHeight="1" x14ac:dyDescent="0.2">
      <c r="A270" s="22">
        <f>A248+1</f>
        <v>12</v>
      </c>
    </row>
    <row r="271" spans="1:10" ht="28" customHeight="1" x14ac:dyDescent="0.2">
      <c r="A271" s="49" t="s">
        <v>26</v>
      </c>
      <c r="B271" s="49"/>
      <c r="C271" s="49" t="str">
        <f ca="1">INDIRECT(_xlfn.TEXTJOIN("",TRUE,A291,"!",ADDRESS(9+(A292-1)*A288,2)))</f>
        <v>KOMAL RAWAT</v>
      </c>
      <c r="D271" s="49"/>
      <c r="E271" s="49"/>
      <c r="F271" s="49" t="s">
        <v>52</v>
      </c>
      <c r="G271" s="49"/>
      <c r="H271" s="49"/>
      <c r="I271" s="48">
        <f ca="1">INDIRECT(_xlfn.TEXTJOIN("",TRUE,A291,"!",ADDRESS(9+(A292-1)*A288,9)))</f>
        <v>250090120014</v>
      </c>
      <c r="J271" s="48"/>
    </row>
    <row r="272" spans="1:10" ht="28" customHeight="1" x14ac:dyDescent="0.2">
      <c r="A272" s="49" t="s">
        <v>27</v>
      </c>
      <c r="B272" s="49"/>
      <c r="C272" s="49" t="str">
        <f ca="1">INDIRECT(_xlfn.TEXTJOIN("",TRUE,A291,"!",ADDRESS(9+(A292-1)*A288,5)))</f>
        <v>SAJJAN SINGH RAWAT</v>
      </c>
      <c r="D272" s="49"/>
      <c r="E272" s="49"/>
      <c r="F272" s="50" t="s">
        <v>53</v>
      </c>
      <c r="G272" s="50"/>
      <c r="H272" s="50"/>
      <c r="I272" s="48" t="str">
        <f ca="1">INDIRECT(_xlfn.TEXTJOIN("",TRUE,A291,"!",ADDRESS(9+(A292-1)*A288,13)))</f>
        <v>UTU/2501104012</v>
      </c>
      <c r="J272" s="48"/>
    </row>
    <row r="273" spans="1:10" ht="28" customHeight="1" x14ac:dyDescent="0.2">
      <c r="A273" s="38" t="s">
        <v>30</v>
      </c>
      <c r="B273" s="38"/>
      <c r="C273" s="38" t="s">
        <v>31</v>
      </c>
      <c r="D273" s="38"/>
      <c r="E273" s="38"/>
      <c r="F273" s="38"/>
      <c r="G273" s="38"/>
      <c r="H273" s="15" t="s">
        <v>32</v>
      </c>
      <c r="I273" s="15" t="s">
        <v>12</v>
      </c>
      <c r="J273" s="15" t="s">
        <v>36</v>
      </c>
    </row>
    <row r="274" spans="1:10" ht="28" customHeight="1" x14ac:dyDescent="0.2">
      <c r="A274" s="46" t="str">
        <f ca="1">INDIRECT(_xlfn.TEXTJOIN("",TRUE,A291,"!",ADDRESS(13+(A292-1)*A288,1)))</f>
        <v>AHT 002</v>
      </c>
      <c r="B274" s="47"/>
      <c r="C274" s="43" t="str">
        <f ca="1">INDIRECT(_xlfn.TEXTJOIN("",TRUE,A291,"!",ADDRESS(13+(A292-1)*A288,2)))</f>
        <v>Engineering Chemistry</v>
      </c>
      <c r="D274" s="44"/>
      <c r="E274" s="44"/>
      <c r="F274" s="44"/>
      <c r="G274" s="45"/>
      <c r="H274" s="20">
        <f ca="1">INDIRECT(_xlfn.TEXTJOIN("",TRUE,A291,"!",ADDRESS(13+(A292-1)*A288,6)))</f>
        <v>4</v>
      </c>
      <c r="I274" s="20" t="str">
        <f ca="1">INDIRECT(_xlfn.TEXTJOIN("",TRUE,A291,"!",ADDRESS(13+(A292-1)*A288,13)))</f>
        <v>P</v>
      </c>
      <c r="J274" s="20">
        <f ca="1">INDIRECT(_xlfn.TEXTJOIN("",TRUE,A291,"!",ADDRESS(13+(A292-1)*A288,14)))</f>
        <v>4.5</v>
      </c>
    </row>
    <row r="275" spans="1:10" ht="28" customHeight="1" x14ac:dyDescent="0.2">
      <c r="A275" s="46" t="str">
        <f ca="1">INDIRECT(_xlfn.TEXTJOIN("",TRUE,A291,"!",ADDRESS(14+(A292-1)*A288,1)))</f>
        <v>AHT 003</v>
      </c>
      <c r="B275" s="47"/>
      <c r="C275" s="43" t="str">
        <f ca="1">INDIRECT(_xlfn.TEXTJOIN("",TRUE,A291,"!",ADDRESS(14+(A292-1)*A288,2)))</f>
        <v>Introduction to Engineering Mathematics</v>
      </c>
      <c r="D275" s="44"/>
      <c r="E275" s="44"/>
      <c r="F275" s="44"/>
      <c r="G275" s="45"/>
      <c r="H275" s="20">
        <f ca="1">INDIRECT(_xlfn.TEXTJOIN("",TRUE,A291,"!",ADDRESS(14+(A292-1)*A288,6)))</f>
        <v>4</v>
      </c>
      <c r="I275" s="20" t="str">
        <f ca="1">INDIRECT(_xlfn.TEXTJOIN("",TRUE,A291,"!",ADDRESS(14+(A292-1)*A288,13)))</f>
        <v>F</v>
      </c>
      <c r="J275" s="20">
        <f ca="1">INDIRECT(_xlfn.TEXTJOIN("",TRUE,A291,"!",ADDRESS(14+(A292-1)*A288,14)))</f>
        <v>0</v>
      </c>
    </row>
    <row r="276" spans="1:10" ht="28" customHeight="1" x14ac:dyDescent="0.2">
      <c r="A276" s="46" t="str">
        <f ca="1">INDIRECT(_xlfn.TEXTJOIN("",TRUE,A291,"!",ADDRESS(15+(A292-1)*A288,1)))</f>
        <v>ECT 001</v>
      </c>
      <c r="B276" s="47"/>
      <c r="C276" s="43" t="str">
        <f ca="1">INDIRECT(_xlfn.TEXTJOIN("",TRUE,A291,"!",ADDRESS(15+(A292-1)*A288,2)))</f>
        <v>Basic Electronics Engineering</v>
      </c>
      <c r="D276" s="44"/>
      <c r="E276" s="44"/>
      <c r="F276" s="44"/>
      <c r="G276" s="45"/>
      <c r="H276" s="20">
        <f ca="1">INDIRECT(_xlfn.TEXTJOIN("",TRUE,A291,"!",ADDRESS(15+(A292-1)*A288,6)))</f>
        <v>4</v>
      </c>
      <c r="I276" s="20" t="str">
        <f ca="1">INDIRECT(_xlfn.TEXTJOIN("",TRUE,A291,"!",ADDRESS(15+(A292-1)*A288,13)))</f>
        <v>E+</v>
      </c>
      <c r="J276" s="20">
        <f ca="1">INDIRECT(_xlfn.TEXTJOIN("",TRUE,A291,"!",ADDRESS(15+(A292-1)*A288,14)))</f>
        <v>5.5</v>
      </c>
    </row>
    <row r="277" spans="1:10" ht="28" customHeight="1" x14ac:dyDescent="0.2">
      <c r="A277" s="46" t="str">
        <f ca="1">INDIRECT(_xlfn.TEXTJOIN("",TRUE,A291,"!",ADDRESS(16+(A292-1)*A288,1)))</f>
        <v>MET 001</v>
      </c>
      <c r="B277" s="47"/>
      <c r="C277" s="43" t="str">
        <f ca="1">INDIRECT(_xlfn.TEXTJOIN("",TRUE,A291,"!",ADDRESS(16+(A292-1)*A288,2)))</f>
        <v>Basic Mechanical Engineering</v>
      </c>
      <c r="D277" s="44"/>
      <c r="E277" s="44"/>
      <c r="F277" s="44"/>
      <c r="G277" s="45"/>
      <c r="H277" s="20">
        <f ca="1">INDIRECT(_xlfn.TEXTJOIN("",TRUE,A291,"!",ADDRESS(16+(A292-1)*A288,6)))</f>
        <v>4</v>
      </c>
      <c r="I277" s="20" t="str">
        <f ca="1">INDIRECT(_xlfn.TEXTJOIN("",TRUE,A291,"!",ADDRESS(16+(A292-1)*A288,13)))</f>
        <v>D</v>
      </c>
      <c r="J277" s="20">
        <f ca="1">INDIRECT(_xlfn.TEXTJOIN("",TRUE,A291,"!",ADDRESS(16+(A292-1)*A288,14)))</f>
        <v>6</v>
      </c>
    </row>
    <row r="278" spans="1:10" ht="28" customHeight="1" x14ac:dyDescent="0.2">
      <c r="A278" s="46" t="str">
        <f ca="1">INDIRECT(_xlfn.TEXTJOIN("",TRUE,A291,"!",ADDRESS(17+(A292-1)*A288,1)))</f>
        <v>AHT 000</v>
      </c>
      <c r="B278" s="47"/>
      <c r="C278" s="43" t="str">
        <f ca="1">INDIRECT(_xlfn.TEXTJOIN("",TRUE,A291,"!",ADDRESS(17+(A292-1)*A288,2)))</f>
        <v>Basic Mathematics (Bridge Course) ($)</v>
      </c>
      <c r="D278" s="44"/>
      <c r="E278" s="44"/>
      <c r="F278" s="44"/>
      <c r="G278" s="45"/>
      <c r="H278" s="20">
        <f ca="1">INDIRECT(_xlfn.TEXTJOIN("",TRUE,A291,"!",ADDRESS(17+(A292-1)*A288,6)))</f>
        <v>0</v>
      </c>
      <c r="I278" s="20" t="str">
        <f ca="1">INDIRECT(_xlfn.TEXTJOIN("",TRUE,A291,"!",ADDRESS(17+(A292-1)*A288,13)))</f>
        <v>D</v>
      </c>
      <c r="J278" s="20">
        <f ca="1">INDIRECT(_xlfn.TEXTJOIN("",TRUE,A291,"!",ADDRESS(17+(A292-1)*A288,14)))</f>
        <v>6</v>
      </c>
    </row>
    <row r="279" spans="1:10" ht="28" customHeight="1" x14ac:dyDescent="0.2">
      <c r="A279" s="46" t="str">
        <f ca="1">INDIRECT(_xlfn.TEXTJOIN("",TRUE,A291,"!",ADDRESS(18+(A292-1)*A288,1)))</f>
        <v>AHP 002</v>
      </c>
      <c r="B279" s="47"/>
      <c r="C279" s="43" t="str">
        <f ca="1">INDIRECT(_xlfn.TEXTJOIN("",TRUE,A291,"!",ADDRESS(18+(A292-1)*A288,2)))</f>
        <v>Engineering Chemistry Lab</v>
      </c>
      <c r="D279" s="44"/>
      <c r="E279" s="44"/>
      <c r="F279" s="44"/>
      <c r="G279" s="45"/>
      <c r="H279" s="20">
        <f ca="1">INDIRECT(_xlfn.TEXTJOIN("",TRUE,A291,"!",ADDRESS(18+(A292-1)*A288,6)))</f>
        <v>1</v>
      </c>
      <c r="I279" s="20" t="str">
        <f ca="1">INDIRECT(_xlfn.TEXTJOIN("",TRUE,A291,"!",ADDRESS(18+(A292-1)*A288,13)))</f>
        <v>D+</v>
      </c>
      <c r="J279" s="20">
        <f ca="1">INDIRECT(_xlfn.TEXTJOIN("",TRUE,A291,"!",ADDRESS(18+(A292-1)*A288,14)))</f>
        <v>6.5</v>
      </c>
    </row>
    <row r="280" spans="1:10" ht="28" customHeight="1" x14ac:dyDescent="0.2">
      <c r="A280" s="46" t="str">
        <f ca="1">INDIRECT(_xlfn.TEXTJOIN("",TRUE,A291,"!",ADDRESS(19+(A292-1)*A288,1)))</f>
        <v>ECP 001</v>
      </c>
      <c r="B280" s="47"/>
      <c r="C280" s="43" t="str">
        <f ca="1">INDIRECT(_xlfn.TEXTJOIN("",TRUE,A291,"!",ADDRESS(19+(A292-1)*A288,2)))</f>
        <v>Basic Electronics Engineering Lab</v>
      </c>
      <c r="D280" s="44"/>
      <c r="E280" s="44"/>
      <c r="F280" s="44"/>
      <c r="G280" s="45"/>
      <c r="H280" s="20">
        <f ca="1">INDIRECT(_xlfn.TEXTJOIN("",TRUE,A291,"!",ADDRESS(19+(A292-1)*A288,6)))</f>
        <v>1</v>
      </c>
      <c r="I280" s="20" t="str">
        <f ca="1">INDIRECT(_xlfn.TEXTJOIN("",TRUE,A291,"!",ADDRESS(19+(A292-1)*A288,13)))</f>
        <v>C</v>
      </c>
      <c r="J280" s="20">
        <f ca="1">INDIRECT(_xlfn.TEXTJOIN("",TRUE,A291,"!",ADDRESS(19+(A292-1)*A288,14)))</f>
        <v>7</v>
      </c>
    </row>
    <row r="281" spans="1:10" ht="28" customHeight="1" x14ac:dyDescent="0.2">
      <c r="A281" s="46" t="str">
        <f ca="1">INDIRECT(_xlfn.TEXTJOIN("",TRUE,A291,"!",ADDRESS(20+(A292-1)*A288,1)))</f>
        <v>MEP 001</v>
      </c>
      <c r="B281" s="47"/>
      <c r="C281" s="43" t="str">
        <f ca="1">INDIRECT(_xlfn.TEXTJOIN("",TRUE,A291,"!",ADDRESS(20+(A292-1)*A288,2)))</f>
        <v>Basic Mechanical Engineering Lab</v>
      </c>
      <c r="D281" s="44"/>
      <c r="E281" s="44"/>
      <c r="F281" s="44"/>
      <c r="G281" s="45"/>
      <c r="H281" s="20">
        <f ca="1">INDIRECT(_xlfn.TEXTJOIN("",TRUE,A291,"!",ADDRESS(20+(A292-1)*A288,6)))</f>
        <v>1</v>
      </c>
      <c r="I281" s="20" t="str">
        <f ca="1">INDIRECT(_xlfn.TEXTJOIN("",TRUE,A291,"!",ADDRESS(20+(A292-1)*A288,13)))</f>
        <v>A+</v>
      </c>
      <c r="J281" s="20">
        <f ca="1">INDIRECT(_xlfn.TEXTJOIN("",TRUE,A291,"!",ADDRESS(20+(A292-1)*A288,14)))</f>
        <v>9.5</v>
      </c>
    </row>
    <row r="282" spans="1:10" ht="28" customHeight="1" x14ac:dyDescent="0.2">
      <c r="A282" s="46" t="str">
        <f ca="1">INDIRECT(_xlfn.TEXTJOIN("",TRUE,A291,"!",ADDRESS(21+(A292-1)*A288,1)))</f>
        <v>MEP 003</v>
      </c>
      <c r="B282" s="47"/>
      <c r="C282" s="43" t="str">
        <f ca="1">INDIRECT(_xlfn.TEXTJOIN("",TRUE,A291,"!",ADDRESS(21+(A292-1)*A288,2)))</f>
        <v>Workshop Practices Lab</v>
      </c>
      <c r="D282" s="44"/>
      <c r="E282" s="44"/>
      <c r="F282" s="44"/>
      <c r="G282" s="45"/>
      <c r="H282" s="20">
        <f ca="1">INDIRECT(_xlfn.TEXTJOIN("",TRUE,A291,"!",ADDRESS(21+(A292-1)*A288,6)))</f>
        <v>2</v>
      </c>
      <c r="I282" s="20" t="str">
        <f ca="1">INDIRECT(_xlfn.TEXTJOIN("",TRUE,A291,"!",ADDRESS(21+(A292-1)*A288,13)))</f>
        <v>A+</v>
      </c>
      <c r="J282" s="20">
        <f ca="1">INDIRECT(_xlfn.TEXTJOIN("",TRUE,A291,"!",ADDRESS(21+(A292-1)*A288,14)))</f>
        <v>9.5</v>
      </c>
    </row>
    <row r="283" spans="1:10" ht="28" customHeight="1" x14ac:dyDescent="0.2">
      <c r="A283" s="46" t="str">
        <f ca="1">INDIRECT(_xlfn.TEXTJOIN("",TRUE,A291,"!",ADDRESS(22+(A292-1)*A288,1)))</f>
        <v>AHP 004</v>
      </c>
      <c r="B283" s="47"/>
      <c r="C283" s="43" t="str">
        <f ca="1">INDIRECT(_xlfn.TEXTJOIN("",TRUE,A291,"!",ADDRESS(22+(A292-1)*A288,2)))</f>
        <v>Emerging Technologies in Engineering Lab</v>
      </c>
      <c r="D283" s="44"/>
      <c r="E283" s="44"/>
      <c r="F283" s="44"/>
      <c r="G283" s="45"/>
      <c r="H283" s="20">
        <f ca="1">INDIRECT(_xlfn.TEXTJOIN("",TRUE,A291,"!",ADDRESS(22+(A292-1)*A288,6)))</f>
        <v>1</v>
      </c>
      <c r="I283" s="20" t="str">
        <f ca="1">INDIRECT(_xlfn.TEXTJOIN("",TRUE,A291,"!",ADDRESS(22+(A292-1)*A288,13)))</f>
        <v>B+</v>
      </c>
      <c r="J283" s="20">
        <f ca="1">INDIRECT(_xlfn.TEXTJOIN("",TRUE,A291,"!",ADDRESS(22+(A292-1)*A288,14)))</f>
        <v>8.5</v>
      </c>
    </row>
    <row r="284" spans="1:10" ht="28" customHeight="1" x14ac:dyDescent="0.2">
      <c r="A284" s="46" t="str">
        <f ca="1">INDIRECT(_xlfn.TEXTJOIN("",TRUE,A291,"!",ADDRESS(23+(A292-1)*A288,1)))</f>
        <v>CSP 002</v>
      </c>
      <c r="B284" s="47"/>
      <c r="C284" s="43" t="str">
        <f ca="1">INDIRECT(_xlfn.TEXTJOIN("",TRUE,A291,"!",ADDRESS(23+(A292-1)*A288,2)))</f>
        <v>Computer Applications and IOT</v>
      </c>
      <c r="D284" s="44"/>
      <c r="E284" s="44"/>
      <c r="F284" s="44"/>
      <c r="G284" s="45"/>
      <c r="H284" s="20">
        <f ca="1">INDIRECT(_xlfn.TEXTJOIN("",TRUE,A291,"!",ADDRESS(23+(A292-1)*A288,6)))</f>
        <v>1</v>
      </c>
      <c r="I284" s="20" t="str">
        <f ca="1">INDIRECT(_xlfn.TEXTJOIN("",TRUE,A291,"!",ADDRESS(23+(A292-1)*A288,13)))</f>
        <v>O</v>
      </c>
      <c r="J284" s="20">
        <f ca="1">INDIRECT(_xlfn.TEXTJOIN("",TRUE,A291,"!",ADDRESS(23+(A292-1)*A288,14)))</f>
        <v>10</v>
      </c>
    </row>
    <row r="285" spans="1:10" ht="28" customHeight="1" x14ac:dyDescent="0.2">
      <c r="A285" s="46" t="str">
        <f ca="1">INDIRECT(_xlfn.TEXTJOIN("",TRUE,A291,"!",ADDRESS(24+(A292-1)*A288,1)))</f>
        <v>AHP 006</v>
      </c>
      <c r="B285" s="47"/>
      <c r="C285" s="43" t="str">
        <f ca="1">INDIRECT(_xlfn.TEXTJOIN("",TRUE,A291,"!",ADDRESS(24+(A292-1)*A288,2)))</f>
        <v>English Language Lab ($)</v>
      </c>
      <c r="D285" s="44"/>
      <c r="E285" s="44"/>
      <c r="F285" s="44"/>
      <c r="G285" s="45"/>
      <c r="H285" s="20">
        <f ca="1">INDIRECT(_xlfn.TEXTJOIN("",TRUE,A291,"!",ADDRESS(24+(A292-1)*A288,6)))</f>
        <v>0</v>
      </c>
      <c r="I285" s="20" t="str">
        <f ca="1">INDIRECT(_xlfn.TEXTJOIN("",TRUE,A291,"!",ADDRESS(24+(A292-1)*A288,13)))</f>
        <v>C+</v>
      </c>
      <c r="J285" s="20">
        <f ca="1">INDIRECT(_xlfn.TEXTJOIN("",TRUE,A291,"!",ADDRESS(24+(A292-1)*A288,14)))</f>
        <v>7.5</v>
      </c>
    </row>
    <row r="286" spans="1:10" ht="28" customHeight="1" x14ac:dyDescent="0.2">
      <c r="A286" s="46" t="str">
        <f ca="1">INDIRECT(_xlfn.TEXTJOIN("",TRUE,A291,"!",ADDRESS(25+(A292-1)*A288,1)))</f>
        <v>GP 01</v>
      </c>
      <c r="B286" s="47"/>
      <c r="C286" s="43" t="str">
        <f ca="1">INDIRECT(_xlfn.TEXTJOIN("",TRUE,A291,"!",ADDRESS(25+(A292-1)*A288,2)))</f>
        <v>General Proficiency ($)</v>
      </c>
      <c r="D286" s="44"/>
      <c r="E286" s="44"/>
      <c r="F286" s="44"/>
      <c r="G286" s="45"/>
      <c r="H286" s="20">
        <f ca="1">INDIRECT(_xlfn.TEXTJOIN("",TRUE,A291,"!",ADDRESS(25+(A292-1)*A288,6)))</f>
        <v>0</v>
      </c>
      <c r="I286" s="41" t="str">
        <f ca="1">INDIRECT(_xlfn.TEXTJOIN("",TRUE,A291,"!",ADDRESS(25+(A292-1)*A288,13)))</f>
        <v>Excellent</v>
      </c>
      <c r="J286" s="42"/>
    </row>
    <row r="287" spans="1:10" ht="28" customHeight="1" x14ac:dyDescent="0.2">
      <c r="A287" s="35" t="s">
        <v>54</v>
      </c>
      <c r="B287" s="35"/>
      <c r="C287" s="35"/>
      <c r="D287" s="35"/>
      <c r="E287" s="35"/>
      <c r="F287" s="35"/>
      <c r="G287" s="35"/>
      <c r="H287" s="16">
        <f ca="1">SUM(H274:H286)</f>
        <v>23</v>
      </c>
      <c r="I287" s="16" t="s">
        <v>46</v>
      </c>
      <c r="J287" s="16">
        <f ca="1">SUMPRODUCT(J274:J285,H274:H285)</f>
        <v>124.5</v>
      </c>
    </row>
    <row r="288" spans="1:10" ht="28" customHeight="1" x14ac:dyDescent="0.2">
      <c r="A288" s="22">
        <f>ROWS(A274:B286)+9</f>
        <v>22</v>
      </c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1:10" ht="28" customHeight="1" x14ac:dyDescent="0.2">
      <c r="A289" s="36" t="s">
        <v>42</v>
      </c>
      <c r="B289" s="36"/>
      <c r="C289" s="21">
        <f ca="1">INDIRECT(_xlfn.TEXTJOIN("",TRUE,A291,"!",ADDRESS(5+A292*A288,12)))</f>
        <v>19</v>
      </c>
      <c r="D289" s="36" t="s">
        <v>40</v>
      </c>
      <c r="E289" s="36"/>
      <c r="F289" s="18">
        <f ca="1">INDIRECT(_xlfn.TEXTJOIN("",TRUE,A291,"!",ADDRESS(5+A292*A288,8)))</f>
        <v>5.4130434782608692</v>
      </c>
      <c r="G289" s="36" t="s">
        <v>41</v>
      </c>
      <c r="H289" s="36"/>
      <c r="I289" s="37">
        <f ca="1">INDIRECT(_xlfn.TEXTJOIN("",TRUE,A291,"!",ADDRESS(5+A292*A288,10)))</f>
        <v>5.4130434782608692</v>
      </c>
      <c r="J289" s="37"/>
    </row>
    <row r="290" spans="1:10" ht="28" customHeight="1" x14ac:dyDescent="0.2">
      <c r="A290" s="19" t="s">
        <v>38</v>
      </c>
      <c r="B290" s="38" t="str">
        <f ca="1">INDIRECT(_xlfn.TEXTJOIN("",TRUE,A291,"!",ADDRESS(5+A292*A288,2)))</f>
        <v>CARRY OVER</v>
      </c>
      <c r="C290" s="38"/>
      <c r="D290" s="39" t="s">
        <v>39</v>
      </c>
      <c r="E290" s="39"/>
      <c r="F290" s="40" t="str">
        <f ca="1">INDIRECT(_xlfn.TEXTJOIN("",TRUE,A291,"!",ADDRESS(5+A292*A288,5)))</f>
        <v>BACK IN AHT 003</v>
      </c>
      <c r="G290" s="40"/>
      <c r="H290" s="40"/>
      <c r="I290" s="40"/>
      <c r="J290" s="40"/>
    </row>
    <row r="291" spans="1:10" ht="28" customHeight="1" x14ac:dyDescent="0.2">
      <c r="A291" s="22" t="str">
        <f>A269</f>
        <v>TC_I</v>
      </c>
    </row>
    <row r="292" spans="1:10" ht="28" customHeight="1" x14ac:dyDescent="0.2">
      <c r="A292" s="22">
        <f>A270+1</f>
        <v>13</v>
      </c>
    </row>
    <row r="293" spans="1:10" ht="28" customHeight="1" x14ac:dyDescent="0.2">
      <c r="A293" s="49" t="s">
        <v>26</v>
      </c>
      <c r="B293" s="49"/>
      <c r="C293" s="49" t="str">
        <f ca="1">INDIRECT(_xlfn.TEXTJOIN("",TRUE,A313,"!",ADDRESS(9+(A314-1)*A310,2)))</f>
        <v>KUSHAGRA VERMA</v>
      </c>
      <c r="D293" s="49"/>
      <c r="E293" s="49"/>
      <c r="F293" s="49" t="s">
        <v>52</v>
      </c>
      <c r="G293" s="49"/>
      <c r="H293" s="49"/>
      <c r="I293" s="48">
        <f ca="1">INDIRECT(_xlfn.TEXTJOIN("",TRUE,A313,"!",ADDRESS(9+(A314-1)*A310,9)))</f>
        <v>250090120015</v>
      </c>
      <c r="J293" s="48"/>
    </row>
    <row r="294" spans="1:10" ht="28" customHeight="1" x14ac:dyDescent="0.2">
      <c r="A294" s="49" t="s">
        <v>27</v>
      </c>
      <c r="B294" s="49"/>
      <c r="C294" s="49" t="str">
        <f ca="1">INDIRECT(_xlfn.TEXTJOIN("",TRUE,A313,"!",ADDRESS(9+(A314-1)*A310,5)))</f>
        <v>KAILASH VERMA</v>
      </c>
      <c r="D294" s="49"/>
      <c r="E294" s="49"/>
      <c r="F294" s="50" t="s">
        <v>53</v>
      </c>
      <c r="G294" s="50"/>
      <c r="H294" s="50"/>
      <c r="I294" s="48" t="str">
        <f ca="1">INDIRECT(_xlfn.TEXTJOIN("",TRUE,A313,"!",ADDRESS(9+(A314-1)*A310,13)))</f>
        <v>UTU/2501103775</v>
      </c>
      <c r="J294" s="48"/>
    </row>
    <row r="295" spans="1:10" ht="28" customHeight="1" x14ac:dyDescent="0.2">
      <c r="A295" s="38" t="s">
        <v>30</v>
      </c>
      <c r="B295" s="38"/>
      <c r="C295" s="38" t="s">
        <v>31</v>
      </c>
      <c r="D295" s="38"/>
      <c r="E295" s="38"/>
      <c r="F295" s="38"/>
      <c r="G295" s="38"/>
      <c r="H295" s="15" t="s">
        <v>32</v>
      </c>
      <c r="I295" s="15" t="s">
        <v>12</v>
      </c>
      <c r="J295" s="15" t="s">
        <v>36</v>
      </c>
    </row>
    <row r="296" spans="1:10" ht="28" customHeight="1" x14ac:dyDescent="0.2">
      <c r="A296" s="46" t="str">
        <f ca="1">INDIRECT(_xlfn.TEXTJOIN("",TRUE,A313,"!",ADDRESS(13+(A314-1)*A310,1)))</f>
        <v>AHT 002</v>
      </c>
      <c r="B296" s="47"/>
      <c r="C296" s="43" t="str">
        <f ca="1">INDIRECT(_xlfn.TEXTJOIN("",TRUE,A313,"!",ADDRESS(13+(A314-1)*A310,2)))</f>
        <v>Engineering Chemistry</v>
      </c>
      <c r="D296" s="44"/>
      <c r="E296" s="44"/>
      <c r="F296" s="44"/>
      <c r="G296" s="45"/>
      <c r="H296" s="20">
        <f ca="1">INDIRECT(_xlfn.TEXTJOIN("",TRUE,A313,"!",ADDRESS(13+(A314-1)*A310,6)))</f>
        <v>4</v>
      </c>
      <c r="I296" s="20" t="str">
        <f ca="1">INDIRECT(_xlfn.TEXTJOIN("",TRUE,A313,"!",ADDRESS(13+(A314-1)*A310,13)))</f>
        <v>F</v>
      </c>
      <c r="J296" s="20">
        <f ca="1">INDIRECT(_xlfn.TEXTJOIN("",TRUE,A313,"!",ADDRESS(13+(A314-1)*A310,14)))</f>
        <v>0</v>
      </c>
    </row>
    <row r="297" spans="1:10" ht="28" customHeight="1" x14ac:dyDescent="0.2">
      <c r="A297" s="46" t="str">
        <f ca="1">INDIRECT(_xlfn.TEXTJOIN("",TRUE,A313,"!",ADDRESS(14+(A314-1)*A310,1)))</f>
        <v>AHT 003</v>
      </c>
      <c r="B297" s="47"/>
      <c r="C297" s="43" t="str">
        <f ca="1">INDIRECT(_xlfn.TEXTJOIN("",TRUE,A313,"!",ADDRESS(14+(A314-1)*A310,2)))</f>
        <v>Introduction to Engineering Mathematics</v>
      </c>
      <c r="D297" s="44"/>
      <c r="E297" s="44"/>
      <c r="F297" s="44"/>
      <c r="G297" s="45"/>
      <c r="H297" s="20">
        <f ca="1">INDIRECT(_xlfn.TEXTJOIN("",TRUE,A313,"!",ADDRESS(14+(A314-1)*A310,6)))</f>
        <v>4</v>
      </c>
      <c r="I297" s="20" t="str">
        <f ca="1">INDIRECT(_xlfn.TEXTJOIN("",TRUE,A313,"!",ADDRESS(14+(A314-1)*A310,13)))</f>
        <v>F</v>
      </c>
      <c r="J297" s="20">
        <f ca="1">INDIRECT(_xlfn.TEXTJOIN("",TRUE,A313,"!",ADDRESS(14+(A314-1)*A310,14)))</f>
        <v>0</v>
      </c>
    </row>
    <row r="298" spans="1:10" ht="28" customHeight="1" x14ac:dyDescent="0.2">
      <c r="A298" s="46" t="str">
        <f ca="1">INDIRECT(_xlfn.TEXTJOIN("",TRUE,A313,"!",ADDRESS(15+(A314-1)*A310,1)))</f>
        <v>ECT 001</v>
      </c>
      <c r="B298" s="47"/>
      <c r="C298" s="43" t="str">
        <f ca="1">INDIRECT(_xlfn.TEXTJOIN("",TRUE,A313,"!",ADDRESS(15+(A314-1)*A310,2)))</f>
        <v>Basic Electronics Engineering</v>
      </c>
      <c r="D298" s="44"/>
      <c r="E298" s="44"/>
      <c r="F298" s="44"/>
      <c r="G298" s="45"/>
      <c r="H298" s="20">
        <f ca="1">INDIRECT(_xlfn.TEXTJOIN("",TRUE,A313,"!",ADDRESS(15+(A314-1)*A310,6)))</f>
        <v>4</v>
      </c>
      <c r="I298" s="20" t="str">
        <f ca="1">INDIRECT(_xlfn.TEXTJOIN("",TRUE,A313,"!",ADDRESS(15+(A314-1)*A310,13)))</f>
        <v>F</v>
      </c>
      <c r="J298" s="20">
        <f ca="1">INDIRECT(_xlfn.TEXTJOIN("",TRUE,A313,"!",ADDRESS(15+(A314-1)*A310,14)))</f>
        <v>0</v>
      </c>
    </row>
    <row r="299" spans="1:10" ht="28" customHeight="1" x14ac:dyDescent="0.2">
      <c r="A299" s="46" t="str">
        <f ca="1">INDIRECT(_xlfn.TEXTJOIN("",TRUE,A313,"!",ADDRESS(16+(A314-1)*A310,1)))</f>
        <v>MET 001</v>
      </c>
      <c r="B299" s="47"/>
      <c r="C299" s="43" t="str">
        <f ca="1">INDIRECT(_xlfn.TEXTJOIN("",TRUE,A313,"!",ADDRESS(16+(A314-1)*A310,2)))</f>
        <v>Basic Mechanical Engineering</v>
      </c>
      <c r="D299" s="44"/>
      <c r="E299" s="44"/>
      <c r="F299" s="44"/>
      <c r="G299" s="45"/>
      <c r="H299" s="20">
        <f ca="1">INDIRECT(_xlfn.TEXTJOIN("",TRUE,A313,"!",ADDRESS(16+(A314-1)*A310,6)))</f>
        <v>4</v>
      </c>
      <c r="I299" s="20" t="str">
        <f ca="1">INDIRECT(_xlfn.TEXTJOIN("",TRUE,A313,"!",ADDRESS(16+(A314-1)*A310,13)))</f>
        <v>E</v>
      </c>
      <c r="J299" s="20">
        <f ca="1">INDIRECT(_xlfn.TEXTJOIN("",TRUE,A313,"!",ADDRESS(16+(A314-1)*A310,14)))</f>
        <v>5</v>
      </c>
    </row>
    <row r="300" spans="1:10" ht="28" customHeight="1" x14ac:dyDescent="0.2">
      <c r="A300" s="46" t="str">
        <f ca="1">INDIRECT(_xlfn.TEXTJOIN("",TRUE,A313,"!",ADDRESS(17+(A314-1)*A310,1)))</f>
        <v>BTT 001</v>
      </c>
      <c r="B300" s="47"/>
      <c r="C300" s="43" t="str">
        <f ca="1">INDIRECT(_xlfn.TEXTJOIN("",TRUE,A313,"!",ADDRESS(17+(A314-1)*A310,2)))</f>
        <v>Biology for Engineers (Bridge Course) ($)</v>
      </c>
      <c r="D300" s="44"/>
      <c r="E300" s="44"/>
      <c r="F300" s="44"/>
      <c r="G300" s="45"/>
      <c r="H300" s="20">
        <f ca="1">INDIRECT(_xlfn.TEXTJOIN("",TRUE,A313,"!",ADDRESS(17+(A314-1)*A310,6)))</f>
        <v>0</v>
      </c>
      <c r="I300" s="20" t="str">
        <f ca="1">INDIRECT(_xlfn.TEXTJOIN("",TRUE,A313,"!",ADDRESS(17+(A314-1)*A310,13)))</f>
        <v>E+</v>
      </c>
      <c r="J300" s="20">
        <f ca="1">INDIRECT(_xlfn.TEXTJOIN("",TRUE,A313,"!",ADDRESS(17+(A314-1)*A310,14)))</f>
        <v>5.5</v>
      </c>
    </row>
    <row r="301" spans="1:10" ht="28" customHeight="1" x14ac:dyDescent="0.2">
      <c r="A301" s="46" t="str">
        <f ca="1">INDIRECT(_xlfn.TEXTJOIN("",TRUE,A313,"!",ADDRESS(18+(A314-1)*A310,1)))</f>
        <v>AHP 002</v>
      </c>
      <c r="B301" s="47"/>
      <c r="C301" s="43" t="str">
        <f ca="1">INDIRECT(_xlfn.TEXTJOIN("",TRUE,A313,"!",ADDRESS(18+(A314-1)*A310,2)))</f>
        <v>Engineering Chemistry Lab</v>
      </c>
      <c r="D301" s="44"/>
      <c r="E301" s="44"/>
      <c r="F301" s="44"/>
      <c r="G301" s="45"/>
      <c r="H301" s="20">
        <f ca="1">INDIRECT(_xlfn.TEXTJOIN("",TRUE,A313,"!",ADDRESS(18+(A314-1)*A310,6)))</f>
        <v>1</v>
      </c>
      <c r="I301" s="20" t="str">
        <f ca="1">INDIRECT(_xlfn.TEXTJOIN("",TRUE,A313,"!",ADDRESS(18+(A314-1)*A310,13)))</f>
        <v>D</v>
      </c>
      <c r="J301" s="20">
        <f ca="1">INDIRECT(_xlfn.TEXTJOIN("",TRUE,A313,"!",ADDRESS(18+(A314-1)*A310,14)))</f>
        <v>6</v>
      </c>
    </row>
    <row r="302" spans="1:10" ht="28" customHeight="1" x14ac:dyDescent="0.2">
      <c r="A302" s="46" t="str">
        <f ca="1">INDIRECT(_xlfn.TEXTJOIN("",TRUE,A313,"!",ADDRESS(19+(A314-1)*A310,1)))</f>
        <v>ECP 001</v>
      </c>
      <c r="B302" s="47"/>
      <c r="C302" s="43" t="str">
        <f ca="1">INDIRECT(_xlfn.TEXTJOIN("",TRUE,A313,"!",ADDRESS(19+(A314-1)*A310,2)))</f>
        <v>Basic Electronics Engineering Lab</v>
      </c>
      <c r="D302" s="44"/>
      <c r="E302" s="44"/>
      <c r="F302" s="44"/>
      <c r="G302" s="45"/>
      <c r="H302" s="20">
        <f ca="1">INDIRECT(_xlfn.TEXTJOIN("",TRUE,A313,"!",ADDRESS(19+(A314-1)*A310,6)))</f>
        <v>1</v>
      </c>
      <c r="I302" s="20" t="str">
        <f ca="1">INDIRECT(_xlfn.TEXTJOIN("",TRUE,A313,"!",ADDRESS(19+(A314-1)*A310,13)))</f>
        <v>C</v>
      </c>
      <c r="J302" s="20">
        <f ca="1">INDIRECT(_xlfn.TEXTJOIN("",TRUE,A313,"!",ADDRESS(19+(A314-1)*A310,14)))</f>
        <v>7</v>
      </c>
    </row>
    <row r="303" spans="1:10" ht="28" customHeight="1" x14ac:dyDescent="0.2">
      <c r="A303" s="46" t="str">
        <f ca="1">INDIRECT(_xlfn.TEXTJOIN("",TRUE,A313,"!",ADDRESS(20+(A314-1)*A310,1)))</f>
        <v>MEP 001</v>
      </c>
      <c r="B303" s="47"/>
      <c r="C303" s="43" t="str">
        <f ca="1">INDIRECT(_xlfn.TEXTJOIN("",TRUE,A313,"!",ADDRESS(20+(A314-1)*A310,2)))</f>
        <v>Basic Mechanical Engineering Lab</v>
      </c>
      <c r="D303" s="44"/>
      <c r="E303" s="44"/>
      <c r="F303" s="44"/>
      <c r="G303" s="45"/>
      <c r="H303" s="20">
        <f ca="1">INDIRECT(_xlfn.TEXTJOIN("",TRUE,A313,"!",ADDRESS(20+(A314-1)*A310,6)))</f>
        <v>1</v>
      </c>
      <c r="I303" s="20" t="str">
        <f ca="1">INDIRECT(_xlfn.TEXTJOIN("",TRUE,A313,"!",ADDRESS(20+(A314-1)*A310,13)))</f>
        <v>A</v>
      </c>
      <c r="J303" s="20">
        <f ca="1">INDIRECT(_xlfn.TEXTJOIN("",TRUE,A313,"!",ADDRESS(20+(A314-1)*A310,14)))</f>
        <v>9</v>
      </c>
    </row>
    <row r="304" spans="1:10" ht="28" customHeight="1" x14ac:dyDescent="0.2">
      <c r="A304" s="46" t="str">
        <f ca="1">INDIRECT(_xlfn.TEXTJOIN("",TRUE,A313,"!",ADDRESS(21+(A314-1)*A310,1)))</f>
        <v>MEP 003</v>
      </c>
      <c r="B304" s="47"/>
      <c r="C304" s="43" t="str">
        <f ca="1">INDIRECT(_xlfn.TEXTJOIN("",TRUE,A313,"!",ADDRESS(21+(A314-1)*A310,2)))</f>
        <v>Workshop Practices Lab</v>
      </c>
      <c r="D304" s="44"/>
      <c r="E304" s="44"/>
      <c r="F304" s="44"/>
      <c r="G304" s="45"/>
      <c r="H304" s="20">
        <f ca="1">INDIRECT(_xlfn.TEXTJOIN("",TRUE,A313,"!",ADDRESS(21+(A314-1)*A310,6)))</f>
        <v>2</v>
      </c>
      <c r="I304" s="20" t="str">
        <f ca="1">INDIRECT(_xlfn.TEXTJOIN("",TRUE,A313,"!",ADDRESS(21+(A314-1)*A310,13)))</f>
        <v>B</v>
      </c>
      <c r="J304" s="20">
        <f ca="1">INDIRECT(_xlfn.TEXTJOIN("",TRUE,A313,"!",ADDRESS(21+(A314-1)*A310,14)))</f>
        <v>8</v>
      </c>
    </row>
    <row r="305" spans="1:10" ht="28" customHeight="1" x14ac:dyDescent="0.2">
      <c r="A305" s="46" t="str">
        <f ca="1">INDIRECT(_xlfn.TEXTJOIN("",TRUE,A313,"!",ADDRESS(22+(A314-1)*A310,1)))</f>
        <v>AHP 004</v>
      </c>
      <c r="B305" s="47"/>
      <c r="C305" s="43" t="str">
        <f ca="1">INDIRECT(_xlfn.TEXTJOIN("",TRUE,A313,"!",ADDRESS(22+(A314-1)*A310,2)))</f>
        <v>Emerging Technologies in Engineering Lab</v>
      </c>
      <c r="D305" s="44"/>
      <c r="E305" s="44"/>
      <c r="F305" s="44"/>
      <c r="G305" s="45"/>
      <c r="H305" s="20">
        <f ca="1">INDIRECT(_xlfn.TEXTJOIN("",TRUE,A313,"!",ADDRESS(22+(A314-1)*A310,6)))</f>
        <v>1</v>
      </c>
      <c r="I305" s="20" t="str">
        <f ca="1">INDIRECT(_xlfn.TEXTJOIN("",TRUE,A313,"!",ADDRESS(22+(A314-1)*A310,13)))</f>
        <v>A</v>
      </c>
      <c r="J305" s="20">
        <f ca="1">INDIRECT(_xlfn.TEXTJOIN("",TRUE,A313,"!",ADDRESS(22+(A314-1)*A310,14)))</f>
        <v>9</v>
      </c>
    </row>
    <row r="306" spans="1:10" ht="28" customHeight="1" x14ac:dyDescent="0.2">
      <c r="A306" s="46" t="str">
        <f ca="1">INDIRECT(_xlfn.TEXTJOIN("",TRUE,A313,"!",ADDRESS(23+(A314-1)*A310,1)))</f>
        <v>CSP 002</v>
      </c>
      <c r="B306" s="47"/>
      <c r="C306" s="43" t="str">
        <f ca="1">INDIRECT(_xlfn.TEXTJOIN("",TRUE,A313,"!",ADDRESS(23+(A314-1)*A310,2)))</f>
        <v>Computer Applications and IOT</v>
      </c>
      <c r="D306" s="44"/>
      <c r="E306" s="44"/>
      <c r="F306" s="44"/>
      <c r="G306" s="45"/>
      <c r="H306" s="20">
        <f ca="1">INDIRECT(_xlfn.TEXTJOIN("",TRUE,A313,"!",ADDRESS(23+(A314-1)*A310,6)))</f>
        <v>1</v>
      </c>
      <c r="I306" s="20" t="str">
        <f ca="1">INDIRECT(_xlfn.TEXTJOIN("",TRUE,A313,"!",ADDRESS(23+(A314-1)*A310,13)))</f>
        <v>O</v>
      </c>
      <c r="J306" s="20">
        <f ca="1">INDIRECT(_xlfn.TEXTJOIN("",TRUE,A313,"!",ADDRESS(23+(A314-1)*A310,14)))</f>
        <v>10</v>
      </c>
    </row>
    <row r="307" spans="1:10" ht="28" customHeight="1" x14ac:dyDescent="0.2">
      <c r="A307" s="46" t="str">
        <f ca="1">INDIRECT(_xlfn.TEXTJOIN("",TRUE,A313,"!",ADDRESS(24+(A314-1)*A310,1)))</f>
        <v>AHP 006</v>
      </c>
      <c r="B307" s="47"/>
      <c r="C307" s="43" t="str">
        <f ca="1">INDIRECT(_xlfn.TEXTJOIN("",TRUE,A313,"!",ADDRESS(24+(A314-1)*A310,2)))</f>
        <v>English Language Lab ($)</v>
      </c>
      <c r="D307" s="44"/>
      <c r="E307" s="44"/>
      <c r="F307" s="44"/>
      <c r="G307" s="45"/>
      <c r="H307" s="20">
        <f ca="1">INDIRECT(_xlfn.TEXTJOIN("",TRUE,A313,"!",ADDRESS(24+(A314-1)*A310,6)))</f>
        <v>0</v>
      </c>
      <c r="I307" s="20" t="str">
        <f ca="1">INDIRECT(_xlfn.TEXTJOIN("",TRUE,A313,"!",ADDRESS(24+(A314-1)*A310,13)))</f>
        <v>E+</v>
      </c>
      <c r="J307" s="20">
        <f ca="1">INDIRECT(_xlfn.TEXTJOIN("",TRUE,A313,"!",ADDRESS(24+(A314-1)*A310,14)))</f>
        <v>5.5</v>
      </c>
    </row>
    <row r="308" spans="1:10" ht="28" customHeight="1" x14ac:dyDescent="0.2">
      <c r="A308" s="46" t="str">
        <f ca="1">INDIRECT(_xlfn.TEXTJOIN("",TRUE,A313,"!",ADDRESS(25+(A314-1)*A310,1)))</f>
        <v>GP 01</v>
      </c>
      <c r="B308" s="47"/>
      <c r="C308" s="43" t="str">
        <f ca="1">INDIRECT(_xlfn.TEXTJOIN("",TRUE,A313,"!",ADDRESS(25+(A314-1)*A310,2)))</f>
        <v>General Proficiency ($)</v>
      </c>
      <c r="D308" s="44"/>
      <c r="E308" s="44"/>
      <c r="F308" s="44"/>
      <c r="G308" s="45"/>
      <c r="H308" s="20">
        <f ca="1">INDIRECT(_xlfn.TEXTJOIN("",TRUE,A313,"!",ADDRESS(25+(A314-1)*A310,6)))</f>
        <v>0</v>
      </c>
      <c r="I308" s="41" t="str">
        <f ca="1">INDIRECT(_xlfn.TEXTJOIN("",TRUE,A313,"!",ADDRESS(25+(A314-1)*A310,13)))</f>
        <v>Excellent</v>
      </c>
      <c r="J308" s="42"/>
    </row>
    <row r="309" spans="1:10" ht="28" customHeight="1" x14ac:dyDescent="0.2">
      <c r="A309" s="35" t="s">
        <v>54</v>
      </c>
      <c r="B309" s="35"/>
      <c r="C309" s="35"/>
      <c r="D309" s="35"/>
      <c r="E309" s="35"/>
      <c r="F309" s="35"/>
      <c r="G309" s="35"/>
      <c r="H309" s="16">
        <f ca="1">SUM(H296:H308)</f>
        <v>23</v>
      </c>
      <c r="I309" s="16" t="s">
        <v>46</v>
      </c>
      <c r="J309" s="16">
        <f ca="1">SUMPRODUCT(J296:J307,H296:H307)</f>
        <v>77</v>
      </c>
    </row>
    <row r="310" spans="1:10" ht="28" customHeight="1" x14ac:dyDescent="0.2">
      <c r="A310" s="22">
        <f>ROWS(A296:B308)+9</f>
        <v>22</v>
      </c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1:10" ht="28" customHeight="1" x14ac:dyDescent="0.2">
      <c r="A311" s="36" t="s">
        <v>42</v>
      </c>
      <c r="B311" s="36"/>
      <c r="C311" s="21">
        <f ca="1">INDIRECT(_xlfn.TEXTJOIN("",TRUE,A313,"!",ADDRESS(5+A314*A310,12)))</f>
        <v>11</v>
      </c>
      <c r="D311" s="36" t="s">
        <v>40</v>
      </c>
      <c r="E311" s="36"/>
      <c r="F311" s="18">
        <f ca="1">INDIRECT(_xlfn.TEXTJOIN("",TRUE,A313,"!",ADDRESS(5+A314*A310,8)))</f>
        <v>3.347826086956522</v>
      </c>
      <c r="G311" s="36" t="s">
        <v>41</v>
      </c>
      <c r="H311" s="36"/>
      <c r="I311" s="37">
        <f ca="1">INDIRECT(_xlfn.TEXTJOIN("",TRUE,A313,"!",ADDRESS(5+A314*A310,10)))</f>
        <v>3.347826086956522</v>
      </c>
      <c r="J311" s="37"/>
    </row>
    <row r="312" spans="1:10" ht="28" customHeight="1" x14ac:dyDescent="0.2">
      <c r="A312" s="19" t="s">
        <v>38</v>
      </c>
      <c r="B312" s="38" t="str">
        <f ca="1">INDIRECT(_xlfn.TEXTJOIN("",TRUE,A313,"!",ADDRESS(5+A314*A310,2)))</f>
        <v>CARRY OVER</v>
      </c>
      <c r="C312" s="38"/>
      <c r="D312" s="39" t="s">
        <v>39</v>
      </c>
      <c r="E312" s="39"/>
      <c r="F312" s="40" t="str">
        <f ca="1">INDIRECT(_xlfn.TEXTJOIN("",TRUE,A313,"!",ADDRESS(5+A314*A310,5)))</f>
        <v>BACK IN AHT 002, AHT 003, ECT 001</v>
      </c>
      <c r="G312" s="40"/>
      <c r="H312" s="40"/>
      <c r="I312" s="40"/>
      <c r="J312" s="40"/>
    </row>
    <row r="313" spans="1:10" ht="28" customHeight="1" x14ac:dyDescent="0.2">
      <c r="A313" s="22" t="str">
        <f>A291</f>
        <v>TC_I</v>
      </c>
    </row>
    <row r="314" spans="1:10" ht="28" customHeight="1" x14ac:dyDescent="0.2">
      <c r="A314" s="22">
        <f>A292+1</f>
        <v>14</v>
      </c>
    </row>
    <row r="315" spans="1:10" ht="28" customHeight="1" x14ac:dyDescent="0.2">
      <c r="A315" s="49" t="s">
        <v>26</v>
      </c>
      <c r="B315" s="49"/>
      <c r="C315" s="49" t="str">
        <f ca="1">INDIRECT(_xlfn.TEXTJOIN("",TRUE,A335,"!",ADDRESS(9+(A336-1)*A332,2)))</f>
        <v>LAVANYA JOSHI</v>
      </c>
      <c r="D315" s="49"/>
      <c r="E315" s="49"/>
      <c r="F315" s="49" t="s">
        <v>52</v>
      </c>
      <c r="G315" s="49"/>
      <c r="H315" s="49"/>
      <c r="I315" s="48">
        <f ca="1">INDIRECT(_xlfn.TEXTJOIN("",TRUE,A335,"!",ADDRESS(9+(A336-1)*A332,9)))</f>
        <v>250090120016</v>
      </c>
      <c r="J315" s="48"/>
    </row>
    <row r="316" spans="1:10" ht="28" customHeight="1" x14ac:dyDescent="0.2">
      <c r="A316" s="49" t="s">
        <v>27</v>
      </c>
      <c r="B316" s="49"/>
      <c r="C316" s="49" t="str">
        <f ca="1">INDIRECT(_xlfn.TEXTJOIN("",TRUE,A335,"!",ADDRESS(9+(A336-1)*A332,5)))</f>
        <v>GREESH CHANDRA JOSHI</v>
      </c>
      <c r="D316" s="49"/>
      <c r="E316" s="49"/>
      <c r="F316" s="50" t="s">
        <v>53</v>
      </c>
      <c r="G316" s="50"/>
      <c r="H316" s="50"/>
      <c r="I316" s="48" t="str">
        <f ca="1">INDIRECT(_xlfn.TEXTJOIN("",TRUE,A335,"!",ADDRESS(9+(A336-1)*A332,13)))</f>
        <v>UTU/2501103673</v>
      </c>
      <c r="J316" s="48"/>
    </row>
    <row r="317" spans="1:10" ht="28" customHeight="1" x14ac:dyDescent="0.2">
      <c r="A317" s="38" t="s">
        <v>30</v>
      </c>
      <c r="B317" s="38"/>
      <c r="C317" s="38" t="s">
        <v>31</v>
      </c>
      <c r="D317" s="38"/>
      <c r="E317" s="38"/>
      <c r="F317" s="38"/>
      <c r="G317" s="38"/>
      <c r="H317" s="15" t="s">
        <v>32</v>
      </c>
      <c r="I317" s="15" t="s">
        <v>12</v>
      </c>
      <c r="J317" s="15" t="s">
        <v>36</v>
      </c>
    </row>
    <row r="318" spans="1:10" ht="28" customHeight="1" x14ac:dyDescent="0.2">
      <c r="A318" s="46" t="str">
        <f ca="1">INDIRECT(_xlfn.TEXTJOIN("",TRUE,A335,"!",ADDRESS(13+(A336-1)*A332,1)))</f>
        <v>AHT 002</v>
      </c>
      <c r="B318" s="47"/>
      <c r="C318" s="43" t="str">
        <f ca="1">INDIRECT(_xlfn.TEXTJOIN("",TRUE,A335,"!",ADDRESS(13+(A336-1)*A332,2)))</f>
        <v>Engineering Chemistry</v>
      </c>
      <c r="D318" s="44"/>
      <c r="E318" s="44"/>
      <c r="F318" s="44"/>
      <c r="G318" s="45"/>
      <c r="H318" s="20">
        <f ca="1">INDIRECT(_xlfn.TEXTJOIN("",TRUE,A335,"!",ADDRESS(13+(A336-1)*A332,6)))</f>
        <v>4</v>
      </c>
      <c r="I318" s="20" t="str">
        <f ca="1">INDIRECT(_xlfn.TEXTJOIN("",TRUE,A335,"!",ADDRESS(13+(A336-1)*A332,13)))</f>
        <v>P</v>
      </c>
      <c r="J318" s="20">
        <f ca="1">INDIRECT(_xlfn.TEXTJOIN("",TRUE,A335,"!",ADDRESS(13+(A336-1)*A332,14)))</f>
        <v>4.5</v>
      </c>
    </row>
    <row r="319" spans="1:10" ht="28" customHeight="1" x14ac:dyDescent="0.2">
      <c r="A319" s="46" t="str">
        <f ca="1">INDIRECT(_xlfn.TEXTJOIN("",TRUE,A335,"!",ADDRESS(14+(A336-1)*A332,1)))</f>
        <v>AHT 003</v>
      </c>
      <c r="B319" s="47"/>
      <c r="C319" s="43" t="str">
        <f ca="1">INDIRECT(_xlfn.TEXTJOIN("",TRUE,A335,"!",ADDRESS(14+(A336-1)*A332,2)))</f>
        <v>Introduction to Engineering Mathematics</v>
      </c>
      <c r="D319" s="44"/>
      <c r="E319" s="44"/>
      <c r="F319" s="44"/>
      <c r="G319" s="45"/>
      <c r="H319" s="20">
        <f ca="1">INDIRECT(_xlfn.TEXTJOIN("",TRUE,A335,"!",ADDRESS(14+(A336-1)*A332,6)))</f>
        <v>4</v>
      </c>
      <c r="I319" s="20" t="str">
        <f ca="1">INDIRECT(_xlfn.TEXTJOIN("",TRUE,A335,"!",ADDRESS(14+(A336-1)*A332,13)))</f>
        <v>F</v>
      </c>
      <c r="J319" s="20">
        <f ca="1">INDIRECT(_xlfn.TEXTJOIN("",TRUE,A335,"!",ADDRESS(14+(A336-1)*A332,14)))</f>
        <v>0</v>
      </c>
    </row>
    <row r="320" spans="1:10" ht="28" customHeight="1" x14ac:dyDescent="0.2">
      <c r="A320" s="46" t="str">
        <f ca="1">INDIRECT(_xlfn.TEXTJOIN("",TRUE,A335,"!",ADDRESS(15+(A336-1)*A332,1)))</f>
        <v>ECT 001</v>
      </c>
      <c r="B320" s="47"/>
      <c r="C320" s="43" t="str">
        <f ca="1">INDIRECT(_xlfn.TEXTJOIN("",TRUE,A335,"!",ADDRESS(15+(A336-1)*A332,2)))</f>
        <v>Basic Electronics Engineering</v>
      </c>
      <c r="D320" s="44"/>
      <c r="E320" s="44"/>
      <c r="F320" s="44"/>
      <c r="G320" s="45"/>
      <c r="H320" s="20">
        <f ca="1">INDIRECT(_xlfn.TEXTJOIN("",TRUE,A335,"!",ADDRESS(15+(A336-1)*A332,6)))</f>
        <v>4</v>
      </c>
      <c r="I320" s="20" t="str">
        <f ca="1">INDIRECT(_xlfn.TEXTJOIN("",TRUE,A335,"!",ADDRESS(15+(A336-1)*A332,13)))</f>
        <v>E</v>
      </c>
      <c r="J320" s="20">
        <f ca="1">INDIRECT(_xlfn.TEXTJOIN("",TRUE,A335,"!",ADDRESS(15+(A336-1)*A332,14)))</f>
        <v>5</v>
      </c>
    </row>
    <row r="321" spans="1:10" ht="28" customHeight="1" x14ac:dyDescent="0.2">
      <c r="A321" s="46" t="str">
        <f ca="1">INDIRECT(_xlfn.TEXTJOIN("",TRUE,A335,"!",ADDRESS(16+(A336-1)*A332,1)))</f>
        <v>MET 001</v>
      </c>
      <c r="B321" s="47"/>
      <c r="C321" s="43" t="str">
        <f ca="1">INDIRECT(_xlfn.TEXTJOIN("",TRUE,A335,"!",ADDRESS(16+(A336-1)*A332,2)))</f>
        <v>Basic Mechanical Engineering</v>
      </c>
      <c r="D321" s="44"/>
      <c r="E321" s="44"/>
      <c r="F321" s="44"/>
      <c r="G321" s="45"/>
      <c r="H321" s="20">
        <f ca="1">INDIRECT(_xlfn.TEXTJOIN("",TRUE,A335,"!",ADDRESS(16+(A336-1)*A332,6)))</f>
        <v>4</v>
      </c>
      <c r="I321" s="20" t="str">
        <f ca="1">INDIRECT(_xlfn.TEXTJOIN("",TRUE,A335,"!",ADDRESS(16+(A336-1)*A332,13)))</f>
        <v>D</v>
      </c>
      <c r="J321" s="20">
        <f ca="1">INDIRECT(_xlfn.TEXTJOIN("",TRUE,A335,"!",ADDRESS(16+(A336-1)*A332,14)))</f>
        <v>6</v>
      </c>
    </row>
    <row r="322" spans="1:10" ht="28" customHeight="1" x14ac:dyDescent="0.2">
      <c r="A322" s="46" t="str">
        <f ca="1">INDIRECT(_xlfn.TEXTJOIN("",TRUE,A335,"!",ADDRESS(17+(A336-1)*A332,1)))</f>
        <v>AHT 000</v>
      </c>
      <c r="B322" s="47"/>
      <c r="C322" s="43" t="str">
        <f ca="1">INDIRECT(_xlfn.TEXTJOIN("",TRUE,A335,"!",ADDRESS(17+(A336-1)*A332,2)))</f>
        <v>Basic Mathematics (Bridge Course) ($)</v>
      </c>
      <c r="D322" s="44"/>
      <c r="E322" s="44"/>
      <c r="F322" s="44"/>
      <c r="G322" s="45"/>
      <c r="H322" s="20">
        <f ca="1">INDIRECT(_xlfn.TEXTJOIN("",TRUE,A335,"!",ADDRESS(17+(A336-1)*A332,6)))</f>
        <v>0</v>
      </c>
      <c r="I322" s="20" t="str">
        <f ca="1">INDIRECT(_xlfn.TEXTJOIN("",TRUE,A335,"!",ADDRESS(17+(A336-1)*A332,13)))</f>
        <v>E+</v>
      </c>
      <c r="J322" s="20">
        <f ca="1">INDIRECT(_xlfn.TEXTJOIN("",TRUE,A335,"!",ADDRESS(17+(A336-1)*A332,14)))</f>
        <v>5.5</v>
      </c>
    </row>
    <row r="323" spans="1:10" ht="28" customHeight="1" x14ac:dyDescent="0.2">
      <c r="A323" s="46" t="str">
        <f ca="1">INDIRECT(_xlfn.TEXTJOIN("",TRUE,A335,"!",ADDRESS(18+(A336-1)*A332,1)))</f>
        <v>AHP 002</v>
      </c>
      <c r="B323" s="47"/>
      <c r="C323" s="43" t="str">
        <f ca="1">INDIRECT(_xlfn.TEXTJOIN("",TRUE,A335,"!",ADDRESS(18+(A336-1)*A332,2)))</f>
        <v>Engineering Chemistry Lab</v>
      </c>
      <c r="D323" s="44"/>
      <c r="E323" s="44"/>
      <c r="F323" s="44"/>
      <c r="G323" s="45"/>
      <c r="H323" s="20">
        <f ca="1">INDIRECT(_xlfn.TEXTJOIN("",TRUE,A335,"!",ADDRESS(18+(A336-1)*A332,6)))</f>
        <v>1</v>
      </c>
      <c r="I323" s="20" t="str">
        <f ca="1">INDIRECT(_xlfn.TEXTJOIN("",TRUE,A335,"!",ADDRESS(18+(A336-1)*A332,13)))</f>
        <v>D+</v>
      </c>
      <c r="J323" s="20">
        <f ca="1">INDIRECT(_xlfn.TEXTJOIN("",TRUE,A335,"!",ADDRESS(18+(A336-1)*A332,14)))</f>
        <v>6.5</v>
      </c>
    </row>
    <row r="324" spans="1:10" ht="28" customHeight="1" x14ac:dyDescent="0.2">
      <c r="A324" s="46" t="str">
        <f ca="1">INDIRECT(_xlfn.TEXTJOIN("",TRUE,A335,"!",ADDRESS(19+(A336-1)*A332,1)))</f>
        <v>ECP 001</v>
      </c>
      <c r="B324" s="47"/>
      <c r="C324" s="43" t="str">
        <f ca="1">INDIRECT(_xlfn.TEXTJOIN("",TRUE,A335,"!",ADDRESS(19+(A336-1)*A332,2)))</f>
        <v>Basic Electronics Engineering Lab</v>
      </c>
      <c r="D324" s="44"/>
      <c r="E324" s="44"/>
      <c r="F324" s="44"/>
      <c r="G324" s="45"/>
      <c r="H324" s="20">
        <f ca="1">INDIRECT(_xlfn.TEXTJOIN("",TRUE,A335,"!",ADDRESS(19+(A336-1)*A332,6)))</f>
        <v>1</v>
      </c>
      <c r="I324" s="20" t="str">
        <f ca="1">INDIRECT(_xlfn.TEXTJOIN("",TRUE,A335,"!",ADDRESS(19+(A336-1)*A332,13)))</f>
        <v>B+</v>
      </c>
      <c r="J324" s="20">
        <f ca="1">INDIRECT(_xlfn.TEXTJOIN("",TRUE,A335,"!",ADDRESS(19+(A336-1)*A332,14)))</f>
        <v>8.5</v>
      </c>
    </row>
    <row r="325" spans="1:10" ht="28" customHeight="1" x14ac:dyDescent="0.2">
      <c r="A325" s="46" t="str">
        <f ca="1">INDIRECT(_xlfn.TEXTJOIN("",TRUE,A335,"!",ADDRESS(20+(A336-1)*A332,1)))</f>
        <v>MEP 001</v>
      </c>
      <c r="B325" s="47"/>
      <c r="C325" s="43" t="str">
        <f ca="1">INDIRECT(_xlfn.TEXTJOIN("",TRUE,A335,"!",ADDRESS(20+(A336-1)*A332,2)))</f>
        <v>Basic Mechanical Engineering Lab</v>
      </c>
      <c r="D325" s="44"/>
      <c r="E325" s="44"/>
      <c r="F325" s="44"/>
      <c r="G325" s="45"/>
      <c r="H325" s="20">
        <f ca="1">INDIRECT(_xlfn.TEXTJOIN("",TRUE,A335,"!",ADDRESS(20+(A336-1)*A332,6)))</f>
        <v>1</v>
      </c>
      <c r="I325" s="20" t="str">
        <f ca="1">INDIRECT(_xlfn.TEXTJOIN("",TRUE,A335,"!",ADDRESS(20+(A336-1)*A332,13)))</f>
        <v>A</v>
      </c>
      <c r="J325" s="20">
        <f ca="1">INDIRECT(_xlfn.TEXTJOIN("",TRUE,A335,"!",ADDRESS(20+(A336-1)*A332,14)))</f>
        <v>9</v>
      </c>
    </row>
    <row r="326" spans="1:10" ht="28" customHeight="1" x14ac:dyDescent="0.2">
      <c r="A326" s="46" t="str">
        <f ca="1">INDIRECT(_xlfn.TEXTJOIN("",TRUE,A335,"!",ADDRESS(21+(A336-1)*A332,1)))</f>
        <v>MEP 003</v>
      </c>
      <c r="B326" s="47"/>
      <c r="C326" s="43" t="str">
        <f ca="1">INDIRECT(_xlfn.TEXTJOIN("",TRUE,A335,"!",ADDRESS(21+(A336-1)*A332,2)))</f>
        <v>Workshop Practices Lab</v>
      </c>
      <c r="D326" s="44"/>
      <c r="E326" s="44"/>
      <c r="F326" s="44"/>
      <c r="G326" s="45"/>
      <c r="H326" s="20">
        <f ca="1">INDIRECT(_xlfn.TEXTJOIN("",TRUE,A335,"!",ADDRESS(21+(A336-1)*A332,6)))</f>
        <v>2</v>
      </c>
      <c r="I326" s="20" t="str">
        <f ca="1">INDIRECT(_xlfn.TEXTJOIN("",TRUE,A335,"!",ADDRESS(21+(A336-1)*A332,13)))</f>
        <v>A</v>
      </c>
      <c r="J326" s="20">
        <f ca="1">INDIRECT(_xlfn.TEXTJOIN("",TRUE,A335,"!",ADDRESS(21+(A336-1)*A332,14)))</f>
        <v>9</v>
      </c>
    </row>
    <row r="327" spans="1:10" ht="28" customHeight="1" x14ac:dyDescent="0.2">
      <c r="A327" s="46" t="str">
        <f ca="1">INDIRECT(_xlfn.TEXTJOIN("",TRUE,A335,"!",ADDRESS(22+(A336-1)*A332,1)))</f>
        <v>AHP 004</v>
      </c>
      <c r="B327" s="47"/>
      <c r="C327" s="43" t="str">
        <f ca="1">INDIRECT(_xlfn.TEXTJOIN("",TRUE,A335,"!",ADDRESS(22+(A336-1)*A332,2)))</f>
        <v>Emerging Technologies in Engineering Lab</v>
      </c>
      <c r="D327" s="44"/>
      <c r="E327" s="44"/>
      <c r="F327" s="44"/>
      <c r="G327" s="45"/>
      <c r="H327" s="20">
        <f ca="1">INDIRECT(_xlfn.TEXTJOIN("",TRUE,A335,"!",ADDRESS(22+(A336-1)*A332,6)))</f>
        <v>1</v>
      </c>
      <c r="I327" s="20" t="str">
        <f ca="1">INDIRECT(_xlfn.TEXTJOIN("",TRUE,A335,"!",ADDRESS(22+(A336-1)*A332,13)))</f>
        <v>A+</v>
      </c>
      <c r="J327" s="20">
        <f ca="1">INDIRECT(_xlfn.TEXTJOIN("",TRUE,A335,"!",ADDRESS(22+(A336-1)*A332,14)))</f>
        <v>9.5</v>
      </c>
    </row>
    <row r="328" spans="1:10" ht="28" customHeight="1" x14ac:dyDescent="0.2">
      <c r="A328" s="46" t="str">
        <f ca="1">INDIRECT(_xlfn.TEXTJOIN("",TRUE,A335,"!",ADDRESS(23+(A336-1)*A332,1)))</f>
        <v>CSP 002</v>
      </c>
      <c r="B328" s="47"/>
      <c r="C328" s="43" t="str">
        <f ca="1">INDIRECT(_xlfn.TEXTJOIN("",TRUE,A335,"!",ADDRESS(23+(A336-1)*A332,2)))</f>
        <v>Computer Applications and IOT</v>
      </c>
      <c r="D328" s="44"/>
      <c r="E328" s="44"/>
      <c r="F328" s="44"/>
      <c r="G328" s="45"/>
      <c r="H328" s="20">
        <f ca="1">INDIRECT(_xlfn.TEXTJOIN("",TRUE,A335,"!",ADDRESS(23+(A336-1)*A332,6)))</f>
        <v>1</v>
      </c>
      <c r="I328" s="20" t="str">
        <f ca="1">INDIRECT(_xlfn.TEXTJOIN("",TRUE,A335,"!",ADDRESS(23+(A336-1)*A332,13)))</f>
        <v>O</v>
      </c>
      <c r="J328" s="20">
        <f ca="1">INDIRECT(_xlfn.TEXTJOIN("",TRUE,A335,"!",ADDRESS(23+(A336-1)*A332,14)))</f>
        <v>10</v>
      </c>
    </row>
    <row r="329" spans="1:10" ht="28" customHeight="1" x14ac:dyDescent="0.2">
      <c r="A329" s="46" t="str">
        <f ca="1">INDIRECT(_xlfn.TEXTJOIN("",TRUE,A335,"!",ADDRESS(24+(A336-1)*A332,1)))</f>
        <v>AHP 006</v>
      </c>
      <c r="B329" s="47"/>
      <c r="C329" s="43" t="str">
        <f ca="1">INDIRECT(_xlfn.TEXTJOIN("",TRUE,A335,"!",ADDRESS(24+(A336-1)*A332,2)))</f>
        <v>English Language Lab ($)</v>
      </c>
      <c r="D329" s="44"/>
      <c r="E329" s="44"/>
      <c r="F329" s="44"/>
      <c r="G329" s="45"/>
      <c r="H329" s="20">
        <f ca="1">INDIRECT(_xlfn.TEXTJOIN("",TRUE,A335,"!",ADDRESS(24+(A336-1)*A332,6)))</f>
        <v>0</v>
      </c>
      <c r="I329" s="20" t="str">
        <f ca="1">INDIRECT(_xlfn.TEXTJOIN("",TRUE,A335,"!",ADDRESS(24+(A336-1)*A332,13)))</f>
        <v>C</v>
      </c>
      <c r="J329" s="20">
        <f ca="1">INDIRECT(_xlfn.TEXTJOIN("",TRUE,A335,"!",ADDRESS(24+(A336-1)*A332,14)))</f>
        <v>7</v>
      </c>
    </row>
    <row r="330" spans="1:10" ht="28" customHeight="1" x14ac:dyDescent="0.2">
      <c r="A330" s="46" t="str">
        <f ca="1">INDIRECT(_xlfn.TEXTJOIN("",TRUE,A335,"!",ADDRESS(25+(A336-1)*A332,1)))</f>
        <v>GP 01</v>
      </c>
      <c r="B330" s="47"/>
      <c r="C330" s="43" t="str">
        <f ca="1">INDIRECT(_xlfn.TEXTJOIN("",TRUE,A335,"!",ADDRESS(25+(A336-1)*A332,2)))</f>
        <v>General Proficiency ($)</v>
      </c>
      <c r="D330" s="44"/>
      <c r="E330" s="44"/>
      <c r="F330" s="44"/>
      <c r="G330" s="45"/>
      <c r="H330" s="20">
        <f ca="1">INDIRECT(_xlfn.TEXTJOIN("",TRUE,A335,"!",ADDRESS(25+(A336-1)*A332,6)))</f>
        <v>0</v>
      </c>
      <c r="I330" s="41" t="str">
        <f ca="1">INDIRECT(_xlfn.TEXTJOIN("",TRUE,A335,"!",ADDRESS(25+(A336-1)*A332,13)))</f>
        <v>Excellent</v>
      </c>
      <c r="J330" s="42"/>
    </row>
    <row r="331" spans="1:10" ht="28" customHeight="1" x14ac:dyDescent="0.2">
      <c r="A331" s="35" t="s">
        <v>54</v>
      </c>
      <c r="B331" s="35"/>
      <c r="C331" s="35"/>
      <c r="D331" s="35"/>
      <c r="E331" s="35"/>
      <c r="F331" s="35"/>
      <c r="G331" s="35"/>
      <c r="H331" s="16">
        <f ca="1">SUM(H318:H330)</f>
        <v>23</v>
      </c>
      <c r="I331" s="16" t="s">
        <v>46</v>
      </c>
      <c r="J331" s="16">
        <f ca="1">SUMPRODUCT(J318:J329,H318:H329)</f>
        <v>123.5</v>
      </c>
    </row>
    <row r="332" spans="1:10" ht="28" customHeight="1" x14ac:dyDescent="0.2">
      <c r="A332" s="22">
        <f>ROWS(A318:B330)+9</f>
        <v>22</v>
      </c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1:10" ht="28" customHeight="1" x14ac:dyDescent="0.2">
      <c r="A333" s="36" t="s">
        <v>42</v>
      </c>
      <c r="B333" s="36"/>
      <c r="C333" s="21">
        <f ca="1">INDIRECT(_xlfn.TEXTJOIN("",TRUE,A335,"!",ADDRESS(5+A336*A332,12)))</f>
        <v>19</v>
      </c>
      <c r="D333" s="36" t="s">
        <v>40</v>
      </c>
      <c r="E333" s="36"/>
      <c r="F333" s="18">
        <f ca="1">INDIRECT(_xlfn.TEXTJOIN("",TRUE,A335,"!",ADDRESS(5+A336*A332,8)))</f>
        <v>5.3695652173913047</v>
      </c>
      <c r="G333" s="36" t="s">
        <v>41</v>
      </c>
      <c r="H333" s="36"/>
      <c r="I333" s="37">
        <f ca="1">INDIRECT(_xlfn.TEXTJOIN("",TRUE,A335,"!",ADDRESS(5+A336*A332,10)))</f>
        <v>5.3695652173913047</v>
      </c>
      <c r="J333" s="37"/>
    </row>
    <row r="334" spans="1:10" ht="28" customHeight="1" x14ac:dyDescent="0.2">
      <c r="A334" s="19" t="s">
        <v>38</v>
      </c>
      <c r="B334" s="38" t="str">
        <f ca="1">INDIRECT(_xlfn.TEXTJOIN("",TRUE,A335,"!",ADDRESS(5+A336*A332,2)))</f>
        <v>CARRY OVER</v>
      </c>
      <c r="C334" s="38"/>
      <c r="D334" s="39" t="s">
        <v>39</v>
      </c>
      <c r="E334" s="39"/>
      <c r="F334" s="40" t="str">
        <f ca="1">INDIRECT(_xlfn.TEXTJOIN("",TRUE,A335,"!",ADDRESS(5+A336*A332,5)))</f>
        <v>BACK IN AHT 003</v>
      </c>
      <c r="G334" s="40"/>
      <c r="H334" s="40"/>
      <c r="I334" s="40"/>
      <c r="J334" s="40"/>
    </row>
    <row r="335" spans="1:10" ht="28" customHeight="1" x14ac:dyDescent="0.2">
      <c r="A335" s="22" t="str">
        <f>A313</f>
        <v>TC_I</v>
      </c>
    </row>
    <row r="336" spans="1:10" ht="28" customHeight="1" x14ac:dyDescent="0.2">
      <c r="A336" s="22">
        <f>A314+1</f>
        <v>15</v>
      </c>
    </row>
    <row r="337" spans="1:10" ht="28" customHeight="1" x14ac:dyDescent="0.2">
      <c r="A337" s="49" t="s">
        <v>26</v>
      </c>
      <c r="B337" s="49"/>
      <c r="C337" s="49" t="str">
        <f ca="1">INDIRECT(_xlfn.TEXTJOIN("",TRUE,A357,"!",ADDRESS(9+(A358-1)*A354,2)))</f>
        <v>MANANSH BISHT</v>
      </c>
      <c r="D337" s="49"/>
      <c r="E337" s="49"/>
      <c r="F337" s="49" t="s">
        <v>52</v>
      </c>
      <c r="G337" s="49"/>
      <c r="H337" s="49"/>
      <c r="I337" s="48">
        <f ca="1">INDIRECT(_xlfn.TEXTJOIN("",TRUE,A357,"!",ADDRESS(9+(A358-1)*A354,9)))</f>
        <v>250090120017</v>
      </c>
      <c r="J337" s="48"/>
    </row>
    <row r="338" spans="1:10" ht="28" customHeight="1" x14ac:dyDescent="0.2">
      <c r="A338" s="49" t="s">
        <v>27</v>
      </c>
      <c r="B338" s="49"/>
      <c r="C338" s="49" t="str">
        <f ca="1">INDIRECT(_xlfn.TEXTJOIN("",TRUE,A357,"!",ADDRESS(9+(A358-1)*A354,5)))</f>
        <v>POORAN SINGH BISHT</v>
      </c>
      <c r="D338" s="49"/>
      <c r="E338" s="49"/>
      <c r="F338" s="50" t="s">
        <v>53</v>
      </c>
      <c r="G338" s="50"/>
      <c r="H338" s="50"/>
      <c r="I338" s="48" t="str">
        <f ca="1">INDIRECT(_xlfn.TEXTJOIN("",TRUE,A357,"!",ADDRESS(9+(A358-1)*A354,13)))</f>
        <v>UTU/2501104022</v>
      </c>
      <c r="J338" s="48"/>
    </row>
    <row r="339" spans="1:10" ht="28" customHeight="1" x14ac:dyDescent="0.2">
      <c r="A339" s="38" t="s">
        <v>30</v>
      </c>
      <c r="B339" s="38"/>
      <c r="C339" s="38" t="s">
        <v>31</v>
      </c>
      <c r="D339" s="38"/>
      <c r="E339" s="38"/>
      <c r="F339" s="38"/>
      <c r="G339" s="38"/>
      <c r="H339" s="15" t="s">
        <v>32</v>
      </c>
      <c r="I339" s="15" t="s">
        <v>12</v>
      </c>
      <c r="J339" s="15" t="s">
        <v>36</v>
      </c>
    </row>
    <row r="340" spans="1:10" ht="28" customHeight="1" x14ac:dyDescent="0.2">
      <c r="A340" s="46" t="str">
        <f ca="1">INDIRECT(_xlfn.TEXTJOIN("",TRUE,A357,"!",ADDRESS(13+(A358-1)*A354,1)))</f>
        <v>AHT 002</v>
      </c>
      <c r="B340" s="47"/>
      <c r="C340" s="43" t="str">
        <f ca="1">INDIRECT(_xlfn.TEXTJOIN("",TRUE,A357,"!",ADDRESS(13+(A358-1)*A354,2)))</f>
        <v>Engineering Chemistry</v>
      </c>
      <c r="D340" s="44"/>
      <c r="E340" s="44"/>
      <c r="F340" s="44"/>
      <c r="G340" s="45"/>
      <c r="H340" s="20">
        <f ca="1">INDIRECT(_xlfn.TEXTJOIN("",TRUE,A357,"!",ADDRESS(13+(A358-1)*A354,6)))</f>
        <v>4</v>
      </c>
      <c r="I340" s="20" t="str">
        <f ca="1">INDIRECT(_xlfn.TEXTJOIN("",TRUE,A357,"!",ADDRESS(13+(A358-1)*A354,13)))</f>
        <v>F</v>
      </c>
      <c r="J340" s="20">
        <f ca="1">INDIRECT(_xlfn.TEXTJOIN("",TRUE,A357,"!",ADDRESS(13+(A358-1)*A354,14)))</f>
        <v>0</v>
      </c>
    </row>
    <row r="341" spans="1:10" ht="28" customHeight="1" x14ac:dyDescent="0.2">
      <c r="A341" s="46" t="str">
        <f ca="1">INDIRECT(_xlfn.TEXTJOIN("",TRUE,A357,"!",ADDRESS(14+(A358-1)*A354,1)))</f>
        <v>AHT 003</v>
      </c>
      <c r="B341" s="47"/>
      <c r="C341" s="43" t="str">
        <f ca="1">INDIRECT(_xlfn.TEXTJOIN("",TRUE,A357,"!",ADDRESS(14+(A358-1)*A354,2)))</f>
        <v>Introduction to Engineering Mathematics</v>
      </c>
      <c r="D341" s="44"/>
      <c r="E341" s="44"/>
      <c r="F341" s="44"/>
      <c r="G341" s="45"/>
      <c r="H341" s="20">
        <f ca="1">INDIRECT(_xlfn.TEXTJOIN("",TRUE,A357,"!",ADDRESS(14+(A358-1)*A354,6)))</f>
        <v>4</v>
      </c>
      <c r="I341" s="20" t="str">
        <f ca="1">INDIRECT(_xlfn.TEXTJOIN("",TRUE,A357,"!",ADDRESS(14+(A358-1)*A354,13)))</f>
        <v>F</v>
      </c>
      <c r="J341" s="20">
        <f ca="1">INDIRECT(_xlfn.TEXTJOIN("",TRUE,A357,"!",ADDRESS(14+(A358-1)*A354,14)))</f>
        <v>0</v>
      </c>
    </row>
    <row r="342" spans="1:10" ht="28" customHeight="1" x14ac:dyDescent="0.2">
      <c r="A342" s="46" t="str">
        <f ca="1">INDIRECT(_xlfn.TEXTJOIN("",TRUE,A357,"!",ADDRESS(15+(A358-1)*A354,1)))</f>
        <v>ECT 001</v>
      </c>
      <c r="B342" s="47"/>
      <c r="C342" s="43" t="str">
        <f ca="1">INDIRECT(_xlfn.TEXTJOIN("",TRUE,A357,"!",ADDRESS(15+(A358-1)*A354,2)))</f>
        <v>Basic Electronics Engineering</v>
      </c>
      <c r="D342" s="44"/>
      <c r="E342" s="44"/>
      <c r="F342" s="44"/>
      <c r="G342" s="45"/>
      <c r="H342" s="20">
        <f ca="1">INDIRECT(_xlfn.TEXTJOIN("",TRUE,A357,"!",ADDRESS(15+(A358-1)*A354,6)))</f>
        <v>4</v>
      </c>
      <c r="I342" s="20" t="str">
        <f ca="1">INDIRECT(_xlfn.TEXTJOIN("",TRUE,A357,"!",ADDRESS(15+(A358-1)*A354,13)))</f>
        <v>E</v>
      </c>
      <c r="J342" s="20">
        <f ca="1">INDIRECT(_xlfn.TEXTJOIN("",TRUE,A357,"!",ADDRESS(15+(A358-1)*A354,14)))</f>
        <v>5</v>
      </c>
    </row>
    <row r="343" spans="1:10" ht="28" customHeight="1" x14ac:dyDescent="0.2">
      <c r="A343" s="46" t="str">
        <f ca="1">INDIRECT(_xlfn.TEXTJOIN("",TRUE,A357,"!",ADDRESS(16+(A358-1)*A354,1)))</f>
        <v>MET 001</v>
      </c>
      <c r="B343" s="47"/>
      <c r="C343" s="43" t="str">
        <f ca="1">INDIRECT(_xlfn.TEXTJOIN("",TRUE,A357,"!",ADDRESS(16+(A358-1)*A354,2)))</f>
        <v>Basic Mechanical Engineering</v>
      </c>
      <c r="D343" s="44"/>
      <c r="E343" s="44"/>
      <c r="F343" s="44"/>
      <c r="G343" s="45"/>
      <c r="H343" s="20">
        <f ca="1">INDIRECT(_xlfn.TEXTJOIN("",TRUE,A357,"!",ADDRESS(16+(A358-1)*A354,6)))</f>
        <v>4</v>
      </c>
      <c r="I343" s="20" t="str">
        <f ca="1">INDIRECT(_xlfn.TEXTJOIN("",TRUE,A357,"!",ADDRESS(16+(A358-1)*A354,13)))</f>
        <v>D</v>
      </c>
      <c r="J343" s="20">
        <f ca="1">INDIRECT(_xlfn.TEXTJOIN("",TRUE,A357,"!",ADDRESS(16+(A358-1)*A354,14)))</f>
        <v>6</v>
      </c>
    </row>
    <row r="344" spans="1:10" ht="28" customHeight="1" x14ac:dyDescent="0.2">
      <c r="A344" s="46" t="str">
        <f ca="1">INDIRECT(_xlfn.TEXTJOIN("",TRUE,A357,"!",ADDRESS(17+(A358-1)*A354,1)))</f>
        <v>AHT 000</v>
      </c>
      <c r="B344" s="47"/>
      <c r="C344" s="43" t="str">
        <f ca="1">INDIRECT(_xlfn.TEXTJOIN("",TRUE,A357,"!",ADDRESS(17+(A358-1)*A354,2)))</f>
        <v>Basic Mathematics (Bridge Course) ($)</v>
      </c>
      <c r="D344" s="44"/>
      <c r="E344" s="44"/>
      <c r="F344" s="44"/>
      <c r="G344" s="45"/>
      <c r="H344" s="20">
        <f ca="1">INDIRECT(_xlfn.TEXTJOIN("",TRUE,A357,"!",ADDRESS(17+(A358-1)*A354,6)))</f>
        <v>0</v>
      </c>
      <c r="I344" s="20" t="str">
        <f ca="1">INDIRECT(_xlfn.TEXTJOIN("",TRUE,A357,"!",ADDRESS(17+(A358-1)*A354,13)))</f>
        <v>F</v>
      </c>
      <c r="J344" s="20">
        <f ca="1">INDIRECT(_xlfn.TEXTJOIN("",TRUE,A357,"!",ADDRESS(17+(A358-1)*A354,14)))</f>
        <v>0</v>
      </c>
    </row>
    <row r="345" spans="1:10" ht="28" customHeight="1" x14ac:dyDescent="0.2">
      <c r="A345" s="46" t="str">
        <f ca="1">INDIRECT(_xlfn.TEXTJOIN("",TRUE,A357,"!",ADDRESS(18+(A358-1)*A354,1)))</f>
        <v>AHP 002</v>
      </c>
      <c r="B345" s="47"/>
      <c r="C345" s="43" t="str">
        <f ca="1">INDIRECT(_xlfn.TEXTJOIN("",TRUE,A357,"!",ADDRESS(18+(A358-1)*A354,2)))</f>
        <v>Engineering Chemistry Lab</v>
      </c>
      <c r="D345" s="44"/>
      <c r="E345" s="44"/>
      <c r="F345" s="44"/>
      <c r="G345" s="45"/>
      <c r="H345" s="20">
        <f ca="1">INDIRECT(_xlfn.TEXTJOIN("",TRUE,A357,"!",ADDRESS(18+(A358-1)*A354,6)))</f>
        <v>1</v>
      </c>
      <c r="I345" s="20" t="str">
        <f ca="1">INDIRECT(_xlfn.TEXTJOIN("",TRUE,A357,"!",ADDRESS(18+(A358-1)*A354,13)))</f>
        <v>C+</v>
      </c>
      <c r="J345" s="20">
        <f ca="1">INDIRECT(_xlfn.TEXTJOIN("",TRUE,A357,"!",ADDRESS(18+(A358-1)*A354,14)))</f>
        <v>7.5</v>
      </c>
    </row>
    <row r="346" spans="1:10" ht="28" customHeight="1" x14ac:dyDescent="0.2">
      <c r="A346" s="46" t="str">
        <f ca="1">INDIRECT(_xlfn.TEXTJOIN("",TRUE,A357,"!",ADDRESS(19+(A358-1)*A354,1)))</f>
        <v>ECP 001</v>
      </c>
      <c r="B346" s="47"/>
      <c r="C346" s="43" t="str">
        <f ca="1">INDIRECT(_xlfn.TEXTJOIN("",TRUE,A357,"!",ADDRESS(19+(A358-1)*A354,2)))</f>
        <v>Basic Electronics Engineering Lab</v>
      </c>
      <c r="D346" s="44"/>
      <c r="E346" s="44"/>
      <c r="F346" s="44"/>
      <c r="G346" s="45"/>
      <c r="H346" s="20">
        <f ca="1">INDIRECT(_xlfn.TEXTJOIN("",TRUE,A357,"!",ADDRESS(19+(A358-1)*A354,6)))</f>
        <v>1</v>
      </c>
      <c r="I346" s="20" t="str">
        <f ca="1">INDIRECT(_xlfn.TEXTJOIN("",TRUE,A357,"!",ADDRESS(19+(A358-1)*A354,13)))</f>
        <v>B</v>
      </c>
      <c r="J346" s="20">
        <f ca="1">INDIRECT(_xlfn.TEXTJOIN("",TRUE,A357,"!",ADDRESS(19+(A358-1)*A354,14)))</f>
        <v>8</v>
      </c>
    </row>
    <row r="347" spans="1:10" ht="28" customHeight="1" x14ac:dyDescent="0.2">
      <c r="A347" s="46" t="str">
        <f ca="1">INDIRECT(_xlfn.TEXTJOIN("",TRUE,A357,"!",ADDRESS(20+(A358-1)*A354,1)))</f>
        <v>MEP 001</v>
      </c>
      <c r="B347" s="47"/>
      <c r="C347" s="43" t="str">
        <f ca="1">INDIRECT(_xlfn.TEXTJOIN("",TRUE,A357,"!",ADDRESS(20+(A358-1)*A354,2)))</f>
        <v>Basic Mechanical Engineering Lab</v>
      </c>
      <c r="D347" s="44"/>
      <c r="E347" s="44"/>
      <c r="F347" s="44"/>
      <c r="G347" s="45"/>
      <c r="H347" s="20">
        <f ca="1">INDIRECT(_xlfn.TEXTJOIN("",TRUE,A357,"!",ADDRESS(20+(A358-1)*A354,6)))</f>
        <v>1</v>
      </c>
      <c r="I347" s="20" t="str">
        <f ca="1">INDIRECT(_xlfn.TEXTJOIN("",TRUE,A357,"!",ADDRESS(20+(A358-1)*A354,13)))</f>
        <v>A</v>
      </c>
      <c r="J347" s="20">
        <f ca="1">INDIRECT(_xlfn.TEXTJOIN("",TRUE,A357,"!",ADDRESS(20+(A358-1)*A354,14)))</f>
        <v>9</v>
      </c>
    </row>
    <row r="348" spans="1:10" ht="28" customHeight="1" x14ac:dyDescent="0.2">
      <c r="A348" s="46" t="str">
        <f ca="1">INDIRECT(_xlfn.TEXTJOIN("",TRUE,A357,"!",ADDRESS(21+(A358-1)*A354,1)))</f>
        <v>MEP 003</v>
      </c>
      <c r="B348" s="47"/>
      <c r="C348" s="43" t="str">
        <f ca="1">INDIRECT(_xlfn.TEXTJOIN("",TRUE,A357,"!",ADDRESS(21+(A358-1)*A354,2)))</f>
        <v>Workshop Practices Lab</v>
      </c>
      <c r="D348" s="44"/>
      <c r="E348" s="44"/>
      <c r="F348" s="44"/>
      <c r="G348" s="45"/>
      <c r="H348" s="20">
        <f ca="1">INDIRECT(_xlfn.TEXTJOIN("",TRUE,A357,"!",ADDRESS(21+(A358-1)*A354,6)))</f>
        <v>2</v>
      </c>
      <c r="I348" s="20" t="str">
        <f ca="1">INDIRECT(_xlfn.TEXTJOIN("",TRUE,A357,"!",ADDRESS(21+(A358-1)*A354,13)))</f>
        <v>A+</v>
      </c>
      <c r="J348" s="20">
        <f ca="1">INDIRECT(_xlfn.TEXTJOIN("",TRUE,A357,"!",ADDRESS(21+(A358-1)*A354,14)))</f>
        <v>9.5</v>
      </c>
    </row>
    <row r="349" spans="1:10" ht="28" customHeight="1" x14ac:dyDescent="0.2">
      <c r="A349" s="46" t="str">
        <f ca="1">INDIRECT(_xlfn.TEXTJOIN("",TRUE,A357,"!",ADDRESS(22+(A358-1)*A354,1)))</f>
        <v>AHP 004</v>
      </c>
      <c r="B349" s="47"/>
      <c r="C349" s="43" t="str">
        <f ca="1">INDIRECT(_xlfn.TEXTJOIN("",TRUE,A357,"!",ADDRESS(22+(A358-1)*A354,2)))</f>
        <v>Emerging Technologies in Engineering Lab</v>
      </c>
      <c r="D349" s="44"/>
      <c r="E349" s="44"/>
      <c r="F349" s="44"/>
      <c r="G349" s="45"/>
      <c r="H349" s="20">
        <f ca="1">INDIRECT(_xlfn.TEXTJOIN("",TRUE,A357,"!",ADDRESS(22+(A358-1)*A354,6)))</f>
        <v>1</v>
      </c>
      <c r="I349" s="20" t="str">
        <f ca="1">INDIRECT(_xlfn.TEXTJOIN("",TRUE,A357,"!",ADDRESS(22+(A358-1)*A354,13)))</f>
        <v>A+</v>
      </c>
      <c r="J349" s="20">
        <f ca="1">INDIRECT(_xlfn.TEXTJOIN("",TRUE,A357,"!",ADDRESS(22+(A358-1)*A354,14)))</f>
        <v>9.5</v>
      </c>
    </row>
    <row r="350" spans="1:10" ht="28" customHeight="1" x14ac:dyDescent="0.2">
      <c r="A350" s="46" t="str">
        <f ca="1">INDIRECT(_xlfn.TEXTJOIN("",TRUE,A357,"!",ADDRESS(23+(A358-1)*A354,1)))</f>
        <v>CSP 002</v>
      </c>
      <c r="B350" s="47"/>
      <c r="C350" s="43" t="str">
        <f ca="1">INDIRECT(_xlfn.TEXTJOIN("",TRUE,A357,"!",ADDRESS(23+(A358-1)*A354,2)))</f>
        <v>Computer Applications and IOT</v>
      </c>
      <c r="D350" s="44"/>
      <c r="E350" s="44"/>
      <c r="F350" s="44"/>
      <c r="G350" s="45"/>
      <c r="H350" s="20">
        <f ca="1">INDIRECT(_xlfn.TEXTJOIN("",TRUE,A357,"!",ADDRESS(23+(A358-1)*A354,6)))</f>
        <v>1</v>
      </c>
      <c r="I350" s="20" t="str">
        <f ca="1">INDIRECT(_xlfn.TEXTJOIN("",TRUE,A357,"!",ADDRESS(23+(A358-1)*A354,13)))</f>
        <v>A+</v>
      </c>
      <c r="J350" s="20">
        <f ca="1">INDIRECT(_xlfn.TEXTJOIN("",TRUE,A357,"!",ADDRESS(23+(A358-1)*A354,14)))</f>
        <v>9.5</v>
      </c>
    </row>
    <row r="351" spans="1:10" ht="28" customHeight="1" x14ac:dyDescent="0.2">
      <c r="A351" s="46" t="str">
        <f ca="1">INDIRECT(_xlfn.TEXTJOIN("",TRUE,A357,"!",ADDRESS(24+(A358-1)*A354,1)))</f>
        <v>AHP 006</v>
      </c>
      <c r="B351" s="47"/>
      <c r="C351" s="43" t="str">
        <f ca="1">INDIRECT(_xlfn.TEXTJOIN("",TRUE,A357,"!",ADDRESS(24+(A358-1)*A354,2)))</f>
        <v>English Language Lab ($)</v>
      </c>
      <c r="D351" s="44"/>
      <c r="E351" s="44"/>
      <c r="F351" s="44"/>
      <c r="G351" s="45"/>
      <c r="H351" s="20">
        <f ca="1">INDIRECT(_xlfn.TEXTJOIN("",TRUE,A357,"!",ADDRESS(24+(A358-1)*A354,6)))</f>
        <v>0</v>
      </c>
      <c r="I351" s="20" t="str">
        <f ca="1">INDIRECT(_xlfn.TEXTJOIN("",TRUE,A357,"!",ADDRESS(24+(A358-1)*A354,13)))</f>
        <v>P</v>
      </c>
      <c r="J351" s="20">
        <f ca="1">INDIRECT(_xlfn.TEXTJOIN("",TRUE,A357,"!",ADDRESS(24+(A358-1)*A354,14)))</f>
        <v>4.5</v>
      </c>
    </row>
    <row r="352" spans="1:10" ht="28" customHeight="1" x14ac:dyDescent="0.2">
      <c r="A352" s="46" t="str">
        <f ca="1">INDIRECT(_xlfn.TEXTJOIN("",TRUE,A357,"!",ADDRESS(25+(A358-1)*A354,1)))</f>
        <v>GP 01</v>
      </c>
      <c r="B352" s="47"/>
      <c r="C352" s="43" t="str">
        <f ca="1">INDIRECT(_xlfn.TEXTJOIN("",TRUE,A357,"!",ADDRESS(25+(A358-1)*A354,2)))</f>
        <v>General Proficiency ($)</v>
      </c>
      <c r="D352" s="44"/>
      <c r="E352" s="44"/>
      <c r="F352" s="44"/>
      <c r="G352" s="45"/>
      <c r="H352" s="20">
        <f ca="1">INDIRECT(_xlfn.TEXTJOIN("",TRUE,A357,"!",ADDRESS(25+(A358-1)*A354,6)))</f>
        <v>0</v>
      </c>
      <c r="I352" s="41" t="str">
        <f ca="1">INDIRECT(_xlfn.TEXTJOIN("",TRUE,A357,"!",ADDRESS(25+(A358-1)*A354,13)))</f>
        <v>Excellent</v>
      </c>
      <c r="J352" s="42"/>
    </row>
    <row r="353" spans="1:10" ht="28" customHeight="1" x14ac:dyDescent="0.2">
      <c r="A353" s="35" t="s">
        <v>54</v>
      </c>
      <c r="B353" s="35"/>
      <c r="C353" s="35"/>
      <c r="D353" s="35"/>
      <c r="E353" s="35"/>
      <c r="F353" s="35"/>
      <c r="G353" s="35"/>
      <c r="H353" s="16">
        <f ca="1">SUM(H340:H352)</f>
        <v>23</v>
      </c>
      <c r="I353" s="16" t="s">
        <v>46</v>
      </c>
      <c r="J353" s="16">
        <f ca="1">SUMPRODUCT(J340:J351,H340:H351)</f>
        <v>106.5</v>
      </c>
    </row>
    <row r="354" spans="1:10" ht="28" customHeight="1" x14ac:dyDescent="0.2">
      <c r="A354" s="22">
        <f>ROWS(A340:B352)+9</f>
        <v>22</v>
      </c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1:10" ht="28" customHeight="1" x14ac:dyDescent="0.2">
      <c r="A355" s="36" t="s">
        <v>42</v>
      </c>
      <c r="B355" s="36"/>
      <c r="C355" s="21">
        <f ca="1">INDIRECT(_xlfn.TEXTJOIN("",TRUE,A357,"!",ADDRESS(5+A358*A354,12)))</f>
        <v>15</v>
      </c>
      <c r="D355" s="36" t="s">
        <v>40</v>
      </c>
      <c r="E355" s="36"/>
      <c r="F355" s="18">
        <f ca="1">INDIRECT(_xlfn.TEXTJOIN("",TRUE,A357,"!",ADDRESS(5+A358*A354,8)))</f>
        <v>4.6304347826086953</v>
      </c>
      <c r="G355" s="36" t="s">
        <v>41</v>
      </c>
      <c r="H355" s="36"/>
      <c r="I355" s="37">
        <f ca="1">INDIRECT(_xlfn.TEXTJOIN("",TRUE,A357,"!",ADDRESS(5+A358*A354,10)))</f>
        <v>4.6304347826086953</v>
      </c>
      <c r="J355" s="37"/>
    </row>
    <row r="356" spans="1:10" ht="28" customHeight="1" x14ac:dyDescent="0.2">
      <c r="A356" s="19" t="s">
        <v>38</v>
      </c>
      <c r="B356" s="38" t="str">
        <f ca="1">INDIRECT(_xlfn.TEXTJOIN("",TRUE,A357,"!",ADDRESS(5+A358*A354,2)))</f>
        <v>CARRY OVER</v>
      </c>
      <c r="C356" s="38"/>
      <c r="D356" s="39" t="s">
        <v>39</v>
      </c>
      <c r="E356" s="39"/>
      <c r="F356" s="40" t="str">
        <f ca="1">INDIRECT(_xlfn.TEXTJOIN("",TRUE,A357,"!",ADDRESS(5+A358*A354,5)))</f>
        <v>BACK IN AHT 002, AHT 003, AHT 000</v>
      </c>
      <c r="G356" s="40"/>
      <c r="H356" s="40"/>
      <c r="I356" s="40"/>
      <c r="J356" s="40"/>
    </row>
    <row r="357" spans="1:10" ht="28" customHeight="1" x14ac:dyDescent="0.2">
      <c r="A357" s="22" t="str">
        <f>A335</f>
        <v>TC_I</v>
      </c>
    </row>
    <row r="358" spans="1:10" ht="28" customHeight="1" x14ac:dyDescent="0.2">
      <c r="A358" s="22">
        <f>A336+1</f>
        <v>16</v>
      </c>
    </row>
    <row r="359" spans="1:10" ht="28" customHeight="1" x14ac:dyDescent="0.2">
      <c r="A359" s="49" t="s">
        <v>26</v>
      </c>
      <c r="B359" s="49"/>
      <c r="C359" s="49" t="str">
        <f ca="1">INDIRECT(_xlfn.TEXTJOIN("",TRUE,A379,"!",ADDRESS(9+(A380-1)*A376,2)))</f>
        <v>MANAV MISHRA</v>
      </c>
      <c r="D359" s="49"/>
      <c r="E359" s="49"/>
      <c r="F359" s="49" t="s">
        <v>52</v>
      </c>
      <c r="G359" s="49"/>
      <c r="H359" s="49"/>
      <c r="I359" s="48">
        <f ca="1">INDIRECT(_xlfn.TEXTJOIN("",TRUE,A379,"!",ADDRESS(9+(A380-1)*A376,9)))</f>
        <v>250090120018</v>
      </c>
      <c r="J359" s="48"/>
    </row>
    <row r="360" spans="1:10" ht="28" customHeight="1" x14ac:dyDescent="0.2">
      <c r="A360" s="49" t="s">
        <v>27</v>
      </c>
      <c r="B360" s="49"/>
      <c r="C360" s="49" t="str">
        <f ca="1">INDIRECT(_xlfn.TEXTJOIN("",TRUE,A379,"!",ADDRESS(9+(A380-1)*A376,5)))</f>
        <v>KK MISHRA</v>
      </c>
      <c r="D360" s="49"/>
      <c r="E360" s="49"/>
      <c r="F360" s="50" t="s">
        <v>53</v>
      </c>
      <c r="G360" s="50"/>
      <c r="H360" s="50"/>
      <c r="I360" s="48" t="str">
        <f ca="1">INDIRECT(_xlfn.TEXTJOIN("",TRUE,A379,"!",ADDRESS(9+(A380-1)*A376,13)))</f>
        <v>UTU/2501100833</v>
      </c>
      <c r="J360" s="48"/>
    </row>
    <row r="361" spans="1:10" ht="28" customHeight="1" x14ac:dyDescent="0.2">
      <c r="A361" s="38" t="s">
        <v>30</v>
      </c>
      <c r="B361" s="38"/>
      <c r="C361" s="38" t="s">
        <v>31</v>
      </c>
      <c r="D361" s="38"/>
      <c r="E361" s="38"/>
      <c r="F361" s="38"/>
      <c r="G361" s="38"/>
      <c r="H361" s="15" t="s">
        <v>32</v>
      </c>
      <c r="I361" s="15" t="s">
        <v>12</v>
      </c>
      <c r="J361" s="15" t="s">
        <v>36</v>
      </c>
    </row>
    <row r="362" spans="1:10" ht="28" customHeight="1" x14ac:dyDescent="0.2">
      <c r="A362" s="46" t="str">
        <f ca="1">INDIRECT(_xlfn.TEXTJOIN("",TRUE,A379,"!",ADDRESS(13+(A380-1)*A376,1)))</f>
        <v>AHT 002</v>
      </c>
      <c r="B362" s="47"/>
      <c r="C362" s="43" t="str">
        <f ca="1">INDIRECT(_xlfn.TEXTJOIN("",TRUE,A379,"!",ADDRESS(13+(A380-1)*A376,2)))</f>
        <v>Engineering Chemistry</v>
      </c>
      <c r="D362" s="44"/>
      <c r="E362" s="44"/>
      <c r="F362" s="44"/>
      <c r="G362" s="45"/>
      <c r="H362" s="20">
        <f ca="1">INDIRECT(_xlfn.TEXTJOIN("",TRUE,A379,"!",ADDRESS(13+(A380-1)*A376,6)))</f>
        <v>4</v>
      </c>
      <c r="I362" s="20" t="str">
        <f ca="1">INDIRECT(_xlfn.TEXTJOIN("",TRUE,A379,"!",ADDRESS(13+(A380-1)*A376,13)))</f>
        <v>Dt</v>
      </c>
      <c r="J362" s="20">
        <f ca="1">INDIRECT(_xlfn.TEXTJOIN("",TRUE,A379,"!",ADDRESS(13+(A380-1)*A376,14)))</f>
        <v>0</v>
      </c>
    </row>
    <row r="363" spans="1:10" ht="28" customHeight="1" x14ac:dyDescent="0.2">
      <c r="A363" s="46" t="str">
        <f ca="1">INDIRECT(_xlfn.TEXTJOIN("",TRUE,A379,"!",ADDRESS(14+(A380-1)*A376,1)))</f>
        <v>AHT 003</v>
      </c>
      <c r="B363" s="47"/>
      <c r="C363" s="43" t="str">
        <f ca="1">INDIRECT(_xlfn.TEXTJOIN("",TRUE,A379,"!",ADDRESS(14+(A380-1)*A376,2)))</f>
        <v>Introduction to Engineering Mathematics</v>
      </c>
      <c r="D363" s="44"/>
      <c r="E363" s="44"/>
      <c r="F363" s="44"/>
      <c r="G363" s="45"/>
      <c r="H363" s="20">
        <f ca="1">INDIRECT(_xlfn.TEXTJOIN("",TRUE,A379,"!",ADDRESS(14+(A380-1)*A376,6)))</f>
        <v>4</v>
      </c>
      <c r="I363" s="20" t="str">
        <f ca="1">INDIRECT(_xlfn.TEXTJOIN("",TRUE,A379,"!",ADDRESS(14+(A380-1)*A376,13)))</f>
        <v>Dt</v>
      </c>
      <c r="J363" s="20">
        <f ca="1">INDIRECT(_xlfn.TEXTJOIN("",TRUE,A379,"!",ADDRESS(14+(A380-1)*A376,14)))</f>
        <v>0</v>
      </c>
    </row>
    <row r="364" spans="1:10" ht="28" customHeight="1" x14ac:dyDescent="0.2">
      <c r="A364" s="46" t="str">
        <f ca="1">INDIRECT(_xlfn.TEXTJOIN("",TRUE,A379,"!",ADDRESS(15+(A380-1)*A376,1)))</f>
        <v>ECT 001</v>
      </c>
      <c r="B364" s="47"/>
      <c r="C364" s="43" t="str">
        <f ca="1">INDIRECT(_xlfn.TEXTJOIN("",TRUE,A379,"!",ADDRESS(15+(A380-1)*A376,2)))</f>
        <v>Basic Electronics Engineering</v>
      </c>
      <c r="D364" s="44"/>
      <c r="E364" s="44"/>
      <c r="F364" s="44"/>
      <c r="G364" s="45"/>
      <c r="H364" s="20">
        <f ca="1">INDIRECT(_xlfn.TEXTJOIN("",TRUE,A379,"!",ADDRESS(15+(A380-1)*A376,6)))</f>
        <v>4</v>
      </c>
      <c r="I364" s="20" t="str">
        <f ca="1">INDIRECT(_xlfn.TEXTJOIN("",TRUE,A379,"!",ADDRESS(15+(A380-1)*A376,13)))</f>
        <v>Ab</v>
      </c>
      <c r="J364" s="20">
        <f ca="1">INDIRECT(_xlfn.TEXTJOIN("",TRUE,A379,"!",ADDRESS(15+(A380-1)*A376,14)))</f>
        <v>0</v>
      </c>
    </row>
    <row r="365" spans="1:10" ht="28" customHeight="1" x14ac:dyDescent="0.2">
      <c r="A365" s="46" t="str">
        <f ca="1">INDIRECT(_xlfn.TEXTJOIN("",TRUE,A379,"!",ADDRESS(16+(A380-1)*A376,1)))</f>
        <v>MET 001</v>
      </c>
      <c r="B365" s="47"/>
      <c r="C365" s="43" t="str">
        <f ca="1">INDIRECT(_xlfn.TEXTJOIN("",TRUE,A379,"!",ADDRESS(16+(A380-1)*A376,2)))</f>
        <v>Basic Mechanical Engineering</v>
      </c>
      <c r="D365" s="44"/>
      <c r="E365" s="44"/>
      <c r="F365" s="44"/>
      <c r="G365" s="45"/>
      <c r="H365" s="20">
        <f ca="1">INDIRECT(_xlfn.TEXTJOIN("",TRUE,A379,"!",ADDRESS(16+(A380-1)*A376,6)))</f>
        <v>4</v>
      </c>
      <c r="I365" s="20" t="str">
        <f ca="1">INDIRECT(_xlfn.TEXTJOIN("",TRUE,A379,"!",ADDRESS(16+(A380-1)*A376,13)))</f>
        <v>Ab</v>
      </c>
      <c r="J365" s="20">
        <f ca="1">INDIRECT(_xlfn.TEXTJOIN("",TRUE,A379,"!",ADDRESS(16+(A380-1)*A376,14)))</f>
        <v>0</v>
      </c>
    </row>
    <row r="366" spans="1:10" ht="28" customHeight="1" x14ac:dyDescent="0.2">
      <c r="A366" s="46" t="str">
        <f ca="1">INDIRECT(_xlfn.TEXTJOIN("",TRUE,A379,"!",ADDRESS(17+(A380-1)*A376,1)))</f>
        <v>AHT 000</v>
      </c>
      <c r="B366" s="47"/>
      <c r="C366" s="43" t="str">
        <f ca="1">INDIRECT(_xlfn.TEXTJOIN("",TRUE,A379,"!",ADDRESS(17+(A380-1)*A376,2)))</f>
        <v>Basic Mathematics (Bridge Course) ($)</v>
      </c>
      <c r="D366" s="44"/>
      <c r="E366" s="44"/>
      <c r="F366" s="44"/>
      <c r="G366" s="45"/>
      <c r="H366" s="20">
        <f ca="1">INDIRECT(_xlfn.TEXTJOIN("",TRUE,A379,"!",ADDRESS(17+(A380-1)*A376,6)))</f>
        <v>0</v>
      </c>
      <c r="I366" s="20" t="str">
        <f ca="1">INDIRECT(_xlfn.TEXTJOIN("",TRUE,A379,"!",ADDRESS(17+(A380-1)*A376,13)))</f>
        <v>Dt</v>
      </c>
      <c r="J366" s="20">
        <f ca="1">INDIRECT(_xlfn.TEXTJOIN("",TRUE,A379,"!",ADDRESS(17+(A380-1)*A376,14)))</f>
        <v>0</v>
      </c>
    </row>
    <row r="367" spans="1:10" ht="28" customHeight="1" x14ac:dyDescent="0.2">
      <c r="A367" s="46" t="str">
        <f ca="1">INDIRECT(_xlfn.TEXTJOIN("",TRUE,A379,"!",ADDRESS(18+(A380-1)*A376,1)))</f>
        <v>AHP 002</v>
      </c>
      <c r="B367" s="47"/>
      <c r="C367" s="43" t="str">
        <f ca="1">INDIRECT(_xlfn.TEXTJOIN("",TRUE,A379,"!",ADDRESS(18+(A380-1)*A376,2)))</f>
        <v>Engineering Chemistry Lab</v>
      </c>
      <c r="D367" s="44"/>
      <c r="E367" s="44"/>
      <c r="F367" s="44"/>
      <c r="G367" s="45"/>
      <c r="H367" s="20">
        <f ca="1">INDIRECT(_xlfn.TEXTJOIN("",TRUE,A379,"!",ADDRESS(18+(A380-1)*A376,6)))</f>
        <v>1</v>
      </c>
      <c r="I367" s="20" t="str">
        <f ca="1">INDIRECT(_xlfn.TEXTJOIN("",TRUE,A379,"!",ADDRESS(18+(A380-1)*A376,13)))</f>
        <v>Dt</v>
      </c>
      <c r="J367" s="20">
        <f ca="1">INDIRECT(_xlfn.TEXTJOIN("",TRUE,A379,"!",ADDRESS(18+(A380-1)*A376,14)))</f>
        <v>0</v>
      </c>
    </row>
    <row r="368" spans="1:10" ht="28" customHeight="1" x14ac:dyDescent="0.2">
      <c r="A368" s="46" t="str">
        <f ca="1">INDIRECT(_xlfn.TEXTJOIN("",TRUE,A379,"!",ADDRESS(19+(A380-1)*A376,1)))</f>
        <v>ECP 001</v>
      </c>
      <c r="B368" s="47"/>
      <c r="C368" s="43" t="str">
        <f ca="1">INDIRECT(_xlfn.TEXTJOIN("",TRUE,A379,"!",ADDRESS(19+(A380-1)*A376,2)))</f>
        <v>Basic Electronics Engineering Lab</v>
      </c>
      <c r="D368" s="44"/>
      <c r="E368" s="44"/>
      <c r="F368" s="44"/>
      <c r="G368" s="45"/>
      <c r="H368" s="20">
        <f ca="1">INDIRECT(_xlfn.TEXTJOIN("",TRUE,A379,"!",ADDRESS(19+(A380-1)*A376,6)))</f>
        <v>1</v>
      </c>
      <c r="I368" s="20" t="str">
        <f ca="1">INDIRECT(_xlfn.TEXTJOIN("",TRUE,A379,"!",ADDRESS(19+(A380-1)*A376,13)))</f>
        <v>Ab</v>
      </c>
      <c r="J368" s="20">
        <f ca="1">INDIRECT(_xlfn.TEXTJOIN("",TRUE,A379,"!",ADDRESS(19+(A380-1)*A376,14)))</f>
        <v>0</v>
      </c>
    </row>
    <row r="369" spans="1:10" ht="28" customHeight="1" x14ac:dyDescent="0.2">
      <c r="A369" s="46" t="str">
        <f ca="1">INDIRECT(_xlfn.TEXTJOIN("",TRUE,A379,"!",ADDRESS(20+(A380-1)*A376,1)))</f>
        <v>MEP 001</v>
      </c>
      <c r="B369" s="47"/>
      <c r="C369" s="43" t="str">
        <f ca="1">INDIRECT(_xlfn.TEXTJOIN("",TRUE,A379,"!",ADDRESS(20+(A380-1)*A376,2)))</f>
        <v>Basic Mechanical Engineering Lab</v>
      </c>
      <c r="D369" s="44"/>
      <c r="E369" s="44"/>
      <c r="F369" s="44"/>
      <c r="G369" s="45"/>
      <c r="H369" s="20">
        <f ca="1">INDIRECT(_xlfn.TEXTJOIN("",TRUE,A379,"!",ADDRESS(20+(A380-1)*A376,6)))</f>
        <v>1</v>
      </c>
      <c r="I369" s="20" t="str">
        <f ca="1">INDIRECT(_xlfn.TEXTJOIN("",TRUE,A379,"!",ADDRESS(20+(A380-1)*A376,13)))</f>
        <v>Dt</v>
      </c>
      <c r="J369" s="20">
        <f ca="1">INDIRECT(_xlfn.TEXTJOIN("",TRUE,A379,"!",ADDRESS(20+(A380-1)*A376,14)))</f>
        <v>0</v>
      </c>
    </row>
    <row r="370" spans="1:10" ht="28" customHeight="1" x14ac:dyDescent="0.2">
      <c r="A370" s="46" t="str">
        <f ca="1">INDIRECT(_xlfn.TEXTJOIN("",TRUE,A379,"!",ADDRESS(21+(A380-1)*A376,1)))</f>
        <v>MEP 003</v>
      </c>
      <c r="B370" s="47"/>
      <c r="C370" s="43" t="str">
        <f ca="1">INDIRECT(_xlfn.TEXTJOIN("",TRUE,A379,"!",ADDRESS(21+(A380-1)*A376,2)))</f>
        <v>Workshop Practices Lab</v>
      </c>
      <c r="D370" s="44"/>
      <c r="E370" s="44"/>
      <c r="F370" s="44"/>
      <c r="G370" s="45"/>
      <c r="H370" s="20">
        <f ca="1">INDIRECT(_xlfn.TEXTJOIN("",TRUE,A379,"!",ADDRESS(21+(A380-1)*A376,6)))</f>
        <v>2</v>
      </c>
      <c r="I370" s="20" t="str">
        <f ca="1">INDIRECT(_xlfn.TEXTJOIN("",TRUE,A379,"!",ADDRESS(21+(A380-1)*A376,13)))</f>
        <v>Dt</v>
      </c>
      <c r="J370" s="20">
        <f ca="1">INDIRECT(_xlfn.TEXTJOIN("",TRUE,A379,"!",ADDRESS(21+(A380-1)*A376,14)))</f>
        <v>0</v>
      </c>
    </row>
    <row r="371" spans="1:10" ht="28" customHeight="1" x14ac:dyDescent="0.2">
      <c r="A371" s="46" t="str">
        <f ca="1">INDIRECT(_xlfn.TEXTJOIN("",TRUE,A379,"!",ADDRESS(22+(A380-1)*A376,1)))</f>
        <v>AHP 004</v>
      </c>
      <c r="B371" s="47"/>
      <c r="C371" s="43" t="str">
        <f ca="1">INDIRECT(_xlfn.TEXTJOIN("",TRUE,A379,"!",ADDRESS(22+(A380-1)*A376,2)))</f>
        <v>Emerging Technologies in Engineering Lab</v>
      </c>
      <c r="D371" s="44"/>
      <c r="E371" s="44"/>
      <c r="F371" s="44"/>
      <c r="G371" s="45"/>
      <c r="H371" s="20">
        <f ca="1">INDIRECT(_xlfn.TEXTJOIN("",TRUE,A379,"!",ADDRESS(22+(A380-1)*A376,6)))</f>
        <v>1</v>
      </c>
      <c r="I371" s="20" t="str">
        <f ca="1">INDIRECT(_xlfn.TEXTJOIN("",TRUE,A379,"!",ADDRESS(22+(A380-1)*A376,13)))</f>
        <v>Dt</v>
      </c>
      <c r="J371" s="20">
        <f ca="1">INDIRECT(_xlfn.TEXTJOIN("",TRUE,A379,"!",ADDRESS(22+(A380-1)*A376,14)))</f>
        <v>0</v>
      </c>
    </row>
    <row r="372" spans="1:10" ht="28" customHeight="1" x14ac:dyDescent="0.2">
      <c r="A372" s="46" t="str">
        <f ca="1">INDIRECT(_xlfn.TEXTJOIN("",TRUE,A379,"!",ADDRESS(23+(A380-1)*A376,1)))</f>
        <v>CSP 002</v>
      </c>
      <c r="B372" s="47"/>
      <c r="C372" s="43" t="str">
        <f ca="1">INDIRECT(_xlfn.TEXTJOIN("",TRUE,A379,"!",ADDRESS(23+(A380-1)*A376,2)))</f>
        <v>Computer Applications and IOT</v>
      </c>
      <c r="D372" s="44"/>
      <c r="E372" s="44"/>
      <c r="F372" s="44"/>
      <c r="G372" s="45"/>
      <c r="H372" s="20">
        <f ca="1">INDIRECT(_xlfn.TEXTJOIN("",TRUE,A379,"!",ADDRESS(23+(A380-1)*A376,6)))</f>
        <v>1</v>
      </c>
      <c r="I372" s="20" t="str">
        <f ca="1">INDIRECT(_xlfn.TEXTJOIN("",TRUE,A379,"!",ADDRESS(23+(A380-1)*A376,13)))</f>
        <v>Dt</v>
      </c>
      <c r="J372" s="20">
        <f ca="1">INDIRECT(_xlfn.TEXTJOIN("",TRUE,A379,"!",ADDRESS(23+(A380-1)*A376,14)))</f>
        <v>0</v>
      </c>
    </row>
    <row r="373" spans="1:10" ht="28" customHeight="1" x14ac:dyDescent="0.2">
      <c r="A373" s="46" t="str">
        <f ca="1">INDIRECT(_xlfn.TEXTJOIN("",TRUE,A379,"!",ADDRESS(24+(A380-1)*A376,1)))</f>
        <v>AHP 006</v>
      </c>
      <c r="B373" s="47"/>
      <c r="C373" s="43" t="str">
        <f ca="1">INDIRECT(_xlfn.TEXTJOIN("",TRUE,A379,"!",ADDRESS(24+(A380-1)*A376,2)))</f>
        <v>English Language Lab ($)</v>
      </c>
      <c r="D373" s="44"/>
      <c r="E373" s="44"/>
      <c r="F373" s="44"/>
      <c r="G373" s="45"/>
      <c r="H373" s="20">
        <f ca="1">INDIRECT(_xlfn.TEXTJOIN("",TRUE,A379,"!",ADDRESS(24+(A380-1)*A376,6)))</f>
        <v>0</v>
      </c>
      <c r="I373" s="20" t="str">
        <f ca="1">INDIRECT(_xlfn.TEXTJOIN("",TRUE,A379,"!",ADDRESS(24+(A380-1)*A376,13)))</f>
        <v>Ab</v>
      </c>
      <c r="J373" s="20">
        <f ca="1">INDIRECT(_xlfn.TEXTJOIN("",TRUE,A379,"!",ADDRESS(24+(A380-1)*A376,14)))</f>
        <v>0</v>
      </c>
    </row>
    <row r="374" spans="1:10" ht="28" customHeight="1" x14ac:dyDescent="0.2">
      <c r="A374" s="46" t="str">
        <f ca="1">INDIRECT(_xlfn.TEXTJOIN("",TRUE,A379,"!",ADDRESS(25+(A380-1)*A376,1)))</f>
        <v>GP 01</v>
      </c>
      <c r="B374" s="47"/>
      <c r="C374" s="43" t="str">
        <f ca="1">INDIRECT(_xlfn.TEXTJOIN("",TRUE,A379,"!",ADDRESS(25+(A380-1)*A376,2)))</f>
        <v>General Proficiency ($)</v>
      </c>
      <c r="D374" s="44"/>
      <c r="E374" s="44"/>
      <c r="F374" s="44"/>
      <c r="G374" s="45"/>
      <c r="H374" s="20">
        <f ca="1">INDIRECT(_xlfn.TEXTJOIN("",TRUE,A379,"!",ADDRESS(25+(A380-1)*A376,6)))</f>
        <v>0</v>
      </c>
      <c r="I374" s="41" t="str">
        <f ca="1">INDIRECT(_xlfn.TEXTJOIN("",TRUE,A379,"!",ADDRESS(25+(A380-1)*A376,13)))</f>
        <v>Excellent</v>
      </c>
      <c r="J374" s="42"/>
    </row>
    <row r="375" spans="1:10" ht="28" customHeight="1" x14ac:dyDescent="0.2">
      <c r="A375" s="35" t="s">
        <v>54</v>
      </c>
      <c r="B375" s="35"/>
      <c r="C375" s="35"/>
      <c r="D375" s="35"/>
      <c r="E375" s="35"/>
      <c r="F375" s="35"/>
      <c r="G375" s="35"/>
      <c r="H375" s="16">
        <f ca="1">SUM(H362:H374)</f>
        <v>23</v>
      </c>
      <c r="I375" s="16" t="s">
        <v>46</v>
      </c>
      <c r="J375" s="16">
        <f ca="1">SUMPRODUCT(J362:J373,H362:H373)</f>
        <v>0</v>
      </c>
    </row>
    <row r="376" spans="1:10" ht="28" customHeight="1" x14ac:dyDescent="0.2">
      <c r="A376" s="22">
        <f>ROWS(A362:B374)+9</f>
        <v>22</v>
      </c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1:10" ht="28" customHeight="1" x14ac:dyDescent="0.2">
      <c r="A377" s="36" t="s">
        <v>42</v>
      </c>
      <c r="B377" s="36"/>
      <c r="C377" s="21">
        <f ca="1">INDIRECT(_xlfn.TEXTJOIN("",TRUE,A379,"!",ADDRESS(5+A380*A376,12)))</f>
        <v>0</v>
      </c>
      <c r="D377" s="36" t="s">
        <v>40</v>
      </c>
      <c r="E377" s="36"/>
      <c r="F377" s="18">
        <f ca="1">INDIRECT(_xlfn.TEXTJOIN("",TRUE,A379,"!",ADDRESS(5+A380*A376,8)))</f>
        <v>0</v>
      </c>
      <c r="G377" s="36" t="s">
        <v>41</v>
      </c>
      <c r="H377" s="36"/>
      <c r="I377" s="37">
        <f ca="1">INDIRECT(_xlfn.TEXTJOIN("",TRUE,A379,"!",ADDRESS(5+A380*A376,10)))</f>
        <v>0</v>
      </c>
      <c r="J377" s="37"/>
    </row>
    <row r="378" spans="1:10" ht="28" customHeight="1" x14ac:dyDescent="0.2">
      <c r="A378" s="19" t="s">
        <v>38</v>
      </c>
      <c r="B378" s="38" t="str">
        <f ca="1">INDIRECT(_xlfn.TEXTJOIN("",TRUE,A379,"!",ADDRESS(5+A380*A376,2)))</f>
        <v>Not Promoted to IInd Semester</v>
      </c>
      <c r="C378" s="38"/>
      <c r="D378" s="39" t="s">
        <v>39</v>
      </c>
      <c r="E378" s="39"/>
      <c r="F378" s="40" t="str">
        <f ca="1">INDIRECT(_xlfn.TEXTJOIN("",TRUE,A379,"!",ADDRESS(5+A380*A376,5)))</f>
        <v>BACK IN AHT 002, AHT 003, ECT 001, MET 001, AHT 000, AHP 002, ECP 001, MEP 001, MEP 003, AHP 004, CSP 002</v>
      </c>
      <c r="G378" s="40"/>
      <c r="H378" s="40"/>
      <c r="I378" s="40"/>
      <c r="J378" s="40"/>
    </row>
    <row r="379" spans="1:10" ht="28" customHeight="1" x14ac:dyDescent="0.2">
      <c r="A379" s="22" t="str">
        <f>A357</f>
        <v>TC_I</v>
      </c>
    </row>
    <row r="380" spans="1:10" ht="28" customHeight="1" x14ac:dyDescent="0.2">
      <c r="A380" s="22">
        <f>A358+1</f>
        <v>17</v>
      </c>
    </row>
    <row r="381" spans="1:10" ht="28" customHeight="1" x14ac:dyDescent="0.2">
      <c r="A381" s="49" t="s">
        <v>26</v>
      </c>
      <c r="B381" s="49"/>
      <c r="C381" s="49" t="str">
        <f ca="1">INDIRECT(_xlfn.TEXTJOIN("",TRUE,A401,"!",ADDRESS(9+(A402-1)*A398,2)))</f>
        <v>MANSI KOLI</v>
      </c>
      <c r="D381" s="49"/>
      <c r="E381" s="49"/>
      <c r="F381" s="49" t="s">
        <v>52</v>
      </c>
      <c r="G381" s="49"/>
      <c r="H381" s="49"/>
      <c r="I381" s="48">
        <f ca="1">INDIRECT(_xlfn.TEXTJOIN("",TRUE,A401,"!",ADDRESS(9+(A402-1)*A398,9)))</f>
        <v>250090120019</v>
      </c>
      <c r="J381" s="48"/>
    </row>
    <row r="382" spans="1:10" ht="28" customHeight="1" x14ac:dyDescent="0.2">
      <c r="A382" s="49" t="s">
        <v>27</v>
      </c>
      <c r="B382" s="49"/>
      <c r="C382" s="49" t="str">
        <f ca="1">INDIRECT(_xlfn.TEXTJOIN("",TRUE,A401,"!",ADDRESS(9+(A402-1)*A398,5)))</f>
        <v>RAGHUBIR SINGH KOLI</v>
      </c>
      <c r="D382" s="49"/>
      <c r="E382" s="49"/>
      <c r="F382" s="50" t="s">
        <v>53</v>
      </c>
      <c r="G382" s="50"/>
      <c r="H382" s="50"/>
      <c r="I382" s="48" t="str">
        <f ca="1">INDIRECT(_xlfn.TEXTJOIN("",TRUE,A401,"!",ADDRESS(9+(A402-1)*A398,13)))</f>
        <v>UTU/2501104020</v>
      </c>
      <c r="J382" s="48"/>
    </row>
    <row r="383" spans="1:10" ht="28" customHeight="1" x14ac:dyDescent="0.2">
      <c r="A383" s="38" t="s">
        <v>30</v>
      </c>
      <c r="B383" s="38"/>
      <c r="C383" s="38" t="s">
        <v>31</v>
      </c>
      <c r="D383" s="38"/>
      <c r="E383" s="38"/>
      <c r="F383" s="38"/>
      <c r="G383" s="38"/>
      <c r="H383" s="15" t="s">
        <v>32</v>
      </c>
      <c r="I383" s="15" t="s">
        <v>12</v>
      </c>
      <c r="J383" s="15" t="s">
        <v>36</v>
      </c>
    </row>
    <row r="384" spans="1:10" ht="28" customHeight="1" x14ac:dyDescent="0.2">
      <c r="A384" s="46" t="str">
        <f ca="1">INDIRECT(_xlfn.TEXTJOIN("",TRUE,A401,"!",ADDRESS(13+(A402-1)*A398,1)))</f>
        <v>AHT 002</v>
      </c>
      <c r="B384" s="47"/>
      <c r="C384" s="43" t="str">
        <f ca="1">INDIRECT(_xlfn.TEXTJOIN("",TRUE,A401,"!",ADDRESS(13+(A402-1)*A398,2)))</f>
        <v>Engineering Chemistry</v>
      </c>
      <c r="D384" s="44"/>
      <c r="E384" s="44"/>
      <c r="F384" s="44"/>
      <c r="G384" s="45"/>
      <c r="H384" s="20">
        <f ca="1">INDIRECT(_xlfn.TEXTJOIN("",TRUE,A401,"!",ADDRESS(13+(A402-1)*A398,6)))</f>
        <v>4</v>
      </c>
      <c r="I384" s="20" t="str">
        <f ca="1">INDIRECT(_xlfn.TEXTJOIN("",TRUE,A401,"!",ADDRESS(13+(A402-1)*A398,13)))</f>
        <v>F</v>
      </c>
      <c r="J384" s="20">
        <f ca="1">INDIRECT(_xlfn.TEXTJOIN("",TRUE,A401,"!",ADDRESS(13+(A402-1)*A398,14)))</f>
        <v>0</v>
      </c>
    </row>
    <row r="385" spans="1:10" ht="28" customHeight="1" x14ac:dyDescent="0.2">
      <c r="A385" s="46" t="str">
        <f ca="1">INDIRECT(_xlfn.TEXTJOIN("",TRUE,A401,"!",ADDRESS(14+(A402-1)*A398,1)))</f>
        <v>AHT 003</v>
      </c>
      <c r="B385" s="47"/>
      <c r="C385" s="43" t="str">
        <f ca="1">INDIRECT(_xlfn.TEXTJOIN("",TRUE,A401,"!",ADDRESS(14+(A402-1)*A398,2)))</f>
        <v>Introduction to Engineering Mathematics</v>
      </c>
      <c r="D385" s="44"/>
      <c r="E385" s="44"/>
      <c r="F385" s="44"/>
      <c r="G385" s="45"/>
      <c r="H385" s="20">
        <f ca="1">INDIRECT(_xlfn.TEXTJOIN("",TRUE,A401,"!",ADDRESS(14+(A402-1)*A398,6)))</f>
        <v>4</v>
      </c>
      <c r="I385" s="20" t="str">
        <f ca="1">INDIRECT(_xlfn.TEXTJOIN("",TRUE,A401,"!",ADDRESS(14+(A402-1)*A398,13)))</f>
        <v>F</v>
      </c>
      <c r="J385" s="20">
        <f ca="1">INDIRECT(_xlfn.TEXTJOIN("",TRUE,A401,"!",ADDRESS(14+(A402-1)*A398,14)))</f>
        <v>0</v>
      </c>
    </row>
    <row r="386" spans="1:10" ht="28" customHeight="1" x14ac:dyDescent="0.2">
      <c r="A386" s="46" t="str">
        <f ca="1">INDIRECT(_xlfn.TEXTJOIN("",TRUE,A401,"!",ADDRESS(15+(A402-1)*A398,1)))</f>
        <v>ECT 001</v>
      </c>
      <c r="B386" s="47"/>
      <c r="C386" s="43" t="str">
        <f ca="1">INDIRECT(_xlfn.TEXTJOIN("",TRUE,A401,"!",ADDRESS(15+(A402-1)*A398,2)))</f>
        <v>Basic Electronics Engineering</v>
      </c>
      <c r="D386" s="44"/>
      <c r="E386" s="44"/>
      <c r="F386" s="44"/>
      <c r="G386" s="45"/>
      <c r="H386" s="20">
        <f ca="1">INDIRECT(_xlfn.TEXTJOIN("",TRUE,A401,"!",ADDRESS(15+(A402-1)*A398,6)))</f>
        <v>4</v>
      </c>
      <c r="I386" s="20" t="str">
        <f ca="1">INDIRECT(_xlfn.TEXTJOIN("",TRUE,A401,"!",ADDRESS(15+(A402-1)*A398,13)))</f>
        <v>D+</v>
      </c>
      <c r="J386" s="20">
        <f ca="1">INDIRECT(_xlfn.TEXTJOIN("",TRUE,A401,"!",ADDRESS(15+(A402-1)*A398,14)))</f>
        <v>6.5</v>
      </c>
    </row>
    <row r="387" spans="1:10" ht="28" customHeight="1" x14ac:dyDescent="0.2">
      <c r="A387" s="46" t="str">
        <f ca="1">INDIRECT(_xlfn.TEXTJOIN("",TRUE,A401,"!",ADDRESS(16+(A402-1)*A398,1)))</f>
        <v>MET 001</v>
      </c>
      <c r="B387" s="47"/>
      <c r="C387" s="43" t="str">
        <f ca="1">INDIRECT(_xlfn.TEXTJOIN("",TRUE,A401,"!",ADDRESS(16+(A402-1)*A398,2)))</f>
        <v>Basic Mechanical Engineering</v>
      </c>
      <c r="D387" s="44"/>
      <c r="E387" s="44"/>
      <c r="F387" s="44"/>
      <c r="G387" s="45"/>
      <c r="H387" s="20">
        <f ca="1">INDIRECT(_xlfn.TEXTJOIN("",TRUE,A401,"!",ADDRESS(16+(A402-1)*A398,6)))</f>
        <v>4</v>
      </c>
      <c r="I387" s="20" t="str">
        <f ca="1">INDIRECT(_xlfn.TEXTJOIN("",TRUE,A401,"!",ADDRESS(16+(A402-1)*A398,13)))</f>
        <v>D</v>
      </c>
      <c r="J387" s="20">
        <f ca="1">INDIRECT(_xlfn.TEXTJOIN("",TRUE,A401,"!",ADDRESS(16+(A402-1)*A398,14)))</f>
        <v>6</v>
      </c>
    </row>
    <row r="388" spans="1:10" ht="28" customHeight="1" x14ac:dyDescent="0.2">
      <c r="A388" s="46" t="str">
        <f ca="1">INDIRECT(_xlfn.TEXTJOIN("",TRUE,A401,"!",ADDRESS(17+(A402-1)*A398,1)))</f>
        <v>AHT 000</v>
      </c>
      <c r="B388" s="47"/>
      <c r="C388" s="43" t="str">
        <f ca="1">INDIRECT(_xlfn.TEXTJOIN("",TRUE,A401,"!",ADDRESS(17+(A402-1)*A398,2)))</f>
        <v>Basic Mathematics (Bridge Course) ($)</v>
      </c>
      <c r="D388" s="44"/>
      <c r="E388" s="44"/>
      <c r="F388" s="44"/>
      <c r="G388" s="45"/>
      <c r="H388" s="20">
        <f ca="1">INDIRECT(_xlfn.TEXTJOIN("",TRUE,A401,"!",ADDRESS(17+(A402-1)*A398,6)))</f>
        <v>0</v>
      </c>
      <c r="I388" s="20" t="str">
        <f ca="1">INDIRECT(_xlfn.TEXTJOIN("",TRUE,A401,"!",ADDRESS(17+(A402-1)*A398,13)))</f>
        <v>E</v>
      </c>
      <c r="J388" s="20">
        <f ca="1">INDIRECT(_xlfn.TEXTJOIN("",TRUE,A401,"!",ADDRESS(17+(A402-1)*A398,14)))</f>
        <v>5</v>
      </c>
    </row>
    <row r="389" spans="1:10" ht="28" customHeight="1" x14ac:dyDescent="0.2">
      <c r="A389" s="46" t="str">
        <f ca="1">INDIRECT(_xlfn.TEXTJOIN("",TRUE,A401,"!",ADDRESS(18+(A402-1)*A398,1)))</f>
        <v>AHP 002</v>
      </c>
      <c r="B389" s="47"/>
      <c r="C389" s="43" t="str">
        <f ca="1">INDIRECT(_xlfn.TEXTJOIN("",TRUE,A401,"!",ADDRESS(18+(A402-1)*A398,2)))</f>
        <v>Engineering Chemistry Lab</v>
      </c>
      <c r="D389" s="44"/>
      <c r="E389" s="44"/>
      <c r="F389" s="44"/>
      <c r="G389" s="45"/>
      <c r="H389" s="20">
        <f ca="1">INDIRECT(_xlfn.TEXTJOIN("",TRUE,A401,"!",ADDRESS(18+(A402-1)*A398,6)))</f>
        <v>1</v>
      </c>
      <c r="I389" s="20" t="str">
        <f ca="1">INDIRECT(_xlfn.TEXTJOIN("",TRUE,A401,"!",ADDRESS(18+(A402-1)*A398,13)))</f>
        <v>C+</v>
      </c>
      <c r="J389" s="20">
        <f ca="1">INDIRECT(_xlfn.TEXTJOIN("",TRUE,A401,"!",ADDRESS(18+(A402-1)*A398,14)))</f>
        <v>7.5</v>
      </c>
    </row>
    <row r="390" spans="1:10" ht="28" customHeight="1" x14ac:dyDescent="0.2">
      <c r="A390" s="46" t="str">
        <f ca="1">INDIRECT(_xlfn.TEXTJOIN("",TRUE,A401,"!",ADDRESS(19+(A402-1)*A398,1)))</f>
        <v>ECP 001</v>
      </c>
      <c r="B390" s="47"/>
      <c r="C390" s="43" t="str">
        <f ca="1">INDIRECT(_xlfn.TEXTJOIN("",TRUE,A401,"!",ADDRESS(19+(A402-1)*A398,2)))</f>
        <v>Basic Electronics Engineering Lab</v>
      </c>
      <c r="D390" s="44"/>
      <c r="E390" s="44"/>
      <c r="F390" s="44"/>
      <c r="G390" s="45"/>
      <c r="H390" s="20">
        <f ca="1">INDIRECT(_xlfn.TEXTJOIN("",TRUE,A401,"!",ADDRESS(19+(A402-1)*A398,6)))</f>
        <v>1</v>
      </c>
      <c r="I390" s="20" t="str">
        <f ca="1">INDIRECT(_xlfn.TEXTJOIN("",TRUE,A401,"!",ADDRESS(19+(A402-1)*A398,13)))</f>
        <v>C+</v>
      </c>
      <c r="J390" s="20">
        <f ca="1">INDIRECT(_xlfn.TEXTJOIN("",TRUE,A401,"!",ADDRESS(19+(A402-1)*A398,14)))</f>
        <v>7.5</v>
      </c>
    </row>
    <row r="391" spans="1:10" ht="28" customHeight="1" x14ac:dyDescent="0.2">
      <c r="A391" s="46" t="str">
        <f ca="1">INDIRECT(_xlfn.TEXTJOIN("",TRUE,A401,"!",ADDRESS(20+(A402-1)*A398,1)))</f>
        <v>MEP 001</v>
      </c>
      <c r="B391" s="47"/>
      <c r="C391" s="43" t="str">
        <f ca="1">INDIRECT(_xlfn.TEXTJOIN("",TRUE,A401,"!",ADDRESS(20+(A402-1)*A398,2)))</f>
        <v>Basic Mechanical Engineering Lab</v>
      </c>
      <c r="D391" s="44"/>
      <c r="E391" s="44"/>
      <c r="F391" s="44"/>
      <c r="G391" s="45"/>
      <c r="H391" s="20">
        <f ca="1">INDIRECT(_xlfn.TEXTJOIN("",TRUE,A401,"!",ADDRESS(20+(A402-1)*A398,6)))</f>
        <v>1</v>
      </c>
      <c r="I391" s="20" t="str">
        <f ca="1">INDIRECT(_xlfn.TEXTJOIN("",TRUE,A401,"!",ADDRESS(20+(A402-1)*A398,13)))</f>
        <v>B+</v>
      </c>
      <c r="J391" s="20">
        <f ca="1">INDIRECT(_xlfn.TEXTJOIN("",TRUE,A401,"!",ADDRESS(20+(A402-1)*A398,14)))</f>
        <v>8.5</v>
      </c>
    </row>
    <row r="392" spans="1:10" ht="28" customHeight="1" x14ac:dyDescent="0.2">
      <c r="A392" s="46" t="str">
        <f ca="1">INDIRECT(_xlfn.TEXTJOIN("",TRUE,A401,"!",ADDRESS(21+(A402-1)*A398,1)))</f>
        <v>MEP 003</v>
      </c>
      <c r="B392" s="47"/>
      <c r="C392" s="43" t="str">
        <f ca="1">INDIRECT(_xlfn.TEXTJOIN("",TRUE,A401,"!",ADDRESS(21+(A402-1)*A398,2)))</f>
        <v>Workshop Practices Lab</v>
      </c>
      <c r="D392" s="44"/>
      <c r="E392" s="44"/>
      <c r="F392" s="44"/>
      <c r="G392" s="45"/>
      <c r="H392" s="20">
        <f ca="1">INDIRECT(_xlfn.TEXTJOIN("",TRUE,A401,"!",ADDRESS(21+(A402-1)*A398,6)))</f>
        <v>2</v>
      </c>
      <c r="I392" s="20" t="str">
        <f ca="1">INDIRECT(_xlfn.TEXTJOIN("",TRUE,A401,"!",ADDRESS(21+(A402-1)*A398,13)))</f>
        <v>O</v>
      </c>
      <c r="J392" s="20">
        <f ca="1">INDIRECT(_xlfn.TEXTJOIN("",TRUE,A401,"!",ADDRESS(21+(A402-1)*A398,14)))</f>
        <v>10</v>
      </c>
    </row>
    <row r="393" spans="1:10" ht="28" customHeight="1" x14ac:dyDescent="0.2">
      <c r="A393" s="46" t="str">
        <f ca="1">INDIRECT(_xlfn.TEXTJOIN("",TRUE,A401,"!",ADDRESS(22+(A402-1)*A398,1)))</f>
        <v>AHP 004</v>
      </c>
      <c r="B393" s="47"/>
      <c r="C393" s="43" t="str">
        <f ca="1">INDIRECT(_xlfn.TEXTJOIN("",TRUE,A401,"!",ADDRESS(22+(A402-1)*A398,2)))</f>
        <v>Emerging Technologies in Engineering Lab</v>
      </c>
      <c r="D393" s="44"/>
      <c r="E393" s="44"/>
      <c r="F393" s="44"/>
      <c r="G393" s="45"/>
      <c r="H393" s="20">
        <f ca="1">INDIRECT(_xlfn.TEXTJOIN("",TRUE,A401,"!",ADDRESS(22+(A402-1)*A398,6)))</f>
        <v>1</v>
      </c>
      <c r="I393" s="20" t="str">
        <f ca="1">INDIRECT(_xlfn.TEXTJOIN("",TRUE,A401,"!",ADDRESS(22+(A402-1)*A398,13)))</f>
        <v>A+</v>
      </c>
      <c r="J393" s="20">
        <f ca="1">INDIRECT(_xlfn.TEXTJOIN("",TRUE,A401,"!",ADDRESS(22+(A402-1)*A398,14)))</f>
        <v>9.5</v>
      </c>
    </row>
    <row r="394" spans="1:10" ht="28" customHeight="1" x14ac:dyDescent="0.2">
      <c r="A394" s="46" t="str">
        <f ca="1">INDIRECT(_xlfn.TEXTJOIN("",TRUE,A401,"!",ADDRESS(23+(A402-1)*A398,1)))</f>
        <v>CSP 002</v>
      </c>
      <c r="B394" s="47"/>
      <c r="C394" s="43" t="str">
        <f ca="1">INDIRECT(_xlfn.TEXTJOIN("",TRUE,A401,"!",ADDRESS(23+(A402-1)*A398,2)))</f>
        <v>Computer Applications and IOT</v>
      </c>
      <c r="D394" s="44"/>
      <c r="E394" s="44"/>
      <c r="F394" s="44"/>
      <c r="G394" s="45"/>
      <c r="H394" s="20">
        <f ca="1">INDIRECT(_xlfn.TEXTJOIN("",TRUE,A401,"!",ADDRESS(23+(A402-1)*A398,6)))</f>
        <v>1</v>
      </c>
      <c r="I394" s="20" t="str">
        <f ca="1">INDIRECT(_xlfn.TEXTJOIN("",TRUE,A401,"!",ADDRESS(23+(A402-1)*A398,13)))</f>
        <v>O</v>
      </c>
      <c r="J394" s="20">
        <f ca="1">INDIRECT(_xlfn.TEXTJOIN("",TRUE,A401,"!",ADDRESS(23+(A402-1)*A398,14)))</f>
        <v>10</v>
      </c>
    </row>
    <row r="395" spans="1:10" ht="28" customHeight="1" x14ac:dyDescent="0.2">
      <c r="A395" s="46" t="str">
        <f ca="1">INDIRECT(_xlfn.TEXTJOIN("",TRUE,A401,"!",ADDRESS(24+(A402-1)*A398,1)))</f>
        <v>AHP 006</v>
      </c>
      <c r="B395" s="47"/>
      <c r="C395" s="43" t="str">
        <f ca="1">INDIRECT(_xlfn.TEXTJOIN("",TRUE,A401,"!",ADDRESS(24+(A402-1)*A398,2)))</f>
        <v>English Language Lab ($)</v>
      </c>
      <c r="D395" s="44"/>
      <c r="E395" s="44"/>
      <c r="F395" s="44"/>
      <c r="G395" s="45"/>
      <c r="H395" s="20">
        <f ca="1">INDIRECT(_xlfn.TEXTJOIN("",TRUE,A401,"!",ADDRESS(24+(A402-1)*A398,6)))</f>
        <v>0</v>
      </c>
      <c r="I395" s="20" t="str">
        <f ca="1">INDIRECT(_xlfn.TEXTJOIN("",TRUE,A401,"!",ADDRESS(24+(A402-1)*A398,13)))</f>
        <v>C</v>
      </c>
      <c r="J395" s="20">
        <f ca="1">INDIRECT(_xlfn.TEXTJOIN("",TRUE,A401,"!",ADDRESS(24+(A402-1)*A398,14)))</f>
        <v>7</v>
      </c>
    </row>
    <row r="396" spans="1:10" ht="28" customHeight="1" x14ac:dyDescent="0.2">
      <c r="A396" s="46" t="str">
        <f ca="1">INDIRECT(_xlfn.TEXTJOIN("",TRUE,A401,"!",ADDRESS(25+(A402-1)*A398,1)))</f>
        <v>GP 01</v>
      </c>
      <c r="B396" s="47"/>
      <c r="C396" s="43" t="str">
        <f ca="1">INDIRECT(_xlfn.TEXTJOIN("",TRUE,A401,"!",ADDRESS(25+(A402-1)*A398,2)))</f>
        <v>General Proficiency ($)</v>
      </c>
      <c r="D396" s="44"/>
      <c r="E396" s="44"/>
      <c r="F396" s="44"/>
      <c r="G396" s="45"/>
      <c r="H396" s="20">
        <f ca="1">INDIRECT(_xlfn.TEXTJOIN("",TRUE,A401,"!",ADDRESS(25+(A402-1)*A398,6)))</f>
        <v>0</v>
      </c>
      <c r="I396" s="41" t="str">
        <f ca="1">INDIRECT(_xlfn.TEXTJOIN("",TRUE,A401,"!",ADDRESS(25+(A402-1)*A398,13)))</f>
        <v>Excellent</v>
      </c>
      <c r="J396" s="42"/>
    </row>
    <row r="397" spans="1:10" ht="28" customHeight="1" x14ac:dyDescent="0.2">
      <c r="A397" s="35" t="s">
        <v>54</v>
      </c>
      <c r="B397" s="35"/>
      <c r="C397" s="35"/>
      <c r="D397" s="35"/>
      <c r="E397" s="35"/>
      <c r="F397" s="35"/>
      <c r="G397" s="35"/>
      <c r="H397" s="16">
        <f ca="1">SUM(H384:H396)</f>
        <v>23</v>
      </c>
      <c r="I397" s="16" t="s">
        <v>46</v>
      </c>
      <c r="J397" s="16">
        <f ca="1">SUMPRODUCT(J384:J395,H384:H395)</f>
        <v>113</v>
      </c>
    </row>
    <row r="398" spans="1:10" ht="28" customHeight="1" x14ac:dyDescent="0.2">
      <c r="A398" s="22">
        <f>ROWS(A384:B396)+9</f>
        <v>22</v>
      </c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1:10" ht="28" customHeight="1" x14ac:dyDescent="0.2">
      <c r="A399" s="36" t="s">
        <v>42</v>
      </c>
      <c r="B399" s="36"/>
      <c r="C399" s="21">
        <f ca="1">INDIRECT(_xlfn.TEXTJOIN("",TRUE,A401,"!",ADDRESS(5+A402*A398,12)))</f>
        <v>15</v>
      </c>
      <c r="D399" s="36" t="s">
        <v>40</v>
      </c>
      <c r="E399" s="36"/>
      <c r="F399" s="18">
        <f ca="1">INDIRECT(_xlfn.TEXTJOIN("",TRUE,A401,"!",ADDRESS(5+A402*A398,8)))</f>
        <v>4.9130434782608692</v>
      </c>
      <c r="G399" s="36" t="s">
        <v>41</v>
      </c>
      <c r="H399" s="36"/>
      <c r="I399" s="37">
        <f ca="1">INDIRECT(_xlfn.TEXTJOIN("",TRUE,A401,"!",ADDRESS(5+A402*A398,10)))</f>
        <v>4.9130434782608692</v>
      </c>
      <c r="J399" s="37"/>
    </row>
    <row r="400" spans="1:10" ht="28" customHeight="1" x14ac:dyDescent="0.2">
      <c r="A400" s="19" t="s">
        <v>38</v>
      </c>
      <c r="B400" s="38" t="str">
        <f ca="1">INDIRECT(_xlfn.TEXTJOIN("",TRUE,A401,"!",ADDRESS(5+A402*A398,2)))</f>
        <v>CARRY OVER</v>
      </c>
      <c r="C400" s="38"/>
      <c r="D400" s="39" t="s">
        <v>39</v>
      </c>
      <c r="E400" s="39"/>
      <c r="F400" s="40" t="str">
        <f ca="1">INDIRECT(_xlfn.TEXTJOIN("",TRUE,A401,"!",ADDRESS(5+A402*A398,5)))</f>
        <v>BACK IN AHT 002, AHT 003</v>
      </c>
      <c r="G400" s="40"/>
      <c r="H400" s="40"/>
      <c r="I400" s="40"/>
      <c r="J400" s="40"/>
    </row>
    <row r="401" spans="1:10" ht="28" customHeight="1" x14ac:dyDescent="0.2">
      <c r="A401" s="22" t="str">
        <f>A379</f>
        <v>TC_I</v>
      </c>
    </row>
    <row r="402" spans="1:10" ht="28" customHeight="1" x14ac:dyDescent="0.2">
      <c r="A402" s="22">
        <f>A380+1</f>
        <v>18</v>
      </c>
    </row>
    <row r="403" spans="1:10" ht="28" customHeight="1" x14ac:dyDescent="0.2">
      <c r="A403" s="49" t="s">
        <v>26</v>
      </c>
      <c r="B403" s="49"/>
      <c r="C403" s="49" t="str">
        <f ca="1">INDIRECT(_xlfn.TEXTJOIN("",TRUE,A423,"!",ADDRESS(9+(A424-1)*A420,2)))</f>
        <v>MOHD SUHAIL</v>
      </c>
      <c r="D403" s="49"/>
      <c r="E403" s="49"/>
      <c r="F403" s="49" t="s">
        <v>52</v>
      </c>
      <c r="G403" s="49"/>
      <c r="H403" s="49"/>
      <c r="I403" s="48">
        <f ca="1">INDIRECT(_xlfn.TEXTJOIN("",TRUE,A423,"!",ADDRESS(9+(A424-1)*A420,9)))</f>
        <v>250090120020</v>
      </c>
      <c r="J403" s="48"/>
    </row>
    <row r="404" spans="1:10" ht="28" customHeight="1" x14ac:dyDescent="0.2">
      <c r="A404" s="49" t="s">
        <v>27</v>
      </c>
      <c r="B404" s="49"/>
      <c r="C404" s="49" t="str">
        <f ca="1">INDIRECT(_xlfn.TEXTJOIN("",TRUE,A423,"!",ADDRESS(9+(A424-1)*A420,5)))</f>
        <v>FURKAN ALI</v>
      </c>
      <c r="D404" s="49"/>
      <c r="E404" s="49"/>
      <c r="F404" s="50" t="s">
        <v>53</v>
      </c>
      <c r="G404" s="50"/>
      <c r="H404" s="50"/>
      <c r="I404" s="48" t="str">
        <f ca="1">INDIRECT(_xlfn.TEXTJOIN("",TRUE,A423,"!",ADDRESS(9+(A424-1)*A420,13)))</f>
        <v>UTU/2501103692</v>
      </c>
      <c r="J404" s="48"/>
    </row>
    <row r="405" spans="1:10" ht="28" customHeight="1" x14ac:dyDescent="0.2">
      <c r="A405" s="38" t="s">
        <v>30</v>
      </c>
      <c r="B405" s="38"/>
      <c r="C405" s="38" t="s">
        <v>31</v>
      </c>
      <c r="D405" s="38"/>
      <c r="E405" s="38"/>
      <c r="F405" s="38"/>
      <c r="G405" s="38"/>
      <c r="H405" s="15" t="s">
        <v>32</v>
      </c>
      <c r="I405" s="15" t="s">
        <v>12</v>
      </c>
      <c r="J405" s="15" t="s">
        <v>36</v>
      </c>
    </row>
    <row r="406" spans="1:10" ht="28" customHeight="1" x14ac:dyDescent="0.2">
      <c r="A406" s="46" t="str">
        <f ca="1">INDIRECT(_xlfn.TEXTJOIN("",TRUE,A423,"!",ADDRESS(13+(A424-1)*A420,1)))</f>
        <v>AHT 002</v>
      </c>
      <c r="B406" s="47"/>
      <c r="C406" s="43" t="str">
        <f ca="1">INDIRECT(_xlfn.TEXTJOIN("",TRUE,A423,"!",ADDRESS(13+(A424-1)*A420,2)))</f>
        <v>Engineering Chemistry</v>
      </c>
      <c r="D406" s="44"/>
      <c r="E406" s="44"/>
      <c r="F406" s="44"/>
      <c r="G406" s="45"/>
      <c r="H406" s="20">
        <f ca="1">INDIRECT(_xlfn.TEXTJOIN("",TRUE,A423,"!",ADDRESS(13+(A424-1)*A420,6)))</f>
        <v>4</v>
      </c>
      <c r="I406" s="20" t="str">
        <f ca="1">INDIRECT(_xlfn.TEXTJOIN("",TRUE,A423,"!",ADDRESS(13+(A424-1)*A420,13)))</f>
        <v>P</v>
      </c>
      <c r="J406" s="20">
        <f ca="1">INDIRECT(_xlfn.TEXTJOIN("",TRUE,A423,"!",ADDRESS(13+(A424-1)*A420,14)))</f>
        <v>4.5</v>
      </c>
    </row>
    <row r="407" spans="1:10" ht="28" customHeight="1" x14ac:dyDescent="0.2">
      <c r="A407" s="46" t="str">
        <f ca="1">INDIRECT(_xlfn.TEXTJOIN("",TRUE,A423,"!",ADDRESS(14+(A424-1)*A420,1)))</f>
        <v>AHT 003</v>
      </c>
      <c r="B407" s="47"/>
      <c r="C407" s="43" t="str">
        <f ca="1">INDIRECT(_xlfn.TEXTJOIN("",TRUE,A423,"!",ADDRESS(14+(A424-1)*A420,2)))</f>
        <v>Introduction to Engineering Mathematics</v>
      </c>
      <c r="D407" s="44"/>
      <c r="E407" s="44"/>
      <c r="F407" s="44"/>
      <c r="G407" s="45"/>
      <c r="H407" s="20">
        <f ca="1">INDIRECT(_xlfn.TEXTJOIN("",TRUE,A423,"!",ADDRESS(14+(A424-1)*A420,6)))</f>
        <v>4</v>
      </c>
      <c r="I407" s="20" t="str">
        <f ca="1">INDIRECT(_xlfn.TEXTJOIN("",TRUE,A423,"!",ADDRESS(14+(A424-1)*A420,13)))</f>
        <v>F</v>
      </c>
      <c r="J407" s="20">
        <f ca="1">INDIRECT(_xlfn.TEXTJOIN("",TRUE,A423,"!",ADDRESS(14+(A424-1)*A420,14)))</f>
        <v>0</v>
      </c>
    </row>
    <row r="408" spans="1:10" ht="28" customHeight="1" x14ac:dyDescent="0.2">
      <c r="A408" s="46" t="str">
        <f ca="1">INDIRECT(_xlfn.TEXTJOIN("",TRUE,A423,"!",ADDRESS(15+(A424-1)*A420,1)))</f>
        <v>ECT 001</v>
      </c>
      <c r="B408" s="47"/>
      <c r="C408" s="43" t="str">
        <f ca="1">INDIRECT(_xlfn.TEXTJOIN("",TRUE,A423,"!",ADDRESS(15+(A424-1)*A420,2)))</f>
        <v>Basic Electronics Engineering</v>
      </c>
      <c r="D408" s="44"/>
      <c r="E408" s="44"/>
      <c r="F408" s="44"/>
      <c r="G408" s="45"/>
      <c r="H408" s="20">
        <f ca="1">INDIRECT(_xlfn.TEXTJOIN("",TRUE,A423,"!",ADDRESS(15+(A424-1)*A420,6)))</f>
        <v>4</v>
      </c>
      <c r="I408" s="20" t="str">
        <f ca="1">INDIRECT(_xlfn.TEXTJOIN("",TRUE,A423,"!",ADDRESS(15+(A424-1)*A420,13)))</f>
        <v>D+</v>
      </c>
      <c r="J408" s="20">
        <f ca="1">INDIRECT(_xlfn.TEXTJOIN("",TRUE,A423,"!",ADDRESS(15+(A424-1)*A420,14)))</f>
        <v>6.5</v>
      </c>
    </row>
    <row r="409" spans="1:10" ht="28" customHeight="1" x14ac:dyDescent="0.2">
      <c r="A409" s="46" t="str">
        <f ca="1">INDIRECT(_xlfn.TEXTJOIN("",TRUE,A423,"!",ADDRESS(16+(A424-1)*A420,1)))</f>
        <v>MET 001</v>
      </c>
      <c r="B409" s="47"/>
      <c r="C409" s="43" t="str">
        <f ca="1">INDIRECT(_xlfn.TEXTJOIN("",TRUE,A423,"!",ADDRESS(16+(A424-1)*A420,2)))</f>
        <v>Basic Mechanical Engineering</v>
      </c>
      <c r="D409" s="44"/>
      <c r="E409" s="44"/>
      <c r="F409" s="44"/>
      <c r="G409" s="45"/>
      <c r="H409" s="20">
        <f ca="1">INDIRECT(_xlfn.TEXTJOIN("",TRUE,A423,"!",ADDRESS(16+(A424-1)*A420,6)))</f>
        <v>4</v>
      </c>
      <c r="I409" s="20" t="str">
        <f ca="1">INDIRECT(_xlfn.TEXTJOIN("",TRUE,A423,"!",ADDRESS(16+(A424-1)*A420,13)))</f>
        <v>D</v>
      </c>
      <c r="J409" s="20">
        <f ca="1">INDIRECT(_xlfn.TEXTJOIN("",TRUE,A423,"!",ADDRESS(16+(A424-1)*A420,14)))</f>
        <v>6</v>
      </c>
    </row>
    <row r="410" spans="1:10" ht="28" customHeight="1" x14ac:dyDescent="0.2">
      <c r="A410" s="46" t="str">
        <f ca="1">INDIRECT(_xlfn.TEXTJOIN("",TRUE,A423,"!",ADDRESS(17+(A424-1)*A420,1)))</f>
        <v>AHT 000</v>
      </c>
      <c r="B410" s="47"/>
      <c r="C410" s="43" t="str">
        <f ca="1">INDIRECT(_xlfn.TEXTJOIN("",TRUE,A423,"!",ADDRESS(17+(A424-1)*A420,2)))</f>
        <v>Basic Mathematics (Bridge Course) ($)</v>
      </c>
      <c r="D410" s="44"/>
      <c r="E410" s="44"/>
      <c r="F410" s="44"/>
      <c r="G410" s="45"/>
      <c r="H410" s="20">
        <f ca="1">INDIRECT(_xlfn.TEXTJOIN("",TRUE,A423,"!",ADDRESS(17+(A424-1)*A420,6)))</f>
        <v>0</v>
      </c>
      <c r="I410" s="20" t="str">
        <f ca="1">INDIRECT(_xlfn.TEXTJOIN("",TRUE,A423,"!",ADDRESS(17+(A424-1)*A420,13)))</f>
        <v>P</v>
      </c>
      <c r="J410" s="20">
        <f ca="1">INDIRECT(_xlfn.TEXTJOIN("",TRUE,A423,"!",ADDRESS(17+(A424-1)*A420,14)))</f>
        <v>4.5</v>
      </c>
    </row>
    <row r="411" spans="1:10" ht="28" customHeight="1" x14ac:dyDescent="0.2">
      <c r="A411" s="46" t="str">
        <f ca="1">INDIRECT(_xlfn.TEXTJOIN("",TRUE,A423,"!",ADDRESS(18+(A424-1)*A420,1)))</f>
        <v>AHP 002</v>
      </c>
      <c r="B411" s="47"/>
      <c r="C411" s="43" t="str">
        <f ca="1">INDIRECT(_xlfn.TEXTJOIN("",TRUE,A423,"!",ADDRESS(18+(A424-1)*A420,2)))</f>
        <v>Engineering Chemistry Lab</v>
      </c>
      <c r="D411" s="44"/>
      <c r="E411" s="44"/>
      <c r="F411" s="44"/>
      <c r="G411" s="45"/>
      <c r="H411" s="20">
        <f ca="1">INDIRECT(_xlfn.TEXTJOIN("",TRUE,A423,"!",ADDRESS(18+(A424-1)*A420,6)))</f>
        <v>1</v>
      </c>
      <c r="I411" s="20" t="str">
        <f ca="1">INDIRECT(_xlfn.TEXTJOIN("",TRUE,A423,"!",ADDRESS(18+(A424-1)*A420,13)))</f>
        <v>C</v>
      </c>
      <c r="J411" s="20">
        <f ca="1">INDIRECT(_xlfn.TEXTJOIN("",TRUE,A423,"!",ADDRESS(18+(A424-1)*A420,14)))</f>
        <v>7</v>
      </c>
    </row>
    <row r="412" spans="1:10" ht="28" customHeight="1" x14ac:dyDescent="0.2">
      <c r="A412" s="46" t="str">
        <f ca="1">INDIRECT(_xlfn.TEXTJOIN("",TRUE,A423,"!",ADDRESS(19+(A424-1)*A420,1)))</f>
        <v>ECP 001</v>
      </c>
      <c r="B412" s="47"/>
      <c r="C412" s="43" t="str">
        <f ca="1">INDIRECT(_xlfn.TEXTJOIN("",TRUE,A423,"!",ADDRESS(19+(A424-1)*A420,2)))</f>
        <v>Basic Electronics Engineering Lab</v>
      </c>
      <c r="D412" s="44"/>
      <c r="E412" s="44"/>
      <c r="F412" s="44"/>
      <c r="G412" s="45"/>
      <c r="H412" s="20">
        <f ca="1">INDIRECT(_xlfn.TEXTJOIN("",TRUE,A423,"!",ADDRESS(19+(A424-1)*A420,6)))</f>
        <v>1</v>
      </c>
      <c r="I412" s="20" t="str">
        <f ca="1">INDIRECT(_xlfn.TEXTJOIN("",TRUE,A423,"!",ADDRESS(19+(A424-1)*A420,13)))</f>
        <v>C</v>
      </c>
      <c r="J412" s="20">
        <f ca="1">INDIRECT(_xlfn.TEXTJOIN("",TRUE,A423,"!",ADDRESS(19+(A424-1)*A420,14)))</f>
        <v>7</v>
      </c>
    </row>
    <row r="413" spans="1:10" ht="28" customHeight="1" x14ac:dyDescent="0.2">
      <c r="A413" s="46" t="str">
        <f ca="1">INDIRECT(_xlfn.TEXTJOIN("",TRUE,A423,"!",ADDRESS(20+(A424-1)*A420,1)))</f>
        <v>MEP 001</v>
      </c>
      <c r="B413" s="47"/>
      <c r="C413" s="43" t="str">
        <f ca="1">INDIRECT(_xlfn.TEXTJOIN("",TRUE,A423,"!",ADDRESS(20+(A424-1)*A420,2)))</f>
        <v>Basic Mechanical Engineering Lab</v>
      </c>
      <c r="D413" s="44"/>
      <c r="E413" s="44"/>
      <c r="F413" s="44"/>
      <c r="G413" s="45"/>
      <c r="H413" s="20">
        <f ca="1">INDIRECT(_xlfn.TEXTJOIN("",TRUE,A423,"!",ADDRESS(20+(A424-1)*A420,6)))</f>
        <v>1</v>
      </c>
      <c r="I413" s="20" t="str">
        <f ca="1">INDIRECT(_xlfn.TEXTJOIN("",TRUE,A423,"!",ADDRESS(20+(A424-1)*A420,13)))</f>
        <v>A+</v>
      </c>
      <c r="J413" s="20">
        <f ca="1">INDIRECT(_xlfn.TEXTJOIN("",TRUE,A423,"!",ADDRESS(20+(A424-1)*A420,14)))</f>
        <v>9.5</v>
      </c>
    </row>
    <row r="414" spans="1:10" ht="28" customHeight="1" x14ac:dyDescent="0.2">
      <c r="A414" s="46" t="str">
        <f ca="1">INDIRECT(_xlfn.TEXTJOIN("",TRUE,A423,"!",ADDRESS(21+(A424-1)*A420,1)))</f>
        <v>MEP 003</v>
      </c>
      <c r="B414" s="47"/>
      <c r="C414" s="43" t="str">
        <f ca="1">INDIRECT(_xlfn.TEXTJOIN("",TRUE,A423,"!",ADDRESS(21+(A424-1)*A420,2)))</f>
        <v>Workshop Practices Lab</v>
      </c>
      <c r="D414" s="44"/>
      <c r="E414" s="44"/>
      <c r="F414" s="44"/>
      <c r="G414" s="45"/>
      <c r="H414" s="20">
        <f ca="1">INDIRECT(_xlfn.TEXTJOIN("",TRUE,A423,"!",ADDRESS(21+(A424-1)*A420,6)))</f>
        <v>2</v>
      </c>
      <c r="I414" s="20" t="str">
        <f ca="1">INDIRECT(_xlfn.TEXTJOIN("",TRUE,A423,"!",ADDRESS(21+(A424-1)*A420,13)))</f>
        <v>B+</v>
      </c>
      <c r="J414" s="20">
        <f ca="1">INDIRECT(_xlfn.TEXTJOIN("",TRUE,A423,"!",ADDRESS(21+(A424-1)*A420,14)))</f>
        <v>8.5</v>
      </c>
    </row>
    <row r="415" spans="1:10" ht="28" customHeight="1" x14ac:dyDescent="0.2">
      <c r="A415" s="46" t="str">
        <f ca="1">INDIRECT(_xlfn.TEXTJOIN("",TRUE,A423,"!",ADDRESS(22+(A424-1)*A420,1)))</f>
        <v>AHP 004</v>
      </c>
      <c r="B415" s="47"/>
      <c r="C415" s="43" t="str">
        <f ca="1">INDIRECT(_xlfn.TEXTJOIN("",TRUE,A423,"!",ADDRESS(22+(A424-1)*A420,2)))</f>
        <v>Emerging Technologies in Engineering Lab</v>
      </c>
      <c r="D415" s="44"/>
      <c r="E415" s="44"/>
      <c r="F415" s="44"/>
      <c r="G415" s="45"/>
      <c r="H415" s="20">
        <f ca="1">INDIRECT(_xlfn.TEXTJOIN("",TRUE,A423,"!",ADDRESS(22+(A424-1)*A420,6)))</f>
        <v>1</v>
      </c>
      <c r="I415" s="20" t="str">
        <f ca="1">INDIRECT(_xlfn.TEXTJOIN("",TRUE,A423,"!",ADDRESS(22+(A424-1)*A420,13)))</f>
        <v>B+</v>
      </c>
      <c r="J415" s="20">
        <f ca="1">INDIRECT(_xlfn.TEXTJOIN("",TRUE,A423,"!",ADDRESS(22+(A424-1)*A420,14)))</f>
        <v>8.5</v>
      </c>
    </row>
    <row r="416" spans="1:10" ht="28" customHeight="1" x14ac:dyDescent="0.2">
      <c r="A416" s="46" t="str">
        <f ca="1">INDIRECT(_xlfn.TEXTJOIN("",TRUE,A423,"!",ADDRESS(23+(A424-1)*A420,1)))</f>
        <v>CSP 002</v>
      </c>
      <c r="B416" s="47"/>
      <c r="C416" s="43" t="str">
        <f ca="1">INDIRECT(_xlfn.TEXTJOIN("",TRUE,A423,"!",ADDRESS(23+(A424-1)*A420,2)))</f>
        <v>Computer Applications and IOT</v>
      </c>
      <c r="D416" s="44"/>
      <c r="E416" s="44"/>
      <c r="F416" s="44"/>
      <c r="G416" s="45"/>
      <c r="H416" s="20">
        <f ca="1">INDIRECT(_xlfn.TEXTJOIN("",TRUE,A423,"!",ADDRESS(23+(A424-1)*A420,6)))</f>
        <v>1</v>
      </c>
      <c r="I416" s="20" t="str">
        <f ca="1">INDIRECT(_xlfn.TEXTJOIN("",TRUE,A423,"!",ADDRESS(23+(A424-1)*A420,13)))</f>
        <v>O</v>
      </c>
      <c r="J416" s="20">
        <f ca="1">INDIRECT(_xlfn.TEXTJOIN("",TRUE,A423,"!",ADDRESS(23+(A424-1)*A420,14)))</f>
        <v>10</v>
      </c>
    </row>
    <row r="417" spans="1:10" ht="28" customHeight="1" x14ac:dyDescent="0.2">
      <c r="A417" s="46" t="str">
        <f ca="1">INDIRECT(_xlfn.TEXTJOIN("",TRUE,A423,"!",ADDRESS(24+(A424-1)*A420,1)))</f>
        <v>AHP 006</v>
      </c>
      <c r="B417" s="47"/>
      <c r="C417" s="43" t="str">
        <f ca="1">INDIRECT(_xlfn.TEXTJOIN("",TRUE,A423,"!",ADDRESS(24+(A424-1)*A420,2)))</f>
        <v>English Language Lab ($)</v>
      </c>
      <c r="D417" s="44"/>
      <c r="E417" s="44"/>
      <c r="F417" s="44"/>
      <c r="G417" s="45"/>
      <c r="H417" s="20">
        <f ca="1">INDIRECT(_xlfn.TEXTJOIN("",TRUE,A423,"!",ADDRESS(24+(A424-1)*A420,6)))</f>
        <v>0</v>
      </c>
      <c r="I417" s="20" t="str">
        <f ca="1">INDIRECT(_xlfn.TEXTJOIN("",TRUE,A423,"!",ADDRESS(24+(A424-1)*A420,13)))</f>
        <v>C</v>
      </c>
      <c r="J417" s="20">
        <f ca="1">INDIRECT(_xlfn.TEXTJOIN("",TRUE,A423,"!",ADDRESS(24+(A424-1)*A420,14)))</f>
        <v>7</v>
      </c>
    </row>
    <row r="418" spans="1:10" ht="28" customHeight="1" x14ac:dyDescent="0.2">
      <c r="A418" s="46" t="str">
        <f ca="1">INDIRECT(_xlfn.TEXTJOIN("",TRUE,A423,"!",ADDRESS(25+(A424-1)*A420,1)))</f>
        <v>GP 01</v>
      </c>
      <c r="B418" s="47"/>
      <c r="C418" s="43" t="str">
        <f ca="1">INDIRECT(_xlfn.TEXTJOIN("",TRUE,A423,"!",ADDRESS(25+(A424-1)*A420,2)))</f>
        <v>General Proficiency ($)</v>
      </c>
      <c r="D418" s="44"/>
      <c r="E418" s="44"/>
      <c r="F418" s="44"/>
      <c r="G418" s="45"/>
      <c r="H418" s="20">
        <f ca="1">INDIRECT(_xlfn.TEXTJOIN("",TRUE,A423,"!",ADDRESS(25+(A424-1)*A420,6)))</f>
        <v>0</v>
      </c>
      <c r="I418" s="41" t="str">
        <f ca="1">INDIRECT(_xlfn.TEXTJOIN("",TRUE,A423,"!",ADDRESS(25+(A424-1)*A420,13)))</f>
        <v>Excellent</v>
      </c>
      <c r="J418" s="42"/>
    </row>
    <row r="419" spans="1:10" ht="28" customHeight="1" x14ac:dyDescent="0.2">
      <c r="A419" s="35" t="s">
        <v>54</v>
      </c>
      <c r="B419" s="35"/>
      <c r="C419" s="35"/>
      <c r="D419" s="35"/>
      <c r="E419" s="35"/>
      <c r="F419" s="35"/>
      <c r="G419" s="35"/>
      <c r="H419" s="16">
        <f ca="1">SUM(H406:H418)</f>
        <v>23</v>
      </c>
      <c r="I419" s="16" t="s">
        <v>46</v>
      </c>
      <c r="J419" s="16">
        <f ca="1">SUMPRODUCT(J406:J417,H406:H417)</f>
        <v>127</v>
      </c>
    </row>
    <row r="420" spans="1:10" ht="28" customHeight="1" x14ac:dyDescent="0.2">
      <c r="A420" s="22">
        <f>ROWS(A406:B418)+9</f>
        <v>22</v>
      </c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1:10" ht="28" customHeight="1" x14ac:dyDescent="0.2">
      <c r="A421" s="36" t="s">
        <v>42</v>
      </c>
      <c r="B421" s="36"/>
      <c r="C421" s="21">
        <f ca="1">INDIRECT(_xlfn.TEXTJOIN("",TRUE,A423,"!",ADDRESS(5+A424*A420,12)))</f>
        <v>19</v>
      </c>
      <c r="D421" s="36" t="s">
        <v>40</v>
      </c>
      <c r="E421" s="36"/>
      <c r="F421" s="18">
        <f ca="1">INDIRECT(_xlfn.TEXTJOIN("",TRUE,A423,"!",ADDRESS(5+A424*A420,8)))</f>
        <v>5.5217391304347823</v>
      </c>
      <c r="G421" s="36" t="s">
        <v>41</v>
      </c>
      <c r="H421" s="36"/>
      <c r="I421" s="37">
        <f ca="1">INDIRECT(_xlfn.TEXTJOIN("",TRUE,A423,"!",ADDRESS(5+A424*A420,10)))</f>
        <v>5.5217391304347823</v>
      </c>
      <c r="J421" s="37"/>
    </row>
    <row r="422" spans="1:10" ht="28" customHeight="1" x14ac:dyDescent="0.2">
      <c r="A422" s="19" t="s">
        <v>38</v>
      </c>
      <c r="B422" s="38" t="str">
        <f ca="1">INDIRECT(_xlfn.TEXTJOIN("",TRUE,A423,"!",ADDRESS(5+A424*A420,2)))</f>
        <v>CARRY OVER</v>
      </c>
      <c r="C422" s="38"/>
      <c r="D422" s="39" t="s">
        <v>39</v>
      </c>
      <c r="E422" s="39"/>
      <c r="F422" s="40" t="str">
        <f ca="1">INDIRECT(_xlfn.TEXTJOIN("",TRUE,A423,"!",ADDRESS(5+A424*A420,5)))</f>
        <v>BACK IN AHT 003</v>
      </c>
      <c r="G422" s="40"/>
      <c r="H422" s="40"/>
      <c r="I422" s="40"/>
      <c r="J422" s="40"/>
    </row>
    <row r="423" spans="1:10" ht="28" customHeight="1" x14ac:dyDescent="0.2">
      <c r="A423" s="22" t="str">
        <f>A401</f>
        <v>TC_I</v>
      </c>
    </row>
    <row r="424" spans="1:10" ht="28" customHeight="1" x14ac:dyDescent="0.2">
      <c r="A424" s="22">
        <f>A402+1</f>
        <v>19</v>
      </c>
    </row>
    <row r="425" spans="1:10" ht="28" customHeight="1" x14ac:dyDescent="0.2">
      <c r="A425" s="49" t="s">
        <v>26</v>
      </c>
      <c r="B425" s="49"/>
      <c r="C425" s="49" t="str">
        <f ca="1">INDIRECT(_xlfn.TEXTJOIN("",TRUE,A445,"!",ADDRESS(9+(A446-1)*A442,2)))</f>
        <v>NIKITA PUNETHA</v>
      </c>
      <c r="D425" s="49"/>
      <c r="E425" s="49"/>
      <c r="F425" s="49" t="s">
        <v>52</v>
      </c>
      <c r="G425" s="49"/>
      <c r="H425" s="49"/>
      <c r="I425" s="48">
        <f ca="1">INDIRECT(_xlfn.TEXTJOIN("",TRUE,A445,"!",ADDRESS(9+(A446-1)*A442,9)))</f>
        <v>250090120021</v>
      </c>
      <c r="J425" s="48"/>
    </row>
    <row r="426" spans="1:10" ht="28" customHeight="1" x14ac:dyDescent="0.2">
      <c r="A426" s="49" t="s">
        <v>27</v>
      </c>
      <c r="B426" s="49"/>
      <c r="C426" s="49" t="str">
        <f ca="1">INDIRECT(_xlfn.TEXTJOIN("",TRUE,A445,"!",ADDRESS(9+(A446-1)*A442,5)))</f>
        <v>SHYAM DATT PUNETHA</v>
      </c>
      <c r="D426" s="49"/>
      <c r="E426" s="49"/>
      <c r="F426" s="50" t="s">
        <v>53</v>
      </c>
      <c r="G426" s="50"/>
      <c r="H426" s="50"/>
      <c r="I426" s="48" t="str">
        <f ca="1">INDIRECT(_xlfn.TEXTJOIN("",TRUE,A445,"!",ADDRESS(9+(A446-1)*A442,13)))</f>
        <v>UTU/2501103767</v>
      </c>
      <c r="J426" s="48"/>
    </row>
    <row r="427" spans="1:10" ht="28" customHeight="1" x14ac:dyDescent="0.2">
      <c r="A427" s="38" t="s">
        <v>30</v>
      </c>
      <c r="B427" s="38"/>
      <c r="C427" s="38" t="s">
        <v>31</v>
      </c>
      <c r="D427" s="38"/>
      <c r="E427" s="38"/>
      <c r="F427" s="38"/>
      <c r="G427" s="38"/>
      <c r="H427" s="15" t="s">
        <v>32</v>
      </c>
      <c r="I427" s="15" t="s">
        <v>12</v>
      </c>
      <c r="J427" s="15" t="s">
        <v>36</v>
      </c>
    </row>
    <row r="428" spans="1:10" ht="28" customHeight="1" x14ac:dyDescent="0.2">
      <c r="A428" s="46" t="str">
        <f ca="1">INDIRECT(_xlfn.TEXTJOIN("",TRUE,A445,"!",ADDRESS(13+(A446-1)*A442,1)))</f>
        <v>AHT 002</v>
      </c>
      <c r="B428" s="47"/>
      <c r="C428" s="43" t="str">
        <f ca="1">INDIRECT(_xlfn.TEXTJOIN("",TRUE,A445,"!",ADDRESS(13+(A446-1)*A442,2)))</f>
        <v>Engineering Chemistry</v>
      </c>
      <c r="D428" s="44"/>
      <c r="E428" s="44"/>
      <c r="F428" s="44"/>
      <c r="G428" s="45"/>
      <c r="H428" s="20">
        <f ca="1">INDIRECT(_xlfn.TEXTJOIN("",TRUE,A445,"!",ADDRESS(13+(A446-1)*A442,6)))</f>
        <v>4</v>
      </c>
      <c r="I428" s="20" t="str">
        <f ca="1">INDIRECT(_xlfn.TEXTJOIN("",TRUE,A445,"!",ADDRESS(13+(A446-1)*A442,13)))</f>
        <v>E</v>
      </c>
      <c r="J428" s="20">
        <f ca="1">INDIRECT(_xlfn.TEXTJOIN("",TRUE,A445,"!",ADDRESS(13+(A446-1)*A442,14)))</f>
        <v>5</v>
      </c>
    </row>
    <row r="429" spans="1:10" ht="28" customHeight="1" x14ac:dyDescent="0.2">
      <c r="A429" s="46" t="str">
        <f ca="1">INDIRECT(_xlfn.TEXTJOIN("",TRUE,A445,"!",ADDRESS(14+(A446-1)*A442,1)))</f>
        <v>AHT 003</v>
      </c>
      <c r="B429" s="47"/>
      <c r="C429" s="43" t="str">
        <f ca="1">INDIRECT(_xlfn.TEXTJOIN("",TRUE,A445,"!",ADDRESS(14+(A446-1)*A442,2)))</f>
        <v>Introduction to Engineering Mathematics</v>
      </c>
      <c r="D429" s="44"/>
      <c r="E429" s="44"/>
      <c r="F429" s="44"/>
      <c r="G429" s="45"/>
      <c r="H429" s="20">
        <f ca="1">INDIRECT(_xlfn.TEXTJOIN("",TRUE,A445,"!",ADDRESS(14+(A446-1)*A442,6)))</f>
        <v>4</v>
      </c>
      <c r="I429" s="20" t="str">
        <f ca="1">INDIRECT(_xlfn.TEXTJOIN("",TRUE,A445,"!",ADDRESS(14+(A446-1)*A442,13)))</f>
        <v>F</v>
      </c>
      <c r="J429" s="20">
        <f ca="1">INDIRECT(_xlfn.TEXTJOIN("",TRUE,A445,"!",ADDRESS(14+(A446-1)*A442,14)))</f>
        <v>0</v>
      </c>
    </row>
    <row r="430" spans="1:10" ht="28" customHeight="1" x14ac:dyDescent="0.2">
      <c r="A430" s="46" t="str">
        <f ca="1">INDIRECT(_xlfn.TEXTJOIN("",TRUE,A445,"!",ADDRESS(15+(A446-1)*A442,1)))</f>
        <v>ECT 001</v>
      </c>
      <c r="B430" s="47"/>
      <c r="C430" s="43" t="str">
        <f ca="1">INDIRECT(_xlfn.TEXTJOIN("",TRUE,A445,"!",ADDRESS(15+(A446-1)*A442,2)))</f>
        <v>Basic Electronics Engineering</v>
      </c>
      <c r="D430" s="44"/>
      <c r="E430" s="44"/>
      <c r="F430" s="44"/>
      <c r="G430" s="45"/>
      <c r="H430" s="20">
        <f ca="1">INDIRECT(_xlfn.TEXTJOIN("",TRUE,A445,"!",ADDRESS(15+(A446-1)*A442,6)))</f>
        <v>4</v>
      </c>
      <c r="I430" s="20" t="str">
        <f ca="1">INDIRECT(_xlfn.TEXTJOIN("",TRUE,A445,"!",ADDRESS(15+(A446-1)*A442,13)))</f>
        <v>D</v>
      </c>
      <c r="J430" s="20">
        <f ca="1">INDIRECT(_xlfn.TEXTJOIN("",TRUE,A445,"!",ADDRESS(15+(A446-1)*A442,14)))</f>
        <v>6</v>
      </c>
    </row>
    <row r="431" spans="1:10" ht="28" customHeight="1" x14ac:dyDescent="0.2">
      <c r="A431" s="46" t="str">
        <f ca="1">INDIRECT(_xlfn.TEXTJOIN("",TRUE,A445,"!",ADDRESS(16+(A446-1)*A442,1)))</f>
        <v>MET 001</v>
      </c>
      <c r="B431" s="47"/>
      <c r="C431" s="43" t="str">
        <f ca="1">INDIRECT(_xlfn.TEXTJOIN("",TRUE,A445,"!",ADDRESS(16+(A446-1)*A442,2)))</f>
        <v>Basic Mechanical Engineering</v>
      </c>
      <c r="D431" s="44"/>
      <c r="E431" s="44"/>
      <c r="F431" s="44"/>
      <c r="G431" s="45"/>
      <c r="H431" s="20">
        <f ca="1">INDIRECT(_xlfn.TEXTJOIN("",TRUE,A445,"!",ADDRESS(16+(A446-1)*A442,6)))</f>
        <v>4</v>
      </c>
      <c r="I431" s="20" t="str">
        <f ca="1">INDIRECT(_xlfn.TEXTJOIN("",TRUE,A445,"!",ADDRESS(16+(A446-1)*A442,13)))</f>
        <v>D</v>
      </c>
      <c r="J431" s="20">
        <f ca="1">INDIRECT(_xlfn.TEXTJOIN("",TRUE,A445,"!",ADDRESS(16+(A446-1)*A442,14)))</f>
        <v>6</v>
      </c>
    </row>
    <row r="432" spans="1:10" ht="28" customHeight="1" x14ac:dyDescent="0.2">
      <c r="A432" s="46" t="str">
        <f ca="1">INDIRECT(_xlfn.TEXTJOIN("",TRUE,A445,"!",ADDRESS(17+(A446-1)*A442,1)))</f>
        <v>AHT 000</v>
      </c>
      <c r="B432" s="47"/>
      <c r="C432" s="43" t="str">
        <f ca="1">INDIRECT(_xlfn.TEXTJOIN("",TRUE,A445,"!",ADDRESS(17+(A446-1)*A442,2)))</f>
        <v>Basic Mathematics (Bridge Course) ($)</v>
      </c>
      <c r="D432" s="44"/>
      <c r="E432" s="44"/>
      <c r="F432" s="44"/>
      <c r="G432" s="45"/>
      <c r="H432" s="20">
        <f ca="1">INDIRECT(_xlfn.TEXTJOIN("",TRUE,A445,"!",ADDRESS(17+(A446-1)*A442,6)))</f>
        <v>0</v>
      </c>
      <c r="I432" s="20" t="str">
        <f ca="1">INDIRECT(_xlfn.TEXTJOIN("",TRUE,A445,"!",ADDRESS(17+(A446-1)*A442,13)))</f>
        <v>E+</v>
      </c>
      <c r="J432" s="20">
        <f ca="1">INDIRECT(_xlfn.TEXTJOIN("",TRUE,A445,"!",ADDRESS(17+(A446-1)*A442,14)))</f>
        <v>5.5</v>
      </c>
    </row>
    <row r="433" spans="1:10" ht="28" customHeight="1" x14ac:dyDescent="0.2">
      <c r="A433" s="46" t="str">
        <f ca="1">INDIRECT(_xlfn.TEXTJOIN("",TRUE,A445,"!",ADDRESS(18+(A446-1)*A442,1)))</f>
        <v>AHP 002</v>
      </c>
      <c r="B433" s="47"/>
      <c r="C433" s="43" t="str">
        <f ca="1">INDIRECT(_xlfn.TEXTJOIN("",TRUE,A445,"!",ADDRESS(18+(A446-1)*A442,2)))</f>
        <v>Engineering Chemistry Lab</v>
      </c>
      <c r="D433" s="44"/>
      <c r="E433" s="44"/>
      <c r="F433" s="44"/>
      <c r="G433" s="45"/>
      <c r="H433" s="20">
        <f ca="1">INDIRECT(_xlfn.TEXTJOIN("",TRUE,A445,"!",ADDRESS(18+(A446-1)*A442,6)))</f>
        <v>1</v>
      </c>
      <c r="I433" s="20" t="str">
        <f ca="1">INDIRECT(_xlfn.TEXTJOIN("",TRUE,A445,"!",ADDRESS(18+(A446-1)*A442,13)))</f>
        <v>C</v>
      </c>
      <c r="J433" s="20">
        <f ca="1">INDIRECT(_xlfn.TEXTJOIN("",TRUE,A445,"!",ADDRESS(18+(A446-1)*A442,14)))</f>
        <v>7</v>
      </c>
    </row>
    <row r="434" spans="1:10" ht="28" customHeight="1" x14ac:dyDescent="0.2">
      <c r="A434" s="46" t="str">
        <f ca="1">INDIRECT(_xlfn.TEXTJOIN("",TRUE,A445,"!",ADDRESS(19+(A446-1)*A442,1)))</f>
        <v>ECP 001</v>
      </c>
      <c r="B434" s="47"/>
      <c r="C434" s="43" t="str">
        <f ca="1">INDIRECT(_xlfn.TEXTJOIN("",TRUE,A445,"!",ADDRESS(19+(A446-1)*A442,2)))</f>
        <v>Basic Electronics Engineering Lab</v>
      </c>
      <c r="D434" s="44"/>
      <c r="E434" s="44"/>
      <c r="F434" s="44"/>
      <c r="G434" s="45"/>
      <c r="H434" s="20">
        <f ca="1">INDIRECT(_xlfn.TEXTJOIN("",TRUE,A445,"!",ADDRESS(19+(A446-1)*A442,6)))</f>
        <v>1</v>
      </c>
      <c r="I434" s="20" t="str">
        <f ca="1">INDIRECT(_xlfn.TEXTJOIN("",TRUE,A445,"!",ADDRESS(19+(A446-1)*A442,13)))</f>
        <v>A</v>
      </c>
      <c r="J434" s="20">
        <f ca="1">INDIRECT(_xlfn.TEXTJOIN("",TRUE,A445,"!",ADDRESS(19+(A446-1)*A442,14)))</f>
        <v>9</v>
      </c>
    </row>
    <row r="435" spans="1:10" ht="28" customHeight="1" x14ac:dyDescent="0.2">
      <c r="A435" s="46" t="str">
        <f ca="1">INDIRECT(_xlfn.TEXTJOIN("",TRUE,A445,"!",ADDRESS(20+(A446-1)*A442,1)))</f>
        <v>MEP 001</v>
      </c>
      <c r="B435" s="47"/>
      <c r="C435" s="43" t="str">
        <f ca="1">INDIRECT(_xlfn.TEXTJOIN("",TRUE,A445,"!",ADDRESS(20+(A446-1)*A442,2)))</f>
        <v>Basic Mechanical Engineering Lab</v>
      </c>
      <c r="D435" s="44"/>
      <c r="E435" s="44"/>
      <c r="F435" s="44"/>
      <c r="G435" s="45"/>
      <c r="H435" s="20">
        <f ca="1">INDIRECT(_xlfn.TEXTJOIN("",TRUE,A445,"!",ADDRESS(20+(A446-1)*A442,6)))</f>
        <v>1</v>
      </c>
      <c r="I435" s="20" t="str">
        <f ca="1">INDIRECT(_xlfn.TEXTJOIN("",TRUE,A445,"!",ADDRESS(20+(A446-1)*A442,13)))</f>
        <v>A+</v>
      </c>
      <c r="J435" s="20">
        <f ca="1">INDIRECT(_xlfn.TEXTJOIN("",TRUE,A445,"!",ADDRESS(20+(A446-1)*A442,14)))</f>
        <v>9.5</v>
      </c>
    </row>
    <row r="436" spans="1:10" ht="28" customHeight="1" x14ac:dyDescent="0.2">
      <c r="A436" s="46" t="str">
        <f ca="1">INDIRECT(_xlfn.TEXTJOIN("",TRUE,A445,"!",ADDRESS(21+(A446-1)*A442,1)))</f>
        <v>MEP 003</v>
      </c>
      <c r="B436" s="47"/>
      <c r="C436" s="43" t="str">
        <f ca="1">INDIRECT(_xlfn.TEXTJOIN("",TRUE,A445,"!",ADDRESS(21+(A446-1)*A442,2)))</f>
        <v>Workshop Practices Lab</v>
      </c>
      <c r="D436" s="44"/>
      <c r="E436" s="44"/>
      <c r="F436" s="44"/>
      <c r="G436" s="45"/>
      <c r="H436" s="20">
        <f ca="1">INDIRECT(_xlfn.TEXTJOIN("",TRUE,A445,"!",ADDRESS(21+(A446-1)*A442,6)))</f>
        <v>2</v>
      </c>
      <c r="I436" s="20" t="str">
        <f ca="1">INDIRECT(_xlfn.TEXTJOIN("",TRUE,A445,"!",ADDRESS(21+(A446-1)*A442,13)))</f>
        <v>O</v>
      </c>
      <c r="J436" s="20">
        <f ca="1">INDIRECT(_xlfn.TEXTJOIN("",TRUE,A445,"!",ADDRESS(21+(A446-1)*A442,14)))</f>
        <v>10</v>
      </c>
    </row>
    <row r="437" spans="1:10" ht="28" customHeight="1" x14ac:dyDescent="0.2">
      <c r="A437" s="46" t="str">
        <f ca="1">INDIRECT(_xlfn.TEXTJOIN("",TRUE,A445,"!",ADDRESS(22+(A446-1)*A442,1)))</f>
        <v>AHP 004</v>
      </c>
      <c r="B437" s="47"/>
      <c r="C437" s="43" t="str">
        <f ca="1">INDIRECT(_xlfn.TEXTJOIN("",TRUE,A445,"!",ADDRESS(22+(A446-1)*A442,2)))</f>
        <v>Emerging Technologies in Engineering Lab</v>
      </c>
      <c r="D437" s="44"/>
      <c r="E437" s="44"/>
      <c r="F437" s="44"/>
      <c r="G437" s="45"/>
      <c r="H437" s="20">
        <f ca="1">INDIRECT(_xlfn.TEXTJOIN("",TRUE,A445,"!",ADDRESS(22+(A446-1)*A442,6)))</f>
        <v>1</v>
      </c>
      <c r="I437" s="20" t="str">
        <f ca="1">INDIRECT(_xlfn.TEXTJOIN("",TRUE,A445,"!",ADDRESS(22+(A446-1)*A442,13)))</f>
        <v>A+</v>
      </c>
      <c r="J437" s="20">
        <f ca="1">INDIRECT(_xlfn.TEXTJOIN("",TRUE,A445,"!",ADDRESS(22+(A446-1)*A442,14)))</f>
        <v>9.5</v>
      </c>
    </row>
    <row r="438" spans="1:10" ht="28" customHeight="1" x14ac:dyDescent="0.2">
      <c r="A438" s="46" t="str">
        <f ca="1">INDIRECT(_xlfn.TEXTJOIN("",TRUE,A445,"!",ADDRESS(23+(A446-1)*A442,1)))</f>
        <v>CSP 002</v>
      </c>
      <c r="B438" s="47"/>
      <c r="C438" s="43" t="str">
        <f ca="1">INDIRECT(_xlfn.TEXTJOIN("",TRUE,A445,"!",ADDRESS(23+(A446-1)*A442,2)))</f>
        <v>Computer Applications and IOT</v>
      </c>
      <c r="D438" s="44"/>
      <c r="E438" s="44"/>
      <c r="F438" s="44"/>
      <c r="G438" s="45"/>
      <c r="H438" s="20">
        <f ca="1">INDIRECT(_xlfn.TEXTJOIN("",TRUE,A445,"!",ADDRESS(23+(A446-1)*A442,6)))</f>
        <v>1</v>
      </c>
      <c r="I438" s="20" t="str">
        <f ca="1">INDIRECT(_xlfn.TEXTJOIN("",TRUE,A445,"!",ADDRESS(23+(A446-1)*A442,13)))</f>
        <v>O</v>
      </c>
      <c r="J438" s="20">
        <f ca="1">INDIRECT(_xlfn.TEXTJOIN("",TRUE,A445,"!",ADDRESS(23+(A446-1)*A442,14)))</f>
        <v>10</v>
      </c>
    </row>
    <row r="439" spans="1:10" ht="28" customHeight="1" x14ac:dyDescent="0.2">
      <c r="A439" s="46" t="str">
        <f ca="1">INDIRECT(_xlfn.TEXTJOIN("",TRUE,A445,"!",ADDRESS(24+(A446-1)*A442,1)))</f>
        <v>AHP 006</v>
      </c>
      <c r="B439" s="47"/>
      <c r="C439" s="43" t="str">
        <f ca="1">INDIRECT(_xlfn.TEXTJOIN("",TRUE,A445,"!",ADDRESS(24+(A446-1)*A442,2)))</f>
        <v>English Language Lab ($)</v>
      </c>
      <c r="D439" s="44"/>
      <c r="E439" s="44"/>
      <c r="F439" s="44"/>
      <c r="G439" s="45"/>
      <c r="H439" s="20">
        <f ca="1">INDIRECT(_xlfn.TEXTJOIN("",TRUE,A445,"!",ADDRESS(24+(A446-1)*A442,6)))</f>
        <v>0</v>
      </c>
      <c r="I439" s="20" t="str">
        <f ca="1">INDIRECT(_xlfn.TEXTJOIN("",TRUE,A445,"!",ADDRESS(24+(A446-1)*A442,13)))</f>
        <v>C</v>
      </c>
      <c r="J439" s="20">
        <f ca="1">INDIRECT(_xlfn.TEXTJOIN("",TRUE,A445,"!",ADDRESS(24+(A446-1)*A442,14)))</f>
        <v>7</v>
      </c>
    </row>
    <row r="440" spans="1:10" ht="28" customHeight="1" x14ac:dyDescent="0.2">
      <c r="A440" s="46" t="str">
        <f ca="1">INDIRECT(_xlfn.TEXTJOIN("",TRUE,A445,"!",ADDRESS(25+(A446-1)*A442,1)))</f>
        <v>GP 01</v>
      </c>
      <c r="B440" s="47"/>
      <c r="C440" s="43" t="str">
        <f ca="1">INDIRECT(_xlfn.TEXTJOIN("",TRUE,A445,"!",ADDRESS(25+(A446-1)*A442,2)))</f>
        <v>General Proficiency ($)</v>
      </c>
      <c r="D440" s="44"/>
      <c r="E440" s="44"/>
      <c r="F440" s="44"/>
      <c r="G440" s="45"/>
      <c r="H440" s="20">
        <f ca="1">INDIRECT(_xlfn.TEXTJOIN("",TRUE,A445,"!",ADDRESS(25+(A446-1)*A442,6)))</f>
        <v>0</v>
      </c>
      <c r="I440" s="41" t="str">
        <f ca="1">INDIRECT(_xlfn.TEXTJOIN("",TRUE,A445,"!",ADDRESS(25+(A446-1)*A442,13)))</f>
        <v>Excellent</v>
      </c>
      <c r="J440" s="42"/>
    </row>
    <row r="441" spans="1:10" ht="28" customHeight="1" x14ac:dyDescent="0.2">
      <c r="A441" s="35" t="s">
        <v>54</v>
      </c>
      <c r="B441" s="35"/>
      <c r="C441" s="35"/>
      <c r="D441" s="35"/>
      <c r="E441" s="35"/>
      <c r="F441" s="35"/>
      <c r="G441" s="35"/>
      <c r="H441" s="16">
        <f ca="1">SUM(H428:H440)</f>
        <v>23</v>
      </c>
      <c r="I441" s="16" t="s">
        <v>46</v>
      </c>
      <c r="J441" s="16">
        <f ca="1">SUMPRODUCT(J428:J439,H428:H439)</f>
        <v>133</v>
      </c>
    </row>
    <row r="442" spans="1:10" ht="28" customHeight="1" x14ac:dyDescent="0.2">
      <c r="A442" s="22">
        <f>ROWS(A428:B440)+9</f>
        <v>22</v>
      </c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1:10" ht="28" customHeight="1" x14ac:dyDescent="0.2">
      <c r="A443" s="36" t="s">
        <v>42</v>
      </c>
      <c r="B443" s="36"/>
      <c r="C443" s="21">
        <f ca="1">INDIRECT(_xlfn.TEXTJOIN("",TRUE,A445,"!",ADDRESS(5+A446*A442,12)))</f>
        <v>19</v>
      </c>
      <c r="D443" s="36" t="s">
        <v>40</v>
      </c>
      <c r="E443" s="36"/>
      <c r="F443" s="18">
        <f ca="1">INDIRECT(_xlfn.TEXTJOIN("",TRUE,A445,"!",ADDRESS(5+A446*A442,8)))</f>
        <v>5.7826086956521738</v>
      </c>
      <c r="G443" s="36" t="s">
        <v>41</v>
      </c>
      <c r="H443" s="36"/>
      <c r="I443" s="37">
        <f ca="1">INDIRECT(_xlfn.TEXTJOIN("",TRUE,A445,"!",ADDRESS(5+A446*A442,10)))</f>
        <v>5.7826086956521738</v>
      </c>
      <c r="J443" s="37"/>
    </row>
    <row r="444" spans="1:10" ht="28" customHeight="1" x14ac:dyDescent="0.2">
      <c r="A444" s="19" t="s">
        <v>38</v>
      </c>
      <c r="B444" s="38" t="str">
        <f ca="1">INDIRECT(_xlfn.TEXTJOIN("",TRUE,A445,"!",ADDRESS(5+A446*A442,2)))</f>
        <v>CARRY OVER</v>
      </c>
      <c r="C444" s="38"/>
      <c r="D444" s="39" t="s">
        <v>39</v>
      </c>
      <c r="E444" s="39"/>
      <c r="F444" s="40" t="str">
        <f ca="1">INDIRECT(_xlfn.TEXTJOIN("",TRUE,A445,"!",ADDRESS(5+A446*A442,5)))</f>
        <v>BACK IN AHT 003</v>
      </c>
      <c r="G444" s="40"/>
      <c r="H444" s="40"/>
      <c r="I444" s="40"/>
      <c r="J444" s="40"/>
    </row>
    <row r="445" spans="1:10" ht="28" customHeight="1" x14ac:dyDescent="0.2">
      <c r="A445" s="22" t="str">
        <f>A423</f>
        <v>TC_I</v>
      </c>
    </row>
    <row r="446" spans="1:10" ht="28" customHeight="1" x14ac:dyDescent="0.2">
      <c r="A446" s="22">
        <f>A424+1</f>
        <v>20</v>
      </c>
    </row>
    <row r="447" spans="1:10" ht="28" customHeight="1" x14ac:dyDescent="0.2">
      <c r="A447" s="49" t="s">
        <v>26</v>
      </c>
      <c r="B447" s="49"/>
      <c r="C447" s="49" t="str">
        <f ca="1">INDIRECT(_xlfn.TEXTJOIN("",TRUE,A467,"!",ADDRESS(9+(A468-1)*A464,2)))</f>
        <v>PRACHI SINGH</v>
      </c>
      <c r="D447" s="49"/>
      <c r="E447" s="49"/>
      <c r="F447" s="49" t="s">
        <v>52</v>
      </c>
      <c r="G447" s="49"/>
      <c r="H447" s="49"/>
      <c r="I447" s="48">
        <f ca="1">INDIRECT(_xlfn.TEXTJOIN("",TRUE,A467,"!",ADDRESS(9+(A468-1)*A464,9)))</f>
        <v>250090120022</v>
      </c>
      <c r="J447" s="48"/>
    </row>
    <row r="448" spans="1:10" ht="28" customHeight="1" x14ac:dyDescent="0.2">
      <c r="A448" s="49" t="s">
        <v>27</v>
      </c>
      <c r="B448" s="49"/>
      <c r="C448" s="49" t="str">
        <f ca="1">INDIRECT(_xlfn.TEXTJOIN("",TRUE,A467,"!",ADDRESS(9+(A468-1)*A464,5)))</f>
        <v>SANTOSH KUMAR SINGH</v>
      </c>
      <c r="D448" s="49"/>
      <c r="E448" s="49"/>
      <c r="F448" s="50" t="s">
        <v>53</v>
      </c>
      <c r="G448" s="50"/>
      <c r="H448" s="50"/>
      <c r="I448" s="48" t="str">
        <f ca="1">INDIRECT(_xlfn.TEXTJOIN("",TRUE,A467,"!",ADDRESS(9+(A468-1)*A464,13)))</f>
        <v>UTU/2501104231</v>
      </c>
      <c r="J448" s="48"/>
    </row>
    <row r="449" spans="1:10" ht="28" customHeight="1" x14ac:dyDescent="0.2">
      <c r="A449" s="38" t="s">
        <v>30</v>
      </c>
      <c r="B449" s="38"/>
      <c r="C449" s="38" t="s">
        <v>31</v>
      </c>
      <c r="D449" s="38"/>
      <c r="E449" s="38"/>
      <c r="F449" s="38"/>
      <c r="G449" s="38"/>
      <c r="H449" s="15" t="s">
        <v>32</v>
      </c>
      <c r="I449" s="15" t="s">
        <v>12</v>
      </c>
      <c r="J449" s="15" t="s">
        <v>36</v>
      </c>
    </row>
    <row r="450" spans="1:10" ht="28" customHeight="1" x14ac:dyDescent="0.2">
      <c r="A450" s="46" t="str">
        <f ca="1">INDIRECT(_xlfn.TEXTJOIN("",TRUE,A467,"!",ADDRESS(13+(A468-1)*A464,1)))</f>
        <v>AHT 002</v>
      </c>
      <c r="B450" s="47"/>
      <c r="C450" s="43" t="str">
        <f ca="1">INDIRECT(_xlfn.TEXTJOIN("",TRUE,A467,"!",ADDRESS(13+(A468-1)*A464,2)))</f>
        <v>Engineering Chemistry</v>
      </c>
      <c r="D450" s="44"/>
      <c r="E450" s="44"/>
      <c r="F450" s="44"/>
      <c r="G450" s="45"/>
      <c r="H450" s="20">
        <f ca="1">INDIRECT(_xlfn.TEXTJOIN("",TRUE,A467,"!",ADDRESS(13+(A468-1)*A464,6)))</f>
        <v>4</v>
      </c>
      <c r="I450" s="20" t="str">
        <f ca="1">INDIRECT(_xlfn.TEXTJOIN("",TRUE,A467,"!",ADDRESS(13+(A468-1)*A464,13)))</f>
        <v>F</v>
      </c>
      <c r="J450" s="20">
        <f ca="1">INDIRECT(_xlfn.TEXTJOIN("",TRUE,A467,"!",ADDRESS(13+(A468-1)*A464,14)))</f>
        <v>0</v>
      </c>
    </row>
    <row r="451" spans="1:10" ht="28" customHeight="1" x14ac:dyDescent="0.2">
      <c r="A451" s="46" t="str">
        <f ca="1">INDIRECT(_xlfn.TEXTJOIN("",TRUE,A467,"!",ADDRESS(14+(A468-1)*A464,1)))</f>
        <v>AHT 003</v>
      </c>
      <c r="B451" s="47"/>
      <c r="C451" s="43" t="str">
        <f ca="1">INDIRECT(_xlfn.TEXTJOIN("",TRUE,A467,"!",ADDRESS(14+(A468-1)*A464,2)))</f>
        <v>Introduction to Engineering Mathematics</v>
      </c>
      <c r="D451" s="44"/>
      <c r="E451" s="44"/>
      <c r="F451" s="44"/>
      <c r="G451" s="45"/>
      <c r="H451" s="20">
        <f ca="1">INDIRECT(_xlfn.TEXTJOIN("",TRUE,A467,"!",ADDRESS(14+(A468-1)*A464,6)))</f>
        <v>4</v>
      </c>
      <c r="I451" s="20" t="str">
        <f ca="1">INDIRECT(_xlfn.TEXTJOIN("",TRUE,A467,"!",ADDRESS(14+(A468-1)*A464,13)))</f>
        <v>F</v>
      </c>
      <c r="J451" s="20">
        <f ca="1">INDIRECT(_xlfn.TEXTJOIN("",TRUE,A467,"!",ADDRESS(14+(A468-1)*A464,14)))</f>
        <v>0</v>
      </c>
    </row>
    <row r="452" spans="1:10" ht="28" customHeight="1" x14ac:dyDescent="0.2">
      <c r="A452" s="46" t="str">
        <f ca="1">INDIRECT(_xlfn.TEXTJOIN("",TRUE,A467,"!",ADDRESS(15+(A468-1)*A464,1)))</f>
        <v>ECT 001</v>
      </c>
      <c r="B452" s="47"/>
      <c r="C452" s="43" t="str">
        <f ca="1">INDIRECT(_xlfn.TEXTJOIN("",TRUE,A467,"!",ADDRESS(15+(A468-1)*A464,2)))</f>
        <v>Basic Electronics Engineering</v>
      </c>
      <c r="D452" s="44"/>
      <c r="E452" s="44"/>
      <c r="F452" s="44"/>
      <c r="G452" s="45"/>
      <c r="H452" s="20">
        <f ca="1">INDIRECT(_xlfn.TEXTJOIN("",TRUE,A467,"!",ADDRESS(15+(A468-1)*A464,6)))</f>
        <v>4</v>
      </c>
      <c r="I452" s="20" t="str">
        <f ca="1">INDIRECT(_xlfn.TEXTJOIN("",TRUE,A467,"!",ADDRESS(15+(A468-1)*A464,13)))</f>
        <v>P</v>
      </c>
      <c r="J452" s="20">
        <f ca="1">INDIRECT(_xlfn.TEXTJOIN("",TRUE,A467,"!",ADDRESS(15+(A468-1)*A464,14)))</f>
        <v>4.5</v>
      </c>
    </row>
    <row r="453" spans="1:10" ht="28" customHeight="1" x14ac:dyDescent="0.2">
      <c r="A453" s="46" t="str">
        <f ca="1">INDIRECT(_xlfn.TEXTJOIN("",TRUE,A467,"!",ADDRESS(16+(A468-1)*A464,1)))</f>
        <v>MET 001</v>
      </c>
      <c r="B453" s="47"/>
      <c r="C453" s="43" t="str">
        <f ca="1">INDIRECT(_xlfn.TEXTJOIN("",TRUE,A467,"!",ADDRESS(16+(A468-1)*A464,2)))</f>
        <v>Basic Mechanical Engineering</v>
      </c>
      <c r="D453" s="44"/>
      <c r="E453" s="44"/>
      <c r="F453" s="44"/>
      <c r="G453" s="45"/>
      <c r="H453" s="20">
        <f ca="1">INDIRECT(_xlfn.TEXTJOIN("",TRUE,A467,"!",ADDRESS(16+(A468-1)*A464,6)))</f>
        <v>4</v>
      </c>
      <c r="I453" s="20" t="str">
        <f ca="1">INDIRECT(_xlfn.TEXTJOIN("",TRUE,A467,"!",ADDRESS(16+(A468-1)*A464,13)))</f>
        <v>E</v>
      </c>
      <c r="J453" s="20">
        <f ca="1">INDIRECT(_xlfn.TEXTJOIN("",TRUE,A467,"!",ADDRESS(16+(A468-1)*A464,14)))</f>
        <v>5</v>
      </c>
    </row>
    <row r="454" spans="1:10" ht="28" customHeight="1" x14ac:dyDescent="0.2">
      <c r="A454" s="46" t="str">
        <f ca="1">INDIRECT(_xlfn.TEXTJOIN("",TRUE,A467,"!",ADDRESS(17+(A468-1)*A464,1)))</f>
        <v>BTT 001</v>
      </c>
      <c r="B454" s="47"/>
      <c r="C454" s="43" t="str">
        <f ca="1">INDIRECT(_xlfn.TEXTJOIN("",TRUE,A467,"!",ADDRESS(17+(A468-1)*A464,2)))</f>
        <v>Biology for Engineers (Bridge Course) ($)</v>
      </c>
      <c r="D454" s="44"/>
      <c r="E454" s="44"/>
      <c r="F454" s="44"/>
      <c r="G454" s="45"/>
      <c r="H454" s="20">
        <f ca="1">INDIRECT(_xlfn.TEXTJOIN("",TRUE,A467,"!",ADDRESS(17+(A468-1)*A464,6)))</f>
        <v>0</v>
      </c>
      <c r="I454" s="20" t="str">
        <f ca="1">INDIRECT(_xlfn.TEXTJOIN("",TRUE,A467,"!",ADDRESS(17+(A468-1)*A464,13)))</f>
        <v>E+</v>
      </c>
      <c r="J454" s="20">
        <f ca="1">INDIRECT(_xlfn.TEXTJOIN("",TRUE,A467,"!",ADDRESS(17+(A468-1)*A464,14)))</f>
        <v>5.5</v>
      </c>
    </row>
    <row r="455" spans="1:10" ht="28" customHeight="1" x14ac:dyDescent="0.2">
      <c r="A455" s="46" t="str">
        <f ca="1">INDIRECT(_xlfn.TEXTJOIN("",TRUE,A467,"!",ADDRESS(18+(A468-1)*A464,1)))</f>
        <v>AHP 002</v>
      </c>
      <c r="B455" s="47"/>
      <c r="C455" s="43" t="str">
        <f ca="1">INDIRECT(_xlfn.TEXTJOIN("",TRUE,A467,"!",ADDRESS(18+(A468-1)*A464,2)))</f>
        <v>Engineering Chemistry Lab</v>
      </c>
      <c r="D455" s="44"/>
      <c r="E455" s="44"/>
      <c r="F455" s="44"/>
      <c r="G455" s="45"/>
      <c r="H455" s="20">
        <f ca="1">INDIRECT(_xlfn.TEXTJOIN("",TRUE,A467,"!",ADDRESS(18+(A468-1)*A464,6)))</f>
        <v>1</v>
      </c>
      <c r="I455" s="20" t="str">
        <f ca="1">INDIRECT(_xlfn.TEXTJOIN("",TRUE,A467,"!",ADDRESS(18+(A468-1)*A464,13)))</f>
        <v>D+</v>
      </c>
      <c r="J455" s="20">
        <f ca="1">INDIRECT(_xlfn.TEXTJOIN("",TRUE,A467,"!",ADDRESS(18+(A468-1)*A464,14)))</f>
        <v>6.5</v>
      </c>
    </row>
    <row r="456" spans="1:10" ht="28" customHeight="1" x14ac:dyDescent="0.2">
      <c r="A456" s="46" t="str">
        <f ca="1">INDIRECT(_xlfn.TEXTJOIN("",TRUE,A467,"!",ADDRESS(19+(A468-1)*A464,1)))</f>
        <v>ECP 001</v>
      </c>
      <c r="B456" s="47"/>
      <c r="C456" s="43" t="str">
        <f ca="1">INDIRECT(_xlfn.TEXTJOIN("",TRUE,A467,"!",ADDRESS(19+(A468-1)*A464,2)))</f>
        <v>Basic Electronics Engineering Lab</v>
      </c>
      <c r="D456" s="44"/>
      <c r="E456" s="44"/>
      <c r="F456" s="44"/>
      <c r="G456" s="45"/>
      <c r="H456" s="20">
        <f ca="1">INDIRECT(_xlfn.TEXTJOIN("",TRUE,A467,"!",ADDRESS(19+(A468-1)*A464,6)))</f>
        <v>1</v>
      </c>
      <c r="I456" s="20" t="str">
        <f ca="1">INDIRECT(_xlfn.TEXTJOIN("",TRUE,A467,"!",ADDRESS(19+(A468-1)*A464,13)))</f>
        <v>D+</v>
      </c>
      <c r="J456" s="20">
        <f ca="1">INDIRECT(_xlfn.TEXTJOIN("",TRUE,A467,"!",ADDRESS(19+(A468-1)*A464,14)))</f>
        <v>6.5</v>
      </c>
    </row>
    <row r="457" spans="1:10" ht="28" customHeight="1" x14ac:dyDescent="0.2">
      <c r="A457" s="46" t="str">
        <f ca="1">INDIRECT(_xlfn.TEXTJOIN("",TRUE,A467,"!",ADDRESS(20+(A468-1)*A464,1)))</f>
        <v>MEP 001</v>
      </c>
      <c r="B457" s="47"/>
      <c r="C457" s="43" t="str">
        <f ca="1">INDIRECT(_xlfn.TEXTJOIN("",TRUE,A467,"!",ADDRESS(20+(A468-1)*A464,2)))</f>
        <v>Basic Mechanical Engineering Lab</v>
      </c>
      <c r="D457" s="44"/>
      <c r="E457" s="44"/>
      <c r="F457" s="44"/>
      <c r="G457" s="45"/>
      <c r="H457" s="20">
        <f ca="1">INDIRECT(_xlfn.TEXTJOIN("",TRUE,A467,"!",ADDRESS(20+(A468-1)*A464,6)))</f>
        <v>1</v>
      </c>
      <c r="I457" s="20" t="str">
        <f ca="1">INDIRECT(_xlfn.TEXTJOIN("",TRUE,A467,"!",ADDRESS(20+(A468-1)*A464,13)))</f>
        <v>B+</v>
      </c>
      <c r="J457" s="20">
        <f ca="1">INDIRECT(_xlfn.TEXTJOIN("",TRUE,A467,"!",ADDRESS(20+(A468-1)*A464,14)))</f>
        <v>8.5</v>
      </c>
    </row>
    <row r="458" spans="1:10" ht="28" customHeight="1" x14ac:dyDescent="0.2">
      <c r="A458" s="46" t="str">
        <f ca="1">INDIRECT(_xlfn.TEXTJOIN("",TRUE,A467,"!",ADDRESS(21+(A468-1)*A464,1)))</f>
        <v>MEP 003</v>
      </c>
      <c r="B458" s="47"/>
      <c r="C458" s="43" t="str">
        <f ca="1">INDIRECT(_xlfn.TEXTJOIN("",TRUE,A467,"!",ADDRESS(21+(A468-1)*A464,2)))</f>
        <v>Workshop Practices Lab</v>
      </c>
      <c r="D458" s="44"/>
      <c r="E458" s="44"/>
      <c r="F458" s="44"/>
      <c r="G458" s="45"/>
      <c r="H458" s="20">
        <f ca="1">INDIRECT(_xlfn.TEXTJOIN("",TRUE,A467,"!",ADDRESS(21+(A468-1)*A464,6)))</f>
        <v>2</v>
      </c>
      <c r="I458" s="20" t="str">
        <f ca="1">INDIRECT(_xlfn.TEXTJOIN("",TRUE,A467,"!",ADDRESS(21+(A468-1)*A464,13)))</f>
        <v>A+</v>
      </c>
      <c r="J458" s="20">
        <f ca="1">INDIRECT(_xlfn.TEXTJOIN("",TRUE,A467,"!",ADDRESS(21+(A468-1)*A464,14)))</f>
        <v>9.5</v>
      </c>
    </row>
    <row r="459" spans="1:10" ht="28" customHeight="1" x14ac:dyDescent="0.2">
      <c r="A459" s="46" t="str">
        <f ca="1">INDIRECT(_xlfn.TEXTJOIN("",TRUE,A467,"!",ADDRESS(22+(A468-1)*A464,1)))</f>
        <v>AHP 004</v>
      </c>
      <c r="B459" s="47"/>
      <c r="C459" s="43" t="str">
        <f ca="1">INDIRECT(_xlfn.TEXTJOIN("",TRUE,A467,"!",ADDRESS(22+(A468-1)*A464,2)))</f>
        <v>Emerging Technologies in Engineering Lab</v>
      </c>
      <c r="D459" s="44"/>
      <c r="E459" s="44"/>
      <c r="F459" s="44"/>
      <c r="G459" s="45"/>
      <c r="H459" s="20">
        <f ca="1">INDIRECT(_xlfn.TEXTJOIN("",TRUE,A467,"!",ADDRESS(22+(A468-1)*A464,6)))</f>
        <v>1</v>
      </c>
      <c r="I459" s="20" t="str">
        <f ca="1">INDIRECT(_xlfn.TEXTJOIN("",TRUE,A467,"!",ADDRESS(22+(A468-1)*A464,13)))</f>
        <v>A+</v>
      </c>
      <c r="J459" s="20">
        <f ca="1">INDIRECT(_xlfn.TEXTJOIN("",TRUE,A467,"!",ADDRESS(22+(A468-1)*A464,14)))</f>
        <v>9.5</v>
      </c>
    </row>
    <row r="460" spans="1:10" ht="28" customHeight="1" x14ac:dyDescent="0.2">
      <c r="A460" s="46" t="str">
        <f ca="1">INDIRECT(_xlfn.TEXTJOIN("",TRUE,A467,"!",ADDRESS(23+(A468-1)*A464,1)))</f>
        <v>CSP 002</v>
      </c>
      <c r="B460" s="47"/>
      <c r="C460" s="43" t="str">
        <f ca="1">INDIRECT(_xlfn.TEXTJOIN("",TRUE,A467,"!",ADDRESS(23+(A468-1)*A464,2)))</f>
        <v>Computer Applications and IOT</v>
      </c>
      <c r="D460" s="44"/>
      <c r="E460" s="44"/>
      <c r="F460" s="44"/>
      <c r="G460" s="45"/>
      <c r="H460" s="20">
        <f ca="1">INDIRECT(_xlfn.TEXTJOIN("",TRUE,A467,"!",ADDRESS(23+(A468-1)*A464,6)))</f>
        <v>1</v>
      </c>
      <c r="I460" s="20" t="str">
        <f ca="1">INDIRECT(_xlfn.TEXTJOIN("",TRUE,A467,"!",ADDRESS(23+(A468-1)*A464,13)))</f>
        <v>A</v>
      </c>
      <c r="J460" s="20">
        <f ca="1">INDIRECT(_xlfn.TEXTJOIN("",TRUE,A467,"!",ADDRESS(23+(A468-1)*A464,14)))</f>
        <v>9</v>
      </c>
    </row>
    <row r="461" spans="1:10" ht="28" customHeight="1" x14ac:dyDescent="0.2">
      <c r="A461" s="46" t="str">
        <f ca="1">INDIRECT(_xlfn.TEXTJOIN("",TRUE,A467,"!",ADDRESS(24+(A468-1)*A464,1)))</f>
        <v>AHP 006</v>
      </c>
      <c r="B461" s="47"/>
      <c r="C461" s="43" t="str">
        <f ca="1">INDIRECT(_xlfn.TEXTJOIN("",TRUE,A467,"!",ADDRESS(24+(A468-1)*A464,2)))</f>
        <v>English Language Lab ($)</v>
      </c>
      <c r="D461" s="44"/>
      <c r="E461" s="44"/>
      <c r="F461" s="44"/>
      <c r="G461" s="45"/>
      <c r="H461" s="20">
        <f ca="1">INDIRECT(_xlfn.TEXTJOIN("",TRUE,A467,"!",ADDRESS(24+(A468-1)*A464,6)))</f>
        <v>0</v>
      </c>
      <c r="I461" s="20" t="str">
        <f ca="1">INDIRECT(_xlfn.TEXTJOIN("",TRUE,A467,"!",ADDRESS(24+(A468-1)*A464,13)))</f>
        <v>D</v>
      </c>
      <c r="J461" s="20">
        <f ca="1">INDIRECT(_xlfn.TEXTJOIN("",TRUE,A467,"!",ADDRESS(24+(A468-1)*A464,14)))</f>
        <v>6</v>
      </c>
    </row>
    <row r="462" spans="1:10" ht="28" customHeight="1" x14ac:dyDescent="0.2">
      <c r="A462" s="46" t="str">
        <f ca="1">INDIRECT(_xlfn.TEXTJOIN("",TRUE,A467,"!",ADDRESS(25+(A468-1)*A464,1)))</f>
        <v>GP 01</v>
      </c>
      <c r="B462" s="47"/>
      <c r="C462" s="43" t="str">
        <f ca="1">INDIRECT(_xlfn.TEXTJOIN("",TRUE,A467,"!",ADDRESS(25+(A468-1)*A464,2)))</f>
        <v>General Proficiency ($)</v>
      </c>
      <c r="D462" s="44"/>
      <c r="E462" s="44"/>
      <c r="F462" s="44"/>
      <c r="G462" s="45"/>
      <c r="H462" s="20">
        <f ca="1">INDIRECT(_xlfn.TEXTJOIN("",TRUE,A467,"!",ADDRESS(25+(A468-1)*A464,6)))</f>
        <v>0</v>
      </c>
      <c r="I462" s="41" t="str">
        <f ca="1">INDIRECT(_xlfn.TEXTJOIN("",TRUE,A467,"!",ADDRESS(25+(A468-1)*A464,13)))</f>
        <v>Excellent</v>
      </c>
      <c r="J462" s="42"/>
    </row>
    <row r="463" spans="1:10" ht="28" customHeight="1" x14ac:dyDescent="0.2">
      <c r="A463" s="35" t="s">
        <v>54</v>
      </c>
      <c r="B463" s="35"/>
      <c r="C463" s="35"/>
      <c r="D463" s="35"/>
      <c r="E463" s="35"/>
      <c r="F463" s="35"/>
      <c r="G463" s="35"/>
      <c r="H463" s="16">
        <f ca="1">SUM(H450:H462)</f>
        <v>23</v>
      </c>
      <c r="I463" s="16" t="s">
        <v>46</v>
      </c>
      <c r="J463" s="16">
        <f ca="1">SUMPRODUCT(J450:J461,H450:H461)</f>
        <v>97</v>
      </c>
    </row>
    <row r="464" spans="1:10" ht="28" customHeight="1" x14ac:dyDescent="0.2">
      <c r="A464" s="22">
        <f>ROWS(A450:B462)+9</f>
        <v>22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36" t="s">
        <v>42</v>
      </c>
      <c r="B465" s="36"/>
      <c r="C465" s="21">
        <f ca="1">INDIRECT(_xlfn.TEXTJOIN("",TRUE,A467,"!",ADDRESS(5+A468*A464,12)))</f>
        <v>15</v>
      </c>
      <c r="D465" s="36" t="s">
        <v>40</v>
      </c>
      <c r="E465" s="36"/>
      <c r="F465" s="18">
        <f ca="1">INDIRECT(_xlfn.TEXTJOIN("",TRUE,A467,"!",ADDRESS(5+A468*A464,8)))</f>
        <v>4.2173913043478262</v>
      </c>
      <c r="G465" s="36" t="s">
        <v>41</v>
      </c>
      <c r="H465" s="36"/>
      <c r="I465" s="37">
        <f ca="1">INDIRECT(_xlfn.TEXTJOIN("",TRUE,A467,"!",ADDRESS(5+A468*A464,10)))</f>
        <v>4.2173913043478262</v>
      </c>
      <c r="J465" s="37"/>
    </row>
    <row r="466" spans="1:10" ht="28" customHeight="1" x14ac:dyDescent="0.2">
      <c r="A466" s="19" t="s">
        <v>38</v>
      </c>
      <c r="B466" s="38" t="str">
        <f ca="1">INDIRECT(_xlfn.TEXTJOIN("",TRUE,A467,"!",ADDRESS(5+A468*A464,2)))</f>
        <v>CARRY OVER</v>
      </c>
      <c r="C466" s="38"/>
      <c r="D466" s="39" t="s">
        <v>39</v>
      </c>
      <c r="E466" s="39"/>
      <c r="F466" s="40" t="str">
        <f ca="1">INDIRECT(_xlfn.TEXTJOIN("",TRUE,A467,"!",ADDRESS(5+A468*A464,5)))</f>
        <v>BACK IN AHT 002, AHT 003</v>
      </c>
      <c r="G466" s="40"/>
      <c r="H466" s="40"/>
      <c r="I466" s="40"/>
      <c r="J466" s="40"/>
    </row>
    <row r="467" spans="1:10" ht="28" customHeight="1" x14ac:dyDescent="0.2">
      <c r="A467" s="22" t="str">
        <f>A445</f>
        <v>TC_I</v>
      </c>
    </row>
    <row r="468" spans="1:10" ht="28" customHeight="1" x14ac:dyDescent="0.2">
      <c r="A468" s="22">
        <f>A446+1</f>
        <v>21</v>
      </c>
    </row>
    <row r="469" spans="1:10" ht="28" customHeight="1" x14ac:dyDescent="0.2">
      <c r="A469" s="49" t="s">
        <v>26</v>
      </c>
      <c r="B469" s="49"/>
      <c r="C469" s="49" t="str">
        <f ca="1">INDIRECT(_xlfn.TEXTJOIN("",TRUE,A489,"!",ADDRESS(9+(A490-1)*A486,2)))</f>
        <v>PRAMOD BISHT</v>
      </c>
      <c r="D469" s="49"/>
      <c r="E469" s="49"/>
      <c r="F469" s="49" t="s">
        <v>52</v>
      </c>
      <c r="G469" s="49"/>
      <c r="H469" s="49"/>
      <c r="I469" s="48">
        <f ca="1">INDIRECT(_xlfn.TEXTJOIN("",TRUE,A489,"!",ADDRESS(9+(A490-1)*A486,9)))</f>
        <v>250090120023</v>
      </c>
      <c r="J469" s="48"/>
    </row>
    <row r="470" spans="1:10" ht="28" customHeight="1" x14ac:dyDescent="0.2">
      <c r="A470" s="49" t="s">
        <v>27</v>
      </c>
      <c r="B470" s="49"/>
      <c r="C470" s="49" t="str">
        <f ca="1">INDIRECT(_xlfn.TEXTJOIN("",TRUE,A489,"!",ADDRESS(9+(A490-1)*A486,5)))</f>
        <v>KESHAR SINGH BISHT</v>
      </c>
      <c r="D470" s="49"/>
      <c r="E470" s="49"/>
      <c r="F470" s="50" t="s">
        <v>53</v>
      </c>
      <c r="G470" s="50"/>
      <c r="H470" s="50"/>
      <c r="I470" s="48" t="str">
        <f ca="1">INDIRECT(_xlfn.TEXTJOIN("",TRUE,A489,"!",ADDRESS(9+(A490-1)*A486,13)))</f>
        <v>UTU/2501103587</v>
      </c>
      <c r="J470" s="48"/>
    </row>
    <row r="471" spans="1:10" ht="28" customHeight="1" x14ac:dyDescent="0.2">
      <c r="A471" s="38" t="s">
        <v>30</v>
      </c>
      <c r="B471" s="38"/>
      <c r="C471" s="38" t="s">
        <v>31</v>
      </c>
      <c r="D471" s="38"/>
      <c r="E471" s="38"/>
      <c r="F471" s="38"/>
      <c r="G471" s="38"/>
      <c r="H471" s="15" t="s">
        <v>32</v>
      </c>
      <c r="I471" s="15" t="s">
        <v>12</v>
      </c>
      <c r="J471" s="15" t="s">
        <v>36</v>
      </c>
    </row>
    <row r="472" spans="1:10" ht="28" customHeight="1" x14ac:dyDescent="0.2">
      <c r="A472" s="46" t="str">
        <f ca="1">INDIRECT(_xlfn.TEXTJOIN("",TRUE,A489,"!",ADDRESS(13+(A490-1)*A486,1)))</f>
        <v>AHT 002</v>
      </c>
      <c r="B472" s="47"/>
      <c r="C472" s="43" t="str">
        <f ca="1">INDIRECT(_xlfn.TEXTJOIN("",TRUE,A489,"!",ADDRESS(13+(A490-1)*A486,2)))</f>
        <v>Engineering Chemistry</v>
      </c>
      <c r="D472" s="44"/>
      <c r="E472" s="44"/>
      <c r="F472" s="44"/>
      <c r="G472" s="45"/>
      <c r="H472" s="20">
        <f ca="1">INDIRECT(_xlfn.TEXTJOIN("",TRUE,A489,"!",ADDRESS(13+(A490-1)*A486,6)))</f>
        <v>4</v>
      </c>
      <c r="I472" s="20" t="str">
        <f ca="1">INDIRECT(_xlfn.TEXTJOIN("",TRUE,A489,"!",ADDRESS(13+(A490-1)*A486,13)))</f>
        <v>E</v>
      </c>
      <c r="J472" s="20">
        <f ca="1">INDIRECT(_xlfn.TEXTJOIN("",TRUE,A489,"!",ADDRESS(13+(A490-1)*A486,14)))</f>
        <v>5</v>
      </c>
    </row>
    <row r="473" spans="1:10" ht="28" customHeight="1" x14ac:dyDescent="0.2">
      <c r="A473" s="46" t="str">
        <f ca="1">INDIRECT(_xlfn.TEXTJOIN("",TRUE,A489,"!",ADDRESS(14+(A490-1)*A486,1)))</f>
        <v>AHT 003</v>
      </c>
      <c r="B473" s="47"/>
      <c r="C473" s="43" t="str">
        <f ca="1">INDIRECT(_xlfn.TEXTJOIN("",TRUE,A489,"!",ADDRESS(14+(A490-1)*A486,2)))</f>
        <v>Introduction to Engineering Mathematics</v>
      </c>
      <c r="D473" s="44"/>
      <c r="E473" s="44"/>
      <c r="F473" s="44"/>
      <c r="G473" s="45"/>
      <c r="H473" s="20">
        <f ca="1">INDIRECT(_xlfn.TEXTJOIN("",TRUE,A489,"!",ADDRESS(14+(A490-1)*A486,6)))</f>
        <v>4</v>
      </c>
      <c r="I473" s="20" t="str">
        <f ca="1">INDIRECT(_xlfn.TEXTJOIN("",TRUE,A489,"!",ADDRESS(14+(A490-1)*A486,13)))</f>
        <v>F</v>
      </c>
      <c r="J473" s="20">
        <f ca="1">INDIRECT(_xlfn.TEXTJOIN("",TRUE,A489,"!",ADDRESS(14+(A490-1)*A486,14)))</f>
        <v>0</v>
      </c>
    </row>
    <row r="474" spans="1:10" ht="28" customHeight="1" x14ac:dyDescent="0.2">
      <c r="A474" s="46" t="str">
        <f ca="1">INDIRECT(_xlfn.TEXTJOIN("",TRUE,A489,"!",ADDRESS(15+(A490-1)*A486,1)))</f>
        <v>ECT 001</v>
      </c>
      <c r="B474" s="47"/>
      <c r="C474" s="43" t="str">
        <f ca="1">INDIRECT(_xlfn.TEXTJOIN("",TRUE,A489,"!",ADDRESS(15+(A490-1)*A486,2)))</f>
        <v>Basic Electronics Engineering</v>
      </c>
      <c r="D474" s="44"/>
      <c r="E474" s="44"/>
      <c r="F474" s="44"/>
      <c r="G474" s="45"/>
      <c r="H474" s="20">
        <f ca="1">INDIRECT(_xlfn.TEXTJOIN("",TRUE,A489,"!",ADDRESS(15+(A490-1)*A486,6)))</f>
        <v>4</v>
      </c>
      <c r="I474" s="20" t="str">
        <f ca="1">INDIRECT(_xlfn.TEXTJOIN("",TRUE,A489,"!",ADDRESS(15+(A490-1)*A486,13)))</f>
        <v>E</v>
      </c>
      <c r="J474" s="20">
        <f ca="1">INDIRECT(_xlfn.TEXTJOIN("",TRUE,A489,"!",ADDRESS(15+(A490-1)*A486,14)))</f>
        <v>5</v>
      </c>
    </row>
    <row r="475" spans="1:10" ht="28" customHeight="1" x14ac:dyDescent="0.2">
      <c r="A475" s="46" t="str">
        <f ca="1">INDIRECT(_xlfn.TEXTJOIN("",TRUE,A489,"!",ADDRESS(16+(A490-1)*A486,1)))</f>
        <v>MET 001</v>
      </c>
      <c r="B475" s="47"/>
      <c r="C475" s="43" t="str">
        <f ca="1">INDIRECT(_xlfn.TEXTJOIN("",TRUE,A489,"!",ADDRESS(16+(A490-1)*A486,2)))</f>
        <v>Basic Mechanical Engineering</v>
      </c>
      <c r="D475" s="44"/>
      <c r="E475" s="44"/>
      <c r="F475" s="44"/>
      <c r="G475" s="45"/>
      <c r="H475" s="20">
        <f ca="1">INDIRECT(_xlfn.TEXTJOIN("",TRUE,A489,"!",ADDRESS(16+(A490-1)*A486,6)))</f>
        <v>4</v>
      </c>
      <c r="I475" s="20" t="str">
        <f ca="1">INDIRECT(_xlfn.TEXTJOIN("",TRUE,A489,"!",ADDRESS(16+(A490-1)*A486,13)))</f>
        <v>D+</v>
      </c>
      <c r="J475" s="20">
        <f ca="1">INDIRECT(_xlfn.TEXTJOIN("",TRUE,A489,"!",ADDRESS(16+(A490-1)*A486,14)))</f>
        <v>6.5</v>
      </c>
    </row>
    <row r="476" spans="1:10" ht="28" customHeight="1" x14ac:dyDescent="0.2">
      <c r="A476" s="46" t="str">
        <f ca="1">INDIRECT(_xlfn.TEXTJOIN("",TRUE,A489,"!",ADDRESS(17+(A490-1)*A486,1)))</f>
        <v>AHT 000</v>
      </c>
      <c r="B476" s="47"/>
      <c r="C476" s="43" t="str">
        <f ca="1">INDIRECT(_xlfn.TEXTJOIN("",TRUE,A489,"!",ADDRESS(17+(A490-1)*A486,2)))</f>
        <v>Basic Mathematics (Bridge Course) ($)</v>
      </c>
      <c r="D476" s="44"/>
      <c r="E476" s="44"/>
      <c r="F476" s="44"/>
      <c r="G476" s="45"/>
      <c r="H476" s="20">
        <f ca="1">INDIRECT(_xlfn.TEXTJOIN("",TRUE,A489,"!",ADDRESS(17+(A490-1)*A486,6)))</f>
        <v>0</v>
      </c>
      <c r="I476" s="20" t="str">
        <f ca="1">INDIRECT(_xlfn.TEXTJOIN("",TRUE,A489,"!",ADDRESS(17+(A490-1)*A486,13)))</f>
        <v>E+</v>
      </c>
      <c r="J476" s="20">
        <f ca="1">INDIRECT(_xlfn.TEXTJOIN("",TRUE,A489,"!",ADDRESS(17+(A490-1)*A486,14)))</f>
        <v>5.5</v>
      </c>
    </row>
    <row r="477" spans="1:10" ht="28" customHeight="1" x14ac:dyDescent="0.2">
      <c r="A477" s="46" t="str">
        <f ca="1">INDIRECT(_xlfn.TEXTJOIN("",TRUE,A489,"!",ADDRESS(18+(A490-1)*A486,1)))</f>
        <v>AHP 002</v>
      </c>
      <c r="B477" s="47"/>
      <c r="C477" s="43" t="str">
        <f ca="1">INDIRECT(_xlfn.TEXTJOIN("",TRUE,A489,"!",ADDRESS(18+(A490-1)*A486,2)))</f>
        <v>Engineering Chemistry Lab</v>
      </c>
      <c r="D477" s="44"/>
      <c r="E477" s="44"/>
      <c r="F477" s="44"/>
      <c r="G477" s="45"/>
      <c r="H477" s="20">
        <f ca="1">INDIRECT(_xlfn.TEXTJOIN("",TRUE,A489,"!",ADDRESS(18+(A490-1)*A486,6)))</f>
        <v>1</v>
      </c>
      <c r="I477" s="20" t="str">
        <f ca="1">INDIRECT(_xlfn.TEXTJOIN("",TRUE,A489,"!",ADDRESS(18+(A490-1)*A486,13)))</f>
        <v>C+</v>
      </c>
      <c r="J477" s="20">
        <f ca="1">INDIRECT(_xlfn.TEXTJOIN("",TRUE,A489,"!",ADDRESS(18+(A490-1)*A486,14)))</f>
        <v>7.5</v>
      </c>
    </row>
    <row r="478" spans="1:10" ht="28" customHeight="1" x14ac:dyDescent="0.2">
      <c r="A478" s="46" t="str">
        <f ca="1">INDIRECT(_xlfn.TEXTJOIN("",TRUE,A489,"!",ADDRESS(19+(A490-1)*A486,1)))</f>
        <v>ECP 001</v>
      </c>
      <c r="B478" s="47"/>
      <c r="C478" s="43" t="str">
        <f ca="1">INDIRECT(_xlfn.TEXTJOIN("",TRUE,A489,"!",ADDRESS(19+(A490-1)*A486,2)))</f>
        <v>Basic Electronics Engineering Lab</v>
      </c>
      <c r="D478" s="44"/>
      <c r="E478" s="44"/>
      <c r="F478" s="44"/>
      <c r="G478" s="45"/>
      <c r="H478" s="20">
        <f ca="1">INDIRECT(_xlfn.TEXTJOIN("",TRUE,A489,"!",ADDRESS(19+(A490-1)*A486,6)))</f>
        <v>1</v>
      </c>
      <c r="I478" s="20" t="str">
        <f ca="1">INDIRECT(_xlfn.TEXTJOIN("",TRUE,A489,"!",ADDRESS(19+(A490-1)*A486,13)))</f>
        <v>C+</v>
      </c>
      <c r="J478" s="20">
        <f ca="1">INDIRECT(_xlfn.TEXTJOIN("",TRUE,A489,"!",ADDRESS(19+(A490-1)*A486,14)))</f>
        <v>7.5</v>
      </c>
    </row>
    <row r="479" spans="1:10" ht="28" customHeight="1" x14ac:dyDescent="0.2">
      <c r="A479" s="46" t="str">
        <f ca="1">INDIRECT(_xlfn.TEXTJOIN("",TRUE,A489,"!",ADDRESS(20+(A490-1)*A486,1)))</f>
        <v>MEP 001</v>
      </c>
      <c r="B479" s="47"/>
      <c r="C479" s="43" t="str">
        <f ca="1">INDIRECT(_xlfn.TEXTJOIN("",TRUE,A489,"!",ADDRESS(20+(A490-1)*A486,2)))</f>
        <v>Basic Mechanical Engineering Lab</v>
      </c>
      <c r="D479" s="44"/>
      <c r="E479" s="44"/>
      <c r="F479" s="44"/>
      <c r="G479" s="45"/>
      <c r="H479" s="20">
        <f ca="1">INDIRECT(_xlfn.TEXTJOIN("",TRUE,A489,"!",ADDRESS(20+(A490-1)*A486,6)))</f>
        <v>1</v>
      </c>
      <c r="I479" s="20" t="str">
        <f ca="1">INDIRECT(_xlfn.TEXTJOIN("",TRUE,A489,"!",ADDRESS(20+(A490-1)*A486,13)))</f>
        <v>A</v>
      </c>
      <c r="J479" s="20">
        <f ca="1">INDIRECT(_xlfn.TEXTJOIN("",TRUE,A489,"!",ADDRESS(20+(A490-1)*A486,14)))</f>
        <v>9</v>
      </c>
    </row>
    <row r="480" spans="1:10" ht="28" customHeight="1" x14ac:dyDescent="0.2">
      <c r="A480" s="46" t="str">
        <f ca="1">INDIRECT(_xlfn.TEXTJOIN("",TRUE,A489,"!",ADDRESS(21+(A490-1)*A486,1)))</f>
        <v>MEP 003</v>
      </c>
      <c r="B480" s="47"/>
      <c r="C480" s="43" t="str">
        <f ca="1">INDIRECT(_xlfn.TEXTJOIN("",TRUE,A489,"!",ADDRESS(21+(A490-1)*A486,2)))</f>
        <v>Workshop Practices Lab</v>
      </c>
      <c r="D480" s="44"/>
      <c r="E480" s="44"/>
      <c r="F480" s="44"/>
      <c r="G480" s="45"/>
      <c r="H480" s="20">
        <f ca="1">INDIRECT(_xlfn.TEXTJOIN("",TRUE,A489,"!",ADDRESS(21+(A490-1)*A486,6)))</f>
        <v>2</v>
      </c>
      <c r="I480" s="20" t="str">
        <f ca="1">INDIRECT(_xlfn.TEXTJOIN("",TRUE,A489,"!",ADDRESS(21+(A490-1)*A486,13)))</f>
        <v>A+</v>
      </c>
      <c r="J480" s="20">
        <f ca="1">INDIRECT(_xlfn.TEXTJOIN("",TRUE,A489,"!",ADDRESS(21+(A490-1)*A486,14)))</f>
        <v>9.5</v>
      </c>
    </row>
    <row r="481" spans="1:10" ht="28" customHeight="1" x14ac:dyDescent="0.2">
      <c r="A481" s="46" t="str">
        <f ca="1">INDIRECT(_xlfn.TEXTJOIN("",TRUE,A489,"!",ADDRESS(22+(A490-1)*A486,1)))</f>
        <v>AHP 004</v>
      </c>
      <c r="B481" s="47"/>
      <c r="C481" s="43" t="str">
        <f ca="1">INDIRECT(_xlfn.TEXTJOIN("",TRUE,A489,"!",ADDRESS(22+(A490-1)*A486,2)))</f>
        <v>Emerging Technologies in Engineering Lab</v>
      </c>
      <c r="D481" s="44"/>
      <c r="E481" s="44"/>
      <c r="F481" s="44"/>
      <c r="G481" s="45"/>
      <c r="H481" s="20">
        <f ca="1">INDIRECT(_xlfn.TEXTJOIN("",TRUE,A489,"!",ADDRESS(22+(A490-1)*A486,6)))</f>
        <v>1</v>
      </c>
      <c r="I481" s="20" t="str">
        <f ca="1">INDIRECT(_xlfn.TEXTJOIN("",TRUE,A489,"!",ADDRESS(22+(A490-1)*A486,13)))</f>
        <v>A+</v>
      </c>
      <c r="J481" s="20">
        <f ca="1">INDIRECT(_xlfn.TEXTJOIN("",TRUE,A489,"!",ADDRESS(22+(A490-1)*A486,14)))</f>
        <v>9.5</v>
      </c>
    </row>
    <row r="482" spans="1:10" ht="28" customHeight="1" x14ac:dyDescent="0.2">
      <c r="A482" s="46" t="str">
        <f ca="1">INDIRECT(_xlfn.TEXTJOIN("",TRUE,A489,"!",ADDRESS(23+(A490-1)*A486,1)))</f>
        <v>CSP 002</v>
      </c>
      <c r="B482" s="47"/>
      <c r="C482" s="43" t="str">
        <f ca="1">INDIRECT(_xlfn.TEXTJOIN("",TRUE,A489,"!",ADDRESS(23+(A490-1)*A486,2)))</f>
        <v>Computer Applications and IOT</v>
      </c>
      <c r="D482" s="44"/>
      <c r="E482" s="44"/>
      <c r="F482" s="44"/>
      <c r="G482" s="45"/>
      <c r="H482" s="20">
        <f ca="1">INDIRECT(_xlfn.TEXTJOIN("",TRUE,A489,"!",ADDRESS(23+(A490-1)*A486,6)))</f>
        <v>1</v>
      </c>
      <c r="I482" s="20" t="str">
        <f ca="1">INDIRECT(_xlfn.TEXTJOIN("",TRUE,A489,"!",ADDRESS(23+(A490-1)*A486,13)))</f>
        <v>A+</v>
      </c>
      <c r="J482" s="20">
        <f ca="1">INDIRECT(_xlfn.TEXTJOIN("",TRUE,A489,"!",ADDRESS(23+(A490-1)*A486,14)))</f>
        <v>9.5</v>
      </c>
    </row>
    <row r="483" spans="1:10" ht="28" customHeight="1" x14ac:dyDescent="0.2">
      <c r="A483" s="46" t="str">
        <f ca="1">INDIRECT(_xlfn.TEXTJOIN("",TRUE,A489,"!",ADDRESS(24+(A490-1)*A486,1)))</f>
        <v>AHP 006</v>
      </c>
      <c r="B483" s="47"/>
      <c r="C483" s="43" t="str">
        <f ca="1">INDIRECT(_xlfn.TEXTJOIN("",TRUE,A489,"!",ADDRESS(24+(A490-1)*A486,2)))</f>
        <v>English Language Lab ($)</v>
      </c>
      <c r="D483" s="44"/>
      <c r="E483" s="44"/>
      <c r="F483" s="44"/>
      <c r="G483" s="45"/>
      <c r="H483" s="20">
        <f ca="1">INDIRECT(_xlfn.TEXTJOIN("",TRUE,A489,"!",ADDRESS(24+(A490-1)*A486,6)))</f>
        <v>0</v>
      </c>
      <c r="I483" s="20" t="str">
        <f ca="1">INDIRECT(_xlfn.TEXTJOIN("",TRUE,A489,"!",ADDRESS(24+(A490-1)*A486,13)))</f>
        <v>C</v>
      </c>
      <c r="J483" s="20">
        <f ca="1">INDIRECT(_xlfn.TEXTJOIN("",TRUE,A489,"!",ADDRESS(24+(A490-1)*A486,14)))</f>
        <v>7</v>
      </c>
    </row>
    <row r="484" spans="1:10" ht="28" customHeight="1" x14ac:dyDescent="0.2">
      <c r="A484" s="46" t="str">
        <f ca="1">INDIRECT(_xlfn.TEXTJOIN("",TRUE,A489,"!",ADDRESS(25+(A490-1)*A486,1)))</f>
        <v>GP 01</v>
      </c>
      <c r="B484" s="47"/>
      <c r="C484" s="43" t="str">
        <f ca="1">INDIRECT(_xlfn.TEXTJOIN("",TRUE,A489,"!",ADDRESS(25+(A490-1)*A486,2)))</f>
        <v>General Proficiency ($)</v>
      </c>
      <c r="D484" s="44"/>
      <c r="E484" s="44"/>
      <c r="F484" s="44"/>
      <c r="G484" s="45"/>
      <c r="H484" s="20">
        <f ca="1">INDIRECT(_xlfn.TEXTJOIN("",TRUE,A489,"!",ADDRESS(25+(A490-1)*A486,6)))</f>
        <v>0</v>
      </c>
      <c r="I484" s="41" t="str">
        <f ca="1">INDIRECT(_xlfn.TEXTJOIN("",TRUE,A489,"!",ADDRESS(25+(A490-1)*A486,13)))</f>
        <v>Excellent</v>
      </c>
      <c r="J484" s="42"/>
    </row>
    <row r="485" spans="1:10" ht="28" customHeight="1" x14ac:dyDescent="0.2">
      <c r="A485" s="35" t="s">
        <v>54</v>
      </c>
      <c r="B485" s="35"/>
      <c r="C485" s="35"/>
      <c r="D485" s="35"/>
      <c r="E485" s="35"/>
      <c r="F485" s="35"/>
      <c r="G485" s="35"/>
      <c r="H485" s="16">
        <f ca="1">SUM(H472:H484)</f>
        <v>23</v>
      </c>
      <c r="I485" s="16" t="s">
        <v>46</v>
      </c>
      <c r="J485" s="16">
        <f ca="1">SUMPRODUCT(J472:J483,H472:H483)</f>
        <v>128</v>
      </c>
    </row>
    <row r="486" spans="1:10" ht="28" customHeight="1" x14ac:dyDescent="0.2">
      <c r="A486" s="22">
        <f>ROWS(A472:B484)+9</f>
        <v>22</v>
      </c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1:10" ht="28" customHeight="1" x14ac:dyDescent="0.2">
      <c r="A487" s="36" t="s">
        <v>42</v>
      </c>
      <c r="B487" s="36"/>
      <c r="C487" s="21">
        <f ca="1">INDIRECT(_xlfn.TEXTJOIN("",TRUE,A489,"!",ADDRESS(5+A490*A486,12)))</f>
        <v>19</v>
      </c>
      <c r="D487" s="36" t="s">
        <v>40</v>
      </c>
      <c r="E487" s="36"/>
      <c r="F487" s="18">
        <f ca="1">INDIRECT(_xlfn.TEXTJOIN("",TRUE,A489,"!",ADDRESS(5+A490*A486,8)))</f>
        <v>5.5652173913043477</v>
      </c>
      <c r="G487" s="36" t="s">
        <v>41</v>
      </c>
      <c r="H487" s="36"/>
      <c r="I487" s="37">
        <f ca="1">INDIRECT(_xlfn.TEXTJOIN("",TRUE,A489,"!",ADDRESS(5+A490*A486,10)))</f>
        <v>5.5652173913043477</v>
      </c>
      <c r="J487" s="37"/>
    </row>
    <row r="488" spans="1:10" ht="28" customHeight="1" x14ac:dyDescent="0.2">
      <c r="A488" s="19" t="s">
        <v>38</v>
      </c>
      <c r="B488" s="38" t="str">
        <f ca="1">INDIRECT(_xlfn.TEXTJOIN("",TRUE,A489,"!",ADDRESS(5+A490*A486,2)))</f>
        <v>CARRY OVER</v>
      </c>
      <c r="C488" s="38"/>
      <c r="D488" s="39" t="s">
        <v>39</v>
      </c>
      <c r="E488" s="39"/>
      <c r="F488" s="40" t="str">
        <f ca="1">INDIRECT(_xlfn.TEXTJOIN("",TRUE,A489,"!",ADDRESS(5+A490*A486,5)))</f>
        <v>BACK IN AHT 003</v>
      </c>
      <c r="G488" s="40"/>
      <c r="H488" s="40"/>
      <c r="I488" s="40"/>
      <c r="J488" s="40"/>
    </row>
    <row r="489" spans="1:10" ht="28" customHeight="1" x14ac:dyDescent="0.2">
      <c r="A489" s="22" t="str">
        <f>A467</f>
        <v>TC_I</v>
      </c>
    </row>
    <row r="490" spans="1:10" ht="28" customHeight="1" x14ac:dyDescent="0.2">
      <c r="A490" s="22">
        <f>A468+1</f>
        <v>22</v>
      </c>
    </row>
    <row r="491" spans="1:10" ht="28" customHeight="1" x14ac:dyDescent="0.2">
      <c r="A491" s="49" t="s">
        <v>26</v>
      </c>
      <c r="B491" s="49"/>
      <c r="C491" s="49" t="str">
        <f ca="1">INDIRECT(_xlfn.TEXTJOIN("",TRUE,A511,"!",ADDRESS(9+(A512-1)*A508,2)))</f>
        <v>PRIYANKA JAJARIYA</v>
      </c>
      <c r="D491" s="49"/>
      <c r="E491" s="49"/>
      <c r="F491" s="49" t="s">
        <v>52</v>
      </c>
      <c r="G491" s="49"/>
      <c r="H491" s="49"/>
      <c r="I491" s="48">
        <f ca="1">INDIRECT(_xlfn.TEXTJOIN("",TRUE,A511,"!",ADDRESS(9+(A512-1)*A508,9)))</f>
        <v>250090120024</v>
      </c>
      <c r="J491" s="48"/>
    </row>
    <row r="492" spans="1:10" ht="28" customHeight="1" x14ac:dyDescent="0.2">
      <c r="A492" s="49" t="s">
        <v>27</v>
      </c>
      <c r="B492" s="49"/>
      <c r="C492" s="49" t="str">
        <f ca="1">INDIRECT(_xlfn.TEXTJOIN("",TRUE,A511,"!",ADDRESS(9+(A512-1)*A508,5)))</f>
        <v>MANOJ KUMAR</v>
      </c>
      <c r="D492" s="49"/>
      <c r="E492" s="49"/>
      <c r="F492" s="50" t="s">
        <v>53</v>
      </c>
      <c r="G492" s="50"/>
      <c r="H492" s="50"/>
      <c r="I492" s="48" t="str">
        <f ca="1">INDIRECT(_xlfn.TEXTJOIN("",TRUE,A511,"!",ADDRESS(9+(A512-1)*A508,13)))</f>
        <v>UTU/2501103680</v>
      </c>
      <c r="J492" s="48"/>
    </row>
    <row r="493" spans="1:10" ht="28" customHeight="1" x14ac:dyDescent="0.2">
      <c r="A493" s="38" t="s">
        <v>30</v>
      </c>
      <c r="B493" s="38"/>
      <c r="C493" s="38" t="s">
        <v>31</v>
      </c>
      <c r="D493" s="38"/>
      <c r="E493" s="38"/>
      <c r="F493" s="38"/>
      <c r="G493" s="38"/>
      <c r="H493" s="15" t="s">
        <v>32</v>
      </c>
      <c r="I493" s="15" t="s">
        <v>12</v>
      </c>
      <c r="J493" s="15" t="s">
        <v>36</v>
      </c>
    </row>
    <row r="494" spans="1:10" ht="28" customHeight="1" x14ac:dyDescent="0.2">
      <c r="A494" s="46" t="str">
        <f ca="1">INDIRECT(_xlfn.TEXTJOIN("",TRUE,A511,"!",ADDRESS(13+(A512-1)*A508,1)))</f>
        <v>AHT 002</v>
      </c>
      <c r="B494" s="47"/>
      <c r="C494" s="43" t="str">
        <f ca="1">INDIRECT(_xlfn.TEXTJOIN("",TRUE,A511,"!",ADDRESS(13+(A512-1)*A508,2)))</f>
        <v>Engineering Chemistry</v>
      </c>
      <c r="D494" s="44"/>
      <c r="E494" s="44"/>
      <c r="F494" s="44"/>
      <c r="G494" s="45"/>
      <c r="H494" s="20">
        <f ca="1">INDIRECT(_xlfn.TEXTJOIN("",TRUE,A511,"!",ADDRESS(13+(A512-1)*A508,6)))</f>
        <v>4</v>
      </c>
      <c r="I494" s="20" t="str">
        <f ca="1">INDIRECT(_xlfn.TEXTJOIN("",TRUE,A511,"!",ADDRESS(13+(A512-1)*A508,13)))</f>
        <v>D</v>
      </c>
      <c r="J494" s="20">
        <f ca="1">INDIRECT(_xlfn.TEXTJOIN("",TRUE,A511,"!",ADDRESS(13+(A512-1)*A508,14)))</f>
        <v>6</v>
      </c>
    </row>
    <row r="495" spans="1:10" ht="28" customHeight="1" x14ac:dyDescent="0.2">
      <c r="A495" s="46" t="str">
        <f ca="1">INDIRECT(_xlfn.TEXTJOIN("",TRUE,A511,"!",ADDRESS(14+(A512-1)*A508,1)))</f>
        <v>AHT 003</v>
      </c>
      <c r="B495" s="47"/>
      <c r="C495" s="43" t="str">
        <f ca="1">INDIRECT(_xlfn.TEXTJOIN("",TRUE,A511,"!",ADDRESS(14+(A512-1)*A508,2)))</f>
        <v>Introduction to Engineering Mathematics</v>
      </c>
      <c r="D495" s="44"/>
      <c r="E495" s="44"/>
      <c r="F495" s="44"/>
      <c r="G495" s="45"/>
      <c r="H495" s="20">
        <f ca="1">INDIRECT(_xlfn.TEXTJOIN("",TRUE,A511,"!",ADDRESS(14+(A512-1)*A508,6)))</f>
        <v>4</v>
      </c>
      <c r="I495" s="20" t="str">
        <f ca="1">INDIRECT(_xlfn.TEXTJOIN("",TRUE,A511,"!",ADDRESS(14+(A512-1)*A508,13)))</f>
        <v>F</v>
      </c>
      <c r="J495" s="20">
        <f ca="1">INDIRECT(_xlfn.TEXTJOIN("",TRUE,A511,"!",ADDRESS(14+(A512-1)*A508,14)))</f>
        <v>0</v>
      </c>
    </row>
    <row r="496" spans="1:10" ht="28" customHeight="1" x14ac:dyDescent="0.2">
      <c r="A496" s="46" t="str">
        <f ca="1">INDIRECT(_xlfn.TEXTJOIN("",TRUE,A511,"!",ADDRESS(15+(A512-1)*A508,1)))</f>
        <v>ECT 001</v>
      </c>
      <c r="B496" s="47"/>
      <c r="C496" s="43" t="str">
        <f ca="1">INDIRECT(_xlfn.TEXTJOIN("",TRUE,A511,"!",ADDRESS(15+(A512-1)*A508,2)))</f>
        <v>Basic Electronics Engineering</v>
      </c>
      <c r="D496" s="44"/>
      <c r="E496" s="44"/>
      <c r="F496" s="44"/>
      <c r="G496" s="45"/>
      <c r="H496" s="20">
        <f ca="1">INDIRECT(_xlfn.TEXTJOIN("",TRUE,A511,"!",ADDRESS(15+(A512-1)*A508,6)))</f>
        <v>4</v>
      </c>
      <c r="I496" s="20" t="str">
        <f ca="1">INDIRECT(_xlfn.TEXTJOIN("",TRUE,A511,"!",ADDRESS(15+(A512-1)*A508,13)))</f>
        <v>E</v>
      </c>
      <c r="J496" s="20">
        <f ca="1">INDIRECT(_xlfn.TEXTJOIN("",TRUE,A511,"!",ADDRESS(15+(A512-1)*A508,14)))</f>
        <v>5</v>
      </c>
    </row>
    <row r="497" spans="1:10" ht="28" customHeight="1" x14ac:dyDescent="0.2">
      <c r="A497" s="46" t="str">
        <f ca="1">INDIRECT(_xlfn.TEXTJOIN("",TRUE,A511,"!",ADDRESS(16+(A512-1)*A508,1)))</f>
        <v>MET 001</v>
      </c>
      <c r="B497" s="47"/>
      <c r="C497" s="43" t="str">
        <f ca="1">INDIRECT(_xlfn.TEXTJOIN("",TRUE,A511,"!",ADDRESS(16+(A512-1)*A508,2)))</f>
        <v>Basic Mechanical Engineering</v>
      </c>
      <c r="D497" s="44"/>
      <c r="E497" s="44"/>
      <c r="F497" s="44"/>
      <c r="G497" s="45"/>
      <c r="H497" s="20">
        <f ca="1">INDIRECT(_xlfn.TEXTJOIN("",TRUE,A511,"!",ADDRESS(16+(A512-1)*A508,6)))</f>
        <v>4</v>
      </c>
      <c r="I497" s="20" t="str">
        <f ca="1">INDIRECT(_xlfn.TEXTJOIN("",TRUE,A511,"!",ADDRESS(16+(A512-1)*A508,13)))</f>
        <v>D</v>
      </c>
      <c r="J497" s="20">
        <f ca="1">INDIRECT(_xlfn.TEXTJOIN("",TRUE,A511,"!",ADDRESS(16+(A512-1)*A508,14)))</f>
        <v>6</v>
      </c>
    </row>
    <row r="498" spans="1:10" ht="28" customHeight="1" x14ac:dyDescent="0.2">
      <c r="A498" s="46" t="str">
        <f ca="1">INDIRECT(_xlfn.TEXTJOIN("",TRUE,A511,"!",ADDRESS(17+(A512-1)*A508,1)))</f>
        <v>AHT 000</v>
      </c>
      <c r="B498" s="47"/>
      <c r="C498" s="43" t="str">
        <f ca="1">INDIRECT(_xlfn.TEXTJOIN("",TRUE,A511,"!",ADDRESS(17+(A512-1)*A508,2)))</f>
        <v>Basic Mathematics (Bridge Course) ($)</v>
      </c>
      <c r="D498" s="44"/>
      <c r="E498" s="44"/>
      <c r="F498" s="44"/>
      <c r="G498" s="45"/>
      <c r="H498" s="20">
        <f ca="1">INDIRECT(_xlfn.TEXTJOIN("",TRUE,A511,"!",ADDRESS(17+(A512-1)*A508,6)))</f>
        <v>0</v>
      </c>
      <c r="I498" s="20" t="str">
        <f ca="1">INDIRECT(_xlfn.TEXTJOIN("",TRUE,A511,"!",ADDRESS(17+(A512-1)*A508,13)))</f>
        <v>E+</v>
      </c>
      <c r="J498" s="20">
        <f ca="1">INDIRECT(_xlfn.TEXTJOIN("",TRUE,A511,"!",ADDRESS(17+(A512-1)*A508,14)))</f>
        <v>5.5</v>
      </c>
    </row>
    <row r="499" spans="1:10" ht="28" customHeight="1" x14ac:dyDescent="0.2">
      <c r="A499" s="46" t="str">
        <f ca="1">INDIRECT(_xlfn.TEXTJOIN("",TRUE,A511,"!",ADDRESS(18+(A512-1)*A508,1)))</f>
        <v>AHP 002</v>
      </c>
      <c r="B499" s="47"/>
      <c r="C499" s="43" t="str">
        <f ca="1">INDIRECT(_xlfn.TEXTJOIN("",TRUE,A511,"!",ADDRESS(18+(A512-1)*A508,2)))</f>
        <v>Engineering Chemistry Lab</v>
      </c>
      <c r="D499" s="44"/>
      <c r="E499" s="44"/>
      <c r="F499" s="44"/>
      <c r="G499" s="45"/>
      <c r="H499" s="20">
        <f ca="1">INDIRECT(_xlfn.TEXTJOIN("",TRUE,A511,"!",ADDRESS(18+(A512-1)*A508,6)))</f>
        <v>1</v>
      </c>
      <c r="I499" s="20" t="str">
        <f ca="1">INDIRECT(_xlfn.TEXTJOIN("",TRUE,A511,"!",ADDRESS(18+(A512-1)*A508,13)))</f>
        <v>D+</v>
      </c>
      <c r="J499" s="20">
        <f ca="1">INDIRECT(_xlfn.TEXTJOIN("",TRUE,A511,"!",ADDRESS(18+(A512-1)*A508,14)))</f>
        <v>6.5</v>
      </c>
    </row>
    <row r="500" spans="1:10" ht="28" customHeight="1" x14ac:dyDescent="0.2">
      <c r="A500" s="46" t="str">
        <f ca="1">INDIRECT(_xlfn.TEXTJOIN("",TRUE,A511,"!",ADDRESS(19+(A512-1)*A508,1)))</f>
        <v>ECP 001</v>
      </c>
      <c r="B500" s="47"/>
      <c r="C500" s="43" t="str">
        <f ca="1">INDIRECT(_xlfn.TEXTJOIN("",TRUE,A511,"!",ADDRESS(19+(A512-1)*A508,2)))</f>
        <v>Basic Electronics Engineering Lab</v>
      </c>
      <c r="D500" s="44"/>
      <c r="E500" s="44"/>
      <c r="F500" s="44"/>
      <c r="G500" s="45"/>
      <c r="H500" s="20">
        <f ca="1">INDIRECT(_xlfn.TEXTJOIN("",TRUE,A511,"!",ADDRESS(19+(A512-1)*A508,6)))</f>
        <v>1</v>
      </c>
      <c r="I500" s="20" t="str">
        <f ca="1">INDIRECT(_xlfn.TEXTJOIN("",TRUE,A511,"!",ADDRESS(19+(A512-1)*A508,13)))</f>
        <v>B+</v>
      </c>
      <c r="J500" s="20">
        <f ca="1">INDIRECT(_xlfn.TEXTJOIN("",TRUE,A511,"!",ADDRESS(19+(A512-1)*A508,14)))</f>
        <v>8.5</v>
      </c>
    </row>
    <row r="501" spans="1:10" ht="28" customHeight="1" x14ac:dyDescent="0.2">
      <c r="A501" s="46" t="str">
        <f ca="1">INDIRECT(_xlfn.TEXTJOIN("",TRUE,A511,"!",ADDRESS(20+(A512-1)*A508,1)))</f>
        <v>MEP 001</v>
      </c>
      <c r="B501" s="47"/>
      <c r="C501" s="43" t="str">
        <f ca="1">INDIRECT(_xlfn.TEXTJOIN("",TRUE,A511,"!",ADDRESS(20+(A512-1)*A508,2)))</f>
        <v>Basic Mechanical Engineering Lab</v>
      </c>
      <c r="D501" s="44"/>
      <c r="E501" s="44"/>
      <c r="F501" s="44"/>
      <c r="G501" s="45"/>
      <c r="H501" s="20">
        <f ca="1">INDIRECT(_xlfn.TEXTJOIN("",TRUE,A511,"!",ADDRESS(20+(A512-1)*A508,6)))</f>
        <v>1</v>
      </c>
      <c r="I501" s="20" t="str">
        <f ca="1">INDIRECT(_xlfn.TEXTJOIN("",TRUE,A511,"!",ADDRESS(20+(A512-1)*A508,13)))</f>
        <v>B+</v>
      </c>
      <c r="J501" s="20">
        <f ca="1">INDIRECT(_xlfn.TEXTJOIN("",TRUE,A511,"!",ADDRESS(20+(A512-1)*A508,14)))</f>
        <v>8.5</v>
      </c>
    </row>
    <row r="502" spans="1:10" ht="28" customHeight="1" x14ac:dyDescent="0.2">
      <c r="A502" s="46" t="str">
        <f ca="1">INDIRECT(_xlfn.TEXTJOIN("",TRUE,A511,"!",ADDRESS(21+(A512-1)*A508,1)))</f>
        <v>MEP 003</v>
      </c>
      <c r="B502" s="47"/>
      <c r="C502" s="43" t="str">
        <f ca="1">INDIRECT(_xlfn.TEXTJOIN("",TRUE,A511,"!",ADDRESS(21+(A512-1)*A508,2)))</f>
        <v>Workshop Practices Lab</v>
      </c>
      <c r="D502" s="44"/>
      <c r="E502" s="44"/>
      <c r="F502" s="44"/>
      <c r="G502" s="45"/>
      <c r="H502" s="20">
        <f ca="1">INDIRECT(_xlfn.TEXTJOIN("",TRUE,A511,"!",ADDRESS(21+(A512-1)*A508,6)))</f>
        <v>2</v>
      </c>
      <c r="I502" s="20" t="str">
        <f ca="1">INDIRECT(_xlfn.TEXTJOIN("",TRUE,A511,"!",ADDRESS(21+(A512-1)*A508,13)))</f>
        <v>A</v>
      </c>
      <c r="J502" s="20">
        <f ca="1">INDIRECT(_xlfn.TEXTJOIN("",TRUE,A511,"!",ADDRESS(21+(A512-1)*A508,14)))</f>
        <v>9</v>
      </c>
    </row>
    <row r="503" spans="1:10" ht="28" customHeight="1" x14ac:dyDescent="0.2">
      <c r="A503" s="46" t="str">
        <f ca="1">INDIRECT(_xlfn.TEXTJOIN("",TRUE,A511,"!",ADDRESS(22+(A512-1)*A508,1)))</f>
        <v>AHP 004</v>
      </c>
      <c r="B503" s="47"/>
      <c r="C503" s="43" t="str">
        <f ca="1">INDIRECT(_xlfn.TEXTJOIN("",TRUE,A511,"!",ADDRESS(22+(A512-1)*A508,2)))</f>
        <v>Emerging Technologies in Engineering Lab</v>
      </c>
      <c r="D503" s="44"/>
      <c r="E503" s="44"/>
      <c r="F503" s="44"/>
      <c r="G503" s="45"/>
      <c r="H503" s="20">
        <f ca="1">INDIRECT(_xlfn.TEXTJOIN("",TRUE,A511,"!",ADDRESS(22+(A512-1)*A508,6)))</f>
        <v>1</v>
      </c>
      <c r="I503" s="20" t="str">
        <f ca="1">INDIRECT(_xlfn.TEXTJOIN("",TRUE,A511,"!",ADDRESS(22+(A512-1)*A508,13)))</f>
        <v>A</v>
      </c>
      <c r="J503" s="20">
        <f ca="1">INDIRECT(_xlfn.TEXTJOIN("",TRUE,A511,"!",ADDRESS(22+(A512-1)*A508,14)))</f>
        <v>9</v>
      </c>
    </row>
    <row r="504" spans="1:10" ht="28" customHeight="1" x14ac:dyDescent="0.2">
      <c r="A504" s="46" t="str">
        <f ca="1">INDIRECT(_xlfn.TEXTJOIN("",TRUE,A511,"!",ADDRESS(23+(A512-1)*A508,1)))</f>
        <v>CSP 002</v>
      </c>
      <c r="B504" s="47"/>
      <c r="C504" s="43" t="str">
        <f ca="1">INDIRECT(_xlfn.TEXTJOIN("",TRUE,A511,"!",ADDRESS(23+(A512-1)*A508,2)))</f>
        <v>Computer Applications and IOT</v>
      </c>
      <c r="D504" s="44"/>
      <c r="E504" s="44"/>
      <c r="F504" s="44"/>
      <c r="G504" s="45"/>
      <c r="H504" s="20">
        <f ca="1">INDIRECT(_xlfn.TEXTJOIN("",TRUE,A511,"!",ADDRESS(23+(A512-1)*A508,6)))</f>
        <v>1</v>
      </c>
      <c r="I504" s="20" t="str">
        <f ca="1">INDIRECT(_xlfn.TEXTJOIN("",TRUE,A511,"!",ADDRESS(23+(A512-1)*A508,13)))</f>
        <v>A+</v>
      </c>
      <c r="J504" s="20">
        <f ca="1">INDIRECT(_xlfn.TEXTJOIN("",TRUE,A511,"!",ADDRESS(23+(A512-1)*A508,14)))</f>
        <v>9.5</v>
      </c>
    </row>
    <row r="505" spans="1:10" ht="28" customHeight="1" x14ac:dyDescent="0.2">
      <c r="A505" s="46" t="str">
        <f ca="1">INDIRECT(_xlfn.TEXTJOIN("",TRUE,A511,"!",ADDRESS(24+(A512-1)*A508,1)))</f>
        <v>AHP 006</v>
      </c>
      <c r="B505" s="47"/>
      <c r="C505" s="43" t="str">
        <f ca="1">INDIRECT(_xlfn.TEXTJOIN("",TRUE,A511,"!",ADDRESS(24+(A512-1)*A508,2)))</f>
        <v>English Language Lab ($)</v>
      </c>
      <c r="D505" s="44"/>
      <c r="E505" s="44"/>
      <c r="F505" s="44"/>
      <c r="G505" s="45"/>
      <c r="H505" s="20">
        <f ca="1">INDIRECT(_xlfn.TEXTJOIN("",TRUE,A511,"!",ADDRESS(24+(A512-1)*A508,6)))</f>
        <v>0</v>
      </c>
      <c r="I505" s="20" t="str">
        <f ca="1">INDIRECT(_xlfn.TEXTJOIN("",TRUE,A511,"!",ADDRESS(24+(A512-1)*A508,13)))</f>
        <v>C</v>
      </c>
      <c r="J505" s="20">
        <f ca="1">INDIRECT(_xlfn.TEXTJOIN("",TRUE,A511,"!",ADDRESS(24+(A512-1)*A508,14)))</f>
        <v>7</v>
      </c>
    </row>
    <row r="506" spans="1:10" ht="28" customHeight="1" x14ac:dyDescent="0.2">
      <c r="A506" s="46" t="str">
        <f ca="1">INDIRECT(_xlfn.TEXTJOIN("",TRUE,A511,"!",ADDRESS(25+(A512-1)*A508,1)))</f>
        <v>GP 01</v>
      </c>
      <c r="B506" s="47"/>
      <c r="C506" s="43" t="str">
        <f ca="1">INDIRECT(_xlfn.TEXTJOIN("",TRUE,A511,"!",ADDRESS(25+(A512-1)*A508,2)))</f>
        <v>General Proficiency ($)</v>
      </c>
      <c r="D506" s="44"/>
      <c r="E506" s="44"/>
      <c r="F506" s="44"/>
      <c r="G506" s="45"/>
      <c r="H506" s="20">
        <f ca="1">INDIRECT(_xlfn.TEXTJOIN("",TRUE,A511,"!",ADDRESS(25+(A512-1)*A508,6)))</f>
        <v>0</v>
      </c>
      <c r="I506" s="41" t="str">
        <f ca="1">INDIRECT(_xlfn.TEXTJOIN("",TRUE,A511,"!",ADDRESS(25+(A512-1)*A508,13)))</f>
        <v>Excellent</v>
      </c>
      <c r="J506" s="42"/>
    </row>
    <row r="507" spans="1:10" ht="28" customHeight="1" x14ac:dyDescent="0.2">
      <c r="A507" s="35" t="s">
        <v>54</v>
      </c>
      <c r="B507" s="35"/>
      <c r="C507" s="35"/>
      <c r="D507" s="35"/>
      <c r="E507" s="35"/>
      <c r="F507" s="35"/>
      <c r="G507" s="35"/>
      <c r="H507" s="16">
        <f ca="1">SUM(H494:H506)</f>
        <v>23</v>
      </c>
      <c r="I507" s="16" t="s">
        <v>46</v>
      </c>
      <c r="J507" s="16">
        <f ca="1">SUMPRODUCT(J494:J505,H494:H505)</f>
        <v>128</v>
      </c>
    </row>
    <row r="508" spans="1:10" ht="28" customHeight="1" x14ac:dyDescent="0.2">
      <c r="A508" s="22">
        <f>ROWS(A494:B506)+9</f>
        <v>22</v>
      </c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1:10" ht="28" customHeight="1" x14ac:dyDescent="0.2">
      <c r="A509" s="36" t="s">
        <v>42</v>
      </c>
      <c r="B509" s="36"/>
      <c r="C509" s="21">
        <f ca="1">INDIRECT(_xlfn.TEXTJOIN("",TRUE,A511,"!",ADDRESS(5+A512*A508,12)))</f>
        <v>19</v>
      </c>
      <c r="D509" s="36" t="s">
        <v>40</v>
      </c>
      <c r="E509" s="36"/>
      <c r="F509" s="18">
        <f ca="1">INDIRECT(_xlfn.TEXTJOIN("",TRUE,A511,"!",ADDRESS(5+A512*A508,8)))</f>
        <v>5.5652173913043477</v>
      </c>
      <c r="G509" s="36" t="s">
        <v>41</v>
      </c>
      <c r="H509" s="36"/>
      <c r="I509" s="37">
        <f ca="1">INDIRECT(_xlfn.TEXTJOIN("",TRUE,A511,"!",ADDRESS(5+A512*A508,10)))</f>
        <v>5.5652173913043477</v>
      </c>
      <c r="J509" s="37"/>
    </row>
    <row r="510" spans="1:10" ht="28" customHeight="1" x14ac:dyDescent="0.2">
      <c r="A510" s="19" t="s">
        <v>38</v>
      </c>
      <c r="B510" s="38" t="str">
        <f ca="1">INDIRECT(_xlfn.TEXTJOIN("",TRUE,A511,"!",ADDRESS(5+A512*A508,2)))</f>
        <v>CARRY OVER</v>
      </c>
      <c r="C510" s="38"/>
      <c r="D510" s="39" t="s">
        <v>39</v>
      </c>
      <c r="E510" s="39"/>
      <c r="F510" s="40" t="str">
        <f ca="1">INDIRECT(_xlfn.TEXTJOIN("",TRUE,A511,"!",ADDRESS(5+A512*A508,5)))</f>
        <v>BACK IN AHT 003</v>
      </c>
      <c r="G510" s="40"/>
      <c r="H510" s="40"/>
      <c r="I510" s="40"/>
      <c r="J510" s="40"/>
    </row>
    <row r="511" spans="1:10" ht="28" customHeight="1" x14ac:dyDescent="0.2">
      <c r="A511" s="22" t="str">
        <f>A489</f>
        <v>TC_I</v>
      </c>
    </row>
    <row r="512" spans="1:10" ht="28" customHeight="1" x14ac:dyDescent="0.2">
      <c r="A512" s="22">
        <f>A490+1</f>
        <v>23</v>
      </c>
    </row>
    <row r="513" spans="1:10" ht="28" customHeight="1" x14ac:dyDescent="0.2">
      <c r="A513" s="49" t="s">
        <v>26</v>
      </c>
      <c r="B513" s="49"/>
      <c r="C513" s="49" t="str">
        <f ca="1">INDIRECT(_xlfn.TEXTJOIN("",TRUE,A533,"!",ADDRESS(9+(A534-1)*A530,2)))</f>
        <v>PRIYANSHU RAWAT</v>
      </c>
      <c r="D513" s="49"/>
      <c r="E513" s="49"/>
      <c r="F513" s="49" t="s">
        <v>52</v>
      </c>
      <c r="G513" s="49"/>
      <c r="H513" s="49"/>
      <c r="I513" s="48">
        <f ca="1">INDIRECT(_xlfn.TEXTJOIN("",TRUE,A533,"!",ADDRESS(9+(A534-1)*A530,9)))</f>
        <v>250090120025</v>
      </c>
      <c r="J513" s="48"/>
    </row>
    <row r="514" spans="1:10" ht="28" customHeight="1" x14ac:dyDescent="0.2">
      <c r="A514" s="49" t="s">
        <v>27</v>
      </c>
      <c r="B514" s="49"/>
      <c r="C514" s="49" t="str">
        <f ca="1">INDIRECT(_xlfn.TEXTJOIN("",TRUE,A533,"!",ADDRESS(9+(A534-1)*A530,5)))</f>
        <v>TRILOK SINGH</v>
      </c>
      <c r="D514" s="49"/>
      <c r="E514" s="49"/>
      <c r="F514" s="50" t="s">
        <v>53</v>
      </c>
      <c r="G514" s="50"/>
      <c r="H514" s="50"/>
      <c r="I514" s="48" t="str">
        <f ca="1">INDIRECT(_xlfn.TEXTJOIN("",TRUE,A533,"!",ADDRESS(9+(A534-1)*A530,13)))</f>
        <v>UTU/2501103625</v>
      </c>
      <c r="J514" s="48"/>
    </row>
    <row r="515" spans="1:10" ht="28" customHeight="1" x14ac:dyDescent="0.2">
      <c r="A515" s="38" t="s">
        <v>30</v>
      </c>
      <c r="B515" s="38"/>
      <c r="C515" s="38" t="s">
        <v>31</v>
      </c>
      <c r="D515" s="38"/>
      <c r="E515" s="38"/>
      <c r="F515" s="38"/>
      <c r="G515" s="38"/>
      <c r="H515" s="15" t="s">
        <v>32</v>
      </c>
      <c r="I515" s="15" t="s">
        <v>12</v>
      </c>
      <c r="J515" s="15" t="s">
        <v>36</v>
      </c>
    </row>
    <row r="516" spans="1:10" ht="28" customHeight="1" x14ac:dyDescent="0.2">
      <c r="A516" s="46" t="str">
        <f ca="1">INDIRECT(_xlfn.TEXTJOIN("",TRUE,A533,"!",ADDRESS(13+(A534-1)*A530,1)))</f>
        <v>AHT 002</v>
      </c>
      <c r="B516" s="47"/>
      <c r="C516" s="43" t="str">
        <f ca="1">INDIRECT(_xlfn.TEXTJOIN("",TRUE,A533,"!",ADDRESS(13+(A534-1)*A530,2)))</f>
        <v>Engineering Chemistry</v>
      </c>
      <c r="D516" s="44"/>
      <c r="E516" s="44"/>
      <c r="F516" s="44"/>
      <c r="G516" s="45"/>
      <c r="H516" s="20">
        <f ca="1">INDIRECT(_xlfn.TEXTJOIN("",TRUE,A533,"!",ADDRESS(13+(A534-1)*A530,6)))</f>
        <v>4</v>
      </c>
      <c r="I516" s="20" t="str">
        <f ca="1">INDIRECT(_xlfn.TEXTJOIN("",TRUE,A533,"!",ADDRESS(13+(A534-1)*A530,13)))</f>
        <v>F</v>
      </c>
      <c r="J516" s="20">
        <f ca="1">INDIRECT(_xlfn.TEXTJOIN("",TRUE,A533,"!",ADDRESS(13+(A534-1)*A530,14)))</f>
        <v>0</v>
      </c>
    </row>
    <row r="517" spans="1:10" ht="28" customHeight="1" x14ac:dyDescent="0.2">
      <c r="A517" s="46" t="str">
        <f ca="1">INDIRECT(_xlfn.TEXTJOIN("",TRUE,A533,"!",ADDRESS(14+(A534-1)*A530,1)))</f>
        <v>AHT 003</v>
      </c>
      <c r="B517" s="47"/>
      <c r="C517" s="43" t="str">
        <f ca="1">INDIRECT(_xlfn.TEXTJOIN("",TRUE,A533,"!",ADDRESS(14+(A534-1)*A530,2)))</f>
        <v>Introduction to Engineering Mathematics</v>
      </c>
      <c r="D517" s="44"/>
      <c r="E517" s="44"/>
      <c r="F517" s="44"/>
      <c r="G517" s="45"/>
      <c r="H517" s="20">
        <f ca="1">INDIRECT(_xlfn.TEXTJOIN("",TRUE,A533,"!",ADDRESS(14+(A534-1)*A530,6)))</f>
        <v>4</v>
      </c>
      <c r="I517" s="20" t="str">
        <f ca="1">INDIRECT(_xlfn.TEXTJOIN("",TRUE,A533,"!",ADDRESS(14+(A534-1)*A530,13)))</f>
        <v>F</v>
      </c>
      <c r="J517" s="20">
        <f ca="1">INDIRECT(_xlfn.TEXTJOIN("",TRUE,A533,"!",ADDRESS(14+(A534-1)*A530,14)))</f>
        <v>0</v>
      </c>
    </row>
    <row r="518" spans="1:10" ht="28" customHeight="1" x14ac:dyDescent="0.2">
      <c r="A518" s="46" t="str">
        <f ca="1">INDIRECT(_xlfn.TEXTJOIN("",TRUE,A533,"!",ADDRESS(15+(A534-1)*A530,1)))</f>
        <v>ECT 001</v>
      </c>
      <c r="B518" s="47"/>
      <c r="C518" s="43" t="str">
        <f ca="1">INDIRECT(_xlfn.TEXTJOIN("",TRUE,A533,"!",ADDRESS(15+(A534-1)*A530,2)))</f>
        <v>Basic Electronics Engineering</v>
      </c>
      <c r="D518" s="44"/>
      <c r="E518" s="44"/>
      <c r="F518" s="44"/>
      <c r="G518" s="45"/>
      <c r="H518" s="20">
        <f ca="1">INDIRECT(_xlfn.TEXTJOIN("",TRUE,A533,"!",ADDRESS(15+(A534-1)*A530,6)))</f>
        <v>4</v>
      </c>
      <c r="I518" s="20" t="str">
        <f ca="1">INDIRECT(_xlfn.TEXTJOIN("",TRUE,A533,"!",ADDRESS(15+(A534-1)*A530,13)))</f>
        <v>F</v>
      </c>
      <c r="J518" s="20">
        <f ca="1">INDIRECT(_xlfn.TEXTJOIN("",TRUE,A533,"!",ADDRESS(15+(A534-1)*A530,14)))</f>
        <v>0</v>
      </c>
    </row>
    <row r="519" spans="1:10" ht="28" customHeight="1" x14ac:dyDescent="0.2">
      <c r="A519" s="46" t="str">
        <f ca="1">INDIRECT(_xlfn.TEXTJOIN("",TRUE,A533,"!",ADDRESS(16+(A534-1)*A530,1)))</f>
        <v>MET 001</v>
      </c>
      <c r="B519" s="47"/>
      <c r="C519" s="43" t="str">
        <f ca="1">INDIRECT(_xlfn.TEXTJOIN("",TRUE,A533,"!",ADDRESS(16+(A534-1)*A530,2)))</f>
        <v>Basic Mechanical Engineering</v>
      </c>
      <c r="D519" s="44"/>
      <c r="E519" s="44"/>
      <c r="F519" s="44"/>
      <c r="G519" s="45"/>
      <c r="H519" s="20">
        <f ca="1">INDIRECT(_xlfn.TEXTJOIN("",TRUE,A533,"!",ADDRESS(16+(A534-1)*A530,6)))</f>
        <v>4</v>
      </c>
      <c r="I519" s="20" t="str">
        <f ca="1">INDIRECT(_xlfn.TEXTJOIN("",TRUE,A533,"!",ADDRESS(16+(A534-1)*A530,13)))</f>
        <v>P</v>
      </c>
      <c r="J519" s="20">
        <f ca="1">INDIRECT(_xlfn.TEXTJOIN("",TRUE,A533,"!",ADDRESS(16+(A534-1)*A530,14)))</f>
        <v>4.5</v>
      </c>
    </row>
    <row r="520" spans="1:10" ht="28" customHeight="1" x14ac:dyDescent="0.2">
      <c r="A520" s="46" t="str">
        <f ca="1">INDIRECT(_xlfn.TEXTJOIN("",TRUE,A533,"!",ADDRESS(17+(A534-1)*A530,1)))</f>
        <v>AHT 000</v>
      </c>
      <c r="B520" s="47"/>
      <c r="C520" s="43" t="str">
        <f ca="1">INDIRECT(_xlfn.TEXTJOIN("",TRUE,A533,"!",ADDRESS(17+(A534-1)*A530,2)))</f>
        <v>Basic Mathematics (Bridge Course) ($)</v>
      </c>
      <c r="D520" s="44"/>
      <c r="E520" s="44"/>
      <c r="F520" s="44"/>
      <c r="G520" s="45"/>
      <c r="H520" s="20">
        <f ca="1">INDIRECT(_xlfn.TEXTJOIN("",TRUE,A533,"!",ADDRESS(17+(A534-1)*A530,6)))</f>
        <v>0</v>
      </c>
      <c r="I520" s="20" t="str">
        <f ca="1">INDIRECT(_xlfn.TEXTJOIN("",TRUE,A533,"!",ADDRESS(17+(A534-1)*A530,13)))</f>
        <v>F</v>
      </c>
      <c r="J520" s="20">
        <f ca="1">INDIRECT(_xlfn.TEXTJOIN("",TRUE,A533,"!",ADDRESS(17+(A534-1)*A530,14)))</f>
        <v>0</v>
      </c>
    </row>
    <row r="521" spans="1:10" ht="28" customHeight="1" x14ac:dyDescent="0.2">
      <c r="A521" s="46" t="str">
        <f ca="1">INDIRECT(_xlfn.TEXTJOIN("",TRUE,A533,"!",ADDRESS(18+(A534-1)*A530,1)))</f>
        <v>AHP 002</v>
      </c>
      <c r="B521" s="47"/>
      <c r="C521" s="43" t="str">
        <f ca="1">INDIRECT(_xlfn.TEXTJOIN("",TRUE,A533,"!",ADDRESS(18+(A534-1)*A530,2)))</f>
        <v>Engineering Chemistry Lab</v>
      </c>
      <c r="D521" s="44"/>
      <c r="E521" s="44"/>
      <c r="F521" s="44"/>
      <c r="G521" s="45"/>
      <c r="H521" s="20">
        <f ca="1">INDIRECT(_xlfn.TEXTJOIN("",TRUE,A533,"!",ADDRESS(18+(A534-1)*A530,6)))</f>
        <v>1</v>
      </c>
      <c r="I521" s="20" t="str">
        <f ca="1">INDIRECT(_xlfn.TEXTJOIN("",TRUE,A533,"!",ADDRESS(18+(A534-1)*A530,13)))</f>
        <v>D+</v>
      </c>
      <c r="J521" s="20">
        <f ca="1">INDIRECT(_xlfn.TEXTJOIN("",TRUE,A533,"!",ADDRESS(18+(A534-1)*A530,14)))</f>
        <v>6.5</v>
      </c>
    </row>
    <row r="522" spans="1:10" ht="28" customHeight="1" x14ac:dyDescent="0.2">
      <c r="A522" s="46" t="str">
        <f ca="1">INDIRECT(_xlfn.TEXTJOIN("",TRUE,A533,"!",ADDRESS(19+(A534-1)*A530,1)))</f>
        <v>ECP 001</v>
      </c>
      <c r="B522" s="47"/>
      <c r="C522" s="43" t="str">
        <f ca="1">INDIRECT(_xlfn.TEXTJOIN("",TRUE,A533,"!",ADDRESS(19+(A534-1)*A530,2)))</f>
        <v>Basic Electronics Engineering Lab</v>
      </c>
      <c r="D522" s="44"/>
      <c r="E522" s="44"/>
      <c r="F522" s="44"/>
      <c r="G522" s="45"/>
      <c r="H522" s="20">
        <f ca="1">INDIRECT(_xlfn.TEXTJOIN("",TRUE,A533,"!",ADDRESS(19+(A534-1)*A530,6)))</f>
        <v>1</v>
      </c>
      <c r="I522" s="20" t="str">
        <f ca="1">INDIRECT(_xlfn.TEXTJOIN("",TRUE,A533,"!",ADDRESS(19+(A534-1)*A530,13)))</f>
        <v>C</v>
      </c>
      <c r="J522" s="20">
        <f ca="1">INDIRECT(_xlfn.TEXTJOIN("",TRUE,A533,"!",ADDRESS(19+(A534-1)*A530,14)))</f>
        <v>7</v>
      </c>
    </row>
    <row r="523" spans="1:10" ht="28" customHeight="1" x14ac:dyDescent="0.2">
      <c r="A523" s="46" t="str">
        <f ca="1">INDIRECT(_xlfn.TEXTJOIN("",TRUE,A533,"!",ADDRESS(20+(A534-1)*A530,1)))</f>
        <v>MEP 001</v>
      </c>
      <c r="B523" s="47"/>
      <c r="C523" s="43" t="str">
        <f ca="1">INDIRECT(_xlfn.TEXTJOIN("",TRUE,A533,"!",ADDRESS(20+(A534-1)*A530,2)))</f>
        <v>Basic Mechanical Engineering Lab</v>
      </c>
      <c r="D523" s="44"/>
      <c r="E523" s="44"/>
      <c r="F523" s="44"/>
      <c r="G523" s="45"/>
      <c r="H523" s="20">
        <f ca="1">INDIRECT(_xlfn.TEXTJOIN("",TRUE,A533,"!",ADDRESS(20+(A534-1)*A530,6)))</f>
        <v>1</v>
      </c>
      <c r="I523" s="20" t="str">
        <f ca="1">INDIRECT(_xlfn.TEXTJOIN("",TRUE,A533,"!",ADDRESS(20+(A534-1)*A530,13)))</f>
        <v>B</v>
      </c>
      <c r="J523" s="20">
        <f ca="1">INDIRECT(_xlfn.TEXTJOIN("",TRUE,A533,"!",ADDRESS(20+(A534-1)*A530,14)))</f>
        <v>8</v>
      </c>
    </row>
    <row r="524" spans="1:10" ht="28" customHeight="1" x14ac:dyDescent="0.2">
      <c r="A524" s="46" t="str">
        <f ca="1">INDIRECT(_xlfn.TEXTJOIN("",TRUE,A533,"!",ADDRESS(21+(A534-1)*A530,1)))</f>
        <v>MEP 003</v>
      </c>
      <c r="B524" s="47"/>
      <c r="C524" s="43" t="str">
        <f ca="1">INDIRECT(_xlfn.TEXTJOIN("",TRUE,A533,"!",ADDRESS(21+(A534-1)*A530,2)))</f>
        <v>Workshop Practices Lab</v>
      </c>
      <c r="D524" s="44"/>
      <c r="E524" s="44"/>
      <c r="F524" s="44"/>
      <c r="G524" s="45"/>
      <c r="H524" s="20">
        <f ca="1">INDIRECT(_xlfn.TEXTJOIN("",TRUE,A533,"!",ADDRESS(21+(A534-1)*A530,6)))</f>
        <v>2</v>
      </c>
      <c r="I524" s="20" t="str">
        <f ca="1">INDIRECT(_xlfn.TEXTJOIN("",TRUE,A533,"!",ADDRESS(21+(A534-1)*A530,13)))</f>
        <v>A</v>
      </c>
      <c r="J524" s="20">
        <f ca="1">INDIRECT(_xlfn.TEXTJOIN("",TRUE,A533,"!",ADDRESS(21+(A534-1)*A530,14)))</f>
        <v>9</v>
      </c>
    </row>
    <row r="525" spans="1:10" ht="28" customHeight="1" x14ac:dyDescent="0.2">
      <c r="A525" s="46" t="str">
        <f ca="1">INDIRECT(_xlfn.TEXTJOIN("",TRUE,A533,"!",ADDRESS(22+(A534-1)*A530,1)))</f>
        <v>AHP 004</v>
      </c>
      <c r="B525" s="47"/>
      <c r="C525" s="43" t="str">
        <f ca="1">INDIRECT(_xlfn.TEXTJOIN("",TRUE,A533,"!",ADDRESS(22+(A534-1)*A530,2)))</f>
        <v>Emerging Technologies in Engineering Lab</v>
      </c>
      <c r="D525" s="44"/>
      <c r="E525" s="44"/>
      <c r="F525" s="44"/>
      <c r="G525" s="45"/>
      <c r="H525" s="20">
        <f ca="1">INDIRECT(_xlfn.TEXTJOIN("",TRUE,A533,"!",ADDRESS(22+(A534-1)*A530,6)))</f>
        <v>1</v>
      </c>
      <c r="I525" s="20" t="str">
        <f ca="1">INDIRECT(_xlfn.TEXTJOIN("",TRUE,A533,"!",ADDRESS(22+(A534-1)*A530,13)))</f>
        <v>A+</v>
      </c>
      <c r="J525" s="20">
        <f ca="1">INDIRECT(_xlfn.TEXTJOIN("",TRUE,A533,"!",ADDRESS(22+(A534-1)*A530,14)))</f>
        <v>9.5</v>
      </c>
    </row>
    <row r="526" spans="1:10" ht="28" customHeight="1" x14ac:dyDescent="0.2">
      <c r="A526" s="46" t="str">
        <f ca="1">INDIRECT(_xlfn.TEXTJOIN("",TRUE,A533,"!",ADDRESS(23+(A534-1)*A530,1)))</f>
        <v>CSP 002</v>
      </c>
      <c r="B526" s="47"/>
      <c r="C526" s="43" t="str">
        <f ca="1">INDIRECT(_xlfn.TEXTJOIN("",TRUE,A533,"!",ADDRESS(23+(A534-1)*A530,2)))</f>
        <v>Computer Applications and IOT</v>
      </c>
      <c r="D526" s="44"/>
      <c r="E526" s="44"/>
      <c r="F526" s="44"/>
      <c r="G526" s="45"/>
      <c r="H526" s="20">
        <f ca="1">INDIRECT(_xlfn.TEXTJOIN("",TRUE,A533,"!",ADDRESS(23+(A534-1)*A530,6)))</f>
        <v>1</v>
      </c>
      <c r="I526" s="20" t="str">
        <f ca="1">INDIRECT(_xlfn.TEXTJOIN("",TRUE,A533,"!",ADDRESS(23+(A534-1)*A530,13)))</f>
        <v>O</v>
      </c>
      <c r="J526" s="20">
        <f ca="1">INDIRECT(_xlfn.TEXTJOIN("",TRUE,A533,"!",ADDRESS(23+(A534-1)*A530,14)))</f>
        <v>10</v>
      </c>
    </row>
    <row r="527" spans="1:10" ht="28" customHeight="1" x14ac:dyDescent="0.2">
      <c r="A527" s="46" t="str">
        <f ca="1">INDIRECT(_xlfn.TEXTJOIN("",TRUE,A533,"!",ADDRESS(24+(A534-1)*A530,1)))</f>
        <v>AHP 006</v>
      </c>
      <c r="B527" s="47"/>
      <c r="C527" s="43" t="str">
        <f ca="1">INDIRECT(_xlfn.TEXTJOIN("",TRUE,A533,"!",ADDRESS(24+(A534-1)*A530,2)))</f>
        <v>English Language Lab ($)</v>
      </c>
      <c r="D527" s="44"/>
      <c r="E527" s="44"/>
      <c r="F527" s="44"/>
      <c r="G527" s="45"/>
      <c r="H527" s="20">
        <f ca="1">INDIRECT(_xlfn.TEXTJOIN("",TRUE,A533,"!",ADDRESS(24+(A534-1)*A530,6)))</f>
        <v>0</v>
      </c>
      <c r="I527" s="20" t="str">
        <f ca="1">INDIRECT(_xlfn.TEXTJOIN("",TRUE,A533,"!",ADDRESS(24+(A534-1)*A530,13)))</f>
        <v>D+</v>
      </c>
      <c r="J527" s="20">
        <f ca="1">INDIRECT(_xlfn.TEXTJOIN("",TRUE,A533,"!",ADDRESS(24+(A534-1)*A530,14)))</f>
        <v>6.5</v>
      </c>
    </row>
    <row r="528" spans="1:10" ht="28" customHeight="1" x14ac:dyDescent="0.2">
      <c r="A528" s="46" t="str">
        <f ca="1">INDIRECT(_xlfn.TEXTJOIN("",TRUE,A533,"!",ADDRESS(25+(A534-1)*A530,1)))</f>
        <v>GP 01</v>
      </c>
      <c r="B528" s="47"/>
      <c r="C528" s="43" t="str">
        <f ca="1">INDIRECT(_xlfn.TEXTJOIN("",TRUE,A533,"!",ADDRESS(25+(A534-1)*A530,2)))</f>
        <v>General Proficiency ($)</v>
      </c>
      <c r="D528" s="44"/>
      <c r="E528" s="44"/>
      <c r="F528" s="44"/>
      <c r="G528" s="45"/>
      <c r="H528" s="20">
        <f ca="1">INDIRECT(_xlfn.TEXTJOIN("",TRUE,A533,"!",ADDRESS(25+(A534-1)*A530,6)))</f>
        <v>0</v>
      </c>
      <c r="I528" s="41" t="str">
        <f ca="1">INDIRECT(_xlfn.TEXTJOIN("",TRUE,A533,"!",ADDRESS(25+(A534-1)*A530,13)))</f>
        <v>Excellent</v>
      </c>
      <c r="J528" s="42"/>
    </row>
    <row r="529" spans="1:10" ht="28" customHeight="1" x14ac:dyDescent="0.2">
      <c r="A529" s="35" t="s">
        <v>54</v>
      </c>
      <c r="B529" s="35"/>
      <c r="C529" s="35"/>
      <c r="D529" s="35"/>
      <c r="E529" s="35"/>
      <c r="F529" s="35"/>
      <c r="G529" s="35"/>
      <c r="H529" s="16">
        <f ca="1">SUM(H516:H528)</f>
        <v>23</v>
      </c>
      <c r="I529" s="16" t="s">
        <v>46</v>
      </c>
      <c r="J529" s="16">
        <f ca="1">SUMPRODUCT(J516:J527,H516:H527)</f>
        <v>77</v>
      </c>
    </row>
    <row r="530" spans="1:10" ht="28" customHeight="1" x14ac:dyDescent="0.2">
      <c r="A530" s="22">
        <f>ROWS(A516:B528)+9</f>
        <v>22</v>
      </c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1:10" ht="28" customHeight="1" x14ac:dyDescent="0.2">
      <c r="A531" s="36" t="s">
        <v>42</v>
      </c>
      <c r="B531" s="36"/>
      <c r="C531" s="21">
        <f ca="1">INDIRECT(_xlfn.TEXTJOIN("",TRUE,A533,"!",ADDRESS(5+A534*A530,12)))</f>
        <v>11</v>
      </c>
      <c r="D531" s="36" t="s">
        <v>40</v>
      </c>
      <c r="E531" s="36"/>
      <c r="F531" s="18">
        <f ca="1">INDIRECT(_xlfn.TEXTJOIN("",TRUE,A533,"!",ADDRESS(5+A534*A530,8)))</f>
        <v>3.347826086956522</v>
      </c>
      <c r="G531" s="36" t="s">
        <v>41</v>
      </c>
      <c r="H531" s="36"/>
      <c r="I531" s="37">
        <f ca="1">INDIRECT(_xlfn.TEXTJOIN("",TRUE,A533,"!",ADDRESS(5+A534*A530,10)))</f>
        <v>3.347826086956522</v>
      </c>
      <c r="J531" s="37"/>
    </row>
    <row r="532" spans="1:10" ht="28" customHeight="1" x14ac:dyDescent="0.2">
      <c r="A532" s="19" t="s">
        <v>38</v>
      </c>
      <c r="B532" s="38" t="str">
        <f ca="1">INDIRECT(_xlfn.TEXTJOIN("",TRUE,A533,"!",ADDRESS(5+A534*A530,2)))</f>
        <v>CARRY OVER</v>
      </c>
      <c r="C532" s="38"/>
      <c r="D532" s="39" t="s">
        <v>39</v>
      </c>
      <c r="E532" s="39"/>
      <c r="F532" s="40" t="str">
        <f ca="1">INDIRECT(_xlfn.TEXTJOIN("",TRUE,A533,"!",ADDRESS(5+A534*A530,5)))</f>
        <v>BACK IN AHT 002, AHT 003, ECT 001, AHT 000</v>
      </c>
      <c r="G532" s="40"/>
      <c r="H532" s="40"/>
      <c r="I532" s="40"/>
      <c r="J532" s="40"/>
    </row>
    <row r="533" spans="1:10" ht="28" customHeight="1" x14ac:dyDescent="0.2">
      <c r="A533" s="22" t="str">
        <f>A511</f>
        <v>TC_I</v>
      </c>
    </row>
    <row r="534" spans="1:10" ht="28" customHeight="1" x14ac:dyDescent="0.2">
      <c r="A534" s="22">
        <f>A512+1</f>
        <v>24</v>
      </c>
    </row>
    <row r="535" spans="1:10" ht="28" customHeight="1" x14ac:dyDescent="0.2">
      <c r="A535" s="49" t="s">
        <v>26</v>
      </c>
      <c r="B535" s="49"/>
      <c r="C535" s="49" t="str">
        <f ca="1">INDIRECT(_xlfn.TEXTJOIN("",TRUE,A555,"!",ADDRESS(9+(A556-1)*A552,2)))</f>
        <v>SAKSHI THAPLIYAL</v>
      </c>
      <c r="D535" s="49"/>
      <c r="E535" s="49"/>
      <c r="F535" s="49" t="s">
        <v>52</v>
      </c>
      <c r="G535" s="49"/>
      <c r="H535" s="49"/>
      <c r="I535" s="48">
        <f ca="1">INDIRECT(_xlfn.TEXTJOIN("",TRUE,A555,"!",ADDRESS(9+(A556-1)*A552,9)))</f>
        <v>250090120026</v>
      </c>
      <c r="J535" s="48"/>
    </row>
    <row r="536" spans="1:10" ht="28" customHeight="1" x14ac:dyDescent="0.2">
      <c r="A536" s="49" t="s">
        <v>27</v>
      </c>
      <c r="B536" s="49"/>
      <c r="C536" s="49" t="str">
        <f ca="1">INDIRECT(_xlfn.TEXTJOIN("",TRUE,A555,"!",ADDRESS(9+(A556-1)*A552,5)))</f>
        <v>SUNIL THAPLIYAL</v>
      </c>
      <c r="D536" s="49"/>
      <c r="E536" s="49"/>
      <c r="F536" s="50" t="s">
        <v>53</v>
      </c>
      <c r="G536" s="50"/>
      <c r="H536" s="50"/>
      <c r="I536" s="48" t="str">
        <f ca="1">INDIRECT(_xlfn.TEXTJOIN("",TRUE,A555,"!",ADDRESS(9+(A556-1)*A552,13)))</f>
        <v>UTU/2501103702</v>
      </c>
      <c r="J536" s="48"/>
    </row>
    <row r="537" spans="1:10" ht="28" customHeight="1" x14ac:dyDescent="0.2">
      <c r="A537" s="38" t="s">
        <v>30</v>
      </c>
      <c r="B537" s="38"/>
      <c r="C537" s="38" t="s">
        <v>31</v>
      </c>
      <c r="D537" s="38"/>
      <c r="E537" s="38"/>
      <c r="F537" s="38"/>
      <c r="G537" s="38"/>
      <c r="H537" s="15" t="s">
        <v>32</v>
      </c>
      <c r="I537" s="15" t="s">
        <v>12</v>
      </c>
      <c r="J537" s="15" t="s">
        <v>36</v>
      </c>
    </row>
    <row r="538" spans="1:10" ht="28" customHeight="1" x14ac:dyDescent="0.2">
      <c r="A538" s="46" t="str">
        <f ca="1">INDIRECT(_xlfn.TEXTJOIN("",TRUE,A555,"!",ADDRESS(13+(A556-1)*A552,1)))</f>
        <v>AHT 002</v>
      </c>
      <c r="B538" s="47"/>
      <c r="C538" s="43" t="str">
        <f ca="1">INDIRECT(_xlfn.TEXTJOIN("",TRUE,A555,"!",ADDRESS(13+(A556-1)*A552,2)))</f>
        <v>Engineering Chemistry</v>
      </c>
      <c r="D538" s="44"/>
      <c r="E538" s="44"/>
      <c r="F538" s="44"/>
      <c r="G538" s="45"/>
      <c r="H538" s="20">
        <f ca="1">INDIRECT(_xlfn.TEXTJOIN("",TRUE,A555,"!",ADDRESS(13+(A556-1)*A552,6)))</f>
        <v>4</v>
      </c>
      <c r="I538" s="20" t="str">
        <f ca="1">INDIRECT(_xlfn.TEXTJOIN("",TRUE,A555,"!",ADDRESS(13+(A556-1)*A552,13)))</f>
        <v>B</v>
      </c>
      <c r="J538" s="20">
        <f ca="1">INDIRECT(_xlfn.TEXTJOIN("",TRUE,A555,"!",ADDRESS(13+(A556-1)*A552,14)))</f>
        <v>8</v>
      </c>
    </row>
    <row r="539" spans="1:10" ht="28" customHeight="1" x14ac:dyDescent="0.2">
      <c r="A539" s="46" t="str">
        <f ca="1">INDIRECT(_xlfn.TEXTJOIN("",TRUE,A555,"!",ADDRESS(14+(A556-1)*A552,1)))</f>
        <v>AHT 003</v>
      </c>
      <c r="B539" s="47"/>
      <c r="C539" s="43" t="str">
        <f ca="1">INDIRECT(_xlfn.TEXTJOIN("",TRUE,A555,"!",ADDRESS(14+(A556-1)*A552,2)))</f>
        <v>Introduction to Engineering Mathematics</v>
      </c>
      <c r="D539" s="44"/>
      <c r="E539" s="44"/>
      <c r="F539" s="44"/>
      <c r="G539" s="45"/>
      <c r="H539" s="20">
        <f ca="1">INDIRECT(_xlfn.TEXTJOIN("",TRUE,A555,"!",ADDRESS(14+(A556-1)*A552,6)))</f>
        <v>4</v>
      </c>
      <c r="I539" s="20" t="str">
        <f ca="1">INDIRECT(_xlfn.TEXTJOIN("",TRUE,A555,"!",ADDRESS(14+(A556-1)*A552,13)))</f>
        <v>C+</v>
      </c>
      <c r="J539" s="20">
        <f ca="1">INDIRECT(_xlfn.TEXTJOIN("",TRUE,A555,"!",ADDRESS(14+(A556-1)*A552,14)))</f>
        <v>7.5</v>
      </c>
    </row>
    <row r="540" spans="1:10" ht="28" customHeight="1" x14ac:dyDescent="0.2">
      <c r="A540" s="46" t="str">
        <f ca="1">INDIRECT(_xlfn.TEXTJOIN("",TRUE,A555,"!",ADDRESS(15+(A556-1)*A552,1)))</f>
        <v>ECT 001</v>
      </c>
      <c r="B540" s="47"/>
      <c r="C540" s="43" t="str">
        <f ca="1">INDIRECT(_xlfn.TEXTJOIN("",TRUE,A555,"!",ADDRESS(15+(A556-1)*A552,2)))</f>
        <v>Basic Electronics Engineering</v>
      </c>
      <c r="D540" s="44"/>
      <c r="E540" s="44"/>
      <c r="F540" s="44"/>
      <c r="G540" s="45"/>
      <c r="H540" s="20">
        <f ca="1">INDIRECT(_xlfn.TEXTJOIN("",TRUE,A555,"!",ADDRESS(15+(A556-1)*A552,6)))</f>
        <v>4</v>
      </c>
      <c r="I540" s="20" t="str">
        <f ca="1">INDIRECT(_xlfn.TEXTJOIN("",TRUE,A555,"!",ADDRESS(15+(A556-1)*A552,13)))</f>
        <v>D+</v>
      </c>
      <c r="J540" s="20">
        <f ca="1">INDIRECT(_xlfn.TEXTJOIN("",TRUE,A555,"!",ADDRESS(15+(A556-1)*A552,14)))</f>
        <v>6.5</v>
      </c>
    </row>
    <row r="541" spans="1:10" ht="28" customHeight="1" x14ac:dyDescent="0.2">
      <c r="A541" s="46" t="str">
        <f ca="1">INDIRECT(_xlfn.TEXTJOIN("",TRUE,A555,"!",ADDRESS(16+(A556-1)*A552,1)))</f>
        <v>MET 001</v>
      </c>
      <c r="B541" s="47"/>
      <c r="C541" s="43" t="str">
        <f ca="1">INDIRECT(_xlfn.TEXTJOIN("",TRUE,A555,"!",ADDRESS(16+(A556-1)*A552,2)))</f>
        <v>Basic Mechanical Engineering</v>
      </c>
      <c r="D541" s="44"/>
      <c r="E541" s="44"/>
      <c r="F541" s="44"/>
      <c r="G541" s="45"/>
      <c r="H541" s="20">
        <f ca="1">INDIRECT(_xlfn.TEXTJOIN("",TRUE,A555,"!",ADDRESS(16+(A556-1)*A552,6)))</f>
        <v>4</v>
      </c>
      <c r="I541" s="20" t="str">
        <f ca="1">INDIRECT(_xlfn.TEXTJOIN("",TRUE,A555,"!",ADDRESS(16+(A556-1)*A552,13)))</f>
        <v>A+</v>
      </c>
      <c r="J541" s="20">
        <f ca="1">INDIRECT(_xlfn.TEXTJOIN("",TRUE,A555,"!",ADDRESS(16+(A556-1)*A552,14)))</f>
        <v>9.5</v>
      </c>
    </row>
    <row r="542" spans="1:10" ht="28" customHeight="1" x14ac:dyDescent="0.2">
      <c r="A542" s="46" t="str">
        <f ca="1">INDIRECT(_xlfn.TEXTJOIN("",TRUE,A555,"!",ADDRESS(17+(A556-1)*A552,1)))</f>
        <v>AHT 000</v>
      </c>
      <c r="B542" s="47"/>
      <c r="C542" s="43" t="str">
        <f ca="1">INDIRECT(_xlfn.TEXTJOIN("",TRUE,A555,"!",ADDRESS(17+(A556-1)*A552,2)))</f>
        <v>Basic Mathematics (Bridge Course) ($)</v>
      </c>
      <c r="D542" s="44"/>
      <c r="E542" s="44"/>
      <c r="F542" s="44"/>
      <c r="G542" s="45"/>
      <c r="H542" s="20">
        <f ca="1">INDIRECT(_xlfn.TEXTJOIN("",TRUE,A555,"!",ADDRESS(17+(A556-1)*A552,6)))</f>
        <v>0</v>
      </c>
      <c r="I542" s="20" t="str">
        <f ca="1">INDIRECT(_xlfn.TEXTJOIN("",TRUE,A555,"!",ADDRESS(17+(A556-1)*A552,13)))</f>
        <v>O</v>
      </c>
      <c r="J542" s="20">
        <f ca="1">INDIRECT(_xlfn.TEXTJOIN("",TRUE,A555,"!",ADDRESS(17+(A556-1)*A552,14)))</f>
        <v>10</v>
      </c>
    </row>
    <row r="543" spans="1:10" ht="28" customHeight="1" x14ac:dyDescent="0.2">
      <c r="A543" s="46" t="str">
        <f ca="1">INDIRECT(_xlfn.TEXTJOIN("",TRUE,A555,"!",ADDRESS(18+(A556-1)*A552,1)))</f>
        <v>AHP 002</v>
      </c>
      <c r="B543" s="47"/>
      <c r="C543" s="43" t="str">
        <f ca="1">INDIRECT(_xlfn.TEXTJOIN("",TRUE,A555,"!",ADDRESS(18+(A556-1)*A552,2)))</f>
        <v>Engineering Chemistry Lab</v>
      </c>
      <c r="D543" s="44"/>
      <c r="E543" s="44"/>
      <c r="F543" s="44"/>
      <c r="G543" s="45"/>
      <c r="H543" s="20">
        <f ca="1">INDIRECT(_xlfn.TEXTJOIN("",TRUE,A555,"!",ADDRESS(18+(A556-1)*A552,6)))</f>
        <v>1</v>
      </c>
      <c r="I543" s="20" t="str">
        <f ca="1">INDIRECT(_xlfn.TEXTJOIN("",TRUE,A555,"!",ADDRESS(18+(A556-1)*A552,13)))</f>
        <v>B+</v>
      </c>
      <c r="J543" s="20">
        <f ca="1">INDIRECT(_xlfn.TEXTJOIN("",TRUE,A555,"!",ADDRESS(18+(A556-1)*A552,14)))</f>
        <v>8.5</v>
      </c>
    </row>
    <row r="544" spans="1:10" ht="28" customHeight="1" x14ac:dyDescent="0.2">
      <c r="A544" s="46" t="str">
        <f ca="1">INDIRECT(_xlfn.TEXTJOIN("",TRUE,A555,"!",ADDRESS(19+(A556-1)*A552,1)))</f>
        <v>ECP 001</v>
      </c>
      <c r="B544" s="47"/>
      <c r="C544" s="43" t="str">
        <f ca="1">INDIRECT(_xlfn.TEXTJOIN("",TRUE,A555,"!",ADDRESS(19+(A556-1)*A552,2)))</f>
        <v>Basic Electronics Engineering Lab</v>
      </c>
      <c r="D544" s="44"/>
      <c r="E544" s="44"/>
      <c r="F544" s="44"/>
      <c r="G544" s="45"/>
      <c r="H544" s="20">
        <f ca="1">INDIRECT(_xlfn.TEXTJOIN("",TRUE,A555,"!",ADDRESS(19+(A556-1)*A552,6)))</f>
        <v>1</v>
      </c>
      <c r="I544" s="20" t="str">
        <f ca="1">INDIRECT(_xlfn.TEXTJOIN("",TRUE,A555,"!",ADDRESS(19+(A556-1)*A552,13)))</f>
        <v>B+</v>
      </c>
      <c r="J544" s="20">
        <f ca="1">INDIRECT(_xlfn.TEXTJOIN("",TRUE,A555,"!",ADDRESS(19+(A556-1)*A552,14)))</f>
        <v>8.5</v>
      </c>
    </row>
    <row r="545" spans="1:10" ht="28" customHeight="1" x14ac:dyDescent="0.2">
      <c r="A545" s="46" t="str">
        <f ca="1">INDIRECT(_xlfn.TEXTJOIN("",TRUE,A555,"!",ADDRESS(20+(A556-1)*A552,1)))</f>
        <v>MEP 001</v>
      </c>
      <c r="B545" s="47"/>
      <c r="C545" s="43" t="str">
        <f ca="1">INDIRECT(_xlfn.TEXTJOIN("",TRUE,A555,"!",ADDRESS(20+(A556-1)*A552,2)))</f>
        <v>Basic Mechanical Engineering Lab</v>
      </c>
      <c r="D545" s="44"/>
      <c r="E545" s="44"/>
      <c r="F545" s="44"/>
      <c r="G545" s="45"/>
      <c r="H545" s="20">
        <f ca="1">INDIRECT(_xlfn.TEXTJOIN("",TRUE,A555,"!",ADDRESS(20+(A556-1)*A552,6)))</f>
        <v>1</v>
      </c>
      <c r="I545" s="20" t="str">
        <f ca="1">INDIRECT(_xlfn.TEXTJOIN("",TRUE,A555,"!",ADDRESS(20+(A556-1)*A552,13)))</f>
        <v>O</v>
      </c>
      <c r="J545" s="20">
        <f ca="1">INDIRECT(_xlfn.TEXTJOIN("",TRUE,A555,"!",ADDRESS(20+(A556-1)*A552,14)))</f>
        <v>10</v>
      </c>
    </row>
    <row r="546" spans="1:10" ht="28" customHeight="1" x14ac:dyDescent="0.2">
      <c r="A546" s="46" t="str">
        <f ca="1">INDIRECT(_xlfn.TEXTJOIN("",TRUE,A555,"!",ADDRESS(21+(A556-1)*A552,1)))</f>
        <v>MEP 003</v>
      </c>
      <c r="B546" s="47"/>
      <c r="C546" s="43" t="str">
        <f ca="1">INDIRECT(_xlfn.TEXTJOIN("",TRUE,A555,"!",ADDRESS(21+(A556-1)*A552,2)))</f>
        <v>Workshop Practices Lab</v>
      </c>
      <c r="D546" s="44"/>
      <c r="E546" s="44"/>
      <c r="F546" s="44"/>
      <c r="G546" s="45"/>
      <c r="H546" s="20">
        <f ca="1">INDIRECT(_xlfn.TEXTJOIN("",TRUE,A555,"!",ADDRESS(21+(A556-1)*A552,6)))</f>
        <v>2</v>
      </c>
      <c r="I546" s="20" t="str">
        <f ca="1">INDIRECT(_xlfn.TEXTJOIN("",TRUE,A555,"!",ADDRESS(21+(A556-1)*A552,13)))</f>
        <v>A</v>
      </c>
      <c r="J546" s="20">
        <f ca="1">INDIRECT(_xlfn.TEXTJOIN("",TRUE,A555,"!",ADDRESS(21+(A556-1)*A552,14)))</f>
        <v>9</v>
      </c>
    </row>
    <row r="547" spans="1:10" ht="28" customHeight="1" x14ac:dyDescent="0.2">
      <c r="A547" s="46" t="str">
        <f ca="1">INDIRECT(_xlfn.TEXTJOIN("",TRUE,A555,"!",ADDRESS(22+(A556-1)*A552,1)))</f>
        <v>AHP 004</v>
      </c>
      <c r="B547" s="47"/>
      <c r="C547" s="43" t="str">
        <f ca="1">INDIRECT(_xlfn.TEXTJOIN("",TRUE,A555,"!",ADDRESS(22+(A556-1)*A552,2)))</f>
        <v>Emerging Technologies in Engineering Lab</v>
      </c>
      <c r="D547" s="44"/>
      <c r="E547" s="44"/>
      <c r="F547" s="44"/>
      <c r="G547" s="45"/>
      <c r="H547" s="20">
        <f ca="1">INDIRECT(_xlfn.TEXTJOIN("",TRUE,A555,"!",ADDRESS(22+(A556-1)*A552,6)))</f>
        <v>1</v>
      </c>
      <c r="I547" s="20" t="str">
        <f ca="1">INDIRECT(_xlfn.TEXTJOIN("",TRUE,A555,"!",ADDRESS(22+(A556-1)*A552,13)))</f>
        <v>A</v>
      </c>
      <c r="J547" s="20">
        <f ca="1">INDIRECT(_xlfn.TEXTJOIN("",TRUE,A555,"!",ADDRESS(22+(A556-1)*A552,14)))</f>
        <v>9</v>
      </c>
    </row>
    <row r="548" spans="1:10" ht="28" customHeight="1" x14ac:dyDescent="0.2">
      <c r="A548" s="46" t="str">
        <f ca="1">INDIRECT(_xlfn.TEXTJOIN("",TRUE,A555,"!",ADDRESS(23+(A556-1)*A552,1)))</f>
        <v>CSP 002</v>
      </c>
      <c r="B548" s="47"/>
      <c r="C548" s="43" t="str">
        <f ca="1">INDIRECT(_xlfn.TEXTJOIN("",TRUE,A555,"!",ADDRESS(23+(A556-1)*A552,2)))</f>
        <v>Computer Applications and IOT</v>
      </c>
      <c r="D548" s="44"/>
      <c r="E548" s="44"/>
      <c r="F548" s="44"/>
      <c r="G548" s="45"/>
      <c r="H548" s="20">
        <f ca="1">INDIRECT(_xlfn.TEXTJOIN("",TRUE,A555,"!",ADDRESS(23+(A556-1)*A552,6)))</f>
        <v>1</v>
      </c>
      <c r="I548" s="20" t="str">
        <f ca="1">INDIRECT(_xlfn.TEXTJOIN("",TRUE,A555,"!",ADDRESS(23+(A556-1)*A552,13)))</f>
        <v>O</v>
      </c>
      <c r="J548" s="20">
        <f ca="1">INDIRECT(_xlfn.TEXTJOIN("",TRUE,A555,"!",ADDRESS(23+(A556-1)*A552,14)))</f>
        <v>10</v>
      </c>
    </row>
    <row r="549" spans="1:10" ht="28" customHeight="1" x14ac:dyDescent="0.2">
      <c r="A549" s="46" t="str">
        <f ca="1">INDIRECT(_xlfn.TEXTJOIN("",TRUE,A555,"!",ADDRESS(24+(A556-1)*A552,1)))</f>
        <v>AHP 006</v>
      </c>
      <c r="B549" s="47"/>
      <c r="C549" s="43" t="str">
        <f ca="1">INDIRECT(_xlfn.TEXTJOIN("",TRUE,A555,"!",ADDRESS(24+(A556-1)*A552,2)))</f>
        <v>English Language Lab ($)</v>
      </c>
      <c r="D549" s="44"/>
      <c r="E549" s="44"/>
      <c r="F549" s="44"/>
      <c r="G549" s="45"/>
      <c r="H549" s="20">
        <f ca="1">INDIRECT(_xlfn.TEXTJOIN("",TRUE,A555,"!",ADDRESS(24+(A556-1)*A552,6)))</f>
        <v>0</v>
      </c>
      <c r="I549" s="20" t="str">
        <f ca="1">INDIRECT(_xlfn.TEXTJOIN("",TRUE,A555,"!",ADDRESS(24+(A556-1)*A552,13)))</f>
        <v>B+</v>
      </c>
      <c r="J549" s="20">
        <f ca="1">INDIRECT(_xlfn.TEXTJOIN("",TRUE,A555,"!",ADDRESS(24+(A556-1)*A552,14)))</f>
        <v>8.5</v>
      </c>
    </row>
    <row r="550" spans="1:10" ht="28" customHeight="1" x14ac:dyDescent="0.2">
      <c r="A550" s="46" t="str">
        <f ca="1">INDIRECT(_xlfn.TEXTJOIN("",TRUE,A555,"!",ADDRESS(25+(A556-1)*A552,1)))</f>
        <v>GP 01</v>
      </c>
      <c r="B550" s="47"/>
      <c r="C550" s="43" t="str">
        <f ca="1">INDIRECT(_xlfn.TEXTJOIN("",TRUE,A555,"!",ADDRESS(25+(A556-1)*A552,2)))</f>
        <v>General Proficiency ($)</v>
      </c>
      <c r="D550" s="44"/>
      <c r="E550" s="44"/>
      <c r="F550" s="44"/>
      <c r="G550" s="45"/>
      <c r="H550" s="20">
        <f ca="1">INDIRECT(_xlfn.TEXTJOIN("",TRUE,A555,"!",ADDRESS(25+(A556-1)*A552,6)))</f>
        <v>0</v>
      </c>
      <c r="I550" s="41" t="str">
        <f ca="1">INDIRECT(_xlfn.TEXTJOIN("",TRUE,A555,"!",ADDRESS(25+(A556-1)*A552,13)))</f>
        <v>Excellent</v>
      </c>
      <c r="J550" s="42"/>
    </row>
    <row r="551" spans="1:10" ht="28" customHeight="1" x14ac:dyDescent="0.2">
      <c r="A551" s="35" t="s">
        <v>54</v>
      </c>
      <c r="B551" s="35"/>
      <c r="C551" s="35"/>
      <c r="D551" s="35"/>
      <c r="E551" s="35"/>
      <c r="F551" s="35"/>
      <c r="G551" s="35"/>
      <c r="H551" s="16">
        <f ca="1">SUM(H538:H550)</f>
        <v>23</v>
      </c>
      <c r="I551" s="16" t="s">
        <v>46</v>
      </c>
      <c r="J551" s="16">
        <f ca="1">SUMPRODUCT(J538:J549,H538:H549)</f>
        <v>190</v>
      </c>
    </row>
    <row r="552" spans="1:10" ht="28" customHeight="1" x14ac:dyDescent="0.2">
      <c r="A552" s="22">
        <f>ROWS(A538:B550)+9</f>
        <v>22</v>
      </c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1:10" ht="28" customHeight="1" x14ac:dyDescent="0.2">
      <c r="A553" s="36" t="s">
        <v>42</v>
      </c>
      <c r="B553" s="36"/>
      <c r="C553" s="21">
        <f ca="1">INDIRECT(_xlfn.TEXTJOIN("",TRUE,A555,"!",ADDRESS(5+A556*A552,12)))</f>
        <v>23</v>
      </c>
      <c r="D553" s="36" t="s">
        <v>40</v>
      </c>
      <c r="E553" s="36"/>
      <c r="F553" s="18">
        <f ca="1">INDIRECT(_xlfn.TEXTJOIN("",TRUE,A555,"!",ADDRESS(5+A556*A552,8)))</f>
        <v>8.2608695652173907</v>
      </c>
      <c r="G553" s="36" t="s">
        <v>41</v>
      </c>
      <c r="H553" s="36"/>
      <c r="I553" s="37">
        <f ca="1">INDIRECT(_xlfn.TEXTJOIN("",TRUE,A555,"!",ADDRESS(5+A556*A552,10)))</f>
        <v>8.2608695652173907</v>
      </c>
      <c r="J553" s="37"/>
    </row>
    <row r="554" spans="1:10" ht="28" customHeight="1" x14ac:dyDescent="0.2">
      <c r="A554" s="19" t="s">
        <v>38</v>
      </c>
      <c r="B554" s="38" t="str">
        <f ca="1">INDIRECT(_xlfn.TEXTJOIN("",TRUE,A555,"!",ADDRESS(5+A556*A552,2)))</f>
        <v>PASS</v>
      </c>
      <c r="C554" s="38"/>
      <c r="D554" s="39" t="s">
        <v>39</v>
      </c>
      <c r="E554" s="39"/>
      <c r="F554" s="40" t="str">
        <f ca="1">INDIRECT(_xlfn.TEXTJOIN("",TRUE,A555,"!",ADDRESS(5+A556*A552,5)))</f>
        <v/>
      </c>
      <c r="G554" s="40"/>
      <c r="H554" s="40"/>
      <c r="I554" s="40"/>
      <c r="J554" s="40"/>
    </row>
    <row r="555" spans="1:10" ht="28" customHeight="1" x14ac:dyDescent="0.2">
      <c r="A555" s="22" t="str">
        <f>A533</f>
        <v>TC_I</v>
      </c>
    </row>
    <row r="556" spans="1:10" ht="28" customHeight="1" x14ac:dyDescent="0.2">
      <c r="A556" s="22">
        <f>A534+1</f>
        <v>25</v>
      </c>
    </row>
    <row r="557" spans="1:10" ht="28" customHeight="1" x14ac:dyDescent="0.2">
      <c r="A557" s="49" t="s">
        <v>26</v>
      </c>
      <c r="B557" s="49"/>
      <c r="C557" s="49" t="str">
        <f ca="1">INDIRECT(_xlfn.TEXTJOIN("",TRUE,A577,"!",ADDRESS(9+(A578-1)*A574,2)))</f>
        <v>SANDEEP</v>
      </c>
      <c r="D557" s="49"/>
      <c r="E557" s="49"/>
      <c r="F557" s="49" t="s">
        <v>52</v>
      </c>
      <c r="G557" s="49"/>
      <c r="H557" s="49"/>
      <c r="I557" s="48">
        <f ca="1">INDIRECT(_xlfn.TEXTJOIN("",TRUE,A577,"!",ADDRESS(9+(A578-1)*A574,9)))</f>
        <v>250090120027</v>
      </c>
      <c r="J557" s="48"/>
    </row>
    <row r="558" spans="1:10" ht="28" customHeight="1" x14ac:dyDescent="0.2">
      <c r="A558" s="49" t="s">
        <v>27</v>
      </c>
      <c r="B558" s="49"/>
      <c r="C558" s="49" t="str">
        <f ca="1">INDIRECT(_xlfn.TEXTJOIN("",TRUE,A577,"!",ADDRESS(9+(A578-1)*A574,5)))</f>
        <v>SUMAN PRASAD NAUTIYAL</v>
      </c>
      <c r="D558" s="49"/>
      <c r="E558" s="49"/>
      <c r="F558" s="50" t="s">
        <v>53</v>
      </c>
      <c r="G558" s="50"/>
      <c r="H558" s="50"/>
      <c r="I558" s="48" t="str">
        <f ca="1">INDIRECT(_xlfn.TEXTJOIN("",TRUE,A577,"!",ADDRESS(9+(A578-1)*A574,13)))</f>
        <v>UTU/2501103593</v>
      </c>
      <c r="J558" s="48"/>
    </row>
    <row r="559" spans="1:10" ht="28" customHeight="1" x14ac:dyDescent="0.2">
      <c r="A559" s="38" t="s">
        <v>30</v>
      </c>
      <c r="B559" s="38"/>
      <c r="C559" s="38" t="s">
        <v>31</v>
      </c>
      <c r="D559" s="38"/>
      <c r="E559" s="38"/>
      <c r="F559" s="38"/>
      <c r="G559" s="38"/>
      <c r="H559" s="15" t="s">
        <v>32</v>
      </c>
      <c r="I559" s="15" t="s">
        <v>12</v>
      </c>
      <c r="J559" s="15" t="s">
        <v>36</v>
      </c>
    </row>
    <row r="560" spans="1:10" ht="28" customHeight="1" x14ac:dyDescent="0.2">
      <c r="A560" s="46" t="str">
        <f ca="1">INDIRECT(_xlfn.TEXTJOIN("",TRUE,A577,"!",ADDRESS(13+(A578-1)*A574,1)))</f>
        <v>AHT 002</v>
      </c>
      <c r="B560" s="47"/>
      <c r="C560" s="43" t="str">
        <f ca="1">INDIRECT(_xlfn.TEXTJOIN("",TRUE,A577,"!",ADDRESS(13+(A578-1)*A574,2)))</f>
        <v>Engineering Chemistry</v>
      </c>
      <c r="D560" s="44"/>
      <c r="E560" s="44"/>
      <c r="F560" s="44"/>
      <c r="G560" s="45"/>
      <c r="H560" s="20">
        <f ca="1">INDIRECT(_xlfn.TEXTJOIN("",TRUE,A577,"!",ADDRESS(13+(A578-1)*A574,6)))</f>
        <v>4</v>
      </c>
      <c r="I560" s="20" t="str">
        <f ca="1">INDIRECT(_xlfn.TEXTJOIN("",TRUE,A577,"!",ADDRESS(13+(A578-1)*A574,13)))</f>
        <v>F</v>
      </c>
      <c r="J560" s="20">
        <f ca="1">INDIRECT(_xlfn.TEXTJOIN("",TRUE,A577,"!",ADDRESS(13+(A578-1)*A574,14)))</f>
        <v>0</v>
      </c>
    </row>
    <row r="561" spans="1:10" ht="28" customHeight="1" x14ac:dyDescent="0.2">
      <c r="A561" s="46" t="str">
        <f ca="1">INDIRECT(_xlfn.TEXTJOIN("",TRUE,A577,"!",ADDRESS(14+(A578-1)*A574,1)))</f>
        <v>AHT 003</v>
      </c>
      <c r="B561" s="47"/>
      <c r="C561" s="43" t="str">
        <f ca="1">INDIRECT(_xlfn.TEXTJOIN("",TRUE,A577,"!",ADDRESS(14+(A578-1)*A574,2)))</f>
        <v>Introduction to Engineering Mathematics</v>
      </c>
      <c r="D561" s="44"/>
      <c r="E561" s="44"/>
      <c r="F561" s="44"/>
      <c r="G561" s="45"/>
      <c r="H561" s="20">
        <f ca="1">INDIRECT(_xlfn.TEXTJOIN("",TRUE,A577,"!",ADDRESS(14+(A578-1)*A574,6)))</f>
        <v>4</v>
      </c>
      <c r="I561" s="20" t="str">
        <f ca="1">INDIRECT(_xlfn.TEXTJOIN("",TRUE,A577,"!",ADDRESS(14+(A578-1)*A574,13)))</f>
        <v>F</v>
      </c>
      <c r="J561" s="20">
        <f ca="1">INDIRECT(_xlfn.TEXTJOIN("",TRUE,A577,"!",ADDRESS(14+(A578-1)*A574,14)))</f>
        <v>0</v>
      </c>
    </row>
    <row r="562" spans="1:10" ht="28" customHeight="1" x14ac:dyDescent="0.2">
      <c r="A562" s="46" t="str">
        <f ca="1">INDIRECT(_xlfn.TEXTJOIN("",TRUE,A577,"!",ADDRESS(15+(A578-1)*A574,1)))</f>
        <v>ECT 001</v>
      </c>
      <c r="B562" s="47"/>
      <c r="C562" s="43" t="str">
        <f ca="1">INDIRECT(_xlfn.TEXTJOIN("",TRUE,A577,"!",ADDRESS(15+(A578-1)*A574,2)))</f>
        <v>Basic Electronics Engineering</v>
      </c>
      <c r="D562" s="44"/>
      <c r="E562" s="44"/>
      <c r="F562" s="44"/>
      <c r="G562" s="45"/>
      <c r="H562" s="20">
        <f ca="1">INDIRECT(_xlfn.TEXTJOIN("",TRUE,A577,"!",ADDRESS(15+(A578-1)*A574,6)))</f>
        <v>4</v>
      </c>
      <c r="I562" s="20" t="str">
        <f ca="1">INDIRECT(_xlfn.TEXTJOIN("",TRUE,A577,"!",ADDRESS(15+(A578-1)*A574,13)))</f>
        <v>F</v>
      </c>
      <c r="J562" s="20">
        <f ca="1">INDIRECT(_xlfn.TEXTJOIN("",TRUE,A577,"!",ADDRESS(15+(A578-1)*A574,14)))</f>
        <v>0</v>
      </c>
    </row>
    <row r="563" spans="1:10" ht="28" customHeight="1" x14ac:dyDescent="0.2">
      <c r="A563" s="46" t="str">
        <f ca="1">INDIRECT(_xlfn.TEXTJOIN("",TRUE,A577,"!",ADDRESS(16+(A578-1)*A574,1)))</f>
        <v>MET 001</v>
      </c>
      <c r="B563" s="47"/>
      <c r="C563" s="43" t="str">
        <f ca="1">INDIRECT(_xlfn.TEXTJOIN("",TRUE,A577,"!",ADDRESS(16+(A578-1)*A574,2)))</f>
        <v>Basic Mechanical Engineering</v>
      </c>
      <c r="D563" s="44"/>
      <c r="E563" s="44"/>
      <c r="F563" s="44"/>
      <c r="G563" s="45"/>
      <c r="H563" s="20">
        <f ca="1">INDIRECT(_xlfn.TEXTJOIN("",TRUE,A577,"!",ADDRESS(16+(A578-1)*A574,6)))</f>
        <v>4</v>
      </c>
      <c r="I563" s="20" t="str">
        <f ca="1">INDIRECT(_xlfn.TEXTJOIN("",TRUE,A577,"!",ADDRESS(16+(A578-1)*A574,13)))</f>
        <v>P</v>
      </c>
      <c r="J563" s="20">
        <f ca="1">INDIRECT(_xlfn.TEXTJOIN("",TRUE,A577,"!",ADDRESS(16+(A578-1)*A574,14)))</f>
        <v>4.5</v>
      </c>
    </row>
    <row r="564" spans="1:10" ht="28" customHeight="1" x14ac:dyDescent="0.2">
      <c r="A564" s="46" t="str">
        <f ca="1">INDIRECT(_xlfn.TEXTJOIN("",TRUE,A577,"!",ADDRESS(17+(A578-1)*A574,1)))</f>
        <v>AHT 000</v>
      </c>
      <c r="B564" s="47"/>
      <c r="C564" s="43" t="str">
        <f ca="1">INDIRECT(_xlfn.TEXTJOIN("",TRUE,A577,"!",ADDRESS(17+(A578-1)*A574,2)))</f>
        <v>Basic Mathematics (Bridge Course) ($)</v>
      </c>
      <c r="D564" s="44"/>
      <c r="E564" s="44"/>
      <c r="F564" s="44"/>
      <c r="G564" s="45"/>
      <c r="H564" s="20">
        <f ca="1">INDIRECT(_xlfn.TEXTJOIN("",TRUE,A577,"!",ADDRESS(17+(A578-1)*A574,6)))</f>
        <v>0</v>
      </c>
      <c r="I564" s="20" t="str">
        <f ca="1">INDIRECT(_xlfn.TEXTJOIN("",TRUE,A577,"!",ADDRESS(17+(A578-1)*A574,13)))</f>
        <v>P</v>
      </c>
      <c r="J564" s="20">
        <f ca="1">INDIRECT(_xlfn.TEXTJOIN("",TRUE,A577,"!",ADDRESS(17+(A578-1)*A574,14)))</f>
        <v>4.5</v>
      </c>
    </row>
    <row r="565" spans="1:10" ht="28" customHeight="1" x14ac:dyDescent="0.2">
      <c r="A565" s="46" t="str">
        <f ca="1">INDIRECT(_xlfn.TEXTJOIN("",TRUE,A577,"!",ADDRESS(18+(A578-1)*A574,1)))</f>
        <v>AHP 002</v>
      </c>
      <c r="B565" s="47"/>
      <c r="C565" s="43" t="str">
        <f ca="1">INDIRECT(_xlfn.TEXTJOIN("",TRUE,A577,"!",ADDRESS(18+(A578-1)*A574,2)))</f>
        <v>Engineering Chemistry Lab</v>
      </c>
      <c r="D565" s="44"/>
      <c r="E565" s="44"/>
      <c r="F565" s="44"/>
      <c r="G565" s="45"/>
      <c r="H565" s="20">
        <f ca="1">INDIRECT(_xlfn.TEXTJOIN("",TRUE,A577,"!",ADDRESS(18+(A578-1)*A574,6)))</f>
        <v>1</v>
      </c>
      <c r="I565" s="20" t="str">
        <f ca="1">INDIRECT(_xlfn.TEXTJOIN("",TRUE,A577,"!",ADDRESS(18+(A578-1)*A574,13)))</f>
        <v>D+</v>
      </c>
      <c r="J565" s="20">
        <f ca="1">INDIRECT(_xlfn.TEXTJOIN("",TRUE,A577,"!",ADDRESS(18+(A578-1)*A574,14)))</f>
        <v>6.5</v>
      </c>
    </row>
    <row r="566" spans="1:10" ht="28" customHeight="1" x14ac:dyDescent="0.2">
      <c r="A566" s="46" t="str">
        <f ca="1">INDIRECT(_xlfn.TEXTJOIN("",TRUE,A577,"!",ADDRESS(19+(A578-1)*A574,1)))</f>
        <v>ECP 001</v>
      </c>
      <c r="B566" s="47"/>
      <c r="C566" s="43" t="str">
        <f ca="1">INDIRECT(_xlfn.TEXTJOIN("",TRUE,A577,"!",ADDRESS(19+(A578-1)*A574,2)))</f>
        <v>Basic Electronics Engineering Lab</v>
      </c>
      <c r="D566" s="44"/>
      <c r="E566" s="44"/>
      <c r="F566" s="44"/>
      <c r="G566" s="45"/>
      <c r="H566" s="20">
        <f ca="1">INDIRECT(_xlfn.TEXTJOIN("",TRUE,A577,"!",ADDRESS(19+(A578-1)*A574,6)))</f>
        <v>1</v>
      </c>
      <c r="I566" s="20" t="str">
        <f ca="1">INDIRECT(_xlfn.TEXTJOIN("",TRUE,A577,"!",ADDRESS(19+(A578-1)*A574,13)))</f>
        <v>D+</v>
      </c>
      <c r="J566" s="20">
        <f ca="1">INDIRECT(_xlfn.TEXTJOIN("",TRUE,A577,"!",ADDRESS(19+(A578-1)*A574,14)))</f>
        <v>6.5</v>
      </c>
    </row>
    <row r="567" spans="1:10" ht="28" customHeight="1" x14ac:dyDescent="0.2">
      <c r="A567" s="46" t="str">
        <f ca="1">INDIRECT(_xlfn.TEXTJOIN("",TRUE,A577,"!",ADDRESS(20+(A578-1)*A574,1)))</f>
        <v>MEP 001</v>
      </c>
      <c r="B567" s="47"/>
      <c r="C567" s="43" t="str">
        <f ca="1">INDIRECT(_xlfn.TEXTJOIN("",TRUE,A577,"!",ADDRESS(20+(A578-1)*A574,2)))</f>
        <v>Basic Mechanical Engineering Lab</v>
      </c>
      <c r="D567" s="44"/>
      <c r="E567" s="44"/>
      <c r="F567" s="44"/>
      <c r="G567" s="45"/>
      <c r="H567" s="20">
        <f ca="1">INDIRECT(_xlfn.TEXTJOIN("",TRUE,A577,"!",ADDRESS(20+(A578-1)*A574,6)))</f>
        <v>1</v>
      </c>
      <c r="I567" s="20" t="str">
        <f ca="1">INDIRECT(_xlfn.TEXTJOIN("",TRUE,A577,"!",ADDRESS(20+(A578-1)*A574,13)))</f>
        <v>B+</v>
      </c>
      <c r="J567" s="20">
        <f ca="1">INDIRECT(_xlfn.TEXTJOIN("",TRUE,A577,"!",ADDRESS(20+(A578-1)*A574,14)))</f>
        <v>8.5</v>
      </c>
    </row>
    <row r="568" spans="1:10" ht="28" customHeight="1" x14ac:dyDescent="0.2">
      <c r="A568" s="46" t="str">
        <f ca="1">INDIRECT(_xlfn.TEXTJOIN("",TRUE,A577,"!",ADDRESS(21+(A578-1)*A574,1)))</f>
        <v>MEP 003</v>
      </c>
      <c r="B568" s="47"/>
      <c r="C568" s="43" t="str">
        <f ca="1">INDIRECT(_xlfn.TEXTJOIN("",TRUE,A577,"!",ADDRESS(21+(A578-1)*A574,2)))</f>
        <v>Workshop Practices Lab</v>
      </c>
      <c r="D568" s="44"/>
      <c r="E568" s="44"/>
      <c r="F568" s="44"/>
      <c r="G568" s="45"/>
      <c r="H568" s="20">
        <f ca="1">INDIRECT(_xlfn.TEXTJOIN("",TRUE,A577,"!",ADDRESS(21+(A578-1)*A574,6)))</f>
        <v>2</v>
      </c>
      <c r="I568" s="20" t="str">
        <f ca="1">INDIRECT(_xlfn.TEXTJOIN("",TRUE,A577,"!",ADDRESS(21+(A578-1)*A574,13)))</f>
        <v>B+</v>
      </c>
      <c r="J568" s="20">
        <f ca="1">INDIRECT(_xlfn.TEXTJOIN("",TRUE,A577,"!",ADDRESS(21+(A578-1)*A574,14)))</f>
        <v>8.5</v>
      </c>
    </row>
    <row r="569" spans="1:10" ht="28" customHeight="1" x14ac:dyDescent="0.2">
      <c r="A569" s="46" t="str">
        <f ca="1">INDIRECT(_xlfn.TEXTJOIN("",TRUE,A577,"!",ADDRESS(22+(A578-1)*A574,1)))</f>
        <v>AHP 004</v>
      </c>
      <c r="B569" s="47"/>
      <c r="C569" s="43" t="str">
        <f ca="1">INDIRECT(_xlfn.TEXTJOIN("",TRUE,A577,"!",ADDRESS(22+(A578-1)*A574,2)))</f>
        <v>Emerging Technologies in Engineering Lab</v>
      </c>
      <c r="D569" s="44"/>
      <c r="E569" s="44"/>
      <c r="F569" s="44"/>
      <c r="G569" s="45"/>
      <c r="H569" s="20">
        <f ca="1">INDIRECT(_xlfn.TEXTJOIN("",TRUE,A577,"!",ADDRESS(22+(A578-1)*A574,6)))</f>
        <v>1</v>
      </c>
      <c r="I569" s="20" t="str">
        <f ca="1">INDIRECT(_xlfn.TEXTJOIN("",TRUE,A577,"!",ADDRESS(22+(A578-1)*A574,13)))</f>
        <v>C+</v>
      </c>
      <c r="J569" s="20">
        <f ca="1">INDIRECT(_xlfn.TEXTJOIN("",TRUE,A577,"!",ADDRESS(22+(A578-1)*A574,14)))</f>
        <v>7.5</v>
      </c>
    </row>
    <row r="570" spans="1:10" ht="28" customHeight="1" x14ac:dyDescent="0.2">
      <c r="A570" s="46" t="str">
        <f ca="1">INDIRECT(_xlfn.TEXTJOIN("",TRUE,A577,"!",ADDRESS(23+(A578-1)*A574,1)))</f>
        <v>CSP 002</v>
      </c>
      <c r="B570" s="47"/>
      <c r="C570" s="43" t="str">
        <f ca="1">INDIRECT(_xlfn.TEXTJOIN("",TRUE,A577,"!",ADDRESS(23+(A578-1)*A574,2)))</f>
        <v>Computer Applications and IOT</v>
      </c>
      <c r="D570" s="44"/>
      <c r="E570" s="44"/>
      <c r="F570" s="44"/>
      <c r="G570" s="45"/>
      <c r="H570" s="20">
        <f ca="1">INDIRECT(_xlfn.TEXTJOIN("",TRUE,A577,"!",ADDRESS(23+(A578-1)*A574,6)))</f>
        <v>1</v>
      </c>
      <c r="I570" s="20" t="str">
        <f ca="1">INDIRECT(_xlfn.TEXTJOIN("",TRUE,A577,"!",ADDRESS(23+(A578-1)*A574,13)))</f>
        <v>O</v>
      </c>
      <c r="J570" s="20">
        <f ca="1">INDIRECT(_xlfn.TEXTJOIN("",TRUE,A577,"!",ADDRESS(23+(A578-1)*A574,14)))</f>
        <v>10</v>
      </c>
    </row>
    <row r="571" spans="1:10" ht="28" customHeight="1" x14ac:dyDescent="0.2">
      <c r="A571" s="46" t="str">
        <f ca="1">INDIRECT(_xlfn.TEXTJOIN("",TRUE,A577,"!",ADDRESS(24+(A578-1)*A574,1)))</f>
        <v>AHP 006</v>
      </c>
      <c r="B571" s="47"/>
      <c r="C571" s="43" t="str">
        <f ca="1">INDIRECT(_xlfn.TEXTJOIN("",TRUE,A577,"!",ADDRESS(24+(A578-1)*A574,2)))</f>
        <v>English Language Lab ($)</v>
      </c>
      <c r="D571" s="44"/>
      <c r="E571" s="44"/>
      <c r="F571" s="44"/>
      <c r="G571" s="45"/>
      <c r="H571" s="20">
        <f ca="1">INDIRECT(_xlfn.TEXTJOIN("",TRUE,A577,"!",ADDRESS(24+(A578-1)*A574,6)))</f>
        <v>0</v>
      </c>
      <c r="I571" s="20" t="str">
        <f ca="1">INDIRECT(_xlfn.TEXTJOIN("",TRUE,A577,"!",ADDRESS(24+(A578-1)*A574,13)))</f>
        <v>D+</v>
      </c>
      <c r="J571" s="20">
        <f ca="1">INDIRECT(_xlfn.TEXTJOIN("",TRUE,A577,"!",ADDRESS(24+(A578-1)*A574,14)))</f>
        <v>6.5</v>
      </c>
    </row>
    <row r="572" spans="1:10" ht="28" customHeight="1" x14ac:dyDescent="0.2">
      <c r="A572" s="46" t="str">
        <f ca="1">INDIRECT(_xlfn.TEXTJOIN("",TRUE,A577,"!",ADDRESS(25+(A578-1)*A574,1)))</f>
        <v>GP 01</v>
      </c>
      <c r="B572" s="47"/>
      <c r="C572" s="43" t="str">
        <f ca="1">INDIRECT(_xlfn.TEXTJOIN("",TRUE,A577,"!",ADDRESS(25+(A578-1)*A574,2)))</f>
        <v>General Proficiency ($)</v>
      </c>
      <c r="D572" s="44"/>
      <c r="E572" s="44"/>
      <c r="F572" s="44"/>
      <c r="G572" s="45"/>
      <c r="H572" s="20">
        <f ca="1">INDIRECT(_xlfn.TEXTJOIN("",TRUE,A577,"!",ADDRESS(25+(A578-1)*A574,6)))</f>
        <v>0</v>
      </c>
      <c r="I572" s="41" t="str">
        <f ca="1">INDIRECT(_xlfn.TEXTJOIN("",TRUE,A577,"!",ADDRESS(25+(A578-1)*A574,13)))</f>
        <v>Excellent</v>
      </c>
      <c r="J572" s="42"/>
    </row>
    <row r="573" spans="1:10" ht="28" customHeight="1" x14ac:dyDescent="0.2">
      <c r="A573" s="35" t="s">
        <v>54</v>
      </c>
      <c r="B573" s="35"/>
      <c r="C573" s="35"/>
      <c r="D573" s="35"/>
      <c r="E573" s="35"/>
      <c r="F573" s="35"/>
      <c r="G573" s="35"/>
      <c r="H573" s="16">
        <f ca="1">SUM(H560:H572)</f>
        <v>23</v>
      </c>
      <c r="I573" s="16" t="s">
        <v>46</v>
      </c>
      <c r="J573" s="16">
        <f ca="1">SUMPRODUCT(J560:J571,H560:H571)</f>
        <v>74</v>
      </c>
    </row>
    <row r="574" spans="1:10" ht="28" customHeight="1" x14ac:dyDescent="0.2">
      <c r="A574" s="22">
        <f>ROWS(A560:B572)+9</f>
        <v>22</v>
      </c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1:10" ht="28" customHeight="1" x14ac:dyDescent="0.2">
      <c r="A575" s="36" t="s">
        <v>42</v>
      </c>
      <c r="B575" s="36"/>
      <c r="C575" s="21">
        <f ca="1">INDIRECT(_xlfn.TEXTJOIN("",TRUE,A577,"!",ADDRESS(5+A578*A574,12)))</f>
        <v>11</v>
      </c>
      <c r="D575" s="36" t="s">
        <v>40</v>
      </c>
      <c r="E575" s="36"/>
      <c r="F575" s="18">
        <f ca="1">INDIRECT(_xlfn.TEXTJOIN("",TRUE,A577,"!",ADDRESS(5+A578*A574,8)))</f>
        <v>3.2173913043478262</v>
      </c>
      <c r="G575" s="36" t="s">
        <v>41</v>
      </c>
      <c r="H575" s="36"/>
      <c r="I575" s="37">
        <f ca="1">INDIRECT(_xlfn.TEXTJOIN("",TRUE,A577,"!",ADDRESS(5+A578*A574,10)))</f>
        <v>3.2173913043478262</v>
      </c>
      <c r="J575" s="37"/>
    </row>
    <row r="576" spans="1:10" ht="28" customHeight="1" x14ac:dyDescent="0.2">
      <c r="A576" s="19" t="s">
        <v>38</v>
      </c>
      <c r="B576" s="38" t="str">
        <f ca="1">INDIRECT(_xlfn.TEXTJOIN("",TRUE,A577,"!",ADDRESS(5+A578*A574,2)))</f>
        <v>CARRY OVER</v>
      </c>
      <c r="C576" s="38"/>
      <c r="D576" s="39" t="s">
        <v>39</v>
      </c>
      <c r="E576" s="39"/>
      <c r="F576" s="40" t="str">
        <f ca="1">INDIRECT(_xlfn.TEXTJOIN("",TRUE,A577,"!",ADDRESS(5+A578*A574,5)))</f>
        <v>BACK IN AHT 002, AHT 003, ECT 001</v>
      </c>
      <c r="G576" s="40"/>
      <c r="H576" s="40"/>
      <c r="I576" s="40"/>
      <c r="J576" s="40"/>
    </row>
    <row r="577" spans="1:10" ht="28" customHeight="1" x14ac:dyDescent="0.2">
      <c r="A577" s="22" t="str">
        <f>A555</f>
        <v>TC_I</v>
      </c>
    </row>
    <row r="578" spans="1:10" ht="28" customHeight="1" x14ac:dyDescent="0.2">
      <c r="A578" s="22">
        <f>A556+1</f>
        <v>26</v>
      </c>
    </row>
    <row r="579" spans="1:10" ht="28" customHeight="1" x14ac:dyDescent="0.2">
      <c r="A579" s="49" t="s">
        <v>26</v>
      </c>
      <c r="B579" s="49"/>
      <c r="C579" s="49" t="str">
        <f ca="1">INDIRECT(_xlfn.TEXTJOIN("",TRUE,A599,"!",ADDRESS(9+(A600-1)*A596,2)))</f>
        <v>SARGAM KUMARI</v>
      </c>
      <c r="D579" s="49"/>
      <c r="E579" s="49"/>
      <c r="F579" s="49" t="s">
        <v>52</v>
      </c>
      <c r="G579" s="49"/>
      <c r="H579" s="49"/>
      <c r="I579" s="48">
        <f ca="1">INDIRECT(_xlfn.TEXTJOIN("",TRUE,A599,"!",ADDRESS(9+(A600-1)*A596,9)))</f>
        <v>250090120028</v>
      </c>
      <c r="J579" s="48"/>
    </row>
    <row r="580" spans="1:10" ht="28" customHeight="1" x14ac:dyDescent="0.2">
      <c r="A580" s="49" t="s">
        <v>27</v>
      </c>
      <c r="B580" s="49"/>
      <c r="C580" s="49" t="str">
        <f ca="1">INDIRECT(_xlfn.TEXTJOIN("",TRUE,A599,"!",ADDRESS(9+(A600-1)*A596,5)))</f>
        <v>RAJ NARAYAN KUMAR</v>
      </c>
      <c r="D580" s="49"/>
      <c r="E580" s="49"/>
      <c r="F580" s="50" t="s">
        <v>53</v>
      </c>
      <c r="G580" s="50"/>
      <c r="H580" s="50"/>
      <c r="I580" s="48" t="str">
        <f ca="1">INDIRECT(_xlfn.TEXTJOIN("",TRUE,A599,"!",ADDRESS(9+(A600-1)*A596,13)))</f>
        <v>UTU/2501103726</v>
      </c>
      <c r="J580" s="48"/>
    </row>
    <row r="581" spans="1:10" ht="28" customHeight="1" x14ac:dyDescent="0.2">
      <c r="A581" s="38" t="s">
        <v>30</v>
      </c>
      <c r="B581" s="38"/>
      <c r="C581" s="38" t="s">
        <v>31</v>
      </c>
      <c r="D581" s="38"/>
      <c r="E581" s="38"/>
      <c r="F581" s="38"/>
      <c r="G581" s="38"/>
      <c r="H581" s="15" t="s">
        <v>32</v>
      </c>
      <c r="I581" s="15" t="s">
        <v>12</v>
      </c>
      <c r="J581" s="15" t="s">
        <v>36</v>
      </c>
    </row>
    <row r="582" spans="1:10" ht="28" customHeight="1" x14ac:dyDescent="0.2">
      <c r="A582" s="46" t="str">
        <f ca="1">INDIRECT(_xlfn.TEXTJOIN("",TRUE,A599,"!",ADDRESS(13+(A600-1)*A596,1)))</f>
        <v>AHT 002</v>
      </c>
      <c r="B582" s="47"/>
      <c r="C582" s="43" t="str">
        <f ca="1">INDIRECT(_xlfn.TEXTJOIN("",TRUE,A599,"!",ADDRESS(13+(A600-1)*A596,2)))</f>
        <v>Engineering Chemistry</v>
      </c>
      <c r="D582" s="44"/>
      <c r="E582" s="44"/>
      <c r="F582" s="44"/>
      <c r="G582" s="45"/>
      <c r="H582" s="20">
        <f ca="1">INDIRECT(_xlfn.TEXTJOIN("",TRUE,A599,"!",ADDRESS(13+(A600-1)*A596,6)))</f>
        <v>4</v>
      </c>
      <c r="I582" s="20" t="str">
        <f ca="1">INDIRECT(_xlfn.TEXTJOIN("",TRUE,A599,"!",ADDRESS(13+(A600-1)*A596,13)))</f>
        <v>P</v>
      </c>
      <c r="J582" s="20">
        <f ca="1">INDIRECT(_xlfn.TEXTJOIN("",TRUE,A599,"!",ADDRESS(13+(A600-1)*A596,14)))</f>
        <v>4.5</v>
      </c>
    </row>
    <row r="583" spans="1:10" ht="28" customHeight="1" x14ac:dyDescent="0.2">
      <c r="A583" s="46" t="str">
        <f ca="1">INDIRECT(_xlfn.TEXTJOIN("",TRUE,A599,"!",ADDRESS(14+(A600-1)*A596,1)))</f>
        <v>AHT 003</v>
      </c>
      <c r="B583" s="47"/>
      <c r="C583" s="43" t="str">
        <f ca="1">INDIRECT(_xlfn.TEXTJOIN("",TRUE,A599,"!",ADDRESS(14+(A600-1)*A596,2)))</f>
        <v>Introduction to Engineering Mathematics</v>
      </c>
      <c r="D583" s="44"/>
      <c r="E583" s="44"/>
      <c r="F583" s="44"/>
      <c r="G583" s="45"/>
      <c r="H583" s="20">
        <f ca="1">INDIRECT(_xlfn.TEXTJOIN("",TRUE,A599,"!",ADDRESS(14+(A600-1)*A596,6)))</f>
        <v>4</v>
      </c>
      <c r="I583" s="20" t="str">
        <f ca="1">INDIRECT(_xlfn.TEXTJOIN("",TRUE,A599,"!",ADDRESS(14+(A600-1)*A596,13)))</f>
        <v>F</v>
      </c>
      <c r="J583" s="20">
        <f ca="1">INDIRECT(_xlfn.TEXTJOIN("",TRUE,A599,"!",ADDRESS(14+(A600-1)*A596,14)))</f>
        <v>0</v>
      </c>
    </row>
    <row r="584" spans="1:10" ht="28" customHeight="1" x14ac:dyDescent="0.2">
      <c r="A584" s="46" t="str">
        <f ca="1">INDIRECT(_xlfn.TEXTJOIN("",TRUE,A599,"!",ADDRESS(15+(A600-1)*A596,1)))</f>
        <v>ECT 001</v>
      </c>
      <c r="B584" s="47"/>
      <c r="C584" s="43" t="str">
        <f ca="1">INDIRECT(_xlfn.TEXTJOIN("",TRUE,A599,"!",ADDRESS(15+(A600-1)*A596,2)))</f>
        <v>Basic Electronics Engineering</v>
      </c>
      <c r="D584" s="44"/>
      <c r="E584" s="44"/>
      <c r="F584" s="44"/>
      <c r="G584" s="45"/>
      <c r="H584" s="20">
        <f ca="1">INDIRECT(_xlfn.TEXTJOIN("",TRUE,A599,"!",ADDRESS(15+(A600-1)*A596,6)))</f>
        <v>4</v>
      </c>
      <c r="I584" s="20" t="str">
        <f ca="1">INDIRECT(_xlfn.TEXTJOIN("",TRUE,A599,"!",ADDRESS(15+(A600-1)*A596,13)))</f>
        <v>D+</v>
      </c>
      <c r="J584" s="20">
        <f ca="1">INDIRECT(_xlfn.TEXTJOIN("",TRUE,A599,"!",ADDRESS(15+(A600-1)*A596,14)))</f>
        <v>6.5</v>
      </c>
    </row>
    <row r="585" spans="1:10" ht="28" customHeight="1" x14ac:dyDescent="0.2">
      <c r="A585" s="46" t="str">
        <f ca="1">INDIRECT(_xlfn.TEXTJOIN("",TRUE,A599,"!",ADDRESS(16+(A600-1)*A596,1)))</f>
        <v>MET 001</v>
      </c>
      <c r="B585" s="47"/>
      <c r="C585" s="43" t="str">
        <f ca="1">INDIRECT(_xlfn.TEXTJOIN("",TRUE,A599,"!",ADDRESS(16+(A600-1)*A596,2)))</f>
        <v>Basic Mechanical Engineering</v>
      </c>
      <c r="D585" s="44"/>
      <c r="E585" s="44"/>
      <c r="F585" s="44"/>
      <c r="G585" s="45"/>
      <c r="H585" s="20">
        <f ca="1">INDIRECT(_xlfn.TEXTJOIN("",TRUE,A599,"!",ADDRESS(16+(A600-1)*A596,6)))</f>
        <v>4</v>
      </c>
      <c r="I585" s="20" t="str">
        <f ca="1">INDIRECT(_xlfn.TEXTJOIN("",TRUE,A599,"!",ADDRESS(16+(A600-1)*A596,13)))</f>
        <v>D+</v>
      </c>
      <c r="J585" s="20">
        <f ca="1">INDIRECT(_xlfn.TEXTJOIN("",TRUE,A599,"!",ADDRESS(16+(A600-1)*A596,14)))</f>
        <v>6.5</v>
      </c>
    </row>
    <row r="586" spans="1:10" ht="28" customHeight="1" x14ac:dyDescent="0.2">
      <c r="A586" s="46" t="str">
        <f ca="1">INDIRECT(_xlfn.TEXTJOIN("",TRUE,A599,"!",ADDRESS(17+(A600-1)*A596,1)))</f>
        <v>BTT 001</v>
      </c>
      <c r="B586" s="47"/>
      <c r="C586" s="43" t="str">
        <f ca="1">INDIRECT(_xlfn.TEXTJOIN("",TRUE,A599,"!",ADDRESS(17+(A600-1)*A596,2)))</f>
        <v>Biology for Engineers (Bridge Course) ($)</v>
      </c>
      <c r="D586" s="44"/>
      <c r="E586" s="44"/>
      <c r="F586" s="44"/>
      <c r="G586" s="45"/>
      <c r="H586" s="20">
        <f ca="1">INDIRECT(_xlfn.TEXTJOIN("",TRUE,A599,"!",ADDRESS(17+(A600-1)*A596,6)))</f>
        <v>0</v>
      </c>
      <c r="I586" s="20" t="str">
        <f ca="1">INDIRECT(_xlfn.TEXTJOIN("",TRUE,A599,"!",ADDRESS(17+(A600-1)*A596,13)))</f>
        <v>C+</v>
      </c>
      <c r="J586" s="20">
        <f ca="1">INDIRECT(_xlfn.TEXTJOIN("",TRUE,A599,"!",ADDRESS(17+(A600-1)*A596,14)))</f>
        <v>7.5</v>
      </c>
    </row>
    <row r="587" spans="1:10" ht="28" customHeight="1" x14ac:dyDescent="0.2">
      <c r="A587" s="46" t="str">
        <f ca="1">INDIRECT(_xlfn.TEXTJOIN("",TRUE,A599,"!",ADDRESS(18+(A600-1)*A596,1)))</f>
        <v>AHP 002</v>
      </c>
      <c r="B587" s="47"/>
      <c r="C587" s="43" t="str">
        <f ca="1">INDIRECT(_xlfn.TEXTJOIN("",TRUE,A599,"!",ADDRESS(18+(A600-1)*A596,2)))</f>
        <v>Engineering Chemistry Lab</v>
      </c>
      <c r="D587" s="44"/>
      <c r="E587" s="44"/>
      <c r="F587" s="44"/>
      <c r="G587" s="45"/>
      <c r="H587" s="20">
        <f ca="1">INDIRECT(_xlfn.TEXTJOIN("",TRUE,A599,"!",ADDRESS(18+(A600-1)*A596,6)))</f>
        <v>1</v>
      </c>
      <c r="I587" s="20" t="str">
        <f ca="1">INDIRECT(_xlfn.TEXTJOIN("",TRUE,A599,"!",ADDRESS(18+(A600-1)*A596,13)))</f>
        <v>D</v>
      </c>
      <c r="J587" s="20">
        <f ca="1">INDIRECT(_xlfn.TEXTJOIN("",TRUE,A599,"!",ADDRESS(18+(A600-1)*A596,14)))</f>
        <v>6</v>
      </c>
    </row>
    <row r="588" spans="1:10" ht="28" customHeight="1" x14ac:dyDescent="0.2">
      <c r="A588" s="46" t="str">
        <f ca="1">INDIRECT(_xlfn.TEXTJOIN("",TRUE,A599,"!",ADDRESS(19+(A600-1)*A596,1)))</f>
        <v>ECP 001</v>
      </c>
      <c r="B588" s="47"/>
      <c r="C588" s="43" t="str">
        <f ca="1">INDIRECT(_xlfn.TEXTJOIN("",TRUE,A599,"!",ADDRESS(19+(A600-1)*A596,2)))</f>
        <v>Basic Electronics Engineering Lab</v>
      </c>
      <c r="D588" s="44"/>
      <c r="E588" s="44"/>
      <c r="F588" s="44"/>
      <c r="G588" s="45"/>
      <c r="H588" s="20">
        <f ca="1">INDIRECT(_xlfn.TEXTJOIN("",TRUE,A599,"!",ADDRESS(19+(A600-1)*A596,6)))</f>
        <v>1</v>
      </c>
      <c r="I588" s="20" t="str">
        <f ca="1">INDIRECT(_xlfn.TEXTJOIN("",TRUE,A599,"!",ADDRESS(19+(A600-1)*A596,13)))</f>
        <v>A+</v>
      </c>
      <c r="J588" s="20">
        <f ca="1">INDIRECT(_xlfn.TEXTJOIN("",TRUE,A599,"!",ADDRESS(19+(A600-1)*A596,14)))</f>
        <v>9.5</v>
      </c>
    </row>
    <row r="589" spans="1:10" ht="28" customHeight="1" x14ac:dyDescent="0.2">
      <c r="A589" s="46" t="str">
        <f ca="1">INDIRECT(_xlfn.TEXTJOIN("",TRUE,A599,"!",ADDRESS(20+(A600-1)*A596,1)))</f>
        <v>MEP 001</v>
      </c>
      <c r="B589" s="47"/>
      <c r="C589" s="43" t="str">
        <f ca="1">INDIRECT(_xlfn.TEXTJOIN("",TRUE,A599,"!",ADDRESS(20+(A600-1)*A596,2)))</f>
        <v>Basic Mechanical Engineering Lab</v>
      </c>
      <c r="D589" s="44"/>
      <c r="E589" s="44"/>
      <c r="F589" s="44"/>
      <c r="G589" s="45"/>
      <c r="H589" s="20">
        <f ca="1">INDIRECT(_xlfn.TEXTJOIN("",TRUE,A599,"!",ADDRESS(20+(A600-1)*A596,6)))</f>
        <v>1</v>
      </c>
      <c r="I589" s="20" t="str">
        <f ca="1">INDIRECT(_xlfn.TEXTJOIN("",TRUE,A599,"!",ADDRESS(20+(A600-1)*A596,13)))</f>
        <v>A</v>
      </c>
      <c r="J589" s="20">
        <f ca="1">INDIRECT(_xlfn.TEXTJOIN("",TRUE,A599,"!",ADDRESS(20+(A600-1)*A596,14)))</f>
        <v>9</v>
      </c>
    </row>
    <row r="590" spans="1:10" ht="28" customHeight="1" x14ac:dyDescent="0.2">
      <c r="A590" s="46" t="str">
        <f ca="1">INDIRECT(_xlfn.TEXTJOIN("",TRUE,A599,"!",ADDRESS(21+(A600-1)*A596,1)))</f>
        <v>MEP 003</v>
      </c>
      <c r="B590" s="47"/>
      <c r="C590" s="43" t="str">
        <f ca="1">INDIRECT(_xlfn.TEXTJOIN("",TRUE,A599,"!",ADDRESS(21+(A600-1)*A596,2)))</f>
        <v>Workshop Practices Lab</v>
      </c>
      <c r="D590" s="44"/>
      <c r="E590" s="44"/>
      <c r="F590" s="44"/>
      <c r="G590" s="45"/>
      <c r="H590" s="20">
        <f ca="1">INDIRECT(_xlfn.TEXTJOIN("",TRUE,A599,"!",ADDRESS(21+(A600-1)*A596,6)))</f>
        <v>2</v>
      </c>
      <c r="I590" s="20" t="str">
        <f ca="1">INDIRECT(_xlfn.TEXTJOIN("",TRUE,A599,"!",ADDRESS(21+(A600-1)*A596,13)))</f>
        <v>O</v>
      </c>
      <c r="J590" s="20">
        <f ca="1">INDIRECT(_xlfn.TEXTJOIN("",TRUE,A599,"!",ADDRESS(21+(A600-1)*A596,14)))</f>
        <v>10</v>
      </c>
    </row>
    <row r="591" spans="1:10" ht="28" customHeight="1" x14ac:dyDescent="0.2">
      <c r="A591" s="46" t="str">
        <f ca="1">INDIRECT(_xlfn.TEXTJOIN("",TRUE,A599,"!",ADDRESS(22+(A600-1)*A596,1)))</f>
        <v>AHP 004</v>
      </c>
      <c r="B591" s="47"/>
      <c r="C591" s="43" t="str">
        <f ca="1">INDIRECT(_xlfn.TEXTJOIN("",TRUE,A599,"!",ADDRESS(22+(A600-1)*A596,2)))</f>
        <v>Emerging Technologies in Engineering Lab</v>
      </c>
      <c r="D591" s="44"/>
      <c r="E591" s="44"/>
      <c r="F591" s="44"/>
      <c r="G591" s="45"/>
      <c r="H591" s="20">
        <f ca="1">INDIRECT(_xlfn.TEXTJOIN("",TRUE,A599,"!",ADDRESS(22+(A600-1)*A596,6)))</f>
        <v>1</v>
      </c>
      <c r="I591" s="20" t="str">
        <f ca="1">INDIRECT(_xlfn.TEXTJOIN("",TRUE,A599,"!",ADDRESS(22+(A600-1)*A596,13)))</f>
        <v>A+</v>
      </c>
      <c r="J591" s="20">
        <f ca="1">INDIRECT(_xlfn.TEXTJOIN("",TRUE,A599,"!",ADDRESS(22+(A600-1)*A596,14)))</f>
        <v>9.5</v>
      </c>
    </row>
    <row r="592" spans="1:10" ht="28" customHeight="1" x14ac:dyDescent="0.2">
      <c r="A592" s="46" t="str">
        <f ca="1">INDIRECT(_xlfn.TEXTJOIN("",TRUE,A599,"!",ADDRESS(23+(A600-1)*A596,1)))</f>
        <v>CSP 002</v>
      </c>
      <c r="B592" s="47"/>
      <c r="C592" s="43" t="str">
        <f ca="1">INDIRECT(_xlfn.TEXTJOIN("",TRUE,A599,"!",ADDRESS(23+(A600-1)*A596,2)))</f>
        <v>Computer Applications and IOT</v>
      </c>
      <c r="D592" s="44"/>
      <c r="E592" s="44"/>
      <c r="F592" s="44"/>
      <c r="G592" s="45"/>
      <c r="H592" s="20">
        <f ca="1">INDIRECT(_xlfn.TEXTJOIN("",TRUE,A599,"!",ADDRESS(23+(A600-1)*A596,6)))</f>
        <v>1</v>
      </c>
      <c r="I592" s="20" t="str">
        <f ca="1">INDIRECT(_xlfn.TEXTJOIN("",TRUE,A599,"!",ADDRESS(23+(A600-1)*A596,13)))</f>
        <v>B+</v>
      </c>
      <c r="J592" s="20">
        <f ca="1">INDIRECT(_xlfn.TEXTJOIN("",TRUE,A599,"!",ADDRESS(23+(A600-1)*A596,14)))</f>
        <v>8.5</v>
      </c>
    </row>
    <row r="593" spans="1:10" ht="28" customHeight="1" x14ac:dyDescent="0.2">
      <c r="A593" s="46" t="str">
        <f ca="1">INDIRECT(_xlfn.TEXTJOIN("",TRUE,A599,"!",ADDRESS(24+(A600-1)*A596,1)))</f>
        <v>AHP 006</v>
      </c>
      <c r="B593" s="47"/>
      <c r="C593" s="43" t="str">
        <f ca="1">INDIRECT(_xlfn.TEXTJOIN("",TRUE,A599,"!",ADDRESS(24+(A600-1)*A596,2)))</f>
        <v>English Language Lab ($)</v>
      </c>
      <c r="D593" s="44"/>
      <c r="E593" s="44"/>
      <c r="F593" s="44"/>
      <c r="G593" s="45"/>
      <c r="H593" s="20">
        <f ca="1">INDIRECT(_xlfn.TEXTJOIN("",TRUE,A599,"!",ADDRESS(24+(A600-1)*A596,6)))</f>
        <v>0</v>
      </c>
      <c r="I593" s="20" t="str">
        <f ca="1">INDIRECT(_xlfn.TEXTJOIN("",TRUE,A599,"!",ADDRESS(24+(A600-1)*A596,13)))</f>
        <v>C</v>
      </c>
      <c r="J593" s="20">
        <f ca="1">INDIRECT(_xlfn.TEXTJOIN("",TRUE,A599,"!",ADDRESS(24+(A600-1)*A596,14)))</f>
        <v>7</v>
      </c>
    </row>
    <row r="594" spans="1:10" ht="28" customHeight="1" x14ac:dyDescent="0.2">
      <c r="A594" s="46" t="str">
        <f ca="1">INDIRECT(_xlfn.TEXTJOIN("",TRUE,A599,"!",ADDRESS(25+(A600-1)*A596,1)))</f>
        <v>GP 01</v>
      </c>
      <c r="B594" s="47"/>
      <c r="C594" s="43" t="str">
        <f ca="1">INDIRECT(_xlfn.TEXTJOIN("",TRUE,A599,"!",ADDRESS(25+(A600-1)*A596,2)))</f>
        <v>General Proficiency ($)</v>
      </c>
      <c r="D594" s="44"/>
      <c r="E594" s="44"/>
      <c r="F594" s="44"/>
      <c r="G594" s="45"/>
      <c r="H594" s="20">
        <f ca="1">INDIRECT(_xlfn.TEXTJOIN("",TRUE,A599,"!",ADDRESS(25+(A600-1)*A596,6)))</f>
        <v>0</v>
      </c>
      <c r="I594" s="41" t="str">
        <f ca="1">INDIRECT(_xlfn.TEXTJOIN("",TRUE,A599,"!",ADDRESS(25+(A600-1)*A596,13)))</f>
        <v>Excellent</v>
      </c>
      <c r="J594" s="42"/>
    </row>
    <row r="595" spans="1:10" ht="28" customHeight="1" x14ac:dyDescent="0.2">
      <c r="A595" s="35" t="s">
        <v>54</v>
      </c>
      <c r="B595" s="35"/>
      <c r="C595" s="35"/>
      <c r="D595" s="35"/>
      <c r="E595" s="35"/>
      <c r="F595" s="35"/>
      <c r="G595" s="35"/>
      <c r="H595" s="16">
        <f ca="1">SUM(H582:H594)</f>
        <v>23</v>
      </c>
      <c r="I595" s="16" t="s">
        <v>46</v>
      </c>
      <c r="J595" s="16">
        <f ca="1">SUMPRODUCT(J582:J593,H582:H593)</f>
        <v>132.5</v>
      </c>
    </row>
    <row r="596" spans="1:10" ht="28" customHeight="1" x14ac:dyDescent="0.2">
      <c r="A596" s="22">
        <f>ROWS(A582:B594)+9</f>
        <v>22</v>
      </c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1:10" ht="28" customHeight="1" x14ac:dyDescent="0.2">
      <c r="A597" s="36" t="s">
        <v>42</v>
      </c>
      <c r="B597" s="36"/>
      <c r="C597" s="21">
        <f ca="1">INDIRECT(_xlfn.TEXTJOIN("",TRUE,A599,"!",ADDRESS(5+A600*A596,12)))</f>
        <v>19</v>
      </c>
      <c r="D597" s="36" t="s">
        <v>40</v>
      </c>
      <c r="E597" s="36"/>
      <c r="F597" s="18">
        <f ca="1">INDIRECT(_xlfn.TEXTJOIN("",TRUE,A599,"!",ADDRESS(5+A600*A596,8)))</f>
        <v>5.7608695652173916</v>
      </c>
      <c r="G597" s="36" t="s">
        <v>41</v>
      </c>
      <c r="H597" s="36"/>
      <c r="I597" s="37">
        <f ca="1">INDIRECT(_xlfn.TEXTJOIN("",TRUE,A599,"!",ADDRESS(5+A600*A596,10)))</f>
        <v>5.7608695652173916</v>
      </c>
      <c r="J597" s="37"/>
    </row>
    <row r="598" spans="1:10" ht="28" customHeight="1" x14ac:dyDescent="0.2">
      <c r="A598" s="19" t="s">
        <v>38</v>
      </c>
      <c r="B598" s="38" t="str">
        <f ca="1">INDIRECT(_xlfn.TEXTJOIN("",TRUE,A599,"!",ADDRESS(5+A600*A596,2)))</f>
        <v>CARRY OVER</v>
      </c>
      <c r="C598" s="38"/>
      <c r="D598" s="39" t="s">
        <v>39</v>
      </c>
      <c r="E598" s="39"/>
      <c r="F598" s="40" t="str">
        <f ca="1">INDIRECT(_xlfn.TEXTJOIN("",TRUE,A599,"!",ADDRESS(5+A600*A596,5)))</f>
        <v>BACK IN AHT 003</v>
      </c>
      <c r="G598" s="40"/>
      <c r="H598" s="40"/>
      <c r="I598" s="40"/>
      <c r="J598" s="40"/>
    </row>
    <row r="599" spans="1:10" ht="28" customHeight="1" x14ac:dyDescent="0.2">
      <c r="A599" s="22" t="str">
        <f>A577</f>
        <v>TC_I</v>
      </c>
    </row>
    <row r="600" spans="1:10" ht="28" customHeight="1" x14ac:dyDescent="0.2">
      <c r="A600" s="22">
        <f>A578+1</f>
        <v>27</v>
      </c>
    </row>
  </sheetData>
  <mergeCells count="1220">
    <mergeCell ref="A591:B591"/>
    <mergeCell ref="C591:G591"/>
    <mergeCell ref="A592:B592"/>
    <mergeCell ref="C592:G592"/>
    <mergeCell ref="A588:B588"/>
    <mergeCell ref="A589:B589"/>
    <mergeCell ref="C589:G589"/>
    <mergeCell ref="I594:J594"/>
    <mergeCell ref="A570:B570"/>
    <mergeCell ref="C570:G570"/>
    <mergeCell ref="A571:B571"/>
    <mergeCell ref="C571:G571"/>
    <mergeCell ref="A572:B572"/>
    <mergeCell ref="C572:G572"/>
    <mergeCell ref="A568:B568"/>
    <mergeCell ref="A569:B569"/>
    <mergeCell ref="C569:G569"/>
    <mergeCell ref="A587:B587"/>
    <mergeCell ref="A579:B579"/>
    <mergeCell ref="A580:B580"/>
    <mergeCell ref="A583:B583"/>
    <mergeCell ref="C579:E579"/>
    <mergeCell ref="F579:H579"/>
    <mergeCell ref="I579:J579"/>
    <mergeCell ref="C580:E580"/>
    <mergeCell ref="F580:H580"/>
    <mergeCell ref="I580:J580"/>
    <mergeCell ref="A581:B581"/>
    <mergeCell ref="C581:G581"/>
    <mergeCell ref="A582:B582"/>
    <mergeCell ref="C582:G582"/>
    <mergeCell ref="A546:B546"/>
    <mergeCell ref="C546:G546"/>
    <mergeCell ref="C547:G547"/>
    <mergeCell ref="B532:C532"/>
    <mergeCell ref="D532:E532"/>
    <mergeCell ref="F532:J532"/>
    <mergeCell ref="C535:E535"/>
    <mergeCell ref="F535:H535"/>
    <mergeCell ref="I535:J535"/>
    <mergeCell ref="A567:B567"/>
    <mergeCell ref="A559:B559"/>
    <mergeCell ref="C559:G559"/>
    <mergeCell ref="A560:B560"/>
    <mergeCell ref="C560:G560"/>
    <mergeCell ref="A563:B563"/>
    <mergeCell ref="A557:B557"/>
    <mergeCell ref="A558:B558"/>
    <mergeCell ref="C557:E557"/>
    <mergeCell ref="F557:H557"/>
    <mergeCell ref="I557:J557"/>
    <mergeCell ref="C558:E558"/>
    <mergeCell ref="F558:H558"/>
    <mergeCell ref="I558:J558"/>
    <mergeCell ref="A561:B561"/>
    <mergeCell ref="C561:G561"/>
    <mergeCell ref="A562:B562"/>
    <mergeCell ref="C562:G562"/>
    <mergeCell ref="A539:B539"/>
    <mergeCell ref="C539:G539"/>
    <mergeCell ref="A540:B540"/>
    <mergeCell ref="C540:G540"/>
    <mergeCell ref="A543:B543"/>
    <mergeCell ref="C537:G537"/>
    <mergeCell ref="A538:B538"/>
    <mergeCell ref="C538:G538"/>
    <mergeCell ref="A542:B542"/>
    <mergeCell ref="C542:G542"/>
    <mergeCell ref="C543:G543"/>
    <mergeCell ref="A544:B544"/>
    <mergeCell ref="C544:G544"/>
    <mergeCell ref="A545:B545"/>
    <mergeCell ref="C545:G545"/>
    <mergeCell ref="A517:B517"/>
    <mergeCell ref="C517:G517"/>
    <mergeCell ref="A518:B518"/>
    <mergeCell ref="C518:G518"/>
    <mergeCell ref="A521:B521"/>
    <mergeCell ref="C521:G521"/>
    <mergeCell ref="A522:B522"/>
    <mergeCell ref="C522:G522"/>
    <mergeCell ref="C523:G523"/>
    <mergeCell ref="A524:B524"/>
    <mergeCell ref="C524:G524"/>
    <mergeCell ref="A525:B525"/>
    <mergeCell ref="C525:G525"/>
    <mergeCell ref="A526:B526"/>
    <mergeCell ref="A535:B535"/>
    <mergeCell ref="A531:B531"/>
    <mergeCell ref="A528:B528"/>
    <mergeCell ref="C536:E536"/>
    <mergeCell ref="F536:H536"/>
    <mergeCell ref="F492:H492"/>
    <mergeCell ref="A487:B487"/>
    <mergeCell ref="I487:J487"/>
    <mergeCell ref="I492:J492"/>
    <mergeCell ref="A493:B493"/>
    <mergeCell ref="C493:G493"/>
    <mergeCell ref="A494:B494"/>
    <mergeCell ref="C494:G494"/>
    <mergeCell ref="A495:B495"/>
    <mergeCell ref="C495:G495"/>
    <mergeCell ref="A515:B515"/>
    <mergeCell ref="C515:G515"/>
    <mergeCell ref="A509:B509"/>
    <mergeCell ref="D509:E509"/>
    <mergeCell ref="G509:H509"/>
    <mergeCell ref="I509:J509"/>
    <mergeCell ref="B510:C510"/>
    <mergeCell ref="D510:E510"/>
    <mergeCell ref="F510:J510"/>
    <mergeCell ref="C513:E513"/>
    <mergeCell ref="F513:H513"/>
    <mergeCell ref="I513:J513"/>
    <mergeCell ref="C514:E514"/>
    <mergeCell ref="F514:H514"/>
    <mergeCell ref="I514:J514"/>
    <mergeCell ref="A501:B501"/>
    <mergeCell ref="C501:G501"/>
    <mergeCell ref="A502:B502"/>
    <mergeCell ref="C502:G502"/>
    <mergeCell ref="C503:G503"/>
    <mergeCell ref="A504:B504"/>
    <mergeCell ref="C504:G504"/>
    <mergeCell ref="A483:B483"/>
    <mergeCell ref="A476:B476"/>
    <mergeCell ref="C476:G476"/>
    <mergeCell ref="A477:B477"/>
    <mergeCell ref="C477:G477"/>
    <mergeCell ref="A478:B478"/>
    <mergeCell ref="C478:G478"/>
    <mergeCell ref="A481:B481"/>
    <mergeCell ref="C481:G481"/>
    <mergeCell ref="A482:B482"/>
    <mergeCell ref="C482:G482"/>
    <mergeCell ref="C483:G483"/>
    <mergeCell ref="A484:B484"/>
    <mergeCell ref="C484:G484"/>
    <mergeCell ref="A491:B491"/>
    <mergeCell ref="A492:B492"/>
    <mergeCell ref="A499:B499"/>
    <mergeCell ref="C499:G499"/>
    <mergeCell ref="A496:B496"/>
    <mergeCell ref="C496:G496"/>
    <mergeCell ref="A497:B497"/>
    <mergeCell ref="C497:G497"/>
    <mergeCell ref="A498:B498"/>
    <mergeCell ref="C498:G498"/>
    <mergeCell ref="G487:H487"/>
    <mergeCell ref="B488:C488"/>
    <mergeCell ref="D488:E488"/>
    <mergeCell ref="F488:J488"/>
    <mergeCell ref="C491:E491"/>
    <mergeCell ref="F491:H491"/>
    <mergeCell ref="I491:J491"/>
    <mergeCell ref="C492:E492"/>
    <mergeCell ref="I484:J484"/>
    <mergeCell ref="A485:G485"/>
    <mergeCell ref="D487:E487"/>
    <mergeCell ref="A457:B457"/>
    <mergeCell ref="C457:G457"/>
    <mergeCell ref="A458:B458"/>
    <mergeCell ref="C458:G458"/>
    <mergeCell ref="B466:C466"/>
    <mergeCell ref="D466:E466"/>
    <mergeCell ref="F466:J466"/>
    <mergeCell ref="A473:B473"/>
    <mergeCell ref="C473:G473"/>
    <mergeCell ref="A474:B474"/>
    <mergeCell ref="C474:G474"/>
    <mergeCell ref="A475:B475"/>
    <mergeCell ref="C475:G475"/>
    <mergeCell ref="A470:B470"/>
    <mergeCell ref="A471:B471"/>
    <mergeCell ref="C471:G471"/>
    <mergeCell ref="A472:B472"/>
    <mergeCell ref="C472:G472"/>
    <mergeCell ref="A469:B469"/>
    <mergeCell ref="C469:E469"/>
    <mergeCell ref="F469:H469"/>
    <mergeCell ref="I469:J469"/>
    <mergeCell ref="C470:E470"/>
    <mergeCell ref="F470:H470"/>
    <mergeCell ref="I470:J470"/>
    <mergeCell ref="A479:B479"/>
    <mergeCell ref="C479:G479"/>
    <mergeCell ref="A480:B480"/>
    <mergeCell ref="C480:G480"/>
    <mergeCell ref="A436:B436"/>
    <mergeCell ref="C436:G436"/>
    <mergeCell ref="A437:B437"/>
    <mergeCell ref="C437:G437"/>
    <mergeCell ref="A438:B438"/>
    <mergeCell ref="C438:G438"/>
    <mergeCell ref="A453:B453"/>
    <mergeCell ref="C453:G453"/>
    <mergeCell ref="A454:B454"/>
    <mergeCell ref="C454:G454"/>
    <mergeCell ref="A455:B455"/>
    <mergeCell ref="C455:G455"/>
    <mergeCell ref="A450:B450"/>
    <mergeCell ref="C450:G450"/>
    <mergeCell ref="A451:B451"/>
    <mergeCell ref="C451:G451"/>
    <mergeCell ref="A452:B452"/>
    <mergeCell ref="C452:G452"/>
    <mergeCell ref="A448:B448"/>
    <mergeCell ref="C448:E448"/>
    <mergeCell ref="F448:H448"/>
    <mergeCell ref="A439:B439"/>
    <mergeCell ref="C439:G439"/>
    <mergeCell ref="A449:B449"/>
    <mergeCell ref="C449:G449"/>
    <mergeCell ref="A433:B433"/>
    <mergeCell ref="C433:G433"/>
    <mergeCell ref="A434:B434"/>
    <mergeCell ref="C434:G434"/>
    <mergeCell ref="A435:B435"/>
    <mergeCell ref="C435:G435"/>
    <mergeCell ref="A430:B430"/>
    <mergeCell ref="C430:G430"/>
    <mergeCell ref="A431:B431"/>
    <mergeCell ref="C431:G431"/>
    <mergeCell ref="A432:B432"/>
    <mergeCell ref="C432:G432"/>
    <mergeCell ref="A428:B428"/>
    <mergeCell ref="A429:B429"/>
    <mergeCell ref="C429:G429"/>
    <mergeCell ref="I425:J425"/>
    <mergeCell ref="I426:J426"/>
    <mergeCell ref="C428:G428"/>
    <mergeCell ref="A427:B427"/>
    <mergeCell ref="A416:B416"/>
    <mergeCell ref="C416:G416"/>
    <mergeCell ref="A417:B417"/>
    <mergeCell ref="C417:G417"/>
    <mergeCell ref="A418:B418"/>
    <mergeCell ref="C418:G418"/>
    <mergeCell ref="C425:E425"/>
    <mergeCell ref="F425:H425"/>
    <mergeCell ref="A426:B426"/>
    <mergeCell ref="C426:E426"/>
    <mergeCell ref="F426:H426"/>
    <mergeCell ref="C427:G427"/>
    <mergeCell ref="I418:J418"/>
    <mergeCell ref="A419:G419"/>
    <mergeCell ref="A421:B421"/>
    <mergeCell ref="D421:E421"/>
    <mergeCell ref="G421:H421"/>
    <mergeCell ref="I421:J421"/>
    <mergeCell ref="B422:C422"/>
    <mergeCell ref="D422:E422"/>
    <mergeCell ref="F422:J422"/>
    <mergeCell ref="A425:B425"/>
    <mergeCell ref="A413:B413"/>
    <mergeCell ref="C413:G413"/>
    <mergeCell ref="A414:B414"/>
    <mergeCell ref="C414:G414"/>
    <mergeCell ref="B400:C400"/>
    <mergeCell ref="D400:E400"/>
    <mergeCell ref="F400:J400"/>
    <mergeCell ref="C403:E403"/>
    <mergeCell ref="F403:H403"/>
    <mergeCell ref="I403:J403"/>
    <mergeCell ref="A415:B415"/>
    <mergeCell ref="C415:G415"/>
    <mergeCell ref="A410:B410"/>
    <mergeCell ref="C410:G410"/>
    <mergeCell ref="A411:B411"/>
    <mergeCell ref="C411:G411"/>
    <mergeCell ref="A412:B412"/>
    <mergeCell ref="C412:G412"/>
    <mergeCell ref="A408:B408"/>
    <mergeCell ref="A409:B409"/>
    <mergeCell ref="C409:G409"/>
    <mergeCell ref="C408:G408"/>
    <mergeCell ref="A377:B377"/>
    <mergeCell ref="A381:B381"/>
    <mergeCell ref="C381:E381"/>
    <mergeCell ref="F381:H381"/>
    <mergeCell ref="I381:J381"/>
    <mergeCell ref="A382:B382"/>
    <mergeCell ref="C382:E382"/>
    <mergeCell ref="F382:H382"/>
    <mergeCell ref="I382:J382"/>
    <mergeCell ref="C383:G383"/>
    <mergeCell ref="C392:G392"/>
    <mergeCell ref="A388:B388"/>
    <mergeCell ref="A389:B389"/>
    <mergeCell ref="C389:G389"/>
    <mergeCell ref="A407:B407"/>
    <mergeCell ref="A399:B399"/>
    <mergeCell ref="A403:B403"/>
    <mergeCell ref="A396:B396"/>
    <mergeCell ref="C396:G396"/>
    <mergeCell ref="A404:B404"/>
    <mergeCell ref="C404:E404"/>
    <mergeCell ref="F404:H404"/>
    <mergeCell ref="I404:J404"/>
    <mergeCell ref="A405:B405"/>
    <mergeCell ref="C405:G405"/>
    <mergeCell ref="A406:B406"/>
    <mergeCell ref="C406:G406"/>
    <mergeCell ref="C407:G407"/>
    <mergeCell ref="A385:B385"/>
    <mergeCell ref="C385:G385"/>
    <mergeCell ref="A386:B386"/>
    <mergeCell ref="C386:G386"/>
    <mergeCell ref="A350:B350"/>
    <mergeCell ref="C350:G350"/>
    <mergeCell ref="A351:B351"/>
    <mergeCell ref="C351:G351"/>
    <mergeCell ref="A352:B352"/>
    <mergeCell ref="C352:G352"/>
    <mergeCell ref="A348:B348"/>
    <mergeCell ref="A349:B349"/>
    <mergeCell ref="C349:G349"/>
    <mergeCell ref="A367:B367"/>
    <mergeCell ref="A359:B359"/>
    <mergeCell ref="A360:B360"/>
    <mergeCell ref="A363:B363"/>
    <mergeCell ref="C359:E359"/>
    <mergeCell ref="F359:H359"/>
    <mergeCell ref="I359:J359"/>
    <mergeCell ref="C360:E360"/>
    <mergeCell ref="F360:H360"/>
    <mergeCell ref="I360:J360"/>
    <mergeCell ref="A361:B361"/>
    <mergeCell ref="C361:G361"/>
    <mergeCell ref="A362:B362"/>
    <mergeCell ref="C362:G362"/>
    <mergeCell ref="I352:J352"/>
    <mergeCell ref="A353:G353"/>
    <mergeCell ref="D355:E355"/>
    <mergeCell ref="G355:H355"/>
    <mergeCell ref="I355:J355"/>
    <mergeCell ref="B356:C356"/>
    <mergeCell ref="D356:E356"/>
    <mergeCell ref="F356:J356"/>
    <mergeCell ref="C363:G363"/>
    <mergeCell ref="A343:B343"/>
    <mergeCell ref="A337:B337"/>
    <mergeCell ref="A338:B338"/>
    <mergeCell ref="C337:E337"/>
    <mergeCell ref="F337:H337"/>
    <mergeCell ref="I337:J337"/>
    <mergeCell ref="C338:E338"/>
    <mergeCell ref="F338:H338"/>
    <mergeCell ref="I338:J338"/>
    <mergeCell ref="A341:B341"/>
    <mergeCell ref="C341:G341"/>
    <mergeCell ref="A342:B342"/>
    <mergeCell ref="C342:G342"/>
    <mergeCell ref="C316:E316"/>
    <mergeCell ref="F316:H316"/>
    <mergeCell ref="I316:J316"/>
    <mergeCell ref="A321:B321"/>
    <mergeCell ref="C321:G321"/>
    <mergeCell ref="I330:J330"/>
    <mergeCell ref="I333:J333"/>
    <mergeCell ref="A304:B304"/>
    <mergeCell ref="C304:G304"/>
    <mergeCell ref="A305:B305"/>
    <mergeCell ref="C305:G305"/>
    <mergeCell ref="A306:B306"/>
    <mergeCell ref="A315:B315"/>
    <mergeCell ref="A311:B311"/>
    <mergeCell ref="A308:B308"/>
    <mergeCell ref="I308:J308"/>
    <mergeCell ref="A327:B327"/>
    <mergeCell ref="A319:B319"/>
    <mergeCell ref="C319:G319"/>
    <mergeCell ref="A320:B320"/>
    <mergeCell ref="C320:G320"/>
    <mergeCell ref="A323:B323"/>
    <mergeCell ref="A316:B316"/>
    <mergeCell ref="A317:B317"/>
    <mergeCell ref="C317:G317"/>
    <mergeCell ref="A318:B318"/>
    <mergeCell ref="C318:G318"/>
    <mergeCell ref="A322:B322"/>
    <mergeCell ref="C322:G322"/>
    <mergeCell ref="C323:G323"/>
    <mergeCell ref="A324:B324"/>
    <mergeCell ref="C324:G324"/>
    <mergeCell ref="A325:B325"/>
    <mergeCell ref="C325:G325"/>
    <mergeCell ref="A326:B326"/>
    <mergeCell ref="C326:G326"/>
    <mergeCell ref="C327:G327"/>
    <mergeCell ref="B312:C312"/>
    <mergeCell ref="D312:E312"/>
    <mergeCell ref="D290:E290"/>
    <mergeCell ref="F290:J290"/>
    <mergeCell ref="C293:E293"/>
    <mergeCell ref="F293:H293"/>
    <mergeCell ref="I293:J293"/>
    <mergeCell ref="C294:E294"/>
    <mergeCell ref="F294:H294"/>
    <mergeCell ref="I294:J294"/>
    <mergeCell ref="A299:B299"/>
    <mergeCell ref="C299:G299"/>
    <mergeCell ref="A300:B300"/>
    <mergeCell ref="C300:G300"/>
    <mergeCell ref="A303:B303"/>
    <mergeCell ref="A296:B296"/>
    <mergeCell ref="C296:G296"/>
    <mergeCell ref="A297:B297"/>
    <mergeCell ref="C297:G297"/>
    <mergeCell ref="A298:B298"/>
    <mergeCell ref="C298:G298"/>
    <mergeCell ref="A301:B301"/>
    <mergeCell ref="C301:G301"/>
    <mergeCell ref="A302:B302"/>
    <mergeCell ref="C302:G302"/>
    <mergeCell ref="C303:G303"/>
    <mergeCell ref="A271:B271"/>
    <mergeCell ref="A272:B272"/>
    <mergeCell ref="A279:B279"/>
    <mergeCell ref="C279:G279"/>
    <mergeCell ref="A276:B276"/>
    <mergeCell ref="C276:G276"/>
    <mergeCell ref="A277:B277"/>
    <mergeCell ref="C277:G277"/>
    <mergeCell ref="A278:B278"/>
    <mergeCell ref="C278:G278"/>
    <mergeCell ref="G267:H267"/>
    <mergeCell ref="B268:C268"/>
    <mergeCell ref="D268:E268"/>
    <mergeCell ref="F268:J268"/>
    <mergeCell ref="C271:E271"/>
    <mergeCell ref="F271:H271"/>
    <mergeCell ref="I271:J271"/>
    <mergeCell ref="C272:E272"/>
    <mergeCell ref="F272:H272"/>
    <mergeCell ref="A267:B267"/>
    <mergeCell ref="I267:J267"/>
    <mergeCell ref="I272:J272"/>
    <mergeCell ref="A273:B273"/>
    <mergeCell ref="C273:G273"/>
    <mergeCell ref="A274:B274"/>
    <mergeCell ref="C274:G274"/>
    <mergeCell ref="A275:B275"/>
    <mergeCell ref="C275:G275"/>
    <mergeCell ref="A259:B259"/>
    <mergeCell ref="C259:G259"/>
    <mergeCell ref="A260:B260"/>
    <mergeCell ref="C260:G260"/>
    <mergeCell ref="A263:B263"/>
    <mergeCell ref="A256:B256"/>
    <mergeCell ref="C256:G256"/>
    <mergeCell ref="A257:B257"/>
    <mergeCell ref="C257:G257"/>
    <mergeCell ref="A258:B258"/>
    <mergeCell ref="C258:G258"/>
    <mergeCell ref="A261:B261"/>
    <mergeCell ref="C261:G261"/>
    <mergeCell ref="A262:B262"/>
    <mergeCell ref="C262:G262"/>
    <mergeCell ref="C263:G263"/>
    <mergeCell ref="A264:B264"/>
    <mergeCell ref="C264:G264"/>
    <mergeCell ref="I264:J264"/>
    <mergeCell ref="A265:G265"/>
    <mergeCell ref="D267:E267"/>
    <mergeCell ref="A237:B237"/>
    <mergeCell ref="C237:G237"/>
    <mergeCell ref="A238:B238"/>
    <mergeCell ref="C238:G238"/>
    <mergeCell ref="B246:C246"/>
    <mergeCell ref="D246:E246"/>
    <mergeCell ref="F246:J246"/>
    <mergeCell ref="A253:B253"/>
    <mergeCell ref="C253:G253"/>
    <mergeCell ref="A254:B254"/>
    <mergeCell ref="C254:G254"/>
    <mergeCell ref="A255:B255"/>
    <mergeCell ref="C255:G255"/>
    <mergeCell ref="A250:B250"/>
    <mergeCell ref="A251:B251"/>
    <mergeCell ref="C251:G251"/>
    <mergeCell ref="A252:B252"/>
    <mergeCell ref="C252:G252"/>
    <mergeCell ref="A249:B249"/>
    <mergeCell ref="C249:E249"/>
    <mergeCell ref="F249:H249"/>
    <mergeCell ref="I249:J249"/>
    <mergeCell ref="C250:E250"/>
    <mergeCell ref="F250:H250"/>
    <mergeCell ref="I250:J250"/>
    <mergeCell ref="A241:B241"/>
    <mergeCell ref="C241:G241"/>
    <mergeCell ref="A242:B242"/>
    <mergeCell ref="C242:G242"/>
    <mergeCell ref="A216:B216"/>
    <mergeCell ref="C216:G216"/>
    <mergeCell ref="A217:B217"/>
    <mergeCell ref="C217:G217"/>
    <mergeCell ref="A218:B218"/>
    <mergeCell ref="C218:G218"/>
    <mergeCell ref="A233:B233"/>
    <mergeCell ref="C233:G233"/>
    <mergeCell ref="A234:B234"/>
    <mergeCell ref="C234:G234"/>
    <mergeCell ref="A235:B235"/>
    <mergeCell ref="C235:G235"/>
    <mergeCell ref="A230:B230"/>
    <mergeCell ref="C230:G230"/>
    <mergeCell ref="A231:B231"/>
    <mergeCell ref="C231:G231"/>
    <mergeCell ref="A232:B232"/>
    <mergeCell ref="C232:G232"/>
    <mergeCell ref="A228:B228"/>
    <mergeCell ref="C228:E228"/>
    <mergeCell ref="F228:H228"/>
    <mergeCell ref="A219:B219"/>
    <mergeCell ref="C219:G219"/>
    <mergeCell ref="A229:B229"/>
    <mergeCell ref="C229:G229"/>
    <mergeCell ref="A213:B213"/>
    <mergeCell ref="C213:G213"/>
    <mergeCell ref="A214:B214"/>
    <mergeCell ref="C214:G214"/>
    <mergeCell ref="A215:B215"/>
    <mergeCell ref="C215:G215"/>
    <mergeCell ref="A210:B210"/>
    <mergeCell ref="C210:G210"/>
    <mergeCell ref="A211:B211"/>
    <mergeCell ref="C211:G211"/>
    <mergeCell ref="A212:B212"/>
    <mergeCell ref="C212:G212"/>
    <mergeCell ref="A208:B208"/>
    <mergeCell ref="A209:B209"/>
    <mergeCell ref="C209:G209"/>
    <mergeCell ref="I205:J205"/>
    <mergeCell ref="I206:J206"/>
    <mergeCell ref="C208:G208"/>
    <mergeCell ref="A207:B207"/>
    <mergeCell ref="A196:B196"/>
    <mergeCell ref="C196:G196"/>
    <mergeCell ref="A197:B197"/>
    <mergeCell ref="C197:G197"/>
    <mergeCell ref="A198:B198"/>
    <mergeCell ref="C198:G198"/>
    <mergeCell ref="C205:E205"/>
    <mergeCell ref="F205:H205"/>
    <mergeCell ref="A206:B206"/>
    <mergeCell ref="C206:E206"/>
    <mergeCell ref="F206:H206"/>
    <mergeCell ref="C207:G207"/>
    <mergeCell ref="I198:J198"/>
    <mergeCell ref="A199:G199"/>
    <mergeCell ref="A201:B201"/>
    <mergeCell ref="D201:E201"/>
    <mergeCell ref="G201:H201"/>
    <mergeCell ref="I201:J201"/>
    <mergeCell ref="B202:C202"/>
    <mergeCell ref="D202:E202"/>
    <mergeCell ref="F202:J202"/>
    <mergeCell ref="A205:B205"/>
    <mergeCell ref="C193:G193"/>
    <mergeCell ref="A194:B194"/>
    <mergeCell ref="C194:G194"/>
    <mergeCell ref="B180:C180"/>
    <mergeCell ref="D180:E180"/>
    <mergeCell ref="F180:J180"/>
    <mergeCell ref="C183:E183"/>
    <mergeCell ref="F183:H183"/>
    <mergeCell ref="I183:J183"/>
    <mergeCell ref="A195:B195"/>
    <mergeCell ref="C195:G195"/>
    <mergeCell ref="A190:B190"/>
    <mergeCell ref="C190:G190"/>
    <mergeCell ref="A191:B191"/>
    <mergeCell ref="C191:G191"/>
    <mergeCell ref="A192:B192"/>
    <mergeCell ref="C192:G192"/>
    <mergeCell ref="A188:B188"/>
    <mergeCell ref="A189:B189"/>
    <mergeCell ref="C189:G189"/>
    <mergeCell ref="C188:G188"/>
    <mergeCell ref="I154:J154"/>
    <mergeCell ref="A163:B163"/>
    <mergeCell ref="A157:B157"/>
    <mergeCell ref="A161:B161"/>
    <mergeCell ref="C161:E161"/>
    <mergeCell ref="F161:H161"/>
    <mergeCell ref="I161:J161"/>
    <mergeCell ref="A162:B162"/>
    <mergeCell ref="C162:E162"/>
    <mergeCell ref="F162:H162"/>
    <mergeCell ref="I162:J162"/>
    <mergeCell ref="C163:G163"/>
    <mergeCell ref="A164:B164"/>
    <mergeCell ref="A173:B173"/>
    <mergeCell ref="C173:G173"/>
    <mergeCell ref="A174:B174"/>
    <mergeCell ref="C174:G174"/>
    <mergeCell ref="A170:B170"/>
    <mergeCell ref="C170:G170"/>
    <mergeCell ref="A171:B171"/>
    <mergeCell ref="C171:G171"/>
    <mergeCell ref="A172:B172"/>
    <mergeCell ref="C172:G172"/>
    <mergeCell ref="A168:B168"/>
    <mergeCell ref="A169:B169"/>
    <mergeCell ref="C169:G169"/>
    <mergeCell ref="A155:G155"/>
    <mergeCell ref="D157:E157"/>
    <mergeCell ref="G157:H157"/>
    <mergeCell ref="I157:J157"/>
    <mergeCell ref="B158:C158"/>
    <mergeCell ref="D158:E158"/>
    <mergeCell ref="C141:G141"/>
    <mergeCell ref="A142:B142"/>
    <mergeCell ref="C142:G142"/>
    <mergeCell ref="A153:B153"/>
    <mergeCell ref="C153:G153"/>
    <mergeCell ref="A154:B154"/>
    <mergeCell ref="C154:G154"/>
    <mergeCell ref="A150:B150"/>
    <mergeCell ref="C150:G150"/>
    <mergeCell ref="A151:B151"/>
    <mergeCell ref="C151:G151"/>
    <mergeCell ref="A152:B152"/>
    <mergeCell ref="C152:G152"/>
    <mergeCell ref="A148:B148"/>
    <mergeCell ref="A149:B149"/>
    <mergeCell ref="C149:G149"/>
    <mergeCell ref="C148:G148"/>
    <mergeCell ref="A135:B135"/>
    <mergeCell ref="A130:B130"/>
    <mergeCell ref="C130:G130"/>
    <mergeCell ref="A131:B131"/>
    <mergeCell ref="C131:G131"/>
    <mergeCell ref="A132:B132"/>
    <mergeCell ref="C132:G132"/>
    <mergeCell ref="A128:B128"/>
    <mergeCell ref="A129:B129"/>
    <mergeCell ref="C129:G129"/>
    <mergeCell ref="A147:B147"/>
    <mergeCell ref="A139:B139"/>
    <mergeCell ref="A140:B140"/>
    <mergeCell ref="A143:B143"/>
    <mergeCell ref="C139:E139"/>
    <mergeCell ref="F139:H139"/>
    <mergeCell ref="B136:C136"/>
    <mergeCell ref="D136:E136"/>
    <mergeCell ref="F136:J136"/>
    <mergeCell ref="C143:G143"/>
    <mergeCell ref="A144:B144"/>
    <mergeCell ref="C144:G144"/>
    <mergeCell ref="A145:B145"/>
    <mergeCell ref="C145:G145"/>
    <mergeCell ref="A146:B146"/>
    <mergeCell ref="C146:G146"/>
    <mergeCell ref="C147:G147"/>
    <mergeCell ref="I139:J139"/>
    <mergeCell ref="C140:E140"/>
    <mergeCell ref="F140:H140"/>
    <mergeCell ref="I140:J140"/>
    <mergeCell ref="A141:B141"/>
    <mergeCell ref="I113:J113"/>
    <mergeCell ref="B114:C114"/>
    <mergeCell ref="D114:E114"/>
    <mergeCell ref="F114:J114"/>
    <mergeCell ref="A127:B127"/>
    <mergeCell ref="A119:B119"/>
    <mergeCell ref="C119:G119"/>
    <mergeCell ref="A120:B120"/>
    <mergeCell ref="C120:G120"/>
    <mergeCell ref="A123:B123"/>
    <mergeCell ref="A117:B117"/>
    <mergeCell ref="A118:B118"/>
    <mergeCell ref="C117:E117"/>
    <mergeCell ref="F117:H117"/>
    <mergeCell ref="I117:J117"/>
    <mergeCell ref="C118:E118"/>
    <mergeCell ref="F118:H118"/>
    <mergeCell ref="I118:J118"/>
    <mergeCell ref="A121:B121"/>
    <mergeCell ref="C121:G121"/>
    <mergeCell ref="A122:B122"/>
    <mergeCell ref="C122:G122"/>
    <mergeCell ref="A84:B84"/>
    <mergeCell ref="C84:G84"/>
    <mergeCell ref="A85:B85"/>
    <mergeCell ref="C85:G85"/>
    <mergeCell ref="A86:B86"/>
    <mergeCell ref="A95:B95"/>
    <mergeCell ref="A91:B91"/>
    <mergeCell ref="A88:B88"/>
    <mergeCell ref="I88:J88"/>
    <mergeCell ref="A107:B107"/>
    <mergeCell ref="A99:B99"/>
    <mergeCell ref="C99:G99"/>
    <mergeCell ref="A100:B100"/>
    <mergeCell ref="C100:G100"/>
    <mergeCell ref="A103:B103"/>
    <mergeCell ref="A96:B96"/>
    <mergeCell ref="A97:B97"/>
    <mergeCell ref="C97:G97"/>
    <mergeCell ref="A98:B98"/>
    <mergeCell ref="C98:G98"/>
    <mergeCell ref="A102:B102"/>
    <mergeCell ref="C102:G102"/>
    <mergeCell ref="C103:G103"/>
    <mergeCell ref="A104:B104"/>
    <mergeCell ref="C104:G104"/>
    <mergeCell ref="A105:B105"/>
    <mergeCell ref="C105:G105"/>
    <mergeCell ref="A106:B106"/>
    <mergeCell ref="C106:G106"/>
    <mergeCell ref="C107:G107"/>
    <mergeCell ref="C95:E95"/>
    <mergeCell ref="F95:H95"/>
    <mergeCell ref="I69:J69"/>
    <mergeCell ref="B70:C70"/>
    <mergeCell ref="D70:E70"/>
    <mergeCell ref="F70:J70"/>
    <mergeCell ref="C73:E73"/>
    <mergeCell ref="F73:H73"/>
    <mergeCell ref="I73:J73"/>
    <mergeCell ref="C74:E74"/>
    <mergeCell ref="F74:H74"/>
    <mergeCell ref="I74:J74"/>
    <mergeCell ref="A79:B79"/>
    <mergeCell ref="C79:G79"/>
    <mergeCell ref="A80:B80"/>
    <mergeCell ref="C80:G80"/>
    <mergeCell ref="A83:B83"/>
    <mergeCell ref="A76:B76"/>
    <mergeCell ref="C76:G76"/>
    <mergeCell ref="A77:B77"/>
    <mergeCell ref="C77:G77"/>
    <mergeCell ref="A78:B78"/>
    <mergeCell ref="C78:G78"/>
    <mergeCell ref="A81:B81"/>
    <mergeCell ref="C81:G81"/>
    <mergeCell ref="A82:B82"/>
    <mergeCell ref="C82:G82"/>
    <mergeCell ref="C83:G83"/>
    <mergeCell ref="I44:J44"/>
    <mergeCell ref="A45:G45"/>
    <mergeCell ref="D47:E47"/>
    <mergeCell ref="A53:B53"/>
    <mergeCell ref="C53:G53"/>
    <mergeCell ref="A54:B54"/>
    <mergeCell ref="C54:G54"/>
    <mergeCell ref="A55:B55"/>
    <mergeCell ref="C55:G55"/>
    <mergeCell ref="A51:B51"/>
    <mergeCell ref="A52:B52"/>
    <mergeCell ref="A59:B59"/>
    <mergeCell ref="C59:G59"/>
    <mergeCell ref="A60:B60"/>
    <mergeCell ref="C60:G60"/>
    <mergeCell ref="A63:B63"/>
    <mergeCell ref="A56:B56"/>
    <mergeCell ref="C56:G56"/>
    <mergeCell ref="A57:B57"/>
    <mergeCell ref="C57:G57"/>
    <mergeCell ref="A58:B58"/>
    <mergeCell ref="C58:G58"/>
    <mergeCell ref="G47:H47"/>
    <mergeCell ref="B48:C48"/>
    <mergeCell ref="D48:E48"/>
    <mergeCell ref="F48:J48"/>
    <mergeCell ref="C51:E51"/>
    <mergeCell ref="F51:H51"/>
    <mergeCell ref="I51:J51"/>
    <mergeCell ref="C52:E52"/>
    <mergeCell ref="F52:H52"/>
    <mergeCell ref="I52:J52"/>
    <mergeCell ref="A39:B39"/>
    <mergeCell ref="C39:G39"/>
    <mergeCell ref="A40:B40"/>
    <mergeCell ref="C40:G40"/>
    <mergeCell ref="A43:B43"/>
    <mergeCell ref="A36:B36"/>
    <mergeCell ref="C36:G36"/>
    <mergeCell ref="A37:B37"/>
    <mergeCell ref="C37:G37"/>
    <mergeCell ref="A38:B38"/>
    <mergeCell ref="C38:G38"/>
    <mergeCell ref="A41:B41"/>
    <mergeCell ref="C41:G41"/>
    <mergeCell ref="A42:B42"/>
    <mergeCell ref="C42:G42"/>
    <mergeCell ref="C43:G43"/>
    <mergeCell ref="A44:B44"/>
    <mergeCell ref="C44:G44"/>
    <mergeCell ref="A33:B33"/>
    <mergeCell ref="C33:G33"/>
    <mergeCell ref="A34:B34"/>
    <mergeCell ref="C34:G34"/>
    <mergeCell ref="A35:B35"/>
    <mergeCell ref="C35:G35"/>
    <mergeCell ref="A30:B30"/>
    <mergeCell ref="A31:B31"/>
    <mergeCell ref="C31:G31"/>
    <mergeCell ref="A32:B32"/>
    <mergeCell ref="C32:G32"/>
    <mergeCell ref="A29:B29"/>
    <mergeCell ref="C29:E29"/>
    <mergeCell ref="F29:H29"/>
    <mergeCell ref="I29:J29"/>
    <mergeCell ref="C30:E30"/>
    <mergeCell ref="F30:H30"/>
    <mergeCell ref="I30:J30"/>
    <mergeCell ref="I25:J25"/>
    <mergeCell ref="B26:C26"/>
    <mergeCell ref="D26:E26"/>
    <mergeCell ref="F26:J26"/>
    <mergeCell ref="A19:B19"/>
    <mergeCell ref="C19:G19"/>
    <mergeCell ref="A22:B22"/>
    <mergeCell ref="C22:G22"/>
    <mergeCell ref="A23:G23"/>
    <mergeCell ref="A25:B25"/>
    <mergeCell ref="D25:E25"/>
    <mergeCell ref="G25:H25"/>
    <mergeCell ref="A16:B16"/>
    <mergeCell ref="C16:G16"/>
    <mergeCell ref="A17:B17"/>
    <mergeCell ref="C17:G17"/>
    <mergeCell ref="A18:B18"/>
    <mergeCell ref="C18:G18"/>
    <mergeCell ref="A20:B20"/>
    <mergeCell ref="A21:B21"/>
    <mergeCell ref="C20:G20"/>
    <mergeCell ref="C21:G21"/>
    <mergeCell ref="I22:J22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A61:B61"/>
    <mergeCell ref="C61:G61"/>
    <mergeCell ref="A62:B62"/>
    <mergeCell ref="C62:G62"/>
    <mergeCell ref="C63:G63"/>
    <mergeCell ref="A64:B64"/>
    <mergeCell ref="C64:G64"/>
    <mergeCell ref="A47:B47"/>
    <mergeCell ref="I47:J47"/>
    <mergeCell ref="C86:G86"/>
    <mergeCell ref="C87:G87"/>
    <mergeCell ref="C88:G88"/>
    <mergeCell ref="A89:G89"/>
    <mergeCell ref="D91:E91"/>
    <mergeCell ref="G91:H91"/>
    <mergeCell ref="I91:J91"/>
    <mergeCell ref="B92:C92"/>
    <mergeCell ref="D92:E92"/>
    <mergeCell ref="F92:J92"/>
    <mergeCell ref="A65:B65"/>
    <mergeCell ref="C65:G65"/>
    <mergeCell ref="A66:B66"/>
    <mergeCell ref="C66:G66"/>
    <mergeCell ref="I66:J66"/>
    <mergeCell ref="A67:G67"/>
    <mergeCell ref="A73:B73"/>
    <mergeCell ref="A74:B74"/>
    <mergeCell ref="A75:B75"/>
    <mergeCell ref="C75:G75"/>
    <mergeCell ref="A69:B69"/>
    <mergeCell ref="D69:E69"/>
    <mergeCell ref="G69:H69"/>
    <mergeCell ref="F96:H96"/>
    <mergeCell ref="I96:J96"/>
    <mergeCell ref="A101:B101"/>
    <mergeCell ref="C101:G101"/>
    <mergeCell ref="A87:B87"/>
    <mergeCell ref="C123:G123"/>
    <mergeCell ref="A124:B124"/>
    <mergeCell ref="C124:G124"/>
    <mergeCell ref="A125:B125"/>
    <mergeCell ref="C125:G125"/>
    <mergeCell ref="A126:B126"/>
    <mergeCell ref="C126:G126"/>
    <mergeCell ref="C127:G127"/>
    <mergeCell ref="C128:G128"/>
    <mergeCell ref="I132:J132"/>
    <mergeCell ref="A133:G133"/>
    <mergeCell ref="D135:E135"/>
    <mergeCell ref="G135:H135"/>
    <mergeCell ref="I135:J135"/>
    <mergeCell ref="I95:J95"/>
    <mergeCell ref="C96:E96"/>
    <mergeCell ref="A113:B113"/>
    <mergeCell ref="A110:B110"/>
    <mergeCell ref="C110:G110"/>
    <mergeCell ref="A108:B108"/>
    <mergeCell ref="A109:B109"/>
    <mergeCell ref="C109:G109"/>
    <mergeCell ref="C108:G108"/>
    <mergeCell ref="I110:J110"/>
    <mergeCell ref="A111:G111"/>
    <mergeCell ref="D113:E113"/>
    <mergeCell ref="G113:H113"/>
    <mergeCell ref="F158:J158"/>
    <mergeCell ref="C164:G164"/>
    <mergeCell ref="A165:B165"/>
    <mergeCell ref="C165:G165"/>
    <mergeCell ref="A166:B166"/>
    <mergeCell ref="C166:G166"/>
    <mergeCell ref="C167:G167"/>
    <mergeCell ref="C168:G168"/>
    <mergeCell ref="I176:J176"/>
    <mergeCell ref="A177:G177"/>
    <mergeCell ref="D179:E179"/>
    <mergeCell ref="G179:H179"/>
    <mergeCell ref="I179:J179"/>
    <mergeCell ref="A167:B167"/>
    <mergeCell ref="A175:B175"/>
    <mergeCell ref="C175:G175"/>
    <mergeCell ref="I220:J220"/>
    <mergeCell ref="A187:B187"/>
    <mergeCell ref="A179:B179"/>
    <mergeCell ref="A183:B183"/>
    <mergeCell ref="A176:B176"/>
    <mergeCell ref="C176:G176"/>
    <mergeCell ref="A184:B184"/>
    <mergeCell ref="C184:E184"/>
    <mergeCell ref="F184:H184"/>
    <mergeCell ref="I184:J184"/>
    <mergeCell ref="A185:B185"/>
    <mergeCell ref="C185:G185"/>
    <mergeCell ref="A186:B186"/>
    <mergeCell ref="C186:G186"/>
    <mergeCell ref="C187:G187"/>
    <mergeCell ref="A193:B193"/>
    <mergeCell ref="I242:J242"/>
    <mergeCell ref="A243:G243"/>
    <mergeCell ref="A245:B245"/>
    <mergeCell ref="D245:E245"/>
    <mergeCell ref="G245:H245"/>
    <mergeCell ref="I245:J245"/>
    <mergeCell ref="I223:J223"/>
    <mergeCell ref="B224:C224"/>
    <mergeCell ref="D224:E224"/>
    <mergeCell ref="F224:J224"/>
    <mergeCell ref="A227:B227"/>
    <mergeCell ref="C227:E227"/>
    <mergeCell ref="F227:H227"/>
    <mergeCell ref="I227:J227"/>
    <mergeCell ref="A220:B220"/>
    <mergeCell ref="C220:G220"/>
    <mergeCell ref="A221:G221"/>
    <mergeCell ref="A223:B223"/>
    <mergeCell ref="D223:E223"/>
    <mergeCell ref="G223:H223"/>
    <mergeCell ref="I228:J228"/>
    <mergeCell ref="A239:B239"/>
    <mergeCell ref="C239:G239"/>
    <mergeCell ref="A240:B240"/>
    <mergeCell ref="C240:G240"/>
    <mergeCell ref="A236:B236"/>
    <mergeCell ref="C236:G236"/>
    <mergeCell ref="A281:B281"/>
    <mergeCell ref="C281:G281"/>
    <mergeCell ref="A282:B282"/>
    <mergeCell ref="C282:G282"/>
    <mergeCell ref="C283:G283"/>
    <mergeCell ref="A284:B284"/>
    <mergeCell ref="C284:G284"/>
    <mergeCell ref="A280:B280"/>
    <mergeCell ref="C280:G280"/>
    <mergeCell ref="A283:B283"/>
    <mergeCell ref="C306:G306"/>
    <mergeCell ref="C307:G307"/>
    <mergeCell ref="C308:G308"/>
    <mergeCell ref="A309:G309"/>
    <mergeCell ref="D311:E311"/>
    <mergeCell ref="G311:H311"/>
    <mergeCell ref="I311:J311"/>
    <mergeCell ref="A285:B285"/>
    <mergeCell ref="C285:G285"/>
    <mergeCell ref="A286:B286"/>
    <mergeCell ref="C286:G286"/>
    <mergeCell ref="I286:J286"/>
    <mergeCell ref="A287:G287"/>
    <mergeCell ref="A293:B293"/>
    <mergeCell ref="A294:B294"/>
    <mergeCell ref="A295:B295"/>
    <mergeCell ref="C295:G295"/>
    <mergeCell ref="A289:B289"/>
    <mergeCell ref="D289:E289"/>
    <mergeCell ref="G289:H289"/>
    <mergeCell ref="I289:J289"/>
    <mergeCell ref="B290:C290"/>
    <mergeCell ref="A307:B307"/>
    <mergeCell ref="C343:G343"/>
    <mergeCell ref="A344:B344"/>
    <mergeCell ref="C344:G344"/>
    <mergeCell ref="A345:B345"/>
    <mergeCell ref="C345:G345"/>
    <mergeCell ref="A346:B346"/>
    <mergeCell ref="C346:G346"/>
    <mergeCell ref="C347:G347"/>
    <mergeCell ref="C348:G348"/>
    <mergeCell ref="A333:B333"/>
    <mergeCell ref="A330:B330"/>
    <mergeCell ref="C330:G330"/>
    <mergeCell ref="A328:B328"/>
    <mergeCell ref="A329:B329"/>
    <mergeCell ref="C329:G329"/>
    <mergeCell ref="C328:G328"/>
    <mergeCell ref="A331:G331"/>
    <mergeCell ref="D333:E333"/>
    <mergeCell ref="G333:H333"/>
    <mergeCell ref="B334:C334"/>
    <mergeCell ref="D334:E334"/>
    <mergeCell ref="F334:J334"/>
    <mergeCell ref="F312:J312"/>
    <mergeCell ref="C315:E315"/>
    <mergeCell ref="F315:H315"/>
    <mergeCell ref="I315:J315"/>
    <mergeCell ref="A347:B347"/>
    <mergeCell ref="A339:B339"/>
    <mergeCell ref="C339:G339"/>
    <mergeCell ref="A340:B340"/>
    <mergeCell ref="C340:G340"/>
    <mergeCell ref="A364:B364"/>
    <mergeCell ref="C364:G364"/>
    <mergeCell ref="A365:B365"/>
    <mergeCell ref="C365:G365"/>
    <mergeCell ref="A366:B366"/>
    <mergeCell ref="C366:G366"/>
    <mergeCell ref="C367:G367"/>
    <mergeCell ref="C368:G368"/>
    <mergeCell ref="A355:B355"/>
    <mergeCell ref="A375:G375"/>
    <mergeCell ref="D377:E377"/>
    <mergeCell ref="G377:H377"/>
    <mergeCell ref="I377:J377"/>
    <mergeCell ref="B378:C378"/>
    <mergeCell ref="D378:E378"/>
    <mergeCell ref="F378:J378"/>
    <mergeCell ref="C384:G384"/>
    <mergeCell ref="A373:B373"/>
    <mergeCell ref="C373:G373"/>
    <mergeCell ref="A374:B374"/>
    <mergeCell ref="C374:G374"/>
    <mergeCell ref="A370:B370"/>
    <mergeCell ref="C370:G370"/>
    <mergeCell ref="A371:B371"/>
    <mergeCell ref="C371:G371"/>
    <mergeCell ref="A372:B372"/>
    <mergeCell ref="C372:G372"/>
    <mergeCell ref="A368:B368"/>
    <mergeCell ref="A369:B369"/>
    <mergeCell ref="C369:G369"/>
    <mergeCell ref="I374:J374"/>
    <mergeCell ref="A383:B383"/>
    <mergeCell ref="C387:G387"/>
    <mergeCell ref="C388:G388"/>
    <mergeCell ref="I396:J396"/>
    <mergeCell ref="A397:G397"/>
    <mergeCell ref="D399:E399"/>
    <mergeCell ref="G399:H399"/>
    <mergeCell ref="I399:J399"/>
    <mergeCell ref="A387:B387"/>
    <mergeCell ref="A384:B384"/>
    <mergeCell ref="A393:B393"/>
    <mergeCell ref="C393:G393"/>
    <mergeCell ref="A394:B394"/>
    <mergeCell ref="C394:G394"/>
    <mergeCell ref="A395:B395"/>
    <mergeCell ref="C395:G395"/>
    <mergeCell ref="A390:B390"/>
    <mergeCell ref="C390:G390"/>
    <mergeCell ref="A391:B391"/>
    <mergeCell ref="C391:G391"/>
    <mergeCell ref="A392:B392"/>
    <mergeCell ref="I440:J440"/>
    <mergeCell ref="A461:B461"/>
    <mergeCell ref="C461:G461"/>
    <mergeCell ref="A462:B462"/>
    <mergeCell ref="C462:G462"/>
    <mergeCell ref="I462:J462"/>
    <mergeCell ref="A463:G463"/>
    <mergeCell ref="A465:B465"/>
    <mergeCell ref="D465:E465"/>
    <mergeCell ref="G465:H465"/>
    <mergeCell ref="I465:J465"/>
    <mergeCell ref="I443:J443"/>
    <mergeCell ref="B444:C444"/>
    <mergeCell ref="D444:E444"/>
    <mergeCell ref="F444:J444"/>
    <mergeCell ref="A447:B447"/>
    <mergeCell ref="C447:E447"/>
    <mergeCell ref="F447:H447"/>
    <mergeCell ref="I447:J447"/>
    <mergeCell ref="A440:B440"/>
    <mergeCell ref="C440:G440"/>
    <mergeCell ref="A441:G441"/>
    <mergeCell ref="A443:B443"/>
    <mergeCell ref="D443:E443"/>
    <mergeCell ref="G443:H443"/>
    <mergeCell ref="I448:J448"/>
    <mergeCell ref="A459:B459"/>
    <mergeCell ref="C459:G459"/>
    <mergeCell ref="A460:B460"/>
    <mergeCell ref="C460:G460"/>
    <mergeCell ref="A456:B456"/>
    <mergeCell ref="C456:G456"/>
    <mergeCell ref="A500:B500"/>
    <mergeCell ref="C500:G500"/>
    <mergeCell ref="A503:B503"/>
    <mergeCell ref="C526:G526"/>
    <mergeCell ref="C527:G527"/>
    <mergeCell ref="C528:G528"/>
    <mergeCell ref="A529:G529"/>
    <mergeCell ref="D531:E531"/>
    <mergeCell ref="G531:H531"/>
    <mergeCell ref="I531:J531"/>
    <mergeCell ref="A505:B505"/>
    <mergeCell ref="C505:G505"/>
    <mergeCell ref="A506:B506"/>
    <mergeCell ref="C506:G506"/>
    <mergeCell ref="I506:J506"/>
    <mergeCell ref="A507:G507"/>
    <mergeCell ref="A513:B513"/>
    <mergeCell ref="A514:B514"/>
    <mergeCell ref="A519:B519"/>
    <mergeCell ref="C519:G519"/>
    <mergeCell ref="A520:B520"/>
    <mergeCell ref="C520:G520"/>
    <mergeCell ref="A523:B523"/>
    <mergeCell ref="A516:B516"/>
    <mergeCell ref="C516:G516"/>
    <mergeCell ref="I536:J536"/>
    <mergeCell ref="A541:B541"/>
    <mergeCell ref="C541:G541"/>
    <mergeCell ref="A527:B527"/>
    <mergeCell ref="C563:G563"/>
    <mergeCell ref="A564:B564"/>
    <mergeCell ref="C564:G564"/>
    <mergeCell ref="A565:B565"/>
    <mergeCell ref="C565:G565"/>
    <mergeCell ref="A566:B566"/>
    <mergeCell ref="C566:G566"/>
    <mergeCell ref="C567:G567"/>
    <mergeCell ref="C568:G568"/>
    <mergeCell ref="A553:B553"/>
    <mergeCell ref="A550:B550"/>
    <mergeCell ref="C550:G550"/>
    <mergeCell ref="A548:B548"/>
    <mergeCell ref="A549:B549"/>
    <mergeCell ref="C549:G549"/>
    <mergeCell ref="C548:G548"/>
    <mergeCell ref="I550:J550"/>
    <mergeCell ref="A551:G551"/>
    <mergeCell ref="D553:E553"/>
    <mergeCell ref="G553:H553"/>
    <mergeCell ref="I553:J553"/>
    <mergeCell ref="B554:C554"/>
    <mergeCell ref="D554:E554"/>
    <mergeCell ref="F554:J554"/>
    <mergeCell ref="I528:J528"/>
    <mergeCell ref="A547:B547"/>
    <mergeCell ref="A536:B536"/>
    <mergeCell ref="A537:B537"/>
    <mergeCell ref="A595:G595"/>
    <mergeCell ref="D597:E597"/>
    <mergeCell ref="G597:H597"/>
    <mergeCell ref="I597:J597"/>
    <mergeCell ref="B598:C598"/>
    <mergeCell ref="D598:E598"/>
    <mergeCell ref="F598:J598"/>
    <mergeCell ref="A597:B597"/>
    <mergeCell ref="I572:J572"/>
    <mergeCell ref="A573:G573"/>
    <mergeCell ref="D575:E575"/>
    <mergeCell ref="G575:H575"/>
    <mergeCell ref="I575:J575"/>
    <mergeCell ref="B576:C576"/>
    <mergeCell ref="D576:E576"/>
    <mergeCell ref="F576:J576"/>
    <mergeCell ref="C583:G583"/>
    <mergeCell ref="A584:B584"/>
    <mergeCell ref="C584:G584"/>
    <mergeCell ref="A585:B585"/>
    <mergeCell ref="C585:G585"/>
    <mergeCell ref="A586:B586"/>
    <mergeCell ref="C586:G586"/>
    <mergeCell ref="C587:G587"/>
    <mergeCell ref="C588:G588"/>
    <mergeCell ref="A575:B575"/>
    <mergeCell ref="A593:B593"/>
    <mergeCell ref="C593:G593"/>
    <mergeCell ref="A594:B594"/>
    <mergeCell ref="C594:G594"/>
    <mergeCell ref="A590:B590"/>
    <mergeCell ref="C590:G590"/>
  </mergeCells>
  <conditionalFormatting sqref="I1:I26">
    <cfRule type="containsText" dxfId="80" priority="264" operator="containsText" text="F">
      <formula>NOT(ISERROR(SEARCH("F",I1)))</formula>
    </cfRule>
    <cfRule type="containsText" dxfId="79" priority="263" operator="containsText" text="Ab">
      <formula>NOT(ISERROR(SEARCH("Ab",I1)))</formula>
    </cfRule>
    <cfRule type="containsText" dxfId="78" priority="262" operator="containsText" text="Dt">
      <formula>NOT(ISERROR(SEARCH("Dt",I1)))</formula>
    </cfRule>
  </conditionalFormatting>
  <conditionalFormatting sqref="I29:I48">
    <cfRule type="containsText" dxfId="77" priority="78" operator="containsText" text="F">
      <formula>NOT(ISERROR(SEARCH("F",I29)))</formula>
    </cfRule>
    <cfRule type="containsText" dxfId="76" priority="77" operator="containsText" text="Ab">
      <formula>NOT(ISERROR(SEARCH("Ab",I29)))</formula>
    </cfRule>
    <cfRule type="containsText" dxfId="75" priority="76" operator="containsText" text="Dt">
      <formula>NOT(ISERROR(SEARCH("Dt",I29)))</formula>
    </cfRule>
  </conditionalFormatting>
  <conditionalFormatting sqref="I51:I70">
    <cfRule type="containsText" dxfId="74" priority="75" operator="containsText" text="F">
      <formula>NOT(ISERROR(SEARCH("F",I51)))</formula>
    </cfRule>
    <cfRule type="containsText" dxfId="73" priority="74" operator="containsText" text="Ab">
      <formula>NOT(ISERROR(SEARCH("Ab",I51)))</formula>
    </cfRule>
    <cfRule type="containsText" dxfId="72" priority="73" operator="containsText" text="Dt">
      <formula>NOT(ISERROR(SEARCH("Dt",I51)))</formula>
    </cfRule>
  </conditionalFormatting>
  <conditionalFormatting sqref="I73:I92">
    <cfRule type="containsText" dxfId="71" priority="72" operator="containsText" text="F">
      <formula>NOT(ISERROR(SEARCH("F",I73)))</formula>
    </cfRule>
    <cfRule type="containsText" dxfId="70" priority="71" operator="containsText" text="Ab">
      <formula>NOT(ISERROR(SEARCH("Ab",I73)))</formula>
    </cfRule>
    <cfRule type="containsText" dxfId="69" priority="70" operator="containsText" text="Dt">
      <formula>NOT(ISERROR(SEARCH("Dt",I73)))</formula>
    </cfRule>
  </conditionalFormatting>
  <conditionalFormatting sqref="I95:I114">
    <cfRule type="containsText" dxfId="68" priority="69" operator="containsText" text="F">
      <formula>NOT(ISERROR(SEARCH("F",I95)))</formula>
    </cfRule>
    <cfRule type="containsText" dxfId="67" priority="68" operator="containsText" text="Ab">
      <formula>NOT(ISERROR(SEARCH("Ab",I95)))</formula>
    </cfRule>
    <cfRule type="containsText" dxfId="66" priority="67" operator="containsText" text="Dt">
      <formula>NOT(ISERROR(SEARCH("Dt",I95)))</formula>
    </cfRule>
  </conditionalFormatting>
  <conditionalFormatting sqref="I117:I136">
    <cfRule type="containsText" dxfId="65" priority="66" operator="containsText" text="F">
      <formula>NOT(ISERROR(SEARCH("F",I117)))</formula>
    </cfRule>
    <cfRule type="containsText" dxfId="64" priority="65" operator="containsText" text="Ab">
      <formula>NOT(ISERROR(SEARCH("Ab",I117)))</formula>
    </cfRule>
    <cfRule type="containsText" dxfId="63" priority="64" operator="containsText" text="Dt">
      <formula>NOT(ISERROR(SEARCH("Dt",I117)))</formula>
    </cfRule>
  </conditionalFormatting>
  <conditionalFormatting sqref="I139:I158">
    <cfRule type="containsText" dxfId="62" priority="62" operator="containsText" text="Ab">
      <formula>NOT(ISERROR(SEARCH("Ab",I139)))</formula>
    </cfRule>
    <cfRule type="containsText" dxfId="61" priority="63" operator="containsText" text="F">
      <formula>NOT(ISERROR(SEARCH("F",I139)))</formula>
    </cfRule>
    <cfRule type="containsText" dxfId="60" priority="61" operator="containsText" text="Dt">
      <formula>NOT(ISERROR(SEARCH("Dt",I139)))</formula>
    </cfRule>
  </conditionalFormatting>
  <conditionalFormatting sqref="I161:I180">
    <cfRule type="containsText" dxfId="59" priority="60" operator="containsText" text="F">
      <formula>NOT(ISERROR(SEARCH("F",I161)))</formula>
    </cfRule>
    <cfRule type="containsText" dxfId="58" priority="59" operator="containsText" text="Ab">
      <formula>NOT(ISERROR(SEARCH("Ab",I161)))</formula>
    </cfRule>
    <cfRule type="containsText" dxfId="57" priority="58" operator="containsText" text="Dt">
      <formula>NOT(ISERROR(SEARCH("Dt",I161)))</formula>
    </cfRule>
  </conditionalFormatting>
  <conditionalFormatting sqref="I183:I202">
    <cfRule type="containsText" dxfId="56" priority="57" operator="containsText" text="F">
      <formula>NOT(ISERROR(SEARCH("F",I183)))</formula>
    </cfRule>
    <cfRule type="containsText" dxfId="55" priority="56" operator="containsText" text="Ab">
      <formula>NOT(ISERROR(SEARCH("Ab",I183)))</formula>
    </cfRule>
    <cfRule type="containsText" dxfId="54" priority="55" operator="containsText" text="Dt">
      <formula>NOT(ISERROR(SEARCH("Dt",I183)))</formula>
    </cfRule>
  </conditionalFormatting>
  <conditionalFormatting sqref="I205:I224">
    <cfRule type="containsText" dxfId="53" priority="54" operator="containsText" text="F">
      <formula>NOT(ISERROR(SEARCH("F",I205)))</formula>
    </cfRule>
    <cfRule type="containsText" dxfId="52" priority="53" operator="containsText" text="Ab">
      <formula>NOT(ISERROR(SEARCH("Ab",I205)))</formula>
    </cfRule>
    <cfRule type="containsText" dxfId="51" priority="52" operator="containsText" text="Dt">
      <formula>NOT(ISERROR(SEARCH("Dt",I205)))</formula>
    </cfRule>
  </conditionalFormatting>
  <conditionalFormatting sqref="I227:I246">
    <cfRule type="containsText" dxfId="50" priority="51" operator="containsText" text="F">
      <formula>NOT(ISERROR(SEARCH("F",I227)))</formula>
    </cfRule>
    <cfRule type="containsText" dxfId="49" priority="50" operator="containsText" text="Ab">
      <formula>NOT(ISERROR(SEARCH("Ab",I227)))</formula>
    </cfRule>
    <cfRule type="containsText" dxfId="48" priority="49" operator="containsText" text="Dt">
      <formula>NOT(ISERROR(SEARCH("Dt",I227)))</formula>
    </cfRule>
  </conditionalFormatting>
  <conditionalFormatting sqref="I249:I268">
    <cfRule type="containsText" dxfId="47" priority="48" operator="containsText" text="F">
      <formula>NOT(ISERROR(SEARCH("F",I249)))</formula>
    </cfRule>
    <cfRule type="containsText" dxfId="46" priority="47" operator="containsText" text="Ab">
      <formula>NOT(ISERROR(SEARCH("Ab",I249)))</formula>
    </cfRule>
    <cfRule type="containsText" dxfId="45" priority="46" operator="containsText" text="Dt">
      <formula>NOT(ISERROR(SEARCH("Dt",I249)))</formula>
    </cfRule>
  </conditionalFormatting>
  <conditionalFormatting sqref="I271:I290">
    <cfRule type="containsText" dxfId="44" priority="45" operator="containsText" text="F">
      <formula>NOT(ISERROR(SEARCH("F",I271)))</formula>
    </cfRule>
    <cfRule type="containsText" dxfId="43" priority="44" operator="containsText" text="Ab">
      <formula>NOT(ISERROR(SEARCH("Ab",I271)))</formula>
    </cfRule>
    <cfRule type="containsText" dxfId="42" priority="43" operator="containsText" text="Dt">
      <formula>NOT(ISERROR(SEARCH("Dt",I271)))</formula>
    </cfRule>
  </conditionalFormatting>
  <conditionalFormatting sqref="I293:I312">
    <cfRule type="containsText" dxfId="41" priority="41" operator="containsText" text="Ab">
      <formula>NOT(ISERROR(SEARCH("Ab",I293)))</formula>
    </cfRule>
    <cfRule type="containsText" dxfId="40" priority="40" operator="containsText" text="Dt">
      <formula>NOT(ISERROR(SEARCH("Dt",I293)))</formula>
    </cfRule>
    <cfRule type="containsText" dxfId="39" priority="42" operator="containsText" text="F">
      <formula>NOT(ISERROR(SEARCH("F",I293)))</formula>
    </cfRule>
  </conditionalFormatting>
  <conditionalFormatting sqref="I315:I334">
    <cfRule type="containsText" dxfId="38" priority="39" operator="containsText" text="F">
      <formula>NOT(ISERROR(SEARCH("F",I315)))</formula>
    </cfRule>
    <cfRule type="containsText" dxfId="37" priority="38" operator="containsText" text="Ab">
      <formula>NOT(ISERROR(SEARCH("Ab",I315)))</formula>
    </cfRule>
    <cfRule type="containsText" dxfId="36" priority="37" operator="containsText" text="Dt">
      <formula>NOT(ISERROR(SEARCH("Dt",I315)))</formula>
    </cfRule>
  </conditionalFormatting>
  <conditionalFormatting sqref="I337:I356">
    <cfRule type="containsText" dxfId="35" priority="36" operator="containsText" text="F">
      <formula>NOT(ISERROR(SEARCH("F",I337)))</formula>
    </cfRule>
    <cfRule type="containsText" dxfId="34" priority="35" operator="containsText" text="Ab">
      <formula>NOT(ISERROR(SEARCH("Ab",I337)))</formula>
    </cfRule>
    <cfRule type="containsText" dxfId="33" priority="34" operator="containsText" text="Dt">
      <formula>NOT(ISERROR(SEARCH("Dt",I337)))</formula>
    </cfRule>
  </conditionalFormatting>
  <conditionalFormatting sqref="I359:I378">
    <cfRule type="containsText" dxfId="32" priority="33" operator="containsText" text="F">
      <formula>NOT(ISERROR(SEARCH("F",I359)))</formula>
    </cfRule>
    <cfRule type="containsText" dxfId="31" priority="32" operator="containsText" text="Ab">
      <formula>NOT(ISERROR(SEARCH("Ab",I359)))</formula>
    </cfRule>
    <cfRule type="containsText" dxfId="30" priority="31" operator="containsText" text="Dt">
      <formula>NOT(ISERROR(SEARCH("Dt",I359)))</formula>
    </cfRule>
  </conditionalFormatting>
  <conditionalFormatting sqref="I381:I400">
    <cfRule type="containsText" dxfId="29" priority="30" operator="containsText" text="F">
      <formula>NOT(ISERROR(SEARCH("F",I381)))</formula>
    </cfRule>
    <cfRule type="containsText" dxfId="28" priority="29" operator="containsText" text="Ab">
      <formula>NOT(ISERROR(SEARCH("Ab",I381)))</formula>
    </cfRule>
    <cfRule type="containsText" dxfId="27" priority="28" operator="containsText" text="Dt">
      <formula>NOT(ISERROR(SEARCH("Dt",I381)))</formula>
    </cfRule>
  </conditionalFormatting>
  <conditionalFormatting sqref="I403:I422">
    <cfRule type="containsText" dxfId="26" priority="27" operator="containsText" text="F">
      <formula>NOT(ISERROR(SEARCH("F",I403)))</formula>
    </cfRule>
    <cfRule type="containsText" dxfId="25" priority="26" operator="containsText" text="Ab">
      <formula>NOT(ISERROR(SEARCH("Ab",I403)))</formula>
    </cfRule>
    <cfRule type="containsText" dxfId="24" priority="25" operator="containsText" text="Dt">
      <formula>NOT(ISERROR(SEARCH("Dt",I403)))</formula>
    </cfRule>
  </conditionalFormatting>
  <conditionalFormatting sqref="I425:I444">
    <cfRule type="containsText" dxfId="23" priority="24" operator="containsText" text="F">
      <formula>NOT(ISERROR(SEARCH("F",I425)))</formula>
    </cfRule>
    <cfRule type="containsText" dxfId="22" priority="23" operator="containsText" text="Ab">
      <formula>NOT(ISERROR(SEARCH("Ab",I425)))</formula>
    </cfRule>
    <cfRule type="containsText" dxfId="21" priority="22" operator="containsText" text="Dt">
      <formula>NOT(ISERROR(SEARCH("Dt",I425)))</formula>
    </cfRule>
  </conditionalFormatting>
  <conditionalFormatting sqref="I447:I466">
    <cfRule type="containsText" dxfId="20" priority="21" operator="containsText" text="F">
      <formula>NOT(ISERROR(SEARCH("F",I447)))</formula>
    </cfRule>
    <cfRule type="containsText" dxfId="19" priority="20" operator="containsText" text="Ab">
      <formula>NOT(ISERROR(SEARCH("Ab",I447)))</formula>
    </cfRule>
    <cfRule type="containsText" dxfId="18" priority="19" operator="containsText" text="Dt">
      <formula>NOT(ISERROR(SEARCH("Dt",I447)))</formula>
    </cfRule>
  </conditionalFormatting>
  <conditionalFormatting sqref="I469:I488">
    <cfRule type="containsText" dxfId="17" priority="18" operator="containsText" text="F">
      <formula>NOT(ISERROR(SEARCH("F",I469)))</formula>
    </cfRule>
    <cfRule type="containsText" dxfId="16" priority="17" operator="containsText" text="Ab">
      <formula>NOT(ISERROR(SEARCH("Ab",I469)))</formula>
    </cfRule>
    <cfRule type="containsText" dxfId="15" priority="16" operator="containsText" text="Dt">
      <formula>NOT(ISERROR(SEARCH("Dt",I469)))</formula>
    </cfRule>
  </conditionalFormatting>
  <conditionalFormatting sqref="I491:I510">
    <cfRule type="containsText" dxfId="14" priority="15" operator="containsText" text="F">
      <formula>NOT(ISERROR(SEARCH("F",I491)))</formula>
    </cfRule>
    <cfRule type="containsText" dxfId="13" priority="14" operator="containsText" text="Ab">
      <formula>NOT(ISERROR(SEARCH("Ab",I491)))</formula>
    </cfRule>
    <cfRule type="containsText" dxfId="12" priority="13" operator="containsText" text="Dt">
      <formula>NOT(ISERROR(SEARCH("Dt",I491)))</formula>
    </cfRule>
  </conditionalFormatting>
  <conditionalFormatting sqref="I513:I532">
    <cfRule type="containsText" dxfId="11" priority="12" operator="containsText" text="F">
      <formula>NOT(ISERROR(SEARCH("F",I513)))</formula>
    </cfRule>
    <cfRule type="containsText" dxfId="10" priority="11" operator="containsText" text="Ab">
      <formula>NOT(ISERROR(SEARCH("Ab",I513)))</formula>
    </cfRule>
    <cfRule type="containsText" dxfId="9" priority="10" operator="containsText" text="Dt">
      <formula>NOT(ISERROR(SEARCH("Dt",I513)))</formula>
    </cfRule>
  </conditionalFormatting>
  <conditionalFormatting sqref="I535:I554">
    <cfRule type="containsText" dxfId="8" priority="9" operator="containsText" text="F">
      <formula>NOT(ISERROR(SEARCH("F",I535)))</formula>
    </cfRule>
    <cfRule type="containsText" dxfId="7" priority="8" operator="containsText" text="Ab">
      <formula>NOT(ISERROR(SEARCH("Ab",I535)))</formula>
    </cfRule>
    <cfRule type="containsText" dxfId="6" priority="7" operator="containsText" text="Dt">
      <formula>NOT(ISERROR(SEARCH("Dt",I535)))</formula>
    </cfRule>
  </conditionalFormatting>
  <conditionalFormatting sqref="I557:I576">
    <cfRule type="containsText" dxfId="5" priority="6" operator="containsText" text="F">
      <formula>NOT(ISERROR(SEARCH("F",I557)))</formula>
    </cfRule>
    <cfRule type="containsText" dxfId="4" priority="5" operator="containsText" text="Ab">
      <formula>NOT(ISERROR(SEARCH("Ab",I557)))</formula>
    </cfRule>
    <cfRule type="containsText" dxfId="3" priority="4" operator="containsText" text="Dt">
      <formula>NOT(ISERROR(SEARCH("Dt",I557)))</formula>
    </cfRule>
  </conditionalFormatting>
  <conditionalFormatting sqref="I579:I598">
    <cfRule type="containsText" dxfId="2" priority="3" operator="containsText" text="F">
      <formula>NOT(ISERROR(SEARCH("F",I579)))</formula>
    </cfRule>
    <cfRule type="containsText" dxfId="1" priority="2" operator="containsText" text="Ab">
      <formula>NOT(ISERROR(SEARCH("Ab",I579)))</formula>
    </cfRule>
    <cfRule type="containsText" dxfId="0" priority="1" operator="containsText" text="Dt">
      <formula>NOT(ISERROR(SEARCH("Dt",I579)))</formula>
    </cfRule>
  </conditionalFormatting>
  <printOptions horizontalCentered="1"/>
  <pageMargins left="0.31496062992126" right="0.31496062992126" top="0.85433070899999997" bottom="0.83" header="0.36811023599999998" footer="0.31496062992126"/>
  <pageSetup paperSize="9" scale="96" orientation="portrait" r:id="rId1"/>
  <headerFooter>
    <oddHeader>&amp;C&amp;G&amp;R&amp;"Times New Roman,Bold"&amp;12&amp;U&amp;K000000Sl. No.: B. Tech/ BT/2025-29/10&amp;P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27" manualBreakCount="27">
    <brk id="28" max="16383" man="1"/>
    <brk id="50" max="16383" man="1"/>
    <brk id="72" max="16383" man="1"/>
    <brk id="94" max="16383" man="1"/>
    <brk id="116" max="16383" man="1"/>
    <brk id="138" max="16383" man="1"/>
    <brk id="160" max="16383" man="1"/>
    <brk id="182" max="16383" man="1"/>
    <brk id="204" max="16383" man="1"/>
    <brk id="226" max="16383" man="1"/>
    <brk id="248" max="16383" man="1"/>
    <brk id="270" max="16383" man="1"/>
    <brk id="292" max="16383" man="1"/>
    <brk id="314" max="16383" man="1"/>
    <brk id="336" max="16383" man="1"/>
    <brk id="358" max="16383" man="1"/>
    <brk id="380" max="16383" man="1"/>
    <brk id="402" max="16383" man="1"/>
    <brk id="424" max="16383" man="1"/>
    <brk id="446" max="16383" man="1"/>
    <brk id="468" max="16383" man="1"/>
    <brk id="490" max="16383" man="1"/>
    <brk id="512" max="16383" man="1"/>
    <brk id="534" max="16383" man="1"/>
    <brk id="556" max="16383" man="1"/>
    <brk id="578" max="16383" man="1"/>
    <brk id="600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SEM_I</vt:lpstr>
      <vt:lpstr>TC_I</vt:lpstr>
      <vt:lpstr>GS_I</vt:lpstr>
      <vt:lpstr>I</vt:lpstr>
      <vt:lpstr>TC_I!Print_Area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2026-04-24T04:29:50Z</cp:lastPrinted>
  <dcterms:created xsi:type="dcterms:W3CDTF">2024-01-23T09:27:10Z</dcterms:created>
  <dcterms:modified xsi:type="dcterms:W3CDTF">2026-04-27T07:01:19Z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