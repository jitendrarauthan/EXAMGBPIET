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435560E0-650D-6A4B-B15C-5BD319279413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I">SEM_I!$A$1:$AS$26</definedName>
    <definedName name="II">#REF!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9" i="1" l="1"/>
  <c r="AX19" i="1"/>
  <c r="AW20" i="1"/>
  <c r="AX20" i="1"/>
  <c r="AX21" i="1" s="1"/>
  <c r="AX22" i="1" s="1"/>
  <c r="AX23" i="1" s="1"/>
  <c r="AX24" i="1" s="1"/>
  <c r="AX25" i="1" s="1"/>
  <c r="AW21" i="1"/>
  <c r="AW22" i="1" s="1"/>
  <c r="AW23" i="1" s="1"/>
  <c r="AW24" i="1" s="1"/>
  <c r="AW25" i="1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O56" i="22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35" i="22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X24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07" i="23"/>
  <c r="A86" i="23"/>
  <c r="A65" i="23"/>
  <c r="A48" i="23"/>
  <c r="A69" i="23" s="1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47" i="23"/>
  <c r="A68" i="23" s="1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44" i="23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Q14" i="22"/>
  <c r="T23" i="22"/>
  <c r="S21" i="22"/>
  <c r="S17" i="22"/>
  <c r="T14" i="22"/>
  <c r="T19" i="22"/>
  <c r="U22" i="22"/>
  <c r="U24" i="22"/>
  <c r="S23" i="22"/>
  <c r="T22" i="22"/>
  <c r="S16" i="22"/>
  <c r="S13" i="22"/>
  <c r="S18" i="22"/>
  <c r="S24" i="22"/>
  <c r="S15" i="22"/>
  <c r="Q17" i="22"/>
  <c r="Q21" i="22"/>
  <c r="U13" i="22"/>
  <c r="U20" i="22"/>
  <c r="Q22" i="22"/>
  <c r="Q15" i="22"/>
  <c r="U19" i="22"/>
  <c r="T15" i="22"/>
  <c r="T13" i="22"/>
  <c r="Q20" i="22"/>
  <c r="U16" i="22"/>
  <c r="U14" i="22"/>
  <c r="T17" i="22"/>
  <c r="Q16" i="22"/>
  <c r="Q18" i="22"/>
  <c r="T16" i="22"/>
  <c r="Q24" i="22"/>
  <c r="U23" i="22"/>
  <c r="U15" i="22"/>
  <c r="Q23" i="22"/>
  <c r="S20" i="22"/>
  <c r="T21" i="22"/>
  <c r="U17" i="22"/>
  <c r="S14" i="22"/>
  <c r="T18" i="22"/>
  <c r="Q13" i="22"/>
  <c r="U21" i="22"/>
  <c r="S19" i="22"/>
  <c r="S22" i="22"/>
  <c r="T24" i="22"/>
  <c r="U18" i="22"/>
  <c r="T20" i="22"/>
  <c r="Q19" i="22"/>
  <c r="N433" i="22" l="1"/>
  <c r="E433" i="22"/>
  <c r="M433" i="22"/>
  <c r="D433" i="22"/>
  <c r="G433" i="22"/>
  <c r="L433" i="22"/>
  <c r="B433" i="22"/>
  <c r="K433" i="22"/>
  <c r="A433" i="22"/>
  <c r="J433" i="22"/>
  <c r="I433" i="22"/>
  <c r="H433" i="22"/>
  <c r="W33" i="22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W54" i="22"/>
  <c r="W75" i="22"/>
  <c r="W96" i="22"/>
  <c r="B114" i="22"/>
  <c r="W16" i="22"/>
  <c r="F1411" i="23"/>
  <c r="W20" i="22"/>
  <c r="W14" i="22"/>
  <c r="W23" i="22"/>
  <c r="H1406" i="23"/>
  <c r="W22" i="22"/>
  <c r="W18" i="22"/>
  <c r="W19" i="22"/>
  <c r="W13" i="22"/>
  <c r="W21" i="22"/>
  <c r="W17" i="22"/>
  <c r="W15" i="22"/>
  <c r="B134" i="22" l="1"/>
  <c r="B155" i="22" l="1"/>
  <c r="C1377" i="23"/>
  <c r="I890" i="23"/>
  <c r="C784" i="23"/>
  <c r="M135" i="22"/>
  <c r="C1389" i="23"/>
  <c r="I72" i="22"/>
  <c r="I1330" i="23"/>
  <c r="I1389" i="23"/>
  <c r="I1401" i="23"/>
  <c r="C1373" i="23"/>
  <c r="I1163" i="23"/>
  <c r="C1351" i="23"/>
  <c r="I1121" i="23"/>
  <c r="C553" i="23"/>
  <c r="I616" i="23"/>
  <c r="H1386" i="23"/>
  <c r="H1383" i="23"/>
  <c r="A1384" i="23"/>
  <c r="I826" i="23"/>
  <c r="I701" i="23"/>
  <c r="I1402" i="23"/>
  <c r="E93" i="22"/>
  <c r="A1376" i="23"/>
  <c r="C868" i="23"/>
  <c r="I1382" i="23"/>
  <c r="I30" i="22"/>
  <c r="C1378" i="23"/>
  <c r="C1380" i="23"/>
  <c r="A1406" i="23"/>
  <c r="H1396" i="23"/>
  <c r="C1057" i="23"/>
  <c r="I1378" i="23"/>
  <c r="I1381" i="23"/>
  <c r="C1379" i="23"/>
  <c r="J1399" i="23"/>
  <c r="C1384" i="23"/>
  <c r="C1376" i="23"/>
  <c r="C1406" i="23"/>
  <c r="A1398" i="23"/>
  <c r="F1410" i="23"/>
  <c r="I1057" i="23"/>
  <c r="A1375" i="23"/>
  <c r="J1385" i="23"/>
  <c r="C1015" i="23"/>
  <c r="I1385" i="23"/>
  <c r="I1393" i="23"/>
  <c r="H1405" i="23"/>
  <c r="H1397" i="23"/>
  <c r="I1404" i="23"/>
  <c r="E135" i="22"/>
  <c r="I1405" i="23"/>
  <c r="I1226" i="23"/>
  <c r="I1375" i="23"/>
  <c r="E114" i="22"/>
  <c r="C511" i="23"/>
  <c r="A1404" i="23"/>
  <c r="J1382" i="23"/>
  <c r="I595" i="23"/>
  <c r="C1246" i="23"/>
  <c r="M114" i="22"/>
  <c r="A1399" i="23"/>
  <c r="C1386" i="23"/>
  <c r="H1380" i="23"/>
  <c r="H1402" i="23"/>
  <c r="C1397" i="23"/>
  <c r="H1375" i="23"/>
  <c r="J1379" i="23"/>
  <c r="M72" i="22"/>
  <c r="C1383" i="23"/>
  <c r="I1078" i="23"/>
  <c r="J1383" i="23"/>
  <c r="B135" i="22"/>
  <c r="C1400" i="23"/>
  <c r="J1402" i="23"/>
  <c r="I1399" i="23"/>
  <c r="J1401" i="23"/>
  <c r="J1397" i="23"/>
  <c r="I93" i="22"/>
  <c r="A1407" i="23"/>
  <c r="C448" i="23"/>
  <c r="J1376" i="23"/>
  <c r="C1404" i="23"/>
  <c r="I1310" i="23"/>
  <c r="C574" i="23"/>
  <c r="C1403" i="23"/>
  <c r="C994" i="23"/>
  <c r="A1396" i="23"/>
  <c r="H1382" i="23"/>
  <c r="B1411" i="23"/>
  <c r="C1225" i="23"/>
  <c r="I1376" i="23"/>
  <c r="C847" i="23"/>
  <c r="J1375" i="23"/>
  <c r="I721" i="23"/>
  <c r="I1396" i="23"/>
  <c r="C679" i="23"/>
  <c r="I1403" i="23"/>
  <c r="C1183" i="23"/>
  <c r="A1380" i="23"/>
  <c r="C1394" i="23"/>
  <c r="J1403" i="23"/>
  <c r="I1394" i="23"/>
  <c r="C889" i="23"/>
  <c r="C742" i="23"/>
  <c r="I995" i="23"/>
  <c r="I51" i="22"/>
  <c r="I679" i="23"/>
  <c r="C1375" i="23"/>
  <c r="C1309" i="23"/>
  <c r="F1390" i="23"/>
  <c r="I1352" i="23"/>
  <c r="I617" i="23"/>
  <c r="F1389" i="23"/>
  <c r="J1384" i="23"/>
  <c r="C1120" i="23"/>
  <c r="A1402" i="23"/>
  <c r="C1099" i="23"/>
  <c r="I1100" i="23"/>
  <c r="I1058" i="23"/>
  <c r="C1410" i="23"/>
  <c r="C1385" i="23"/>
  <c r="I1184" i="23"/>
  <c r="A1386" i="23"/>
  <c r="I1398" i="23"/>
  <c r="J1377" i="23"/>
  <c r="C595" i="23"/>
  <c r="C112" i="23"/>
  <c r="I1377" i="23"/>
  <c r="C637" i="23"/>
  <c r="C763" i="23"/>
  <c r="H1403" i="23"/>
  <c r="C1141" i="23"/>
  <c r="J1406" i="23"/>
  <c r="C1382" i="23"/>
  <c r="I1331" i="23"/>
  <c r="A1401" i="23"/>
  <c r="A1397" i="23"/>
  <c r="J1396" i="23"/>
  <c r="H1404" i="23"/>
  <c r="C1078" i="23"/>
  <c r="J1381" i="23"/>
  <c r="F50" i="22"/>
  <c r="C490" i="23"/>
  <c r="I1397" i="23"/>
  <c r="I114" i="22"/>
  <c r="C616" i="23"/>
  <c r="C1407" i="23"/>
  <c r="F71" i="22"/>
  <c r="A1400" i="23"/>
  <c r="J1405" i="23"/>
  <c r="H1378" i="23"/>
  <c r="J1380" i="23"/>
  <c r="I638" i="23"/>
  <c r="C1267" i="23"/>
  <c r="C721" i="23"/>
  <c r="C658" i="23"/>
  <c r="C1372" i="23"/>
  <c r="H1381" i="23"/>
  <c r="M51" i="22"/>
  <c r="C1405" i="23"/>
  <c r="H1398" i="23"/>
  <c r="J1378" i="23"/>
  <c r="H1384" i="23"/>
  <c r="C1396" i="23"/>
  <c r="C1162" i="23"/>
  <c r="J1398" i="23"/>
  <c r="H1401" i="23"/>
  <c r="H1379" i="23"/>
  <c r="C700" i="23"/>
  <c r="I449" i="23"/>
  <c r="I469" i="23"/>
  <c r="I135" i="22"/>
  <c r="I1400" i="23"/>
  <c r="H1377" i="23"/>
  <c r="H1399" i="23"/>
  <c r="C1402" i="23"/>
  <c r="C469" i="23"/>
  <c r="C931" i="23"/>
  <c r="C952" i="23"/>
  <c r="C910" i="23"/>
  <c r="A1383" i="23"/>
  <c r="M30" i="22"/>
  <c r="C1393" i="23"/>
  <c r="A1403" i="23"/>
  <c r="A1382" i="23"/>
  <c r="I1246" i="23"/>
  <c r="I1386" i="23"/>
  <c r="C1036" i="23"/>
  <c r="A1385" i="23"/>
  <c r="A1379" i="23"/>
  <c r="I1289" i="23"/>
  <c r="I722" i="23"/>
  <c r="H1385" i="23"/>
  <c r="C1398" i="23"/>
  <c r="I1373" i="23"/>
  <c r="C1204" i="23"/>
  <c r="C532" i="23"/>
  <c r="I1372" i="23"/>
  <c r="C1330" i="23"/>
  <c r="C1288" i="23"/>
  <c r="C973" i="23"/>
  <c r="I1380" i="23"/>
  <c r="A1377" i="23"/>
  <c r="I1383" i="23"/>
  <c r="B51" i="22"/>
  <c r="I1288" i="23"/>
  <c r="I1410" i="23"/>
  <c r="H1376" i="23"/>
  <c r="C1381" i="23"/>
  <c r="C1399" i="23"/>
  <c r="F134" i="22"/>
  <c r="J1400" i="23"/>
  <c r="F113" i="22"/>
  <c r="I1406" i="23"/>
  <c r="A1378" i="23"/>
  <c r="J1404" i="23"/>
  <c r="C826" i="23"/>
  <c r="I1247" i="23"/>
  <c r="C1401" i="23"/>
  <c r="H1407" i="23"/>
  <c r="I1379" i="23"/>
  <c r="H1400" i="23"/>
  <c r="I827" i="23"/>
  <c r="A1405" i="23"/>
  <c r="F29" i="22"/>
  <c r="I1384" i="23"/>
  <c r="A1381" i="23"/>
  <c r="I1407" i="23"/>
  <c r="B1390" i="23"/>
  <c r="E30" i="22"/>
  <c r="C805" i="23"/>
  <c r="G87" i="22" l="1"/>
  <c r="X87" i="22"/>
  <c r="X150" i="22"/>
  <c r="G150" i="22"/>
  <c r="G66" i="22"/>
  <c r="X66" i="22"/>
  <c r="M47" i="22"/>
  <c r="M32" i="22"/>
  <c r="D47" i="22"/>
  <c r="K47" i="22"/>
  <c r="G32" i="22"/>
  <c r="A32" i="22"/>
  <c r="A30" i="22"/>
  <c r="A47" i="22"/>
  <c r="G30" i="22"/>
  <c r="I32" i="22"/>
  <c r="A46" i="22"/>
  <c r="K32" i="22"/>
  <c r="N32" i="22"/>
  <c r="K30" i="22"/>
  <c r="G47" i="22"/>
  <c r="I47" i="22"/>
  <c r="X45" i="22"/>
  <c r="G45" i="22"/>
  <c r="F32" i="22"/>
  <c r="B32" i="22"/>
  <c r="D30" i="22"/>
  <c r="H1387" i="23"/>
  <c r="H1408" i="23"/>
  <c r="J1387" i="23"/>
  <c r="X129" i="22"/>
  <c r="G129" i="22"/>
  <c r="J1408" i="23"/>
  <c r="B176" i="22"/>
  <c r="B197" i="22" l="1"/>
  <c r="B218" i="22" l="1"/>
  <c r="Q60" i="22"/>
  <c r="U39" i="22"/>
  <c r="S120" i="22"/>
  <c r="F149" i="22"/>
  <c r="U56" i="22"/>
  <c r="A145" i="22"/>
  <c r="Q36" i="22"/>
  <c r="Q142" i="22"/>
  <c r="Q62" i="22"/>
  <c r="T119" i="22"/>
  <c r="T66" i="22"/>
  <c r="T118" i="22"/>
  <c r="T34" i="22"/>
  <c r="I177" i="22"/>
  <c r="Q40" i="22"/>
  <c r="T122" i="22"/>
  <c r="Q37" i="22"/>
  <c r="A143" i="22"/>
  <c r="U139" i="22"/>
  <c r="S35" i="22"/>
  <c r="S125" i="22"/>
  <c r="Q148" i="22"/>
  <c r="S76" i="22"/>
  <c r="U78" i="22"/>
  <c r="B177" i="22"/>
  <c r="I133" i="23"/>
  <c r="F148" i="22"/>
  <c r="Q127" i="22"/>
  <c r="U64" i="22"/>
  <c r="I156" i="22"/>
  <c r="S60" i="22"/>
  <c r="B145" i="22"/>
  <c r="B139" i="22"/>
  <c r="U143" i="22"/>
  <c r="S55" i="22"/>
  <c r="T126" i="22"/>
  <c r="T145" i="22"/>
  <c r="U142" i="22"/>
  <c r="T76" i="22"/>
  <c r="U76" i="22"/>
  <c r="T64" i="22"/>
  <c r="U119" i="22"/>
  <c r="Q144" i="22"/>
  <c r="Q82" i="22"/>
  <c r="F155" i="22"/>
  <c r="Q38" i="22"/>
  <c r="Q79" i="22"/>
  <c r="A146" i="22"/>
  <c r="Q41" i="22"/>
  <c r="Q147" i="22"/>
  <c r="Q45" i="22"/>
  <c r="T55" i="22"/>
  <c r="S84" i="22"/>
  <c r="U124" i="22"/>
  <c r="S81" i="22"/>
  <c r="Q118" i="22"/>
  <c r="U126" i="22"/>
  <c r="S121" i="22"/>
  <c r="F150" i="22"/>
  <c r="B141" i="22"/>
  <c r="U65" i="22"/>
  <c r="S56" i="22"/>
  <c r="T63" i="22"/>
  <c r="Q124" i="22"/>
  <c r="T77" i="22"/>
  <c r="U145" i="22"/>
  <c r="Q139" i="22"/>
  <c r="T35" i="22"/>
  <c r="S148" i="22"/>
  <c r="S126" i="22"/>
  <c r="U62" i="22"/>
  <c r="T83" i="22"/>
  <c r="T140" i="22"/>
  <c r="U57" i="22"/>
  <c r="T148" i="22"/>
  <c r="U123" i="22"/>
  <c r="U86" i="22"/>
  <c r="S83" i="22"/>
  <c r="Q83" i="22"/>
  <c r="T143" i="22"/>
  <c r="T59" i="22"/>
  <c r="T58" i="22"/>
  <c r="T81" i="22"/>
  <c r="S37" i="22"/>
  <c r="M156" i="22"/>
  <c r="B148" i="22"/>
  <c r="U34" i="22"/>
  <c r="U120" i="22"/>
  <c r="B150" i="22"/>
  <c r="U122" i="22"/>
  <c r="T45" i="22"/>
  <c r="U87" i="22"/>
  <c r="Q39" i="22"/>
  <c r="U150" i="22"/>
  <c r="B143" i="22"/>
  <c r="S43" i="22"/>
  <c r="C133" i="23"/>
  <c r="S145" i="22"/>
  <c r="T61" i="22"/>
  <c r="S66" i="22"/>
  <c r="U55" i="22"/>
  <c r="U125" i="22"/>
  <c r="T123" i="22"/>
  <c r="Q85" i="22"/>
  <c r="Q121" i="22"/>
  <c r="S63" i="22"/>
  <c r="U58" i="22"/>
  <c r="U129" i="22"/>
  <c r="U40" i="22"/>
  <c r="T37" i="22"/>
  <c r="S118" i="22"/>
  <c r="M177" i="22"/>
  <c r="F141" i="22"/>
  <c r="F143" i="22"/>
  <c r="Q125" i="22"/>
  <c r="U79" i="22"/>
  <c r="S61" i="22"/>
  <c r="U85" i="22"/>
  <c r="S65" i="22"/>
  <c r="F146" i="22"/>
  <c r="T42" i="22"/>
  <c r="S38" i="22"/>
  <c r="S149" i="22"/>
  <c r="U144" i="22"/>
  <c r="S119" i="22"/>
  <c r="Q76" i="22"/>
  <c r="E177" i="22"/>
  <c r="T38" i="22"/>
  <c r="S78" i="22"/>
  <c r="S150" i="22"/>
  <c r="Q128" i="22"/>
  <c r="S79" i="22"/>
  <c r="S41" i="22"/>
  <c r="S123" i="22"/>
  <c r="S39" i="22"/>
  <c r="S141" i="22"/>
  <c r="Q34" i="22"/>
  <c r="U146" i="22"/>
  <c r="T150" i="22"/>
  <c r="T125" i="22"/>
  <c r="S42" i="22"/>
  <c r="A147" i="22"/>
  <c r="U45" i="22"/>
  <c r="A142" i="22"/>
  <c r="T121" i="22"/>
  <c r="S146" i="22"/>
  <c r="F147" i="22"/>
  <c r="Q77" i="22"/>
  <c r="S147" i="22"/>
  <c r="Q140" i="22"/>
  <c r="S127" i="22"/>
  <c r="Q87" i="22"/>
  <c r="Q123" i="22"/>
  <c r="U66" i="22"/>
  <c r="U61" i="22"/>
  <c r="S140" i="22"/>
  <c r="U80" i="22"/>
  <c r="U148" i="22"/>
  <c r="Q150" i="22"/>
  <c r="Q81" i="22"/>
  <c r="S59" i="22"/>
  <c r="T146" i="22"/>
  <c r="F144" i="22"/>
  <c r="B147" i="22"/>
  <c r="S34" i="22"/>
  <c r="S40" i="22"/>
  <c r="S143" i="22"/>
  <c r="T41" i="22"/>
  <c r="S124" i="22"/>
  <c r="Q120" i="22"/>
  <c r="Q35" i="22"/>
  <c r="T141" i="22"/>
  <c r="U43" i="22"/>
  <c r="F142" i="22"/>
  <c r="S57" i="22"/>
  <c r="Q141" i="22"/>
  <c r="U44" i="22"/>
  <c r="Q143" i="22"/>
  <c r="T142" i="22"/>
  <c r="U83" i="22"/>
  <c r="U35" i="22"/>
  <c r="T80" i="22"/>
  <c r="S45" i="22"/>
  <c r="U147" i="22"/>
  <c r="Q145" i="22"/>
  <c r="Q66" i="22"/>
  <c r="T139" i="22"/>
  <c r="Q63" i="22"/>
  <c r="T40" i="22"/>
  <c r="F145" i="22"/>
  <c r="Q42" i="22"/>
  <c r="B156" i="22"/>
  <c r="A141" i="22"/>
  <c r="S58" i="22"/>
  <c r="A140" i="22"/>
  <c r="U128" i="22"/>
  <c r="Q64" i="22"/>
  <c r="Q86" i="22"/>
  <c r="T86" i="22"/>
  <c r="U37" i="22"/>
  <c r="Q126" i="22"/>
  <c r="T149" i="22"/>
  <c r="U36" i="22"/>
  <c r="S64" i="22"/>
  <c r="B146" i="22"/>
  <c r="U84" i="22"/>
  <c r="T57" i="22"/>
  <c r="T79" i="22"/>
  <c r="U77" i="22"/>
  <c r="T78" i="22"/>
  <c r="U149" i="22"/>
  <c r="S139" i="22"/>
  <c r="A149" i="22"/>
  <c r="U127" i="22"/>
  <c r="T120" i="22"/>
  <c r="S36" i="22"/>
  <c r="Q84" i="22"/>
  <c r="B144" i="22"/>
  <c r="U59" i="22"/>
  <c r="A139" i="22"/>
  <c r="E156" i="22"/>
  <c r="Q58" i="22"/>
  <c r="Q55" i="22"/>
  <c r="T128" i="22"/>
  <c r="S87" i="22"/>
  <c r="T124" i="22"/>
  <c r="U38" i="22"/>
  <c r="Q119" i="22"/>
  <c r="U82" i="22"/>
  <c r="Q80" i="22"/>
  <c r="T44" i="22"/>
  <c r="U118" i="22"/>
  <c r="Q44" i="22"/>
  <c r="S62" i="22"/>
  <c r="Q56" i="22"/>
  <c r="T56" i="22"/>
  <c r="S129" i="22"/>
  <c r="S82" i="22"/>
  <c r="T60" i="22"/>
  <c r="Q78" i="22"/>
  <c r="I134" i="23"/>
  <c r="Q65" i="22"/>
  <c r="T39" i="22"/>
  <c r="U41" i="22"/>
  <c r="Q149" i="22"/>
  <c r="Q61" i="22"/>
  <c r="U121" i="22"/>
  <c r="S77" i="22"/>
  <c r="U60" i="22"/>
  <c r="Q146" i="22"/>
  <c r="Q122" i="22"/>
  <c r="U42" i="22"/>
  <c r="T129" i="22"/>
  <c r="A144" i="22"/>
  <c r="Q43" i="22"/>
  <c r="S122" i="22"/>
  <c r="T43" i="22"/>
  <c r="F139" i="22"/>
  <c r="T65" i="22"/>
  <c r="A148" i="22"/>
  <c r="Q129" i="22"/>
  <c r="T84" i="22"/>
  <c r="S80" i="22"/>
  <c r="S86" i="22"/>
  <c r="B140" i="22"/>
  <c r="S142" i="22"/>
  <c r="S144" i="22"/>
  <c r="T127" i="22"/>
  <c r="T87" i="22"/>
  <c r="B149" i="22"/>
  <c r="U140" i="22"/>
  <c r="S128" i="22"/>
  <c r="T85" i="22"/>
  <c r="Q59" i="22"/>
  <c r="T147" i="22"/>
  <c r="Q57" i="22"/>
  <c r="T144" i="22"/>
  <c r="F176" i="22"/>
  <c r="F140" i="22"/>
  <c r="S85" i="22"/>
  <c r="U141" i="22"/>
  <c r="B142" i="22"/>
  <c r="T82" i="22"/>
  <c r="T36" i="22"/>
  <c r="U63" i="22"/>
  <c r="U81" i="22"/>
  <c r="S44" i="22"/>
  <c r="A150" i="22"/>
  <c r="T62" i="22"/>
  <c r="I125" i="22" l="1"/>
  <c r="I141" i="22"/>
  <c r="I38" i="22"/>
  <c r="I145" i="22"/>
  <c r="I144" i="22"/>
  <c r="G192" i="22"/>
  <c r="X192" i="22"/>
  <c r="I123" i="22"/>
  <c r="I77" i="22"/>
  <c r="I37" i="22"/>
  <c r="I63" i="22"/>
  <c r="I79" i="22"/>
  <c r="I35" i="22"/>
  <c r="I84" i="22"/>
  <c r="I65" i="22"/>
  <c r="I59" i="22"/>
  <c r="I61" i="22"/>
  <c r="I124" i="22"/>
  <c r="G171" i="22"/>
  <c r="X171" i="22"/>
  <c r="I45" i="22"/>
  <c r="I143" i="22"/>
  <c r="I62" i="22"/>
  <c r="I80" i="22"/>
  <c r="I57" i="22"/>
  <c r="I44" i="22"/>
  <c r="I85" i="22"/>
  <c r="I148" i="22"/>
  <c r="I39" i="22"/>
  <c r="I126" i="22"/>
  <c r="I118" i="22"/>
  <c r="I43" i="22"/>
  <c r="I142" i="22"/>
  <c r="I82" i="22"/>
  <c r="I55" i="22"/>
  <c r="I128" i="22"/>
  <c r="I127" i="22"/>
  <c r="I56" i="22"/>
  <c r="I42" i="22"/>
  <c r="I34" i="22"/>
  <c r="I60" i="22"/>
  <c r="I149" i="22"/>
  <c r="I83" i="22"/>
  <c r="I64" i="22"/>
  <c r="I151" i="22"/>
  <c r="F151" i="22"/>
  <c r="I139" i="22"/>
  <c r="I40" i="22"/>
  <c r="I81" i="22"/>
  <c r="I121" i="22"/>
  <c r="I58" i="22"/>
  <c r="I129" i="22"/>
  <c r="I86" i="22"/>
  <c r="I120" i="22"/>
  <c r="I146" i="22"/>
  <c r="I87" i="22"/>
  <c r="I122" i="22"/>
  <c r="I147" i="22"/>
  <c r="I66" i="22"/>
  <c r="I41" i="22"/>
  <c r="I150" i="22"/>
  <c r="I78" i="22"/>
  <c r="I140" i="22"/>
  <c r="I36" i="22"/>
  <c r="I76" i="22"/>
  <c r="I119" i="22"/>
  <c r="B239" i="22"/>
  <c r="I154" i="23"/>
  <c r="W125" i="22"/>
  <c r="B260" i="22" l="1"/>
  <c r="Q168" i="22"/>
  <c r="Q161" i="22"/>
  <c r="U168" i="22"/>
  <c r="W127" i="22"/>
  <c r="S165" i="22"/>
  <c r="U165" i="22"/>
  <c r="U166" i="22"/>
  <c r="S167" i="22"/>
  <c r="Q163" i="22"/>
  <c r="W81" i="22"/>
  <c r="W143" i="22"/>
  <c r="U171" i="22"/>
  <c r="W42" i="22"/>
  <c r="W77" i="22"/>
  <c r="S166" i="22"/>
  <c r="W118" i="22"/>
  <c r="W39" i="22"/>
  <c r="W128" i="22"/>
  <c r="W37" i="22"/>
  <c r="W124" i="22"/>
  <c r="W61" i="22"/>
  <c r="W142" i="22"/>
  <c r="Q160" i="22"/>
  <c r="S163" i="22"/>
  <c r="W149" i="22"/>
  <c r="T170" i="22"/>
  <c r="S168" i="22"/>
  <c r="W85" i="22"/>
  <c r="Q165" i="22"/>
  <c r="Q162" i="22"/>
  <c r="W36" i="22"/>
  <c r="W43" i="22"/>
  <c r="W59" i="22"/>
  <c r="W34" i="22"/>
  <c r="W55" i="22"/>
  <c r="W40" i="22"/>
  <c r="T162" i="22"/>
  <c r="T166" i="22"/>
  <c r="U160" i="22"/>
  <c r="S170" i="22"/>
  <c r="Q171" i="22"/>
  <c r="U169" i="22"/>
  <c r="W56" i="22"/>
  <c r="W144" i="22"/>
  <c r="U164" i="22"/>
  <c r="S161" i="22"/>
  <c r="U170" i="22"/>
  <c r="W84" i="22"/>
  <c r="S162" i="22"/>
  <c r="S164" i="22"/>
  <c r="W86" i="22"/>
  <c r="W83" i="22"/>
  <c r="W80" i="22"/>
  <c r="W148" i="22"/>
  <c r="W122" i="22"/>
  <c r="W62" i="22"/>
  <c r="Q170" i="22"/>
  <c r="W147" i="22"/>
  <c r="T160" i="22"/>
  <c r="W41" i="22"/>
  <c r="W82" i="22"/>
  <c r="Q164" i="22"/>
  <c r="W64" i="22"/>
  <c r="T164" i="22"/>
  <c r="U163" i="22"/>
  <c r="Q169" i="22"/>
  <c r="Q167" i="22"/>
  <c r="T165" i="22"/>
  <c r="T171" i="22"/>
  <c r="W78" i="22"/>
  <c r="W57" i="22"/>
  <c r="T169" i="22"/>
  <c r="W79" i="22"/>
  <c r="W121" i="22"/>
  <c r="W145" i="22"/>
  <c r="W63" i="22"/>
  <c r="U167" i="22"/>
  <c r="W44" i="22"/>
  <c r="W76" i="22"/>
  <c r="S171" i="22"/>
  <c r="U161" i="22"/>
  <c r="U162" i="22"/>
  <c r="W38" i="22"/>
  <c r="W146" i="22"/>
  <c r="C154" i="23"/>
  <c r="T161" i="22"/>
  <c r="W119" i="22"/>
  <c r="W141" i="22"/>
  <c r="S169" i="22"/>
  <c r="W65" i="22"/>
  <c r="T168" i="22"/>
  <c r="W120" i="22"/>
  <c r="S160" i="22"/>
  <c r="W140" i="22"/>
  <c r="W123" i="22"/>
  <c r="W60" i="22"/>
  <c r="W35" i="22"/>
  <c r="T163" i="22"/>
  <c r="W126" i="22"/>
  <c r="W139" i="22"/>
  <c r="W58" i="22"/>
  <c r="T167" i="22"/>
  <c r="Q166" i="22"/>
  <c r="I162" i="22" l="1"/>
  <c r="X146" i="22"/>
  <c r="X148" i="22"/>
  <c r="I170" i="22"/>
  <c r="X143" i="22"/>
  <c r="X144" i="22"/>
  <c r="I163" i="22"/>
  <c r="I171" i="22"/>
  <c r="I161" i="22"/>
  <c r="W46" i="22"/>
  <c r="X145" i="22"/>
  <c r="X142" i="22"/>
  <c r="W67" i="22"/>
  <c r="X140" i="22"/>
  <c r="I165" i="22"/>
  <c r="I168" i="22"/>
  <c r="W88" i="22"/>
  <c r="I160" i="22"/>
  <c r="I166" i="22"/>
  <c r="X147" i="22"/>
  <c r="X141" i="22"/>
  <c r="I164" i="22"/>
  <c r="X149" i="22"/>
  <c r="W130" i="22"/>
  <c r="W151" i="22"/>
  <c r="X139" i="22"/>
  <c r="I167" i="22"/>
  <c r="I169" i="22"/>
  <c r="B281" i="22"/>
  <c r="W167" i="22"/>
  <c r="W164" i="22"/>
  <c r="W169" i="22"/>
  <c r="W161" i="22"/>
  <c r="X151" i="22" l="1"/>
  <c r="B302" i="22"/>
  <c r="B323" i="22" l="1"/>
  <c r="B344" i="22" l="1"/>
  <c r="B365" i="22" l="1"/>
  <c r="AQ3" i="1"/>
  <c r="B386" i="22" l="1"/>
  <c r="AD45" i="22"/>
  <c r="AC45" i="22"/>
  <c r="AD44" i="22"/>
  <c r="AC44" i="22"/>
  <c r="Z42" i="22"/>
  <c r="Z40" i="22"/>
  <c r="G24" i="22"/>
  <c r="B407" i="22" l="1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B428" i="22" l="1"/>
  <c r="F74" i="22"/>
  <c r="M74" i="22"/>
  <c r="K89" i="22"/>
  <c r="A72" i="22"/>
  <c r="N74" i="22"/>
  <c r="D89" i="22"/>
  <c r="G89" i="22"/>
  <c r="B74" i="22"/>
  <c r="K72" i="22"/>
  <c r="D72" i="22"/>
  <c r="G74" i="22"/>
  <c r="A89" i="22"/>
  <c r="I74" i="22"/>
  <c r="K74" i="22"/>
  <c r="I89" i="22"/>
  <c r="A88" i="22"/>
  <c r="M89" i="22"/>
  <c r="A74" i="22"/>
  <c r="G72" i="22"/>
  <c r="AX7" i="1" l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X9" i="1" l="1"/>
  <c r="W12" i="22"/>
  <c r="AX10" i="1" l="1"/>
  <c r="AX11" i="1" l="1"/>
  <c r="AX12" i="1" l="1"/>
  <c r="AX13" i="1" l="1"/>
  <c r="AX14" i="1" l="1"/>
  <c r="AX15" i="1" l="1"/>
  <c r="X41" i="22" l="1"/>
  <c r="X42" i="22"/>
  <c r="X61" i="22"/>
  <c r="X84" i="22"/>
  <c r="X59" i="22"/>
  <c r="X62" i="22"/>
  <c r="X65" i="22"/>
  <c r="X82" i="22"/>
  <c r="X126" i="22"/>
  <c r="X80" i="22"/>
  <c r="X85" i="22"/>
  <c r="X83" i="22"/>
  <c r="X124" i="22"/>
  <c r="X81" i="22"/>
  <c r="X128" i="22"/>
  <c r="X43" i="22"/>
  <c r="X63" i="22"/>
  <c r="X40" i="22"/>
  <c r="X125" i="22"/>
  <c r="X58" i="22"/>
  <c r="X123" i="22"/>
  <c r="X44" i="22"/>
  <c r="X39" i="22"/>
  <c r="X60" i="22"/>
  <c r="X64" i="22"/>
  <c r="X86" i="22"/>
  <c r="X14" i="22"/>
  <c r="X169" i="22"/>
  <c r="X55" i="22"/>
  <c r="X167" i="22"/>
  <c r="X57" i="22"/>
  <c r="X13" i="22"/>
  <c r="AX16" i="1"/>
  <c r="AX17" i="1" l="1"/>
  <c r="AX18" i="1" l="1"/>
  <c r="A896" i="23"/>
  <c r="C549" i="23"/>
  <c r="A1130" i="23"/>
  <c r="J813" i="23"/>
  <c r="H962" i="23"/>
  <c r="C957" i="23"/>
  <c r="A64" i="22"/>
  <c r="A1364" i="23"/>
  <c r="C1092" i="23"/>
  <c r="H1082" i="23"/>
  <c r="A1103" i="23"/>
  <c r="C567" i="23"/>
  <c r="C596" i="23"/>
  <c r="H1342" i="23"/>
  <c r="H877" i="23"/>
  <c r="C1042" i="23"/>
  <c r="C473" i="23"/>
  <c r="A1047" i="23"/>
  <c r="I70" i="23"/>
  <c r="B30" i="22"/>
  <c r="H1005" i="23"/>
  <c r="H813" i="23"/>
  <c r="I600" i="23"/>
  <c r="H1274" i="23"/>
  <c r="I1126" i="23"/>
  <c r="A798" i="23"/>
  <c r="H790" i="23"/>
  <c r="I955" i="23"/>
  <c r="H939" i="23"/>
  <c r="B187" i="22"/>
  <c r="J1355" i="23"/>
  <c r="H1070" i="23"/>
  <c r="C520" i="23"/>
  <c r="C650" i="23"/>
  <c r="A1026" i="23"/>
  <c r="A1363" i="23"/>
  <c r="H661" i="23"/>
  <c r="A86" i="22"/>
  <c r="I1104" i="23"/>
  <c r="H1335" i="23"/>
  <c r="H1209" i="23"/>
  <c r="A457" i="23"/>
  <c r="A538" i="23"/>
  <c r="A987" i="23"/>
  <c r="H817" i="23"/>
  <c r="H997" i="23"/>
  <c r="A979" i="23"/>
  <c r="B163" i="22"/>
  <c r="C1313" i="23"/>
  <c r="I605" i="23"/>
  <c r="C793" i="23"/>
  <c r="H1187" i="23"/>
  <c r="J566" i="23"/>
  <c r="A878" i="23"/>
  <c r="A693" i="23"/>
  <c r="P61" i="22"/>
  <c r="M303" i="22"/>
  <c r="C873" i="23"/>
  <c r="I1212" i="23"/>
  <c r="H1355" i="23"/>
  <c r="A522" i="23"/>
  <c r="H1170" i="23"/>
  <c r="A793" i="23"/>
  <c r="A756" i="23"/>
  <c r="H1273" i="23"/>
  <c r="H875" i="23"/>
  <c r="H462" i="23"/>
  <c r="H1291" i="23"/>
  <c r="A1176" i="23"/>
  <c r="B188" i="22"/>
  <c r="A789" i="23"/>
  <c r="C764" i="23"/>
  <c r="C810" i="23"/>
  <c r="H514" i="23"/>
  <c r="A1237" i="23"/>
  <c r="I688" i="23"/>
  <c r="C1310" i="23"/>
  <c r="I763" i="23"/>
  <c r="C941" i="23"/>
  <c r="I764" i="23"/>
  <c r="C903" i="23"/>
  <c r="A918" i="23"/>
  <c r="A543" i="23"/>
  <c r="A1193" i="23"/>
  <c r="A686" i="23"/>
  <c r="F197" i="22"/>
  <c r="A521" i="23"/>
  <c r="I1335" i="23"/>
  <c r="I503" i="23"/>
  <c r="C483" i="23"/>
  <c r="C1364" i="23"/>
  <c r="J1040" i="23"/>
  <c r="C145" i="23"/>
  <c r="B124" i="22"/>
  <c r="H1356" i="23"/>
  <c r="H1062" i="23"/>
  <c r="H812" i="23"/>
  <c r="B697" i="23"/>
  <c r="C893" i="23"/>
  <c r="A836" i="23"/>
  <c r="I691" i="23"/>
  <c r="B1369" i="23"/>
  <c r="H935" i="23"/>
  <c r="H440" i="23"/>
  <c r="P118" i="22"/>
  <c r="C1253" i="23"/>
  <c r="C857" i="23"/>
  <c r="C858" i="23"/>
  <c r="B81" i="22"/>
  <c r="J728" i="23"/>
  <c r="C672" i="23"/>
  <c r="B949" i="23"/>
  <c r="J562" i="23"/>
  <c r="J710" i="23"/>
  <c r="J1107" i="23"/>
  <c r="J878" i="23"/>
  <c r="H1130" i="23"/>
  <c r="J1358" i="23"/>
  <c r="A162" i="22"/>
  <c r="I1176" i="23"/>
  <c r="C1004" i="23"/>
  <c r="H584" i="23"/>
  <c r="I773" i="23"/>
  <c r="C899" i="23"/>
  <c r="H559" i="23"/>
  <c r="H1151" i="23"/>
  <c r="S185" i="22"/>
  <c r="I1229" i="23"/>
  <c r="B1348" i="23"/>
  <c r="S187" i="22"/>
  <c r="F612" i="23"/>
  <c r="H1318" i="23"/>
  <c r="H535" i="23"/>
  <c r="H818" i="23"/>
  <c r="C850" i="23"/>
  <c r="J918" i="23"/>
  <c r="A540" i="23"/>
  <c r="A523" i="23"/>
  <c r="C535" i="23"/>
  <c r="H1110" i="23"/>
  <c r="A876" i="23"/>
  <c r="J1112" i="23"/>
  <c r="C583" i="23"/>
  <c r="C566" i="23"/>
  <c r="H1276" i="23"/>
  <c r="C1360" i="23"/>
  <c r="I1317" i="23"/>
  <c r="C752" i="23"/>
  <c r="J1146" i="23"/>
  <c r="B282" i="22"/>
  <c r="I1257" i="23"/>
  <c r="A1044" i="23"/>
  <c r="J1153" i="23"/>
  <c r="I1111" i="23"/>
  <c r="U191" i="22"/>
  <c r="H976" i="23"/>
  <c r="J1230" i="23"/>
  <c r="C902" i="23"/>
  <c r="A1333" i="23"/>
  <c r="I1015" i="23"/>
  <c r="I1150" i="23"/>
  <c r="A520" i="23"/>
  <c r="I1086" i="23"/>
  <c r="J1316" i="23"/>
  <c r="A1365" i="23"/>
  <c r="C1148" i="23"/>
  <c r="A147" i="23"/>
  <c r="B844" i="23"/>
  <c r="B508" i="23"/>
  <c r="H937" i="23"/>
  <c r="A903" i="23"/>
  <c r="B181" i="22"/>
  <c r="I1216" i="23"/>
  <c r="A40" i="22"/>
  <c r="H893" i="23"/>
  <c r="I512" i="23"/>
  <c r="I670" i="23"/>
  <c r="C441" i="23"/>
  <c r="F239" i="22"/>
  <c r="A1124" i="23"/>
  <c r="A1229" i="23"/>
  <c r="J1103" i="23"/>
  <c r="A895" i="23"/>
  <c r="C1152" i="23"/>
  <c r="A1314" i="23"/>
  <c r="I540" i="23"/>
  <c r="J1360" i="23"/>
  <c r="I553" i="23"/>
  <c r="I923" i="23"/>
  <c r="Q182" i="22"/>
  <c r="H787" i="23"/>
  <c r="J839" i="23"/>
  <c r="C507" i="23"/>
  <c r="F58" i="22"/>
  <c r="A123" i="22"/>
  <c r="A1274" i="23"/>
  <c r="C1359" i="23"/>
  <c r="F1305" i="23"/>
  <c r="I790" i="23"/>
  <c r="C687" i="23"/>
  <c r="I1314" i="23"/>
  <c r="A663" i="23"/>
  <c r="H498" i="23"/>
  <c r="H1232" i="23"/>
  <c r="H1249" i="23"/>
  <c r="C1142" i="23"/>
  <c r="F170" i="22"/>
  <c r="A432" i="23"/>
  <c r="C701" i="23"/>
  <c r="I458" i="23"/>
  <c r="P64" i="22"/>
  <c r="M198" i="22"/>
  <c r="A165" i="22"/>
  <c r="F82" i="22"/>
  <c r="I1001" i="23"/>
  <c r="I583" i="23"/>
  <c r="A691" i="23"/>
  <c r="I868" i="23"/>
  <c r="H579" i="23"/>
  <c r="J627" i="23"/>
  <c r="I1254" i="23"/>
  <c r="C854" i="23"/>
  <c r="A768" i="23"/>
  <c r="J1362" i="23"/>
  <c r="C481" i="23"/>
  <c r="H1102" i="23"/>
  <c r="I1166" i="23"/>
  <c r="C1193" i="23"/>
  <c r="J563" i="23"/>
  <c r="H1340" i="23"/>
  <c r="I858" i="23"/>
  <c r="H791" i="23"/>
  <c r="C1301" i="23"/>
  <c r="A1253" i="23"/>
  <c r="I1365" i="23"/>
  <c r="J834" i="23"/>
  <c r="H900" i="23"/>
  <c r="C1251" i="23"/>
  <c r="I439" i="23"/>
  <c r="A602" i="23"/>
  <c r="H917" i="23"/>
  <c r="J1083" i="23"/>
  <c r="I1232" i="23"/>
  <c r="C645" i="23"/>
  <c r="A60" i="22"/>
  <c r="C1176" i="23"/>
  <c r="H1087" i="23"/>
  <c r="H837" i="23"/>
  <c r="C622" i="23"/>
  <c r="H1193" i="23"/>
  <c r="H966" i="23"/>
  <c r="A871" i="23"/>
  <c r="A1230" i="23"/>
  <c r="C1263" i="23"/>
  <c r="C881" i="23"/>
  <c r="A957" i="23"/>
  <c r="A501" i="23"/>
  <c r="A915" i="23"/>
  <c r="A750" i="23"/>
  <c r="C960" i="23"/>
  <c r="J604" i="23"/>
  <c r="J998" i="23"/>
  <c r="I554" i="23"/>
  <c r="C1079" i="23"/>
  <c r="C1134" i="23"/>
  <c r="H1068" i="23"/>
  <c r="C476" i="23"/>
  <c r="C683" i="23"/>
  <c r="I899" i="23"/>
  <c r="H556" i="23"/>
  <c r="C855" i="23"/>
  <c r="C1088" i="23"/>
  <c r="J730" i="23"/>
  <c r="C1187" i="23"/>
  <c r="H582" i="23"/>
  <c r="H851" i="23"/>
  <c r="C1111" i="23"/>
  <c r="H1272" i="23"/>
  <c r="B44" i="22"/>
  <c r="A559" i="23"/>
  <c r="C495" i="23"/>
  <c r="C642" i="23"/>
  <c r="J539" i="23"/>
  <c r="J647" i="23"/>
  <c r="C1242" i="23"/>
  <c r="E261" i="22"/>
  <c r="J982" i="23"/>
  <c r="H1292" i="23"/>
  <c r="A625" i="23"/>
  <c r="C519" i="23"/>
  <c r="C809" i="23"/>
  <c r="A1317" i="23"/>
  <c r="H1294" i="23"/>
  <c r="H938" i="23"/>
  <c r="H684" i="23"/>
  <c r="B82" i="22"/>
  <c r="H987" i="23"/>
  <c r="H1131" i="23"/>
  <c r="T182" i="22"/>
  <c r="H1360" i="23"/>
  <c r="A1153" i="23"/>
  <c r="C1339" i="23"/>
  <c r="J977" i="23"/>
  <c r="I1099" i="23"/>
  <c r="U189" i="22"/>
  <c r="A1319" i="23"/>
  <c r="I1130" i="23"/>
  <c r="I601" i="23"/>
  <c r="A1129" i="23"/>
  <c r="J1127" i="23"/>
  <c r="J542" i="23"/>
  <c r="T186" i="22"/>
  <c r="C1274" i="23"/>
  <c r="C1109" i="23"/>
  <c r="C812" i="23"/>
  <c r="C626" i="23"/>
  <c r="I1312" i="23"/>
  <c r="H882" i="23"/>
  <c r="J1165" i="23"/>
  <c r="J749" i="23"/>
  <c r="H1253" i="23"/>
  <c r="F43" i="22"/>
  <c r="C1063" i="23"/>
  <c r="C1123" i="23"/>
  <c r="C1342" i="23"/>
  <c r="F1368" i="23"/>
  <c r="I983" i="23"/>
  <c r="A629" i="23"/>
  <c r="A1297" i="23"/>
  <c r="H833" i="23"/>
  <c r="I916" i="23"/>
  <c r="I575" i="23"/>
  <c r="A773" i="23"/>
  <c r="J937" i="23"/>
  <c r="A833" i="23"/>
  <c r="P129" i="22"/>
  <c r="H1153" i="23"/>
  <c r="A1068" i="23"/>
  <c r="F42" i="22"/>
  <c r="C1045" i="23"/>
  <c r="B189" i="22"/>
  <c r="A1174" i="23"/>
  <c r="A1171" i="23"/>
  <c r="I745" i="23"/>
  <c r="A1170" i="23"/>
  <c r="C113" i="23"/>
  <c r="F62" i="22"/>
  <c r="I836" i="23"/>
  <c r="H436" i="23"/>
  <c r="H731" i="23"/>
  <c r="I1113" i="23"/>
  <c r="H752" i="23"/>
  <c r="C838" i="23"/>
  <c r="I1315" i="23"/>
  <c r="J1211" i="23"/>
  <c r="C768" i="23"/>
  <c r="A767" i="23"/>
  <c r="C1299" i="23"/>
  <c r="I175" i="23"/>
  <c r="C1022" i="23"/>
  <c r="A855" i="23"/>
  <c r="C901" i="23"/>
  <c r="J1276" i="23"/>
  <c r="C586" i="23"/>
  <c r="P147" i="22"/>
  <c r="H766" i="23"/>
  <c r="A978" i="23"/>
  <c r="C1149" i="23"/>
  <c r="I1267" i="23"/>
  <c r="H1041" i="23"/>
  <c r="A1071" i="23"/>
  <c r="A796" i="23"/>
  <c r="J1130" i="23"/>
  <c r="C756" i="23"/>
  <c r="J872" i="23"/>
  <c r="P149" i="22"/>
  <c r="A766" i="23"/>
  <c r="C1127" i="23"/>
  <c r="A168" i="22"/>
  <c r="A641" i="23"/>
  <c r="C840" i="23"/>
  <c r="H749" i="23"/>
  <c r="I1274" i="23"/>
  <c r="P126" i="22"/>
  <c r="H1231" i="23"/>
  <c r="Q184" i="22"/>
  <c r="H474" i="23"/>
  <c r="F1116" i="23"/>
  <c r="J1019" i="23"/>
  <c r="H538" i="23"/>
  <c r="H1237" i="23"/>
  <c r="B129" i="22"/>
  <c r="I809" i="23"/>
  <c r="C1239" i="23"/>
  <c r="H815" i="23"/>
  <c r="F61" i="22"/>
  <c r="F124" i="22"/>
  <c r="I734" i="23"/>
  <c r="C1354" i="23"/>
  <c r="I873" i="23"/>
  <c r="F487" i="23"/>
  <c r="C1154" i="23"/>
  <c r="H726" i="23"/>
  <c r="J519" i="23"/>
  <c r="H748" i="23"/>
  <c r="B41" i="22"/>
  <c r="C494" i="23"/>
  <c r="A857" i="23"/>
  <c r="H756" i="23"/>
  <c r="C1145" i="23"/>
  <c r="J838" i="23"/>
  <c r="I560" i="23"/>
  <c r="J1229" i="23"/>
  <c r="C709" i="23"/>
  <c r="A190" i="22"/>
  <c r="H1343" i="23"/>
  <c r="J1277" i="23"/>
  <c r="M240" i="22"/>
  <c r="C554" i="23"/>
  <c r="B66" i="22"/>
  <c r="C1259" i="23"/>
  <c r="I1333" i="23"/>
  <c r="C892" i="23"/>
  <c r="C523" i="23"/>
  <c r="A516" i="23"/>
  <c r="A1070" i="23"/>
  <c r="I1256" i="23"/>
  <c r="H1040" i="23"/>
  <c r="H666" i="23"/>
  <c r="I1021" i="23"/>
  <c r="H793" i="23"/>
  <c r="H914" i="23"/>
  <c r="I491" i="23"/>
  <c r="P120" i="22"/>
  <c r="A577" i="23"/>
  <c r="A118" i="22"/>
  <c r="H829" i="23"/>
  <c r="C1257" i="23"/>
  <c r="I1170" i="23"/>
  <c r="C1163" i="23"/>
  <c r="F128" i="22"/>
  <c r="H1023" i="23"/>
  <c r="I1210" i="23"/>
  <c r="A1166" i="23"/>
  <c r="C1044" i="23"/>
  <c r="H648" i="23"/>
  <c r="I1363" i="23"/>
  <c r="C848" i="23"/>
  <c r="C1237" i="23"/>
  <c r="H1334" i="23"/>
  <c r="F81" i="22"/>
  <c r="C814" i="23"/>
  <c r="A962" i="23"/>
  <c r="C1233" i="23"/>
  <c r="C556" i="23"/>
  <c r="A856" i="23"/>
  <c r="J1315" i="23"/>
  <c r="J1339" i="23"/>
  <c r="C876" i="23"/>
  <c r="I1064" i="23"/>
  <c r="C1217" i="23"/>
  <c r="A813" i="23"/>
  <c r="J1292" i="23"/>
  <c r="H1090" i="23"/>
  <c r="P124" i="22"/>
  <c r="C600" i="23"/>
  <c r="C1344" i="23"/>
  <c r="I914" i="23"/>
  <c r="J1280" i="23"/>
  <c r="J1342" i="23"/>
  <c r="J1125" i="23"/>
  <c r="H1049" i="23"/>
  <c r="H713" i="23"/>
  <c r="C1104" i="23"/>
  <c r="J583" i="23"/>
  <c r="I897" i="23"/>
  <c r="H650" i="23"/>
  <c r="H734" i="23"/>
  <c r="H986" i="23"/>
  <c r="H840" i="23"/>
  <c r="B1075" i="23"/>
  <c r="I1207" i="23"/>
  <c r="H537" i="23"/>
  <c r="C745" i="23"/>
  <c r="C561" i="23"/>
  <c r="C726" i="23"/>
  <c r="I872" i="23"/>
  <c r="A493" i="23"/>
  <c r="I729" i="23"/>
  <c r="A710" i="23"/>
  <c r="A182" i="22"/>
  <c r="J938" i="23"/>
  <c r="H850" i="23"/>
  <c r="A620" i="23"/>
  <c r="C916" i="23"/>
  <c r="I1141" i="23"/>
  <c r="C524" i="23"/>
  <c r="A1089" i="23"/>
  <c r="C733" i="23"/>
  <c r="H517" i="23"/>
  <c r="A184" i="22"/>
  <c r="I1146" i="23"/>
  <c r="H600" i="23"/>
  <c r="A752" i="23"/>
  <c r="C585" i="23"/>
  <c r="C997" i="23"/>
  <c r="F1033" i="23"/>
  <c r="H1344" i="23"/>
  <c r="C958" i="23"/>
  <c r="C669" i="23"/>
  <c r="Q192" i="22"/>
  <c r="I839" i="23"/>
  <c r="C1061" i="23"/>
  <c r="H542" i="23"/>
  <c r="C607" i="23"/>
  <c r="W166" i="22"/>
  <c r="A1066" i="23"/>
  <c r="C1016" i="23"/>
  <c r="A460" i="23"/>
  <c r="C1000" i="23"/>
  <c r="H795" i="23"/>
  <c r="H775" i="23"/>
  <c r="A13" i="22"/>
  <c r="H754" i="23"/>
  <c r="C1040" i="23"/>
  <c r="C558" i="23"/>
  <c r="A961" i="23"/>
  <c r="H873" i="23"/>
  <c r="Q185" i="22"/>
  <c r="C503" i="23"/>
  <c r="H1208" i="23"/>
  <c r="C1229" i="23"/>
  <c r="T192" i="22"/>
  <c r="A437" i="23"/>
  <c r="J1144" i="23"/>
  <c r="H1230" i="23"/>
  <c r="C498" i="23"/>
  <c r="A707" i="23"/>
  <c r="I669" i="23"/>
  <c r="A36" i="22"/>
  <c r="J690" i="23"/>
  <c r="A586" i="23"/>
  <c r="A1067" i="23"/>
  <c r="A942" i="23"/>
  <c r="C961" i="23"/>
  <c r="J1002" i="23"/>
  <c r="A581" i="23"/>
  <c r="C1129" i="23"/>
  <c r="B261" i="22"/>
  <c r="I521" i="23"/>
  <c r="H1314" i="23"/>
  <c r="C978" i="23"/>
  <c r="J854" i="23"/>
  <c r="P77" i="22"/>
  <c r="H1317" i="23"/>
  <c r="A787" i="23"/>
  <c r="F1243" i="23"/>
  <c r="J1322" i="23"/>
  <c r="C1005" i="23"/>
  <c r="C822" i="23"/>
  <c r="B63" i="22"/>
  <c r="C1272" i="23"/>
  <c r="J560" i="23"/>
  <c r="C1153" i="23"/>
  <c r="H1216" i="23"/>
  <c r="F127" i="22"/>
  <c r="A1003" i="23"/>
  <c r="A599" i="23"/>
  <c r="C1169" i="23"/>
  <c r="C869" i="23"/>
  <c r="A1060" i="23"/>
  <c r="C1260" i="23"/>
  <c r="C999" i="23"/>
  <c r="H977" i="23"/>
  <c r="H620" i="23"/>
  <c r="H664" i="23"/>
  <c r="C602" i="23"/>
  <c r="H685" i="23"/>
  <c r="H1250" i="23"/>
  <c r="F191" i="22"/>
  <c r="H727" i="23"/>
  <c r="A567" i="23"/>
  <c r="J833" i="23"/>
  <c r="C818" i="23"/>
  <c r="H604" i="23"/>
  <c r="P66" i="22"/>
  <c r="I831" i="23"/>
  <c r="J1363" i="23"/>
  <c r="H1234" i="23"/>
  <c r="A39" i="22"/>
  <c r="I1344" i="23"/>
  <c r="H641" i="23"/>
  <c r="A1106" i="23"/>
  <c r="A1045" i="23"/>
  <c r="C435" i="23"/>
  <c r="A483" i="23"/>
  <c r="C1048" i="23"/>
  <c r="C1025" i="23"/>
  <c r="A537" i="23"/>
  <c r="F87" i="22"/>
  <c r="H1063" i="23"/>
  <c r="C1065" i="23"/>
  <c r="H457" i="23"/>
  <c r="A980" i="23"/>
  <c r="I474" i="23"/>
  <c r="I1313" i="23"/>
  <c r="H601" i="23"/>
  <c r="P83" i="22"/>
  <c r="I515" i="23"/>
  <c r="C533" i="23"/>
  <c r="H963" i="23"/>
  <c r="H819" i="23"/>
  <c r="C459" i="23"/>
  <c r="I1018" i="23"/>
  <c r="S188" i="22"/>
  <c r="A986" i="23"/>
  <c r="C875" i="23"/>
  <c r="I532" i="23"/>
  <c r="A542" i="23"/>
  <c r="C581" i="23"/>
  <c r="A1148" i="23"/>
  <c r="H733" i="23"/>
  <c r="C539" i="23"/>
  <c r="I749" i="23"/>
  <c r="C155" i="23"/>
  <c r="C730" i="23"/>
  <c r="B190" i="22"/>
  <c r="J1084" i="23"/>
  <c r="A475" i="23"/>
  <c r="I579" i="23"/>
  <c r="I1298" i="23"/>
  <c r="H480" i="23"/>
  <c r="C541" i="23"/>
  <c r="A984" i="23"/>
  <c r="A815" i="23"/>
  <c r="H838" i="23"/>
  <c r="A999" i="23"/>
  <c r="I998" i="23"/>
  <c r="H901" i="23"/>
  <c r="A1251" i="23"/>
  <c r="I494" i="23"/>
  <c r="C458" i="23"/>
  <c r="A1102" i="23"/>
  <c r="J1062" i="23"/>
  <c r="C501" i="23"/>
  <c r="C754" i="23"/>
  <c r="A1196" i="23"/>
  <c r="A898" i="23"/>
  <c r="H1194" i="23"/>
  <c r="A882" i="23"/>
  <c r="B165" i="22"/>
  <c r="F38" i="22"/>
  <c r="F36" i="22"/>
  <c r="A1092" i="23"/>
  <c r="A1217" i="23"/>
  <c r="B168" i="22"/>
  <c r="A1233" i="23"/>
  <c r="I584" i="23"/>
  <c r="H1024" i="23"/>
  <c r="C664" i="23"/>
  <c r="I1142" i="23"/>
  <c r="I1190" i="23"/>
  <c r="C959" i="23"/>
  <c r="C479" i="23"/>
  <c r="A687" i="23"/>
  <c r="A861" i="23"/>
  <c r="H735" i="23"/>
  <c r="F1326" i="23"/>
  <c r="A935" i="23"/>
  <c r="H672" i="23"/>
  <c r="A1021" i="23"/>
  <c r="A1145" i="23"/>
  <c r="I768" i="23"/>
  <c r="H139" i="23"/>
  <c r="I943" i="23"/>
  <c r="A924" i="23"/>
  <c r="B72" i="22"/>
  <c r="F65" i="22"/>
  <c r="I879" i="23"/>
  <c r="C564" i="23"/>
  <c r="J708" i="23"/>
  <c r="I1152" i="23"/>
  <c r="P121" i="22"/>
  <c r="C1210" i="23"/>
  <c r="I1065" i="23"/>
  <c r="J1147" i="23"/>
  <c r="A899" i="23"/>
  <c r="C1355" i="23"/>
  <c r="A167" i="22"/>
  <c r="C1070" i="23"/>
  <c r="H1028" i="23"/>
  <c r="I684" i="23"/>
  <c r="I557" i="23"/>
  <c r="A137" i="23"/>
  <c r="C175" i="23"/>
  <c r="I1359" i="23"/>
  <c r="A1295" i="23"/>
  <c r="C1365" i="23"/>
  <c r="A858" i="23"/>
  <c r="H918" i="23"/>
  <c r="H1275" i="23"/>
  <c r="A1007" i="23"/>
  <c r="C1270" i="23"/>
  <c r="H943" i="23"/>
  <c r="A80" i="22"/>
  <c r="T183" i="22"/>
  <c r="B167" i="22"/>
  <c r="A1339" i="23"/>
  <c r="P146" i="22"/>
  <c r="H602" i="23"/>
  <c r="A518" i="23"/>
  <c r="H776" i="23"/>
  <c r="I518" i="23"/>
  <c r="A917" i="23"/>
  <c r="J1133" i="23"/>
  <c r="H936" i="23"/>
  <c r="C141" i="23"/>
  <c r="C496" i="23"/>
  <c r="W170" i="22"/>
  <c r="I922" i="23"/>
  <c r="H623" i="23"/>
  <c r="F79" i="22"/>
  <c r="A1257" i="23"/>
  <c r="C537" i="23"/>
  <c r="I960" i="23"/>
  <c r="C1103" i="23"/>
  <c r="H437" i="23"/>
  <c r="C601" i="23"/>
  <c r="C1085" i="23"/>
  <c r="A1108" i="23"/>
  <c r="A1084" i="23"/>
  <c r="H523" i="23"/>
  <c r="H855" i="23"/>
  <c r="A1213" i="23"/>
  <c r="H944" i="23"/>
  <c r="I743" i="23"/>
  <c r="I1131" i="23"/>
  <c r="C987" i="23"/>
  <c r="C624" i="23"/>
  <c r="A1062" i="23"/>
  <c r="A754" i="23"/>
  <c r="I910" i="23"/>
  <c r="H520" i="23"/>
  <c r="B1012" i="23"/>
  <c r="H1338" i="23"/>
  <c r="A145" i="23"/>
  <c r="C943" i="23"/>
  <c r="C559" i="23"/>
  <c r="J940" i="23"/>
  <c r="H1361" i="23"/>
  <c r="A77" i="22"/>
  <c r="A1279" i="23"/>
  <c r="H1145" i="23"/>
  <c r="A1361" i="23"/>
  <c r="H1046" i="23"/>
  <c r="C1020" i="23"/>
  <c r="H478" i="23"/>
  <c r="C1091" i="23"/>
  <c r="H477" i="23"/>
  <c r="A1272" i="23"/>
  <c r="C751" i="23"/>
  <c r="F302" i="22"/>
  <c r="F739" i="23"/>
  <c r="A439" i="23"/>
  <c r="A1312" i="23"/>
  <c r="A1313" i="23"/>
  <c r="A1359" i="23"/>
  <c r="A588" i="23"/>
  <c r="B802" i="23"/>
  <c r="I462" i="23"/>
  <c r="I1278" i="23"/>
  <c r="C142" i="23"/>
  <c r="C598" i="23"/>
  <c r="H1259" i="23"/>
  <c r="I1165" i="23"/>
  <c r="H1069" i="23"/>
  <c r="B184" i="22"/>
  <c r="A1356" i="23"/>
  <c r="F120" i="22"/>
  <c r="I1008" i="23"/>
  <c r="F129" i="22"/>
  <c r="I895" i="23"/>
  <c r="H1150" i="23"/>
  <c r="C525" i="23"/>
  <c r="J1297" i="23"/>
  <c r="C1083" i="23"/>
  <c r="A504" i="23"/>
  <c r="C659" i="23"/>
  <c r="H1065" i="23"/>
  <c r="E51" i="22"/>
  <c r="H515" i="23"/>
  <c r="H1047" i="23"/>
  <c r="H1021" i="23"/>
  <c r="J1172" i="23"/>
  <c r="A960" i="23"/>
  <c r="A965" i="23"/>
  <c r="C995" i="23"/>
  <c r="F168" i="22"/>
  <c r="A1172" i="23"/>
  <c r="A941" i="23"/>
  <c r="C1001" i="23"/>
  <c r="H978" i="23"/>
  <c r="C437" i="23"/>
  <c r="C878" i="23"/>
  <c r="A1112" i="23"/>
  <c r="I460" i="23"/>
  <c r="A690" i="23"/>
  <c r="H1103" i="23"/>
  <c r="J856" i="23"/>
  <c r="H1173" i="23"/>
  <c r="C713" i="23"/>
  <c r="A665" i="23"/>
  <c r="A1065" i="23"/>
  <c r="F56" i="22"/>
  <c r="A503" i="23"/>
  <c r="J923" i="23"/>
  <c r="A923" i="23"/>
  <c r="A1207" i="23"/>
  <c r="J829" i="23"/>
  <c r="C922" i="23"/>
  <c r="H836" i="23"/>
  <c r="A1215" i="23"/>
  <c r="C540" i="23"/>
  <c r="H580" i="23"/>
  <c r="J1301" i="23"/>
  <c r="I938" i="23"/>
  <c r="I1357" i="23"/>
  <c r="P38" i="22"/>
  <c r="A669" i="23"/>
  <c r="A966" i="23"/>
  <c r="H1364" i="23"/>
  <c r="H1336" i="23"/>
  <c r="H830" i="23"/>
  <c r="W160" i="22"/>
  <c r="A128" i="22"/>
  <c r="A480" i="23"/>
  <c r="H831" i="23"/>
  <c r="H687" i="23"/>
  <c r="C919" i="23"/>
  <c r="C942" i="23"/>
  <c r="H984" i="23"/>
  <c r="C1050" i="23"/>
  <c r="C451" i="23"/>
  <c r="H1146" i="23"/>
  <c r="A66" i="22"/>
  <c r="I703" i="23"/>
  <c r="I1003" i="23"/>
  <c r="A435" i="23"/>
  <c r="I731" i="23"/>
  <c r="H500" i="23"/>
  <c r="C144" i="23"/>
  <c r="A881" i="23"/>
  <c r="C431" i="23"/>
  <c r="F186" i="22"/>
  <c r="A160" i="22"/>
  <c r="I561" i="23"/>
  <c r="I984" i="23"/>
  <c r="H665" i="23"/>
  <c r="F507" i="23"/>
  <c r="H1083" i="23"/>
  <c r="J775" i="23"/>
  <c r="T181" i="22"/>
  <c r="J788" i="23"/>
  <c r="I577" i="23"/>
  <c r="I881" i="23"/>
  <c r="M387" i="22"/>
  <c r="B86" i="22"/>
  <c r="J1042" i="23"/>
  <c r="I1028" i="23"/>
  <c r="I1037" i="23"/>
  <c r="P145" i="22"/>
  <c r="A1256" i="23"/>
  <c r="H921" i="23"/>
  <c r="A55" i="22"/>
  <c r="H945" i="23"/>
  <c r="I567" i="23"/>
  <c r="I1071" i="23"/>
  <c r="B161" i="22"/>
  <c r="C1234" i="23"/>
  <c r="C439" i="23"/>
  <c r="C724" i="23"/>
  <c r="H142" i="23"/>
  <c r="F76" i="22"/>
  <c r="I662" i="23"/>
  <c r="J621" i="23"/>
  <c r="J586" i="23"/>
  <c r="H642" i="23"/>
  <c r="J536" i="23"/>
  <c r="C1347" i="23"/>
  <c r="A1212" i="23"/>
  <c r="C662" i="23"/>
  <c r="A901" i="23"/>
  <c r="H461" i="23"/>
  <c r="B43" i="22"/>
  <c r="C1228" i="23"/>
  <c r="H852" i="23"/>
  <c r="B36" i="22"/>
  <c r="A916" i="23"/>
  <c r="C940" i="23"/>
  <c r="J620" i="23"/>
  <c r="A1125" i="23"/>
  <c r="B61" i="22"/>
  <c r="H1104" i="23"/>
  <c r="A565" i="23"/>
  <c r="C819" i="23"/>
  <c r="I785" i="23"/>
  <c r="H751" i="23"/>
  <c r="A945" i="23"/>
  <c r="H541" i="23"/>
  <c r="B186" i="22"/>
  <c r="C1021" i="23"/>
  <c r="J1271" i="23"/>
  <c r="H894" i="23"/>
  <c r="C924" i="23"/>
  <c r="A1323" i="23"/>
  <c r="J1148" i="23"/>
  <c r="C563" i="23"/>
  <c r="A790" i="23"/>
  <c r="I1249" i="23"/>
  <c r="C516" i="23"/>
  <c r="C1087" i="23"/>
  <c r="I1279" i="23"/>
  <c r="A854" i="23"/>
  <c r="I1107" i="23"/>
  <c r="C686" i="23"/>
  <c r="J1149" i="23"/>
  <c r="B34" i="22"/>
  <c r="H859" i="23"/>
  <c r="A894" i="23"/>
  <c r="H728" i="23"/>
  <c r="I441" i="23"/>
  <c r="J501" i="23"/>
  <c r="C712" i="23"/>
  <c r="H1109" i="23"/>
  <c r="H773" i="23"/>
  <c r="C1312" i="23"/>
  <c r="H564" i="23"/>
  <c r="C1298" i="23"/>
  <c r="H1169" i="23"/>
  <c r="C1318" i="23"/>
  <c r="A170" i="22"/>
  <c r="A1123" i="23"/>
  <c r="H433" i="23"/>
  <c r="A81" i="22"/>
  <c r="A834" i="23"/>
  <c r="A1049" i="23"/>
  <c r="F1369" i="23"/>
  <c r="A143" i="23"/>
  <c r="C1066" i="23"/>
  <c r="A63" i="22"/>
  <c r="A1025" i="23"/>
  <c r="H814" i="23"/>
  <c r="F187" i="22"/>
  <c r="I813" i="23"/>
  <c r="A812" i="23"/>
  <c r="P45" i="22"/>
  <c r="A685" i="23"/>
  <c r="A770" i="23"/>
  <c r="I1294" i="23"/>
  <c r="I958" i="23"/>
  <c r="F92" i="22"/>
  <c r="A776" i="23"/>
  <c r="I788" i="23"/>
  <c r="B122" i="22"/>
  <c r="A1190" i="23"/>
  <c r="C518" i="23"/>
  <c r="A853" i="23"/>
  <c r="H958" i="23"/>
  <c r="A714" i="23"/>
  <c r="F655" i="23"/>
  <c r="J1212" i="23"/>
  <c r="B162" i="22"/>
  <c r="I979" i="23"/>
  <c r="U182" i="22"/>
  <c r="S184" i="22"/>
  <c r="H771" i="23"/>
  <c r="C457" i="23"/>
  <c r="J556" i="23"/>
  <c r="C979" i="23"/>
  <c r="A852" i="23"/>
  <c r="A811" i="23"/>
  <c r="F1011" i="23"/>
  <c r="C1289" i="23"/>
  <c r="I437" i="23"/>
  <c r="P80" i="22"/>
  <c r="A1063" i="23"/>
  <c r="A163" i="22"/>
  <c r="I1292" i="23"/>
  <c r="A1046" i="23"/>
  <c r="C915" i="23"/>
  <c r="I176" i="23"/>
  <c r="I500" i="23"/>
  <c r="H895" i="23"/>
  <c r="H1107" i="23"/>
  <c r="I985" i="23"/>
  <c r="C1130" i="23"/>
  <c r="J624" i="23"/>
  <c r="H561" i="23"/>
  <c r="C898" i="23"/>
  <c r="C755" i="23"/>
  <c r="J644" i="23"/>
  <c r="B170" i="22"/>
  <c r="J1298" i="23"/>
  <c r="H140" i="23"/>
  <c r="I1024" i="23"/>
  <c r="J792" i="23"/>
  <c r="C1315" i="23"/>
  <c r="I1145" i="23"/>
  <c r="I1235" i="23"/>
  <c r="W162" i="22"/>
  <c r="H1168" i="23"/>
  <c r="A1249" i="23"/>
  <c r="H871" i="23"/>
  <c r="C617" i="23"/>
  <c r="A1050" i="23"/>
  <c r="A777" i="23"/>
  <c r="H483" i="23"/>
  <c r="H810" i="23"/>
  <c r="H920" i="23"/>
  <c r="J1020" i="23"/>
  <c r="A729" i="23"/>
  <c r="I564" i="23"/>
  <c r="I495" i="23"/>
  <c r="H1333" i="23"/>
  <c r="C1090" i="23"/>
  <c r="J1151" i="23"/>
  <c r="H809" i="23"/>
  <c r="B38" i="22"/>
  <c r="I434" i="23"/>
  <c r="H1322" i="23"/>
  <c r="C732" i="23"/>
  <c r="C560" i="23"/>
  <c r="A139" i="23"/>
  <c r="C966" i="23"/>
  <c r="A1126" i="23"/>
  <c r="A819" i="23"/>
  <c r="C643" i="23"/>
  <c r="J793" i="23"/>
  <c r="C1041" i="23"/>
  <c r="H965" i="23"/>
  <c r="A1234" i="23"/>
  <c r="C1191" i="23"/>
  <c r="P79" i="22"/>
  <c r="J1272" i="23"/>
  <c r="J661" i="23"/>
  <c r="H876" i="23"/>
  <c r="B83" i="22"/>
  <c r="F57" i="22"/>
  <c r="I940" i="23"/>
  <c r="C921" i="23"/>
  <c r="I473" i="23"/>
  <c r="H746" i="23"/>
  <c r="A1132" i="23"/>
  <c r="C1277" i="23"/>
  <c r="A689" i="23"/>
  <c r="I1250" i="23"/>
  <c r="H767" i="23"/>
  <c r="F1179" i="23"/>
  <c r="H998" i="23"/>
  <c r="B127" i="22"/>
  <c r="C1062" i="23"/>
  <c r="B1243" i="23"/>
  <c r="C92" i="23"/>
  <c r="I1048" i="23"/>
  <c r="I945" i="23"/>
  <c r="I851" i="23"/>
  <c r="H647" i="23"/>
  <c r="J520" i="23"/>
  <c r="H839" i="23"/>
  <c r="F85" i="22"/>
  <c r="J942" i="23"/>
  <c r="S190" i="22"/>
  <c r="I976" i="23"/>
  <c r="B529" i="23"/>
  <c r="U183" i="22"/>
  <c r="C1095" i="23"/>
  <c r="F66" i="22"/>
  <c r="A441" i="23"/>
  <c r="A772" i="23"/>
  <c r="C1226" i="23"/>
  <c r="B408" i="22"/>
  <c r="C1047" i="23"/>
  <c r="H896" i="23"/>
  <c r="H724" i="23"/>
  <c r="H452" i="23"/>
  <c r="A1343" i="23"/>
  <c r="I683" i="23"/>
  <c r="A433" i="23"/>
  <c r="C1319" i="23"/>
  <c r="J668" i="23"/>
  <c r="A120" i="23"/>
  <c r="C1002" i="23"/>
  <c r="H1213" i="23"/>
  <c r="A1232" i="23"/>
  <c r="C1293" i="23"/>
  <c r="A1144" i="23"/>
  <c r="A775" i="23"/>
  <c r="C1340" i="23"/>
  <c r="A872" i="23"/>
  <c r="C1276" i="23"/>
  <c r="C1356" i="23"/>
  <c r="A43" i="22"/>
  <c r="C79" i="23"/>
  <c r="C1174" i="23"/>
  <c r="H982" i="23"/>
  <c r="C833" i="23"/>
  <c r="E282" i="22"/>
  <c r="C882" i="23"/>
  <c r="A1008" i="23"/>
  <c r="I607" i="23"/>
  <c r="C456" i="23"/>
  <c r="H543" i="23"/>
  <c r="B1138" i="23"/>
  <c r="J1257" i="23"/>
  <c r="I1277" i="23"/>
  <c r="B35" i="22"/>
  <c r="C690" i="23"/>
  <c r="P76" i="22"/>
  <c r="I49" i="23"/>
  <c r="H1147" i="23"/>
  <c r="C790" i="23"/>
  <c r="F160" i="22"/>
  <c r="J1314" i="23"/>
  <c r="F119" i="22"/>
  <c r="B613" i="23"/>
  <c r="I1082" i="23"/>
  <c r="J543" i="23"/>
  <c r="J1110" i="23"/>
  <c r="F802" i="23"/>
  <c r="A727" i="23"/>
  <c r="P139" i="22"/>
  <c r="C801" i="23"/>
  <c r="H892" i="23"/>
  <c r="J875" i="23"/>
  <c r="H567" i="23"/>
  <c r="A120" i="22"/>
  <c r="A1271" i="23"/>
  <c r="C874" i="23"/>
  <c r="C1352" i="23"/>
  <c r="H1066" i="23"/>
  <c r="A983" i="23"/>
  <c r="H1071" i="23"/>
  <c r="H1064" i="23"/>
  <c r="P144" i="22"/>
  <c r="A1296" i="23"/>
  <c r="H432" i="23"/>
  <c r="I860" i="23"/>
  <c r="I658" i="23"/>
  <c r="I501" i="23"/>
  <c r="J1065" i="23"/>
  <c r="A496" i="23"/>
  <c r="I1092" i="23"/>
  <c r="H143" i="23"/>
  <c r="E198" i="22"/>
  <c r="A495" i="23"/>
  <c r="I587" i="23"/>
  <c r="C1116" i="23"/>
  <c r="A179" i="23"/>
  <c r="A1168" i="23"/>
  <c r="H608" i="23"/>
  <c r="H808" i="23"/>
  <c r="H1029" i="23"/>
  <c r="B192" i="22"/>
  <c r="J747" i="23"/>
  <c r="J789" i="23"/>
  <c r="A1300" i="23"/>
  <c r="H1108" i="23"/>
  <c r="H586" i="23"/>
  <c r="J1249" i="23"/>
  <c r="J503" i="23"/>
  <c r="C1029" i="23"/>
  <c r="I672" i="23"/>
  <c r="C789" i="23"/>
  <c r="J873" i="23"/>
  <c r="I641" i="23"/>
  <c r="J1354" i="23"/>
  <c r="C770" i="23"/>
  <c r="A626" i="23"/>
  <c r="H563" i="23"/>
  <c r="J1208" i="23"/>
  <c r="C575" i="23"/>
  <c r="A138" i="23"/>
  <c r="C1343" i="23"/>
  <c r="H144" i="23"/>
  <c r="J879" i="23"/>
  <c r="C667" i="23"/>
  <c r="J577" i="23"/>
  <c r="I869" i="23"/>
  <c r="A44" i="22"/>
  <c r="H690" i="23"/>
  <c r="B65" i="22"/>
  <c r="C436" i="23"/>
  <c r="A730" i="23"/>
  <c r="J1026" i="23"/>
  <c r="H577" i="23"/>
  <c r="I848" i="23"/>
  <c r="C1254" i="23"/>
  <c r="I1360" i="23"/>
  <c r="I483" i="23"/>
  <c r="J1256" i="23"/>
  <c r="B93" i="22"/>
  <c r="A877" i="23"/>
  <c r="C788" i="23"/>
  <c r="J1337" i="23"/>
  <c r="A125" i="22"/>
  <c r="A1004" i="23"/>
  <c r="C835" i="23"/>
  <c r="H1313" i="23"/>
  <c r="C939" i="23"/>
  <c r="A1088" i="23"/>
  <c r="A1258" i="23"/>
  <c r="H481" i="23"/>
  <c r="A1043" i="23"/>
  <c r="W165" i="22"/>
  <c r="F570" i="23"/>
  <c r="H1111" i="23"/>
  <c r="J963" i="23"/>
  <c r="C1247" i="23"/>
  <c r="A1018" i="23"/>
  <c r="H629" i="23"/>
  <c r="I493" i="23"/>
  <c r="F80" i="22"/>
  <c r="B58" i="22"/>
  <c r="I219" i="22"/>
  <c r="A557" i="23"/>
  <c r="J685" i="23"/>
  <c r="I902" i="23"/>
  <c r="Q187" i="22"/>
  <c r="C1209" i="23"/>
  <c r="A624" i="23"/>
  <c r="H583" i="23"/>
  <c r="I659" i="23"/>
  <c r="A662" i="23"/>
  <c r="H643" i="23"/>
  <c r="J913" i="23"/>
  <c r="A35" i="22"/>
  <c r="B1096" i="23"/>
  <c r="B219" i="22"/>
  <c r="J958" i="23"/>
  <c r="J641" i="23"/>
  <c r="I1186" i="23"/>
  <c r="H745" i="23"/>
  <c r="I1253" i="23"/>
  <c r="F717" i="23"/>
  <c r="C1194" i="23"/>
  <c r="C557" i="23"/>
  <c r="A1127" i="23"/>
  <c r="A913" i="23"/>
  <c r="I1211" i="23"/>
  <c r="H683" i="23"/>
  <c r="S191" i="22"/>
  <c r="F167" i="22"/>
  <c r="P35" i="22"/>
  <c r="J855" i="23"/>
  <c r="C918" i="23"/>
  <c r="I1291" i="23"/>
  <c r="H1127" i="23"/>
  <c r="A494" i="23"/>
  <c r="A1029" i="23"/>
  <c r="H1197" i="23"/>
  <c r="J955" i="23"/>
  <c r="C1320" i="23"/>
  <c r="I766" i="23"/>
  <c r="A1354" i="23"/>
  <c r="C612" i="23"/>
  <c r="A997" i="23"/>
  <c r="H769" i="23"/>
  <c r="C710" i="23"/>
  <c r="H959" i="23"/>
  <c r="H455" i="23"/>
  <c r="J1250" i="23"/>
  <c r="H1008" i="23"/>
  <c r="C725" i="23"/>
  <c r="H703" i="23"/>
  <c r="I91" i="23"/>
  <c r="H1297" i="23"/>
  <c r="C1188" i="23"/>
  <c r="C517" i="23"/>
  <c r="C70" i="23"/>
  <c r="I455" i="23"/>
  <c r="A1154" i="23"/>
  <c r="H1000" i="23"/>
  <c r="H524" i="23"/>
  <c r="A1085" i="23"/>
  <c r="A1169" i="23"/>
  <c r="H1321" i="23"/>
  <c r="H1027" i="23"/>
  <c r="A688" i="23"/>
  <c r="B37" i="22"/>
  <c r="C944" i="23"/>
  <c r="J773" i="23"/>
  <c r="A919" i="23"/>
  <c r="M9" i="22"/>
  <c r="C452" i="23"/>
  <c r="F188" i="22"/>
  <c r="T191" i="22"/>
  <c r="J565" i="23"/>
  <c r="J944" i="23"/>
  <c r="H78" i="23"/>
  <c r="B84" i="22"/>
  <c r="H1217" i="23"/>
  <c r="C1046" i="23"/>
  <c r="I470" i="23"/>
  <c r="H581" i="23"/>
  <c r="A666" i="23"/>
  <c r="C623" i="23"/>
  <c r="U186" i="22"/>
  <c r="A1105" i="23"/>
  <c r="H495" i="23"/>
  <c r="F949" i="23"/>
  <c r="C897" i="23"/>
  <c r="H121" i="23"/>
  <c r="A797" i="23"/>
  <c r="C934" i="23"/>
  <c r="P65" i="22"/>
  <c r="J1175" i="23"/>
  <c r="C1218" i="23"/>
  <c r="I239" i="23"/>
  <c r="I522" i="23"/>
  <c r="I1339" i="23"/>
  <c r="P40" i="22"/>
  <c r="J1021" i="23"/>
  <c r="J600" i="23"/>
  <c r="C577" i="23"/>
  <c r="B655" i="23"/>
  <c r="A1299" i="23"/>
  <c r="J1274" i="23"/>
  <c r="A940" i="23"/>
  <c r="J1343" i="23"/>
  <c r="A1322" i="23"/>
  <c r="C766" i="23"/>
  <c r="I918" i="23"/>
  <c r="H1363" i="23"/>
  <c r="A875" i="23"/>
  <c r="C1102" i="23"/>
  <c r="H605" i="23"/>
  <c r="I706" i="23"/>
  <c r="I1085" i="23"/>
  <c r="H1277" i="23"/>
  <c r="A452" i="23"/>
  <c r="H979" i="23"/>
  <c r="I438" i="23"/>
  <c r="J480" i="23"/>
  <c r="J1104" i="23"/>
  <c r="I622" i="23"/>
  <c r="H774" i="23"/>
  <c r="J642" i="23"/>
  <c r="A1002" i="23"/>
  <c r="C1337" i="23"/>
  <c r="A874" i="23"/>
  <c r="A1019" i="23"/>
  <c r="J496" i="23"/>
  <c r="J523" i="23"/>
  <c r="H960" i="23"/>
  <c r="F39" i="22"/>
  <c r="H1174" i="23"/>
  <c r="I324" i="22"/>
  <c r="I71" i="23"/>
  <c r="H1239" i="23"/>
  <c r="P78" i="22"/>
  <c r="A1355" i="23"/>
  <c r="J1336" i="23"/>
  <c r="A1188" i="23"/>
  <c r="A1238" i="23"/>
  <c r="J897" i="23"/>
  <c r="P42" i="22"/>
  <c r="H1044" i="23"/>
  <c r="I661" i="23"/>
  <c r="C1053" i="23"/>
  <c r="J458" i="23"/>
  <c r="C851" i="23"/>
  <c r="B1117" i="23"/>
  <c r="F1306" i="23"/>
  <c r="I479" i="23"/>
  <c r="C475" i="23"/>
  <c r="I1336" i="23"/>
  <c r="C1221" i="23"/>
  <c r="B56" i="22"/>
  <c r="A454" i="23"/>
  <c r="J1252" i="23"/>
  <c r="A1228" i="23"/>
  <c r="H493" i="23"/>
  <c r="H686" i="23"/>
  <c r="J1341" i="23"/>
  <c r="J835" i="23"/>
  <c r="C748" i="23"/>
  <c r="A1167" i="23"/>
  <c r="A126" i="22"/>
  <c r="H1048" i="23"/>
  <c r="C649" i="23"/>
  <c r="I574" i="23"/>
  <c r="A664" i="23"/>
  <c r="I113" i="23"/>
  <c r="C1232" i="23"/>
  <c r="H1175" i="23"/>
  <c r="J1105" i="23"/>
  <c r="C1106" i="23"/>
  <c r="A1090" i="23"/>
  <c r="C588" i="23"/>
  <c r="B886" i="23"/>
  <c r="A431" i="23"/>
  <c r="A1276" i="23"/>
  <c r="I1297" i="23"/>
  <c r="I599" i="23"/>
  <c r="H1129" i="23"/>
  <c r="I920" i="23"/>
  <c r="C640" i="23"/>
  <c r="J902" i="23"/>
  <c r="I559" i="23"/>
  <c r="H1252" i="23"/>
  <c r="I714" i="23"/>
  <c r="C815" i="23"/>
  <c r="A1131" i="23"/>
  <c r="P86" i="22"/>
  <c r="C1338" i="23"/>
  <c r="H434" i="23"/>
  <c r="I1068" i="23"/>
  <c r="A1022" i="23"/>
  <c r="A873" i="23"/>
  <c r="H522" i="23"/>
  <c r="I937" i="23"/>
  <c r="F162" i="22"/>
  <c r="A583" i="23"/>
  <c r="J1255" i="23"/>
  <c r="B62" i="22"/>
  <c r="J1171" i="23"/>
  <c r="C480" i="23"/>
  <c r="A1231" i="23"/>
  <c r="H454" i="23"/>
  <c r="C461" i="23"/>
  <c r="A922" i="23"/>
  <c r="H435" i="23"/>
  <c r="C974" i="23"/>
  <c r="I566" i="23"/>
  <c r="C749" i="23"/>
  <c r="Q181" i="22"/>
  <c r="C832" i="23"/>
  <c r="J1045" i="23"/>
  <c r="C1316" i="23"/>
  <c r="H1091" i="23"/>
  <c r="F696" i="23"/>
  <c r="A58" i="22"/>
  <c r="A643" i="23"/>
  <c r="I986" i="23"/>
  <c r="H1281" i="23"/>
  <c r="H1106" i="23"/>
  <c r="C432" i="23"/>
  <c r="C1027" i="23"/>
  <c r="H704" i="23"/>
  <c r="I784" i="23"/>
  <c r="A1342" i="23"/>
  <c r="A1195" i="23"/>
  <c r="I817" i="23"/>
  <c r="T184" i="22"/>
  <c r="A1191" i="23"/>
  <c r="P85" i="22"/>
  <c r="F1285" i="23"/>
  <c r="A481" i="23"/>
  <c r="A712" i="23"/>
  <c r="A628" i="23"/>
  <c r="J1188" i="23"/>
  <c r="A536" i="23"/>
  <c r="C140" i="23"/>
  <c r="A1301" i="23"/>
  <c r="C747" i="23"/>
  <c r="A57" i="22"/>
  <c r="H562" i="23"/>
  <c r="C831" i="23"/>
  <c r="H1358" i="23"/>
  <c r="I155" i="23"/>
  <c r="C853" i="23"/>
  <c r="F84" i="22"/>
  <c r="C482" i="23"/>
  <c r="A85" i="22"/>
  <c r="H1085" i="23"/>
  <c r="I1295" i="23"/>
  <c r="A524" i="23"/>
  <c r="A578" i="23"/>
  <c r="H1195" i="23"/>
  <c r="A746" i="23"/>
  <c r="J433" i="23"/>
  <c r="C1314" i="23"/>
  <c r="A79" i="22"/>
  <c r="I50" i="23"/>
  <c r="C894" i="23"/>
  <c r="C962" i="23"/>
  <c r="H1086" i="23"/>
  <c r="A1081" i="23"/>
  <c r="F281" i="22"/>
  <c r="H1315" i="23"/>
  <c r="I847" i="23"/>
  <c r="H916" i="23"/>
  <c r="C181" i="23"/>
  <c r="C1197" i="23"/>
  <c r="A753" i="23"/>
  <c r="A817" i="23"/>
  <c r="H1188" i="23"/>
  <c r="F990" i="23"/>
  <c r="F165" i="22"/>
  <c r="C682" i="23"/>
  <c r="A1194" i="23"/>
  <c r="H560" i="23"/>
  <c r="C769" i="23"/>
  <c r="J860" i="23"/>
  <c r="A1358" i="23"/>
  <c r="I776" i="23"/>
  <c r="Q186" i="22"/>
  <c r="F885" i="23"/>
  <c r="I1255" i="23"/>
  <c r="C604" i="23"/>
  <c r="S183" i="22"/>
  <c r="A1064" i="23"/>
  <c r="I1194" i="23"/>
  <c r="B121" i="22"/>
  <c r="H777" i="23"/>
  <c r="J1213" i="23"/>
  <c r="H1128" i="23"/>
  <c r="A1006" i="23"/>
  <c r="C956" i="23"/>
  <c r="H981" i="23"/>
  <c r="I1316" i="23"/>
  <c r="I769" i="23"/>
  <c r="C900" i="23"/>
  <c r="J1321" i="23"/>
  <c r="A1316" i="23"/>
  <c r="P84" i="22"/>
  <c r="C1146" i="23"/>
  <c r="H503" i="23"/>
  <c r="I934" i="23"/>
  <c r="A1235" i="23"/>
  <c r="A1150" i="23"/>
  <c r="C147" i="23"/>
  <c r="A982" i="23"/>
  <c r="H451" i="23"/>
  <c r="H999" i="23"/>
  <c r="H460" i="23"/>
  <c r="H1018" i="23"/>
  <c r="H682" i="23"/>
  <c r="I892" i="23"/>
  <c r="F190" i="22"/>
  <c r="I965" i="23"/>
  <c r="H872" i="23"/>
  <c r="A1294" i="23"/>
  <c r="J1340" i="23"/>
  <c r="C1113" i="23"/>
  <c r="J1259" i="23"/>
  <c r="F218" i="22"/>
  <c r="A1344" i="23"/>
  <c r="A1146" i="23"/>
  <c r="A851" i="23"/>
  <c r="H1316" i="23"/>
  <c r="I671" i="23"/>
  <c r="H1113" i="23"/>
  <c r="F634" i="23"/>
  <c r="I1081" i="23"/>
  <c r="C1086" i="23"/>
  <c r="C1112" i="23"/>
  <c r="C641" i="23"/>
  <c r="H725" i="23"/>
  <c r="U190" i="22"/>
  <c r="H792" i="23"/>
  <c r="I511" i="23"/>
  <c r="T190" i="22"/>
  <c r="J692" i="23"/>
  <c r="C750" i="23"/>
  <c r="C521" i="23"/>
  <c r="A1133" i="23"/>
  <c r="I963" i="23"/>
  <c r="C638" i="23"/>
  <c r="I840" i="23"/>
  <c r="A515" i="23"/>
  <c r="A1152" i="23"/>
  <c r="A1278" i="23"/>
  <c r="A645" i="23"/>
  <c r="A498" i="23"/>
  <c r="C913" i="23"/>
  <c r="A734" i="23"/>
  <c r="H1337" i="23"/>
  <c r="C1214" i="23"/>
  <c r="H899" i="23"/>
  <c r="C499" i="23"/>
  <c r="H645" i="23"/>
  <c r="F1347" i="23"/>
  <c r="H1133" i="23"/>
  <c r="B76" i="22"/>
  <c r="A1186" i="23"/>
  <c r="I1020" i="23"/>
  <c r="C1126" i="23"/>
  <c r="A747" i="23"/>
  <c r="I814" i="23"/>
  <c r="I1343" i="23"/>
  <c r="A1298" i="23"/>
  <c r="J1167" i="23"/>
  <c r="H861" i="23"/>
  <c r="H627" i="23"/>
  <c r="H671" i="23"/>
  <c r="J1313" i="23"/>
  <c r="J524" i="23"/>
  <c r="A937" i="23"/>
  <c r="C982" i="23"/>
  <c r="J1091" i="23"/>
  <c r="A795" i="23"/>
  <c r="C1190" i="23"/>
  <c r="A587" i="23"/>
  <c r="C1205" i="23"/>
  <c r="J1279" i="23"/>
  <c r="J517" i="23"/>
  <c r="H1004" i="23"/>
  <c r="A683" i="23"/>
  <c r="C619" i="23"/>
  <c r="H1060" i="23"/>
  <c r="J901" i="23"/>
  <c r="H711" i="23"/>
  <c r="F37" i="22"/>
  <c r="A1113" i="23"/>
  <c r="A1189" i="23"/>
  <c r="H1218" i="23"/>
  <c r="J733" i="23"/>
  <c r="H1025" i="23"/>
  <c r="I705" i="23"/>
  <c r="I1237" i="23"/>
  <c r="I1189" i="23"/>
  <c r="C1186" i="23"/>
  <c r="I974" i="23"/>
  <c r="I1321" i="23"/>
  <c r="A34" i="22"/>
  <c r="F40" i="22"/>
  <c r="I646" i="23"/>
  <c r="C1082" i="23"/>
  <c r="A1340" i="23"/>
  <c r="A544" i="23"/>
  <c r="F676" i="23"/>
  <c r="C1278" i="23"/>
  <c r="C1317" i="23"/>
  <c r="C1100" i="23"/>
  <c r="A646" i="23"/>
  <c r="C830" i="23"/>
  <c r="A998" i="23"/>
  <c r="I1151" i="23"/>
  <c r="F64" i="22"/>
  <c r="Q183" i="22"/>
  <c r="I794" i="23"/>
  <c r="J1251" i="23"/>
  <c r="I730" i="23"/>
  <c r="I832" i="23"/>
  <c r="I1351" i="23"/>
  <c r="J1166" i="23"/>
  <c r="I1123" i="23"/>
  <c r="Q191" i="22"/>
  <c r="C791" i="23"/>
  <c r="J1047" i="23"/>
  <c r="I733" i="23"/>
  <c r="C621" i="23"/>
  <c r="H788" i="23"/>
  <c r="H879" i="23"/>
  <c r="H439" i="23"/>
  <c r="A671" i="23"/>
  <c r="H544" i="23"/>
  <c r="A560" i="23"/>
  <c r="C1173" i="23"/>
  <c r="B45" i="22"/>
  <c r="C1108" i="23"/>
  <c r="F183" i="22"/>
  <c r="A1165" i="23"/>
  <c r="I894" i="23"/>
  <c r="A818" i="23"/>
  <c r="H539" i="23"/>
  <c r="C406" i="23"/>
  <c r="H479" i="23"/>
  <c r="P119" i="22"/>
  <c r="C1211" i="23"/>
  <c r="J956" i="23"/>
  <c r="C1184" i="23"/>
  <c r="H525" i="23"/>
  <c r="J1237" i="23"/>
  <c r="C680" i="23"/>
  <c r="J941" i="23"/>
  <c r="C515" i="23"/>
  <c r="J608" i="23"/>
  <c r="I451" i="23"/>
  <c r="C717" i="23"/>
  <c r="J602" i="23"/>
  <c r="J776" i="23"/>
  <c r="C137" i="23"/>
  <c r="H1228" i="23"/>
  <c r="J1123" i="23"/>
  <c r="H1003" i="23"/>
  <c r="H1149" i="23"/>
  <c r="I1125" i="23"/>
  <c r="J502" i="23"/>
  <c r="I1043" i="23"/>
  <c r="J997" i="23"/>
  <c r="J1023" i="23"/>
  <c r="C504" i="23"/>
  <c r="C1297" i="23"/>
  <c r="H1258" i="23"/>
  <c r="B169" i="22"/>
  <c r="I772" i="23"/>
  <c r="A1020" i="23"/>
  <c r="I770" i="23"/>
  <c r="J479" i="23"/>
  <c r="J453" i="23"/>
  <c r="C937" i="23"/>
  <c r="J1048" i="23"/>
  <c r="I725" i="23"/>
  <c r="C1296" i="23"/>
  <c r="C806" i="23"/>
  <c r="C1192" i="23"/>
  <c r="I525" i="23"/>
  <c r="C627" i="23"/>
  <c r="I903" i="23"/>
  <c r="H494" i="23"/>
  <c r="H622" i="23"/>
  <c r="H1148" i="23"/>
  <c r="H630" i="23"/>
  <c r="F801" i="23"/>
  <c r="J858" i="23"/>
  <c r="J915" i="23"/>
  <c r="A603" i="23"/>
  <c r="A609" i="23"/>
  <c r="I898" i="23"/>
  <c r="J623" i="23"/>
  <c r="P122" i="22"/>
  <c r="I713" i="23"/>
  <c r="I624" i="23"/>
  <c r="C696" i="23"/>
  <c r="C796" i="23"/>
  <c r="I1362" i="23"/>
  <c r="C895" i="23"/>
  <c r="A682" i="23"/>
  <c r="H1089" i="23"/>
  <c r="J1238" i="23"/>
  <c r="I882" i="23"/>
  <c r="I707" i="23"/>
  <c r="I514" i="23"/>
  <c r="J457" i="23"/>
  <c r="J683" i="23"/>
  <c r="I620" i="23"/>
  <c r="F886" i="23"/>
  <c r="H77" i="23"/>
  <c r="A608" i="23"/>
  <c r="J544" i="23"/>
  <c r="I545" i="23"/>
  <c r="C1128" i="23"/>
  <c r="C134" i="23"/>
  <c r="B55" i="22"/>
  <c r="F654" i="23"/>
  <c r="C861" i="23"/>
  <c r="I962" i="23"/>
  <c r="J1007" i="23"/>
  <c r="A735" i="23"/>
  <c r="I1103" i="23"/>
  <c r="F1348" i="23"/>
  <c r="H832" i="23"/>
  <c r="J1068" i="23"/>
  <c r="H1155" i="23"/>
  <c r="I1026" i="23"/>
  <c r="I1046" i="23"/>
  <c r="I1049" i="23"/>
  <c r="J498" i="23"/>
  <c r="J1024" i="23"/>
  <c r="C827" i="23"/>
  <c r="A1338" i="23"/>
  <c r="J1004" i="23"/>
  <c r="I806" i="23"/>
  <c r="A830" i="23"/>
  <c r="C880" i="23"/>
  <c r="I1090" i="23"/>
  <c r="I533" i="23"/>
  <c r="J430" i="23"/>
  <c r="U192" i="22"/>
  <c r="C580" i="23"/>
  <c r="A1341" i="23"/>
  <c r="I1110" i="23"/>
  <c r="A539" i="23"/>
  <c r="C608" i="23"/>
  <c r="I502" i="23"/>
  <c r="A939" i="23"/>
  <c r="J629" i="23"/>
  <c r="A183" i="22"/>
  <c r="J481" i="23"/>
  <c r="C197" i="23"/>
  <c r="H1125" i="23"/>
  <c r="J1278" i="23"/>
  <c r="I999" i="23"/>
  <c r="H874" i="23"/>
  <c r="H1081" i="23"/>
  <c r="I387" i="22"/>
  <c r="I834" i="23"/>
  <c r="F697" i="23"/>
  <c r="I1091" i="23"/>
  <c r="I880" i="23"/>
  <c r="J1150" i="23"/>
  <c r="I1341" i="23"/>
  <c r="H913" i="23"/>
  <c r="A623" i="23"/>
  <c r="C666" i="23"/>
  <c r="H796" i="23"/>
  <c r="I815" i="23"/>
  <c r="C932" i="23"/>
  <c r="J472" i="23"/>
  <c r="H1229" i="23"/>
  <c r="C885" i="23"/>
  <c r="E324" i="22"/>
  <c r="J454" i="23"/>
  <c r="I1168" i="23"/>
  <c r="H1299" i="23"/>
  <c r="I1153" i="23"/>
  <c r="C935" i="23"/>
  <c r="C986" i="23"/>
  <c r="I838" i="23"/>
  <c r="C491" i="23"/>
  <c r="C1167" i="23"/>
  <c r="F386" i="22"/>
  <c r="I585" i="23"/>
  <c r="C455" i="23"/>
  <c r="J896" i="23"/>
  <c r="A1111" i="23"/>
  <c r="J561" i="23"/>
  <c r="B164" i="22"/>
  <c r="J1191" i="23"/>
  <c r="B78" i="22"/>
  <c r="A1149" i="23"/>
  <c r="C839" i="23"/>
  <c r="B182" i="22"/>
  <c r="J585" i="23"/>
  <c r="B1054" i="23"/>
  <c r="J787" i="23"/>
  <c r="F1012" i="23"/>
  <c r="C146" i="23"/>
  <c r="C1175" i="23"/>
  <c r="I650" i="23"/>
  <c r="A1275" i="23"/>
  <c r="C1196" i="23"/>
  <c r="A649" i="23"/>
  <c r="A944" i="23"/>
  <c r="H1045" i="23"/>
  <c r="B120" i="22"/>
  <c r="P148" i="22"/>
  <c r="A451" i="23"/>
  <c r="A1255" i="23"/>
  <c r="J1333" i="23"/>
  <c r="H747" i="23"/>
  <c r="C1238" i="23"/>
  <c r="C1294" i="23"/>
  <c r="I628" i="23"/>
  <c r="C836" i="23"/>
  <c r="C872" i="23"/>
  <c r="I1005" i="23"/>
  <c r="C859" i="23"/>
  <c r="A1107" i="23"/>
  <c r="H476" i="23"/>
  <c r="H84" i="23"/>
  <c r="A1027" i="23"/>
  <c r="J686" i="23"/>
  <c r="C1018" i="23"/>
  <c r="A566" i="23"/>
  <c r="J607" i="23"/>
  <c r="I1029" i="23"/>
  <c r="A459" i="23"/>
  <c r="A963" i="23"/>
  <c r="A879" i="23"/>
  <c r="H1092" i="23"/>
  <c r="I1162" i="23"/>
  <c r="I1301" i="23"/>
  <c r="C890" i="23"/>
  <c r="J1207" i="23"/>
  <c r="I767" i="23"/>
  <c r="C578" i="23"/>
  <c r="J1299" i="23"/>
  <c r="A1320" i="23"/>
  <c r="H1235" i="23"/>
  <c r="F125" i="22"/>
  <c r="J1215" i="23"/>
  <c r="P87" i="22"/>
  <c r="J581" i="23"/>
  <c r="M219" i="22"/>
  <c r="T189" i="22"/>
  <c r="C259" i="23"/>
  <c r="H1084" i="23"/>
  <c r="F260" i="22"/>
  <c r="F181" i="22"/>
  <c r="I538" i="23"/>
  <c r="I980" i="23"/>
  <c r="I755" i="23"/>
  <c r="H518" i="23"/>
  <c r="I901" i="23"/>
  <c r="H472" i="23"/>
  <c r="A161" i="22"/>
  <c r="A482" i="23"/>
  <c r="I490" i="23"/>
  <c r="A1281" i="23"/>
  <c r="H1357" i="23"/>
  <c r="P123" i="22"/>
  <c r="H1359" i="23"/>
  <c r="C1280" i="23"/>
  <c r="H619" i="23"/>
  <c r="H1061" i="23"/>
  <c r="J914" i="23"/>
  <c r="B9" i="22"/>
  <c r="B1180" i="23"/>
  <c r="A122" i="23"/>
  <c r="C1171" i="23"/>
  <c r="H1165" i="23"/>
  <c r="I1236" i="23"/>
  <c r="A115" i="23"/>
  <c r="I889" i="23"/>
  <c r="I1133" i="23"/>
  <c r="J769" i="23"/>
  <c r="C1271" i="23"/>
  <c r="I448" i="23"/>
  <c r="A668" i="23"/>
  <c r="J1296" i="23"/>
  <c r="C1151" i="23"/>
  <c r="C78" i="23"/>
  <c r="I808" i="23"/>
  <c r="F1074" i="23"/>
  <c r="C965" i="23"/>
  <c r="H1279" i="23"/>
  <c r="A1357" i="23"/>
  <c r="C159" i="23"/>
  <c r="C920" i="23"/>
  <c r="J665" i="23"/>
  <c r="J477" i="23"/>
  <c r="J1210" i="23"/>
  <c r="F163" i="22"/>
  <c r="H1042" i="23"/>
  <c r="J663" i="23"/>
  <c r="H122" i="23"/>
  <c r="B240" i="22"/>
  <c r="A121" i="22"/>
  <c r="A14" i="22"/>
  <c r="J582" i="23"/>
  <c r="I819" i="23"/>
  <c r="J732" i="23"/>
  <c r="A605" i="23"/>
  <c r="B64" i="22"/>
  <c r="H431" i="23"/>
  <c r="I687" i="23"/>
  <c r="I871" i="23"/>
  <c r="H124" i="23"/>
  <c r="C546" i="23"/>
  <c r="S192" i="22"/>
  <c r="H147" i="23"/>
  <c r="C936" i="23"/>
  <c r="I742" i="23"/>
  <c r="B171" i="22"/>
  <c r="C753" i="23"/>
  <c r="I941" i="23"/>
  <c r="U181" i="22"/>
  <c r="C438" i="23"/>
  <c r="C1131" i="23"/>
  <c r="I829" i="23"/>
  <c r="C906" i="23"/>
  <c r="H1298" i="23"/>
  <c r="A136" i="23"/>
  <c r="C625" i="23"/>
  <c r="H753" i="23"/>
  <c r="H1190" i="23"/>
  <c r="I796" i="23"/>
  <c r="I546" i="23"/>
  <c r="W191" i="22"/>
  <c r="C1331" i="23"/>
  <c r="A461" i="23"/>
  <c r="A169" i="22"/>
  <c r="J580" i="23"/>
  <c r="I1213" i="23"/>
  <c r="A622" i="23"/>
  <c r="H881" i="23"/>
  <c r="C852" i="23"/>
  <c r="A1318" i="23"/>
  <c r="H923" i="23"/>
  <c r="J1067" i="23"/>
  <c r="F781" i="23"/>
  <c r="C1107" i="23"/>
  <c r="E366" i="22"/>
  <c r="I896" i="23"/>
  <c r="J688" i="23"/>
  <c r="J1108" i="23"/>
  <c r="C963" i="23"/>
  <c r="H649" i="23"/>
  <c r="H566" i="23"/>
  <c r="J790" i="23"/>
  <c r="C1084" i="23"/>
  <c r="A977" i="23"/>
  <c r="I921" i="23"/>
  <c r="H860" i="23"/>
  <c r="A1321" i="23"/>
  <c r="H1320" i="23"/>
  <c r="P55" i="22"/>
  <c r="A860" i="23"/>
  <c r="A1277" i="23"/>
  <c r="S189" i="22"/>
  <c r="C584" i="23"/>
  <c r="B198" i="22"/>
  <c r="H964" i="23"/>
  <c r="J1087" i="23"/>
  <c r="B57" i="22"/>
  <c r="J713" i="23"/>
  <c r="I477" i="23"/>
  <c r="C1334" i="23"/>
  <c r="H1210" i="23"/>
  <c r="I667" i="23"/>
  <c r="J1070" i="23"/>
  <c r="A440" i="23"/>
  <c r="I1299" i="23"/>
  <c r="H1211" i="23"/>
  <c r="A582" i="23"/>
  <c r="I915" i="23"/>
  <c r="A1110" i="23"/>
  <c r="A725" i="23"/>
  <c r="C722" i="23"/>
  <c r="C1008" i="23"/>
  <c r="I704" i="23"/>
  <c r="C917" i="23"/>
  <c r="A956" i="23"/>
  <c r="I1318" i="23"/>
  <c r="J772" i="23"/>
  <c r="J877" i="23"/>
  <c r="F1095" i="23"/>
  <c r="H710" i="23"/>
  <c r="C1207" i="23"/>
  <c r="I810" i="23"/>
  <c r="C703" i="23"/>
  <c r="A181" i="23"/>
  <c r="J1060" i="23"/>
  <c r="I1214" i="23"/>
  <c r="J922" i="23"/>
  <c r="J1129" i="23"/>
  <c r="C83" i="23"/>
  <c r="C217" i="23"/>
  <c r="A142" i="23"/>
  <c r="J671" i="23"/>
  <c r="A562" i="23"/>
  <c r="C860" i="23"/>
  <c r="I709" i="23"/>
  <c r="C470" i="23"/>
  <c r="C1362" i="23"/>
  <c r="A791" i="23"/>
  <c r="A1335" i="23"/>
  <c r="J934" i="23"/>
  <c r="J964" i="23"/>
  <c r="A627" i="23"/>
  <c r="F123" i="22"/>
  <c r="F444" i="23"/>
  <c r="F35" i="22"/>
  <c r="A558" i="23"/>
  <c r="C948" i="23"/>
  <c r="J1359" i="23"/>
  <c r="I913" i="23"/>
  <c r="J438" i="23"/>
  <c r="F466" i="23"/>
  <c r="C139" i="23"/>
  <c r="H1124" i="23"/>
  <c r="I1273" i="23"/>
  <c r="A185" i="22"/>
  <c r="I728" i="23"/>
  <c r="B1264" i="23"/>
  <c r="I482" i="23"/>
  <c r="I302" i="23"/>
  <c r="I746" i="23"/>
  <c r="C1039" i="23"/>
  <c r="I987" i="23"/>
  <c r="I1196" i="23"/>
  <c r="A157" i="23"/>
  <c r="J559" i="23"/>
  <c r="H430" i="23"/>
  <c r="H1026" i="23"/>
  <c r="H750" i="23"/>
  <c r="C927" i="23"/>
  <c r="J1319" i="23"/>
  <c r="A1048" i="23"/>
  <c r="A711" i="23"/>
  <c r="I795" i="23"/>
  <c r="F323" i="22"/>
  <c r="A934" i="23"/>
  <c r="H59" i="23"/>
  <c r="J1064" i="23"/>
  <c r="I1002" i="23"/>
  <c r="A541" i="23"/>
  <c r="F592" i="23"/>
  <c r="J881" i="23"/>
  <c r="H919" i="23"/>
  <c r="A728" i="23"/>
  <c r="H798" i="23"/>
  <c r="A745" i="23"/>
  <c r="A434" i="23"/>
  <c r="J703" i="23"/>
  <c r="F1117" i="23"/>
  <c r="A640" i="23"/>
  <c r="C1273" i="23"/>
  <c r="C500" i="23"/>
  <c r="B1201" i="23"/>
  <c r="H1365" i="23"/>
  <c r="I1197" i="23"/>
  <c r="I1089" i="23"/>
  <c r="P57" i="22"/>
  <c r="J1317" i="23"/>
  <c r="J1236" i="23"/>
  <c r="B119" i="22"/>
  <c r="C1006" i="23"/>
  <c r="I1183" i="23"/>
  <c r="I774" i="23"/>
  <c r="A517" i="23"/>
  <c r="F192" i="22"/>
  <c r="H1020" i="23"/>
  <c r="C164" i="23"/>
  <c r="J1039" i="23"/>
  <c r="C856" i="23"/>
  <c r="C1132" i="23"/>
  <c r="J1170" i="23"/>
  <c r="J1187" i="23"/>
  <c r="A1254" i="23"/>
  <c r="I1167" i="23"/>
  <c r="H1319" i="23"/>
  <c r="H644" i="23"/>
  <c r="A1042" i="23"/>
  <c r="J514" i="23"/>
  <c r="I1147" i="23"/>
  <c r="C648" i="23"/>
  <c r="J831" i="23"/>
  <c r="J500" i="23"/>
  <c r="A191" i="22"/>
  <c r="A621" i="23"/>
  <c r="J1209" i="23"/>
  <c r="F41" i="22"/>
  <c r="I964" i="23"/>
  <c r="A1040" i="23"/>
  <c r="A921" i="23"/>
  <c r="A187" i="22"/>
  <c r="C440" i="23"/>
  <c r="C1043" i="23"/>
  <c r="B865" i="23"/>
  <c r="I1079" i="23"/>
  <c r="I651" i="23"/>
  <c r="J1195" i="23"/>
  <c r="I931" i="23"/>
  <c r="H501" i="23"/>
  <c r="H856" i="23"/>
  <c r="I952" i="23"/>
  <c r="H1088" i="23"/>
  <c r="C817" i="23"/>
  <c r="C787" i="23"/>
  <c r="H587" i="23"/>
  <c r="H565" i="23"/>
  <c r="I1300" i="23"/>
  <c r="I857" i="23"/>
  <c r="F1158" i="23"/>
  <c r="S181" i="22"/>
  <c r="C522" i="23"/>
  <c r="I1070" i="23"/>
  <c r="C1144" i="23"/>
  <c r="I959" i="23"/>
  <c r="F1180" i="23"/>
  <c r="H1278" i="23"/>
  <c r="C774" i="23"/>
  <c r="I481" i="23"/>
  <c r="I798" i="23"/>
  <c r="H941" i="23"/>
  <c r="J1066" i="23"/>
  <c r="I1040" i="23"/>
  <c r="J1294" i="23"/>
  <c r="C1195" i="23"/>
  <c r="A606" i="23"/>
  <c r="A598" i="23"/>
  <c r="I957" i="23"/>
  <c r="I1025" i="23"/>
  <c r="I629" i="23"/>
  <c r="B592" i="23"/>
  <c r="I1239" i="23"/>
  <c r="I685" i="23"/>
  <c r="B345" i="22"/>
  <c r="H768" i="23"/>
  <c r="A453" i="23"/>
  <c r="H1126" i="23"/>
  <c r="J892" i="23"/>
  <c r="B324" i="22"/>
  <c r="I751" i="23"/>
  <c r="I850" i="23"/>
  <c r="C685" i="23"/>
  <c r="A902" i="23"/>
  <c r="J1090" i="23"/>
  <c r="H1192" i="23"/>
  <c r="C829" i="23"/>
  <c r="I640" i="23"/>
  <c r="I1083" i="23"/>
  <c r="T185" i="22"/>
  <c r="I932" i="23"/>
  <c r="J646" i="23"/>
  <c r="H669" i="23"/>
  <c r="J1357" i="23"/>
  <c r="H125" i="23"/>
  <c r="H712" i="23"/>
  <c r="C453" i="23"/>
  <c r="A1273" i="23"/>
  <c r="H980" i="23"/>
  <c r="C911" i="23"/>
  <c r="F63" i="22"/>
  <c r="I537" i="23"/>
  <c r="A83" i="22"/>
  <c r="A78" i="22"/>
  <c r="B970" i="23"/>
  <c r="C565" i="23"/>
  <c r="H141" i="23"/>
  <c r="A814" i="23"/>
  <c r="I1270" i="23"/>
  <c r="H138" i="23"/>
  <c r="I1340" i="23"/>
  <c r="P81" i="22"/>
  <c r="C1336" i="23"/>
  <c r="J461" i="23"/>
  <c r="A54" i="23"/>
  <c r="A985" i="23"/>
  <c r="I1275" i="23"/>
  <c r="J1003" i="23"/>
  <c r="I1260" i="23"/>
  <c r="H628" i="23"/>
  <c r="J999" i="23"/>
  <c r="J986" i="23"/>
  <c r="H1105" i="23"/>
  <c r="A706" i="23"/>
  <c r="J985" i="23"/>
  <c r="A751" i="23"/>
  <c r="H438" i="23"/>
  <c r="C116" i="23"/>
  <c r="A732" i="23"/>
  <c r="J1005" i="23"/>
  <c r="J706" i="23"/>
  <c r="H458" i="23"/>
  <c r="H692" i="23"/>
  <c r="J522" i="23"/>
  <c r="F169" i="22"/>
  <c r="H166" i="23" s="1"/>
  <c r="J1334" i="23"/>
  <c r="H924" i="23"/>
  <c r="C1172" i="23"/>
  <c r="H693" i="23"/>
  <c r="B123" i="22"/>
  <c r="A644" i="23"/>
  <c r="P41" i="22"/>
  <c r="I792" i="23"/>
  <c r="B366" i="22"/>
  <c r="M282" i="22"/>
  <c r="J476" i="23"/>
  <c r="H853" i="23"/>
  <c r="A1001" i="23"/>
  <c r="A188" i="22"/>
  <c r="H621" i="23"/>
  <c r="H1215" i="23"/>
  <c r="C1150" i="23"/>
  <c r="A1083" i="23"/>
  <c r="H1189" i="23"/>
  <c r="H1233" i="23"/>
  <c r="J473" i="23"/>
  <c r="C603" i="23"/>
  <c r="H691" i="23"/>
  <c r="I811" i="23"/>
  <c r="H878" i="23"/>
  <c r="B185" i="22"/>
  <c r="A1197" i="23"/>
  <c r="J959" i="23"/>
  <c r="J705" i="23"/>
  <c r="C280" i="23"/>
  <c r="C811" i="23"/>
  <c r="I1319" i="23"/>
  <c r="I1188" i="23"/>
  <c r="I1047" i="23"/>
  <c r="A748" i="23"/>
  <c r="P128" i="22"/>
  <c r="F182" i="22"/>
  <c r="C1011" i="23"/>
  <c r="H668" i="23"/>
  <c r="P141" i="22"/>
  <c r="I973" i="23"/>
  <c r="E240" i="22"/>
  <c r="A580" i="23"/>
  <c r="I1007" i="23"/>
  <c r="J603" i="23"/>
  <c r="I900" i="23"/>
  <c r="Q189" i="22"/>
  <c r="I366" i="22"/>
  <c r="C121" i="23"/>
  <c r="J1196" i="23"/>
  <c r="H729" i="23"/>
  <c r="A65" i="22"/>
  <c r="H1172" i="23"/>
  <c r="A661" i="23"/>
  <c r="H502" i="23"/>
  <c r="H770" i="23"/>
  <c r="J939" i="23"/>
  <c r="J960" i="23"/>
  <c r="C544" i="23"/>
  <c r="I582" i="23"/>
  <c r="J957" i="23"/>
  <c r="C834" i="23"/>
  <c r="I735" i="23"/>
  <c r="H81" i="23"/>
  <c r="C738" i="23"/>
  <c r="C964" i="23"/>
  <c r="J437" i="23"/>
  <c r="B183" i="22"/>
  <c r="I1148" i="23"/>
  <c r="I935" i="23"/>
  <c r="A1187" i="23"/>
  <c r="J640" i="23"/>
  <c r="J1027" i="23"/>
  <c r="J812" i="23"/>
  <c r="J499" i="23"/>
  <c r="C816" i="23"/>
  <c r="F189" i="22"/>
  <c r="H186" i="23" s="1"/>
  <c r="F759" i="23"/>
  <c r="J670" i="23"/>
  <c r="C29" i="23"/>
  <c r="J606" i="23"/>
  <c r="C433" i="23"/>
  <c r="J1300" i="23"/>
  <c r="J797" i="23"/>
  <c r="A124" i="22"/>
  <c r="J712" i="23"/>
  <c r="I480" i="23"/>
  <c r="I818" i="23"/>
  <c r="C771" i="23"/>
  <c r="A514" i="23"/>
  <c r="I598" i="23"/>
  <c r="F445" i="23"/>
  <c r="J871" i="23"/>
  <c r="C1067" i="23"/>
  <c r="J587" i="23"/>
  <c r="F991" i="23"/>
  <c r="F1263" i="23"/>
  <c r="I1128" i="23"/>
  <c r="F55" i="22"/>
  <c r="I692" i="23"/>
  <c r="J859" i="23"/>
  <c r="F1075" i="23"/>
  <c r="C1060" i="23"/>
  <c r="I1208" i="23"/>
  <c r="C1323" i="23"/>
  <c r="A880" i="23"/>
  <c r="A63" i="23"/>
  <c r="F77" i="22"/>
  <c r="I775" i="23"/>
  <c r="A794" i="23"/>
  <c r="J734" i="23"/>
  <c r="A832" i="23"/>
  <c r="J601" i="23"/>
  <c r="A525" i="23"/>
  <c r="A1024" i="23"/>
  <c r="I919" i="23"/>
  <c r="J1088" i="23"/>
  <c r="B1285" i="23"/>
  <c r="I542" i="23"/>
  <c r="I1309" i="23"/>
  <c r="J770" i="23"/>
  <c r="C186" i="23"/>
  <c r="H1296" i="23"/>
  <c r="J851" i="23"/>
  <c r="A809" i="23"/>
  <c r="I1268" i="23"/>
  <c r="P142" i="22"/>
  <c r="H1039" i="23"/>
  <c r="C1058" i="23"/>
  <c r="I580" i="23"/>
  <c r="A837" i="23"/>
  <c r="A1091" i="23"/>
  <c r="C1071" i="23"/>
  <c r="C668" i="23"/>
  <c r="P34" i="22"/>
  <c r="C1105" i="23"/>
  <c r="C1235" i="23"/>
  <c r="A186" i="22"/>
  <c r="A183" i="23" s="1"/>
  <c r="C693" i="23"/>
  <c r="I665" i="23"/>
  <c r="A37" i="22"/>
  <c r="C1361" i="23"/>
  <c r="C1256" i="23"/>
  <c r="C938" i="23"/>
  <c r="C773" i="23"/>
  <c r="C1032" i="23"/>
  <c r="C1007" i="23"/>
  <c r="C707" i="23"/>
  <c r="A82" i="22"/>
  <c r="I1102" i="23"/>
  <c r="J1192" i="23"/>
  <c r="C795" i="23"/>
  <c r="I664" i="23"/>
  <c r="J707" i="23"/>
  <c r="H475" i="23"/>
  <c r="C1074" i="23"/>
  <c r="C62" i="23"/>
  <c r="C1110" i="23"/>
  <c r="A981" i="23"/>
  <c r="C460" i="23"/>
  <c r="J919" i="23"/>
  <c r="I682" i="23"/>
  <c r="F1264" i="23"/>
  <c r="P37" i="22"/>
  <c r="I499" i="23"/>
  <c r="B87" i="22"/>
  <c r="A705" i="23"/>
  <c r="B907" i="23"/>
  <c r="I732" i="23"/>
  <c r="A166" i="22"/>
  <c r="J874" i="23"/>
  <c r="I1361" i="23"/>
  <c r="H558" i="23"/>
  <c r="S186" i="22"/>
  <c r="J767" i="23"/>
  <c r="J920" i="23"/>
  <c r="I1272" i="23"/>
  <c r="I504" i="23"/>
  <c r="J1152" i="23"/>
  <c r="I861" i="23"/>
  <c r="J452" i="23"/>
  <c r="C606" i="23"/>
  <c r="I1120" i="23"/>
  <c r="C166" i="23"/>
  <c r="A180" i="23"/>
  <c r="H521" i="23"/>
  <c r="A502" i="23"/>
  <c r="C478" i="23"/>
  <c r="C797" i="23"/>
  <c r="A117" i="23"/>
  <c r="J1006" i="23"/>
  <c r="C1215" i="23"/>
  <c r="H456" i="23"/>
  <c r="I1320" i="23"/>
  <c r="B59" i="22"/>
  <c r="J664" i="23"/>
  <c r="I854" i="23"/>
  <c r="C1026" i="23"/>
  <c r="A61" i="23"/>
  <c r="A45" i="22"/>
  <c r="C984" i="23"/>
  <c r="J645" i="23"/>
  <c r="C644" i="23"/>
  <c r="H646" i="23"/>
  <c r="J981" i="23"/>
  <c r="I1134" i="23"/>
  <c r="A473" i="23"/>
  <c r="H1251" i="23"/>
  <c r="F45" i="22"/>
  <c r="I816" i="23"/>
  <c r="I1169" i="23"/>
  <c r="A455" i="23"/>
  <c r="F171" i="22"/>
  <c r="C1212" i="23"/>
  <c r="C871" i="23"/>
  <c r="E219" i="22"/>
  <c r="B550" i="23"/>
  <c r="C955" i="23"/>
  <c r="I944" i="23"/>
  <c r="C620" i="23"/>
  <c r="T188" i="22"/>
  <c r="A476" i="23"/>
  <c r="F164" i="22"/>
  <c r="C708" i="23"/>
  <c r="J943" i="23"/>
  <c r="H1341" i="23"/>
  <c r="I1004" i="23"/>
  <c r="C1147" i="23"/>
  <c r="J961" i="23"/>
  <c r="J436" i="23"/>
  <c r="A1337" i="23"/>
  <c r="I644" i="23"/>
  <c r="F344" i="22"/>
  <c r="E345" i="22"/>
  <c r="A749" i="23"/>
  <c r="J731" i="23"/>
  <c r="C1213" i="23"/>
  <c r="J1291" i="23"/>
  <c r="H834" i="23"/>
  <c r="I1044" i="23"/>
  <c r="C1200" i="23"/>
  <c r="C143" i="23"/>
  <c r="A1155" i="23"/>
  <c r="A1086" i="23"/>
  <c r="H1196" i="23"/>
  <c r="C514" i="23"/>
  <c r="F121" i="22"/>
  <c r="F780" i="23"/>
  <c r="T187" i="22"/>
  <c r="H651" i="23"/>
  <c r="C486" i="23"/>
  <c r="A1128" i="23"/>
  <c r="J516" i="23"/>
  <c r="P44" i="22"/>
  <c r="I544" i="23"/>
  <c r="J853" i="23"/>
  <c r="I693" i="23"/>
  <c r="A1270" i="23"/>
  <c r="I1296" i="23"/>
  <c r="C981" i="23"/>
  <c r="C1358" i="23"/>
  <c r="I1023" i="23"/>
  <c r="J808" i="23"/>
  <c r="H1144" i="23"/>
  <c r="E9" i="22"/>
  <c r="A958" i="23"/>
  <c r="C777" i="23"/>
  <c r="J876" i="23"/>
  <c r="H497" i="23"/>
  <c r="I1066" i="23"/>
  <c r="H157" i="23"/>
  <c r="H1022" i="23"/>
  <c r="C119" i="23"/>
  <c r="C691" i="23"/>
  <c r="C1121" i="23"/>
  <c r="I9" i="22"/>
  <c r="I753" i="23"/>
  <c r="I830" i="23"/>
  <c r="J811" i="23"/>
  <c r="I791" i="23"/>
  <c r="A938" i="23"/>
  <c r="A159" i="23"/>
  <c r="H1300" i="23"/>
  <c r="J745" i="23"/>
  <c r="C176" i="23"/>
  <c r="F1284" i="23"/>
  <c r="A651" i="23"/>
  <c r="C775" i="23"/>
  <c r="E408" i="22"/>
  <c r="F126" i="22"/>
  <c r="A60" i="23"/>
  <c r="F571" i="23"/>
  <c r="C1023" i="23"/>
  <c r="I1129" i="23"/>
  <c r="J752" i="23"/>
  <c r="F118" i="22"/>
  <c r="A1173" i="23"/>
  <c r="C628" i="23"/>
  <c r="B1306" i="23"/>
  <c r="H162" i="23"/>
  <c r="C323" i="23"/>
  <c r="A162" i="23"/>
  <c r="M324" i="22"/>
  <c r="J1338" i="23"/>
  <c r="F1327" i="23"/>
  <c r="A165" i="23"/>
  <c r="J1173" i="23"/>
  <c r="I911" i="23"/>
  <c r="A462" i="23"/>
  <c r="C727" i="23"/>
  <c r="B125" i="22"/>
  <c r="A1302" i="23"/>
  <c r="J691" i="23"/>
  <c r="A160" i="23"/>
  <c r="I112" i="23"/>
  <c r="J815" i="23"/>
  <c r="C1064" i="23"/>
  <c r="C646" i="23"/>
  <c r="J1335" i="23"/>
  <c r="A648" i="23"/>
  <c r="H1214" i="23"/>
  <c r="B634" i="23"/>
  <c r="I198" i="22"/>
  <c r="A77" i="23"/>
  <c r="J1043" i="23"/>
  <c r="H1006" i="23"/>
  <c r="J557" i="23"/>
  <c r="J832" i="23"/>
  <c r="U188" i="22"/>
  <c r="I982" i="23"/>
  <c r="A897" i="23"/>
  <c r="H546" i="23"/>
  <c r="C117" i="23"/>
  <c r="I961" i="23"/>
  <c r="H599" i="23"/>
  <c r="H1152" i="23"/>
  <c r="J1168" i="23"/>
  <c r="J709" i="23"/>
  <c r="I562" i="23"/>
  <c r="J852" i="23"/>
  <c r="F822" i="23"/>
  <c r="J724" i="23"/>
  <c r="J1131" i="23"/>
  <c r="J1217" i="23"/>
  <c r="A1000" i="23"/>
  <c r="C562" i="23"/>
  <c r="F969" i="23"/>
  <c r="I596" i="23"/>
  <c r="A1210" i="23"/>
  <c r="F928" i="23"/>
  <c r="A642" i="23"/>
  <c r="H1312" i="23"/>
  <c r="C454" i="23"/>
  <c r="H137" i="23"/>
  <c r="H1301" i="23"/>
  <c r="A1280" i="23"/>
  <c r="A1315" i="23"/>
  <c r="I1016" i="23"/>
  <c r="I240" i="22"/>
  <c r="I1067" i="23"/>
  <c r="I261" i="22"/>
  <c r="C1326" i="23"/>
  <c r="J748" i="23"/>
  <c r="A181" i="22"/>
  <c r="J1132" i="23"/>
  <c r="I1144" i="23"/>
  <c r="J1275" i="23"/>
  <c r="H504" i="23"/>
  <c r="I1069" i="23"/>
  <c r="I1355" i="23"/>
  <c r="C1255" i="23"/>
  <c r="A500" i="23"/>
  <c r="C1230" i="23"/>
  <c r="B823" i="23"/>
  <c r="I1230" i="23"/>
  <c r="H957" i="23"/>
  <c r="C364" i="23"/>
  <c r="A1041" i="23"/>
  <c r="H165" i="23"/>
  <c r="I303" i="22"/>
  <c r="H117" i="23"/>
  <c r="J980" i="23"/>
  <c r="I1045" i="23"/>
  <c r="A936" i="23"/>
  <c r="A125" i="23"/>
  <c r="I1342" i="23"/>
  <c r="J1320" i="23"/>
  <c r="I1149" i="23"/>
  <c r="F59" i="22"/>
  <c r="H1212" i="23"/>
  <c r="H903" i="23"/>
  <c r="J751" i="23"/>
  <c r="C28" i="23"/>
  <c r="J431" i="23"/>
  <c r="I1050" i="23"/>
  <c r="A713" i="23"/>
  <c r="C184" i="23"/>
  <c r="I432" i="23"/>
  <c r="I408" i="22"/>
  <c r="C1258" i="23"/>
  <c r="J1086" i="23"/>
  <c r="H689" i="23"/>
  <c r="A892" i="23"/>
  <c r="A755" i="23"/>
  <c r="AR12" i="1"/>
  <c r="I1154" i="23"/>
  <c r="U185" i="22"/>
  <c r="H145" i="23"/>
  <c r="A42" i="22"/>
  <c r="I1281" i="23"/>
  <c r="I981" i="23"/>
  <c r="C776" i="23"/>
  <c r="C1236" i="23"/>
  <c r="C579" i="23"/>
  <c r="W190" i="22"/>
  <c r="C160" i="23"/>
  <c r="I893" i="23"/>
  <c r="F465" i="23"/>
  <c r="J1128" i="23"/>
  <c r="J810" i="23"/>
  <c r="C704" i="23"/>
  <c r="I322" i="23"/>
  <c r="A87" i="22"/>
  <c r="B1159" i="23"/>
  <c r="B429" i="22"/>
  <c r="B718" i="23"/>
  <c r="C743" i="23"/>
  <c r="I1041" i="23"/>
  <c r="C58" i="23"/>
  <c r="J1106" i="23"/>
  <c r="A1211" i="23"/>
  <c r="C570" i="23"/>
  <c r="H1362" i="23"/>
  <c r="A619" i="23"/>
  <c r="A769" i="23"/>
  <c r="H116" i="23"/>
  <c r="J754" i="23"/>
  <c r="I877" i="23"/>
  <c r="J921" i="23"/>
  <c r="J766" i="23"/>
  <c r="A76" i="23"/>
  <c r="C502" i="23"/>
  <c r="I852" i="23"/>
  <c r="J1364" i="23"/>
  <c r="H1339" i="23"/>
  <c r="C472" i="23"/>
  <c r="A808" i="23"/>
  <c r="A1005" i="23"/>
  <c r="I997" i="23"/>
  <c r="I1225" i="23"/>
  <c r="H794" i="23"/>
  <c r="A709" i="23"/>
  <c r="H62" i="23"/>
  <c r="I621" i="23"/>
  <c r="C50" i="23"/>
  <c r="B85" i="22"/>
  <c r="I1337" i="23"/>
  <c r="J493" i="23"/>
  <c r="I452" i="23"/>
  <c r="C538" i="23"/>
  <c r="H536" i="23"/>
  <c r="I1105" i="23"/>
  <c r="J518" i="23"/>
  <c r="I1006" i="23"/>
  <c r="I8" i="23"/>
  <c r="C1089" i="23"/>
  <c r="C688" i="23"/>
  <c r="J584" i="23"/>
  <c r="A438" i="23"/>
  <c r="J900" i="23"/>
  <c r="J979" i="23"/>
  <c r="S182" i="22"/>
  <c r="H811" i="23"/>
  <c r="J599" i="23"/>
  <c r="I497" i="23"/>
  <c r="C1275" i="23"/>
  <c r="H705" i="23"/>
  <c r="C53" i="23"/>
  <c r="H1050" i="23"/>
  <c r="I630" i="23"/>
  <c r="C161" i="23"/>
  <c r="C434" i="23"/>
  <c r="A839" i="23"/>
  <c r="J774" i="23"/>
  <c r="F13" i="22"/>
  <c r="A55" i="23"/>
  <c r="I519" i="23"/>
  <c r="A62" i="23"/>
  <c r="C684" i="23"/>
  <c r="J817" i="23"/>
  <c r="A189" i="22"/>
  <c r="C158" i="23"/>
  <c r="I627" i="23"/>
  <c r="H663" i="23"/>
  <c r="I1258" i="23"/>
  <c r="H1271" i="23"/>
  <c r="J1028" i="23"/>
  <c r="I1172" i="23"/>
  <c r="J711" i="23"/>
  <c r="H588" i="23"/>
  <c r="J753" i="23"/>
  <c r="A704" i="23"/>
  <c r="A1218" i="23"/>
  <c r="I1060" i="23"/>
  <c r="H167" i="23"/>
  <c r="H626" i="23"/>
  <c r="H52" i="23"/>
  <c r="F44" i="22"/>
  <c r="C542" i="23"/>
  <c r="A1039" i="23"/>
  <c r="I978" i="23"/>
  <c r="M366" i="22"/>
  <c r="H1043" i="23"/>
  <c r="C183" i="23"/>
  <c r="J1258" i="23"/>
  <c r="I1171" i="23"/>
  <c r="C772" i="23"/>
  <c r="C706" i="23"/>
  <c r="A171" i="22"/>
  <c r="J435" i="23"/>
  <c r="C136" i="23"/>
  <c r="A692" i="23"/>
  <c r="J1041" i="23"/>
  <c r="F14" i="22"/>
  <c r="I436" i="23"/>
  <c r="H519" i="23"/>
  <c r="C587" i="23"/>
  <c r="C689" i="23"/>
  <c r="A1260" i="23"/>
  <c r="I1106" i="23"/>
  <c r="H607" i="23"/>
  <c r="A1069" i="23"/>
  <c r="J1022" i="23"/>
  <c r="I876" i="23"/>
  <c r="A893" i="23"/>
  <c r="A955" i="23"/>
  <c r="C138" i="23"/>
  <c r="A650" i="23"/>
  <c r="C633" i="23"/>
  <c r="J564" i="23"/>
  <c r="H1134" i="23"/>
  <c r="H858" i="23"/>
  <c r="C465" i="23"/>
  <c r="I516" i="23"/>
  <c r="E72" i="22"/>
  <c r="H816" i="23"/>
  <c r="I524" i="23"/>
  <c r="C81" i="23"/>
  <c r="A1336" i="23"/>
  <c r="F865" i="23"/>
  <c r="C1069" i="23"/>
  <c r="I712" i="23"/>
  <c r="A56" i="22"/>
  <c r="H1167" i="23"/>
  <c r="U187" i="22"/>
  <c r="I459" i="23"/>
  <c r="C728" i="23"/>
  <c r="A859" i="23"/>
  <c r="A472" i="23"/>
  <c r="J1061" i="23"/>
  <c r="F738" i="23"/>
  <c r="I472" i="23"/>
  <c r="W168" i="22"/>
  <c r="A838" i="23"/>
  <c r="I748" i="23"/>
  <c r="H609" i="23"/>
  <c r="I777" i="23"/>
  <c r="C1165" i="23"/>
  <c r="C1125" i="23"/>
  <c r="C49" i="23"/>
  <c r="A943" i="23"/>
  <c r="A914" i="23"/>
  <c r="C322" i="23"/>
  <c r="J1293" i="23"/>
  <c r="J1254" i="23"/>
  <c r="C493" i="23"/>
  <c r="P150" i="22"/>
  <c r="H1002" i="23"/>
  <c r="A75" i="23"/>
  <c r="I649" i="23"/>
  <c r="J1356" i="23"/>
  <c r="I281" i="23"/>
  <c r="J643" i="23"/>
  <c r="H603" i="23"/>
  <c r="A920" i="23"/>
  <c r="C591" i="23"/>
  <c r="B39" i="22"/>
  <c r="F1201" i="23"/>
  <c r="I429" i="22"/>
  <c r="A1104" i="23"/>
  <c r="C767" i="23"/>
  <c r="B79" i="22"/>
  <c r="I750" i="23"/>
  <c r="J729" i="23"/>
  <c r="J625" i="23"/>
  <c r="C1189" i="23"/>
  <c r="J978" i="23"/>
  <c r="H934" i="23"/>
  <c r="P82" i="22"/>
  <c r="H1293" i="23"/>
  <c r="C1335" i="23"/>
  <c r="C187" i="23"/>
  <c r="B1222" i="23"/>
  <c r="H707" i="23"/>
  <c r="J818" i="23"/>
  <c r="F185" i="22"/>
  <c r="J455" i="23"/>
  <c r="I637" i="23"/>
  <c r="F1242" i="23"/>
  <c r="I1062" i="23"/>
  <c r="I936" i="23"/>
  <c r="C759" i="23"/>
  <c r="B303" i="22"/>
  <c r="H187" i="23"/>
  <c r="C63" i="23"/>
  <c r="C365" i="23"/>
  <c r="C998" i="23"/>
  <c r="I727" i="23"/>
  <c r="A52" i="23"/>
  <c r="J814" i="23"/>
  <c r="A1216" i="23"/>
  <c r="C914" i="23"/>
  <c r="J1232" i="23"/>
  <c r="I700" i="23"/>
  <c r="I1019" i="23"/>
  <c r="H857" i="23"/>
  <c r="A672" i="23"/>
  <c r="I29" i="23"/>
  <c r="C80" i="23"/>
  <c r="A703" i="23"/>
  <c r="I1280" i="23"/>
  <c r="J750" i="23"/>
  <c r="C780" i="23"/>
  <c r="H942" i="23"/>
  <c r="A59" i="22"/>
  <c r="I1042" i="23"/>
  <c r="F1053" i="23"/>
  <c r="F948" i="23"/>
  <c r="J755" i="23"/>
  <c r="J619" i="23"/>
  <c r="J538" i="23"/>
  <c r="C52" i="23"/>
  <c r="H540" i="23"/>
  <c r="I1358" i="23"/>
  <c r="B928" i="23"/>
  <c r="H1001" i="23"/>
  <c r="C582" i="23"/>
  <c r="I1124" i="23"/>
  <c r="J727" i="23"/>
  <c r="C1305" i="23"/>
  <c r="C1281" i="23"/>
  <c r="C661" i="23"/>
  <c r="A436" i="23"/>
  <c r="I939" i="23"/>
  <c r="C1268" i="23"/>
  <c r="I837" i="23"/>
  <c r="H897" i="23"/>
  <c r="H902" i="23"/>
  <c r="I789" i="23"/>
  <c r="H1302" i="23"/>
  <c r="J880" i="23"/>
  <c r="I543" i="23"/>
  <c r="C599" i="23"/>
  <c r="B118" i="22"/>
  <c r="J1154" i="23"/>
  <c r="I666" i="23"/>
  <c r="H183" i="23"/>
  <c r="AR8" i="1"/>
  <c r="I457" i="23"/>
  <c r="H189" i="23"/>
  <c r="H1166" i="23"/>
  <c r="A141" i="23"/>
  <c r="J649" i="23"/>
  <c r="J795" i="23"/>
  <c r="H453" i="23"/>
  <c r="H956" i="23"/>
  <c r="J965" i="23"/>
  <c r="H1280" i="23"/>
  <c r="A458" i="23"/>
  <c r="J1234" i="23"/>
  <c r="C239" i="23"/>
  <c r="J962" i="23"/>
  <c r="C729" i="23"/>
  <c r="C879" i="23"/>
  <c r="I1193" i="23"/>
  <c r="B760" i="23"/>
  <c r="A10" i="23"/>
  <c r="A430" i="23"/>
  <c r="I1233" i="23"/>
  <c r="H136" i="23"/>
  <c r="H1260" i="23"/>
  <c r="C168" i="23"/>
  <c r="U184" i="22"/>
  <c r="W184" i="22" s="1"/>
  <c r="P59" i="22"/>
  <c r="H708" i="23"/>
  <c r="B1033" i="23"/>
  <c r="F1054" i="23"/>
  <c r="A1023" i="23"/>
  <c r="I797" i="23"/>
  <c r="H1132" i="23"/>
  <c r="C813" i="23"/>
  <c r="J898" i="23"/>
  <c r="I558" i="23"/>
  <c r="I1027" i="23"/>
  <c r="J768" i="23"/>
  <c r="H755" i="23"/>
  <c r="I645" i="23"/>
  <c r="J704" i="23"/>
  <c r="B13" i="22"/>
  <c r="C10" i="23" s="1"/>
  <c r="A829" i="23"/>
  <c r="A1087" i="23"/>
  <c r="F184" i="22"/>
  <c r="F122" i="22"/>
  <c r="I498" i="23"/>
  <c r="A1134" i="23"/>
  <c r="H1007" i="23"/>
  <c r="A146" i="23"/>
  <c r="F550" i="23"/>
  <c r="H120" i="23"/>
  <c r="J1046" i="23"/>
  <c r="J578" i="23"/>
  <c r="C301" i="23"/>
  <c r="H178" i="23"/>
  <c r="C609" i="23"/>
  <c r="C536" i="23"/>
  <c r="A78" i="23"/>
  <c r="J1124" i="23"/>
  <c r="J605" i="23"/>
  <c r="I1364" i="23"/>
  <c r="P39" i="22"/>
  <c r="I496" i="23"/>
  <c r="J1126" i="23"/>
  <c r="C185" i="23"/>
  <c r="J515" i="23"/>
  <c r="C985" i="23"/>
  <c r="F844" i="23"/>
  <c r="I386" i="23"/>
  <c r="C976" i="23"/>
  <c r="C54" i="23"/>
  <c r="C977" i="23"/>
  <c r="B487" i="23"/>
  <c r="I1036" i="23"/>
  <c r="C1279" i="23"/>
  <c r="I859" i="23"/>
  <c r="A80" i="23"/>
  <c r="I1293" i="23"/>
  <c r="I855" i="23"/>
  <c r="C82" i="23"/>
  <c r="I787" i="23"/>
  <c r="I435" i="23"/>
  <c r="I668" i="23"/>
  <c r="J684" i="23"/>
  <c r="I1252" i="23"/>
  <c r="C1024" i="23"/>
  <c r="A546" i="23"/>
  <c r="H640" i="23"/>
  <c r="A684" i="23"/>
  <c r="C735" i="23"/>
  <c r="A584" i="23"/>
  <c r="J451" i="23"/>
  <c r="J894" i="23"/>
  <c r="I535" i="23"/>
  <c r="H955" i="23"/>
  <c r="J726" i="23"/>
  <c r="H961" i="23"/>
  <c r="I581" i="23"/>
  <c r="C1300" i="23"/>
  <c r="J1270" i="23"/>
  <c r="H164" i="23"/>
  <c r="I1087" i="23"/>
  <c r="C543" i="23"/>
  <c r="I878" i="23"/>
  <c r="J1000" i="23"/>
  <c r="I539" i="23"/>
  <c r="H835" i="23"/>
  <c r="C711" i="23"/>
  <c r="C1295" i="23"/>
  <c r="I747" i="23"/>
  <c r="A816" i="23"/>
  <c r="A62" i="22"/>
  <c r="A59" i="23" s="1"/>
  <c r="I454" i="23"/>
  <c r="J893" i="23"/>
  <c r="C705" i="23"/>
  <c r="H1238" i="23"/>
  <c r="I453" i="23"/>
  <c r="H1154" i="23"/>
  <c r="A140" i="23"/>
  <c r="J1174" i="23"/>
  <c r="I1022" i="23"/>
  <c r="I626" i="23"/>
  <c r="F549" i="23"/>
  <c r="C167" i="23"/>
  <c r="I431" i="23"/>
  <c r="H789" i="23"/>
  <c r="I663" i="23"/>
  <c r="A535" i="23"/>
  <c r="C896" i="23"/>
  <c r="J1231" i="23"/>
  <c r="J1044" i="23"/>
  <c r="F591" i="23"/>
  <c r="A1147" i="23"/>
  <c r="I1323" i="23"/>
  <c r="I793" i="23"/>
  <c r="I648" i="23"/>
  <c r="C792" i="23"/>
  <c r="C1168" i="23"/>
  <c r="C837" i="23"/>
  <c r="J1361" i="23"/>
  <c r="C629" i="23"/>
  <c r="J935" i="23"/>
  <c r="I1109" i="23"/>
  <c r="C1321" i="23"/>
  <c r="H188" i="23"/>
  <c r="I28" i="23"/>
  <c r="A900" i="23"/>
  <c r="I1251" i="23"/>
  <c r="J857" i="23"/>
  <c r="J497" i="23"/>
  <c r="I1000" i="23"/>
  <c r="H1255" i="23"/>
  <c r="C1158" i="23"/>
  <c r="C59" i="23"/>
  <c r="P56" i="22"/>
  <c r="C120" i="23"/>
  <c r="A1360" i="23"/>
  <c r="I1061" i="23"/>
  <c r="A1214" i="23"/>
  <c r="J1069" i="23"/>
  <c r="B676" i="23"/>
  <c r="I711" i="23"/>
  <c r="E303" i="22"/>
  <c r="H1067" i="23"/>
  <c r="A1252" i="23"/>
  <c r="H706" i="23"/>
  <c r="B166" i="22"/>
  <c r="C163" i="23" s="1"/>
  <c r="H63" i="23"/>
  <c r="I604" i="23"/>
  <c r="A563" i="23"/>
  <c r="H1112" i="23"/>
  <c r="J1193" i="23"/>
  <c r="J1190" i="23"/>
  <c r="F718" i="23"/>
  <c r="J1253" i="23"/>
  <c r="A1109" i="23"/>
  <c r="C1137" i="23"/>
  <c r="A74" i="23"/>
  <c r="A1236" i="23"/>
  <c r="J936" i="23"/>
  <c r="I1322" i="23"/>
  <c r="J1111" i="23"/>
  <c r="A835" i="23"/>
  <c r="I345" i="22"/>
  <c r="A479" i="23"/>
  <c r="H983" i="23"/>
  <c r="H73" i="23"/>
  <c r="C1166" i="23"/>
  <c r="P63" i="22"/>
  <c r="J830" i="23"/>
  <c r="F34" i="22"/>
  <c r="A477" i="23"/>
  <c r="J1295" i="23"/>
  <c r="A121" i="23"/>
  <c r="H74" i="23"/>
  <c r="C122" i="23"/>
  <c r="A959" i="23"/>
  <c r="B571" i="23"/>
  <c r="F633" i="23"/>
  <c r="J837" i="23"/>
  <c r="J545" i="23"/>
  <c r="C180" i="23"/>
  <c r="C605" i="23"/>
  <c r="J1001" i="23"/>
  <c r="H985" i="23"/>
  <c r="I1205" i="23"/>
  <c r="A456" i="23"/>
  <c r="I1108" i="23"/>
  <c r="A564" i="23"/>
  <c r="C84" i="23"/>
  <c r="C1249" i="23"/>
  <c r="I609" i="23"/>
  <c r="I197" i="23"/>
  <c r="F843" i="23"/>
  <c r="J1082" i="23"/>
  <c r="A79" i="23"/>
  <c r="I1204" i="23"/>
  <c r="C31" i="23"/>
  <c r="C953" i="23"/>
  <c r="A84" i="22"/>
  <c r="H545" i="23"/>
  <c r="F675" i="23"/>
  <c r="C671" i="23"/>
  <c r="A579" i="23"/>
  <c r="A670" i="23"/>
  <c r="A1250" i="23"/>
  <c r="W186" i="22"/>
  <c r="J1085" i="23"/>
  <c r="A561" i="23"/>
  <c r="H625" i="23"/>
  <c r="J434" i="23"/>
  <c r="I578" i="23"/>
  <c r="H54" i="23"/>
  <c r="F1137" i="23"/>
  <c r="F428" i="22"/>
  <c r="C182" i="23"/>
  <c r="A164" i="22"/>
  <c r="A38" i="22"/>
  <c r="H1191" i="23"/>
  <c r="I427" i="23"/>
  <c r="I196" i="23"/>
  <c r="A474" i="23"/>
  <c r="A1061" i="23"/>
  <c r="Q190" i="22"/>
  <c r="C477" i="23"/>
  <c r="C474" i="23"/>
  <c r="H1295" i="23"/>
  <c r="H1186" i="23"/>
  <c r="A726" i="23"/>
  <c r="A1151" i="23"/>
  <c r="F407" i="22"/>
  <c r="A724" i="23"/>
  <c r="J540" i="23"/>
  <c r="F1138" i="23"/>
  <c r="I1228" i="23"/>
  <c r="C1124" i="23"/>
  <c r="H126" i="23"/>
  <c r="M261" i="22"/>
  <c r="A478" i="23"/>
  <c r="A810" i="23"/>
  <c r="I476" i="23"/>
  <c r="F1222" i="23"/>
  <c r="H58" i="23"/>
  <c r="C1037" i="23"/>
  <c r="J521" i="23"/>
  <c r="I1192" i="23"/>
  <c r="J687" i="23"/>
  <c r="I1217" i="23"/>
  <c r="I565" i="23"/>
  <c r="A61" i="22"/>
  <c r="J917" i="23"/>
  <c r="B80" i="22"/>
  <c r="I602" i="23"/>
  <c r="J746" i="23"/>
  <c r="H119" i="23"/>
  <c r="A127" i="22"/>
  <c r="I642" i="23"/>
  <c r="C179" i="23"/>
  <c r="I478" i="23"/>
  <c r="A556" i="23"/>
  <c r="I835" i="23"/>
  <c r="J791" i="23"/>
  <c r="A733" i="23"/>
  <c r="I556" i="23"/>
  <c r="J895" i="23"/>
  <c r="I812" i="23"/>
  <c r="I603" i="23"/>
  <c r="A164" i="23"/>
  <c r="A192" i="22"/>
  <c r="J456" i="23"/>
  <c r="C665" i="23"/>
  <c r="I475" i="23"/>
  <c r="I1259" i="23"/>
  <c r="B42" i="22"/>
  <c r="A1362" i="23"/>
  <c r="C1322" i="23"/>
  <c r="P125" i="22"/>
  <c r="I608" i="23"/>
  <c r="C1155" i="23"/>
  <c r="C7" i="23"/>
  <c r="F166" i="22"/>
  <c r="C545" i="23"/>
  <c r="J535" i="23"/>
  <c r="C73" i="23"/>
  <c r="I1195" i="23"/>
  <c r="C945" i="23"/>
  <c r="A607" i="23"/>
  <c r="C61" i="23"/>
  <c r="A158" i="23"/>
  <c r="J1018" i="23"/>
  <c r="H670" i="23"/>
  <c r="A519" i="23"/>
  <c r="I1334" i="23"/>
  <c r="J682" i="23"/>
  <c r="M408" i="22"/>
  <c r="A166" i="23"/>
  <c r="J771" i="23"/>
  <c r="I456" i="23"/>
  <c r="C427" i="23"/>
  <c r="H662" i="23"/>
  <c r="A1175" i="23"/>
  <c r="F486" i="23"/>
  <c r="J1214" i="23"/>
  <c r="C746" i="23"/>
  <c r="I586" i="23"/>
  <c r="C1363" i="23"/>
  <c r="C302" i="23"/>
  <c r="J482" i="23"/>
  <c r="J1216" i="23"/>
  <c r="H624" i="23"/>
  <c r="H441" i="23"/>
  <c r="C91" i="23"/>
  <c r="A129" i="22"/>
  <c r="C178" i="23"/>
  <c r="I856" i="23"/>
  <c r="I1127" i="23"/>
  <c r="C663" i="23"/>
  <c r="H32" i="23"/>
  <c r="H82" i="23"/>
  <c r="C1068" i="23"/>
  <c r="F864" i="23"/>
  <c r="J598" i="23"/>
  <c r="C115" i="23"/>
  <c r="M345" i="22"/>
  <c r="F613" i="23"/>
  <c r="I754" i="23"/>
  <c r="A82" i="23"/>
  <c r="J579" i="23"/>
  <c r="C1302" i="23"/>
  <c r="H1019" i="23"/>
  <c r="A187" i="23"/>
  <c r="B466" i="23"/>
  <c r="A53" i="23"/>
  <c r="I752" i="23"/>
  <c r="J474" i="23"/>
  <c r="A601" i="23"/>
  <c r="A1192" i="23"/>
  <c r="H499" i="23"/>
  <c r="J1273" i="23"/>
  <c r="A81" i="23"/>
  <c r="C980" i="23"/>
  <c r="C714" i="23"/>
  <c r="P143" i="22"/>
  <c r="I238" i="23"/>
  <c r="I1209" i="23"/>
  <c r="J1194" i="23"/>
  <c r="J916" i="23"/>
  <c r="A850" i="23"/>
  <c r="C126" i="23"/>
  <c r="F760" i="23"/>
  <c r="F528" i="23"/>
  <c r="H915" i="23"/>
  <c r="P60" i="22"/>
  <c r="C497" i="23"/>
  <c r="M93" i="22"/>
  <c r="J899" i="23"/>
  <c r="J1318" i="23"/>
  <c r="A1208" i="23"/>
  <c r="P140" i="22"/>
  <c r="J628" i="23"/>
  <c r="F78" i="22"/>
  <c r="I966" i="23"/>
  <c r="C1019" i="23"/>
  <c r="B191" i="22"/>
  <c r="C794" i="23"/>
  <c r="H1176" i="23"/>
  <c r="AR11" i="1"/>
  <c r="C196" i="23"/>
  <c r="J662" i="23"/>
  <c r="J1049" i="23"/>
  <c r="J816" i="23"/>
  <c r="C162" i="23"/>
  <c r="I343" i="23"/>
  <c r="H61" i="23"/>
  <c r="I708" i="23"/>
  <c r="J460" i="23"/>
  <c r="A185" i="23"/>
  <c r="B387" i="22"/>
  <c r="A1291" i="23"/>
  <c r="A497" i="23"/>
  <c r="I942" i="23"/>
  <c r="I1234" i="23"/>
  <c r="AR7" i="1"/>
  <c r="A1209" i="23"/>
  <c r="C1081" i="23"/>
  <c r="I1338" i="23"/>
  <c r="A167" i="23"/>
  <c r="I1218" i="23"/>
  <c r="J1235" i="23"/>
  <c r="I1354" i="23"/>
  <c r="B1327" i="23"/>
  <c r="F970" i="23"/>
  <c r="C1216" i="23"/>
  <c r="H482" i="23"/>
  <c r="I1231" i="23"/>
  <c r="H940" i="23"/>
  <c r="F161" i="22"/>
  <c r="J650" i="23"/>
  <c r="J541" i="23"/>
  <c r="J478" i="23"/>
  <c r="H516" i="23"/>
  <c r="I1063" i="23"/>
  <c r="W188" i="22"/>
  <c r="I1155" i="23"/>
  <c r="A186" i="23"/>
  <c r="C630" i="23"/>
  <c r="A964" i="23"/>
  <c r="A788" i="23"/>
  <c r="I588" i="23"/>
  <c r="I647" i="23"/>
  <c r="A119" i="22"/>
  <c r="I625" i="23"/>
  <c r="A840" i="23"/>
  <c r="C1208" i="23"/>
  <c r="C528" i="23"/>
  <c r="I756" i="23"/>
  <c r="A57" i="23"/>
  <c r="A32" i="23"/>
  <c r="C1133" i="23"/>
  <c r="A600" i="23"/>
  <c r="I430" i="23"/>
  <c r="J725" i="23"/>
  <c r="J1169" i="23"/>
  <c r="C512" i="23"/>
  <c r="H60" i="23"/>
  <c r="C692" i="23"/>
  <c r="H53" i="23"/>
  <c r="J666" i="23"/>
  <c r="J1145" i="23"/>
  <c r="C71" i="23"/>
  <c r="P127" i="22"/>
  <c r="H854" i="23"/>
  <c r="B60" i="22"/>
  <c r="I1112" i="23"/>
  <c r="H732" i="23"/>
  <c r="I365" i="23"/>
  <c r="C55" i="23"/>
  <c r="A189" i="23"/>
  <c r="E429" i="22"/>
  <c r="C808" i="23"/>
  <c r="I461" i="23"/>
  <c r="I440" i="23"/>
  <c r="C8" i="23"/>
  <c r="I217" i="23"/>
  <c r="J1063" i="23"/>
  <c r="I364" i="23"/>
  <c r="C1028" i="23"/>
  <c r="P58" i="22"/>
  <c r="AR9" i="1"/>
  <c r="I874" i="23"/>
  <c r="I726" i="23"/>
  <c r="H163" i="23"/>
  <c r="I92" i="23"/>
  <c r="C1291" i="23"/>
  <c r="A178" i="23"/>
  <c r="C798" i="23"/>
  <c r="H31" i="23"/>
  <c r="J537" i="23"/>
  <c r="F1221" i="23"/>
  <c r="I344" i="23"/>
  <c r="B781" i="23"/>
  <c r="H772" i="23"/>
  <c r="A708" i="23"/>
  <c r="C734" i="23"/>
  <c r="A1259" i="23"/>
  <c r="A771" i="23"/>
  <c r="A168" i="23"/>
  <c r="F365" i="22"/>
  <c r="J1025" i="23"/>
  <c r="B445" i="23"/>
  <c r="H76" i="23"/>
  <c r="C218" i="23"/>
  <c r="F529" i="23"/>
  <c r="B160" i="22"/>
  <c r="I385" i="23"/>
  <c r="I853" i="23"/>
  <c r="C1049" i="23"/>
  <c r="J850" i="23"/>
  <c r="C344" i="23"/>
  <c r="C124" i="23"/>
  <c r="C877" i="23"/>
  <c r="C1333" i="23"/>
  <c r="A1293" i="23"/>
  <c r="I260" i="23"/>
  <c r="A1239" i="23"/>
  <c r="C430" i="23"/>
  <c r="H1270" i="23"/>
  <c r="C1368" i="23"/>
  <c r="J459" i="23"/>
  <c r="C60" i="23"/>
  <c r="C1179" i="23"/>
  <c r="H179" i="23"/>
  <c r="C56" i="23"/>
  <c r="I536" i="23"/>
  <c r="J669" i="23"/>
  <c r="I541" i="23"/>
  <c r="J494" i="23"/>
  <c r="J1189" i="23"/>
  <c r="I1084" i="23"/>
  <c r="F906" i="23"/>
  <c r="C1284" i="23"/>
  <c r="C1292" i="23"/>
  <c r="I259" i="23"/>
  <c r="M429" i="22"/>
  <c r="H56" i="23"/>
  <c r="I323" i="23"/>
  <c r="W183" i="22"/>
  <c r="A630" i="23"/>
  <c r="J1233" i="23"/>
  <c r="F1200" i="23"/>
  <c r="C118" i="23"/>
  <c r="I994" i="23"/>
  <c r="I1276" i="23"/>
  <c r="J983" i="23"/>
  <c r="A976" i="23"/>
  <c r="F1032" i="23"/>
  <c r="I977" i="23"/>
  <c r="F86" i="22"/>
  <c r="I520" i="23"/>
  <c r="I686" i="23"/>
  <c r="A545" i="23"/>
  <c r="B14" i="22"/>
  <c r="H185" i="23"/>
  <c r="F823" i="23"/>
  <c r="J495" i="23"/>
  <c r="J809" i="23"/>
  <c r="H688" i="23"/>
  <c r="Q188" i="22"/>
  <c r="H1123" i="23"/>
  <c r="C675" i="23"/>
  <c r="I771" i="23"/>
  <c r="I1187" i="23"/>
  <c r="I619" i="23"/>
  <c r="I1132" i="23"/>
  <c r="H11" i="23"/>
  <c r="F83" i="22"/>
  <c r="I953" i="23"/>
  <c r="B126" i="22"/>
  <c r="I833" i="23"/>
  <c r="J796" i="23"/>
  <c r="A144" i="23"/>
  <c r="C670" i="23"/>
  <c r="H709" i="23"/>
  <c r="A585" i="23"/>
  <c r="C1250" i="23"/>
  <c r="J440" i="23"/>
  <c r="W163" i="22"/>
  <c r="I1191" i="23"/>
  <c r="I1175" i="23"/>
  <c r="P36" i="22"/>
  <c r="C238" i="23"/>
  <c r="C843" i="23"/>
  <c r="I680" i="23"/>
  <c r="I606" i="23"/>
  <c r="H880" i="23"/>
  <c r="I1088" i="23"/>
  <c r="H714" i="23"/>
  <c r="I1271" i="23"/>
  <c r="C1252" i="23"/>
  <c r="A83" i="23"/>
  <c r="I805" i="23"/>
  <c r="C281" i="23"/>
  <c r="H146" i="23"/>
  <c r="I924" i="23"/>
  <c r="A1028" i="23"/>
  <c r="A1334" i="23"/>
  <c r="P62" i="22"/>
  <c r="I7" i="23"/>
  <c r="C1341" i="23"/>
  <c r="P161" i="22"/>
  <c r="H1171" i="23"/>
  <c r="J1089" i="23"/>
  <c r="J1228" i="23"/>
  <c r="H667" i="23"/>
  <c r="J1102" i="23"/>
  <c r="J1312" i="23"/>
  <c r="C165" i="23"/>
  <c r="H10" i="23"/>
  <c r="C1231" i="23"/>
  <c r="I1039" i="23"/>
  <c r="H496" i="23"/>
  <c r="I1174" i="23"/>
  <c r="J626" i="23"/>
  <c r="J794" i="23"/>
  <c r="H473" i="23"/>
  <c r="C983" i="23"/>
  <c r="A604" i="23"/>
  <c r="C1003" i="23"/>
  <c r="C785" i="23"/>
  <c r="H55" i="23"/>
  <c r="I517" i="23"/>
  <c r="C990" i="23"/>
  <c r="H585" i="23"/>
  <c r="C647" i="23"/>
  <c r="C923" i="23"/>
  <c r="A31" i="23"/>
  <c r="A122" i="22"/>
  <c r="F1096" i="23"/>
  <c r="F60" i="22"/>
  <c r="I282" i="22"/>
  <c r="H922" i="23"/>
  <c r="H730" i="23"/>
  <c r="H1236" i="23"/>
  <c r="C1357" i="23"/>
  <c r="H1254" i="23"/>
  <c r="C449" i="23"/>
  <c r="I1215" i="23"/>
  <c r="B77" i="22"/>
  <c r="H1257" i="23"/>
  <c r="H1207" i="23"/>
  <c r="B128" i="22"/>
  <c r="J1081" i="23"/>
  <c r="J836" i="23"/>
  <c r="A188" i="23"/>
  <c r="I1302" i="23"/>
  <c r="F508" i="23"/>
  <c r="A76" i="22"/>
  <c r="H79" i="23"/>
  <c r="J976" i="23"/>
  <c r="C462" i="23"/>
  <c r="C444" i="23"/>
  <c r="A56" i="23"/>
  <c r="A123" i="23"/>
  <c r="H1256" i="23"/>
  <c r="J648" i="23"/>
  <c r="F1159" i="23"/>
  <c r="I956" i="23"/>
  <c r="C260" i="23"/>
  <c r="F927" i="23"/>
  <c r="H123" i="23"/>
  <c r="H578" i="23"/>
  <c r="H159" i="23"/>
  <c r="W189" i="22"/>
  <c r="C651" i="23"/>
  <c r="J622" i="23"/>
  <c r="I523" i="23"/>
  <c r="A1082" i="23"/>
  <c r="H1323" i="23"/>
  <c r="C188" i="23"/>
  <c r="C32" i="23"/>
  <c r="A184" i="23"/>
  <c r="A119" i="23"/>
  <c r="C407" i="23"/>
  <c r="A731" i="23"/>
  <c r="A124" i="23"/>
  <c r="C1170" i="23"/>
  <c r="H898" i="23"/>
  <c r="I724" i="23"/>
  <c r="C731" i="23"/>
  <c r="B991" i="23"/>
  <c r="H57" i="23"/>
  <c r="B40" i="22"/>
  <c r="A499" i="23"/>
  <c r="A647" i="23"/>
  <c r="I917" i="23"/>
  <c r="C428" i="23"/>
  <c r="H118" i="23"/>
  <c r="J1186" i="23"/>
  <c r="I433" i="23"/>
  <c r="J1109" i="23"/>
  <c r="H606" i="23"/>
  <c r="J475" i="23"/>
  <c r="C654" i="23"/>
  <c r="H161" i="23"/>
  <c r="J439" i="23"/>
  <c r="A118" i="23"/>
  <c r="A161" i="23"/>
  <c r="A792" i="23"/>
  <c r="I218" i="23"/>
  <c r="B739" i="23"/>
  <c r="J558" i="23"/>
  <c r="H557" i="23"/>
  <c r="P166" i="22"/>
  <c r="H80" i="23"/>
  <c r="H1354" i="23"/>
  <c r="W181" i="22"/>
  <c r="H797" i="23"/>
  <c r="I1356" i="23"/>
  <c r="I875" i="23"/>
  <c r="H598" i="23"/>
  <c r="I1173" i="23"/>
  <c r="F907" i="23"/>
  <c r="J984" i="23"/>
  <c r="P43" i="22"/>
  <c r="C75" i="23"/>
  <c r="H75" i="23"/>
  <c r="H182" i="23"/>
  <c r="I643" i="23"/>
  <c r="H181" i="23"/>
  <c r="I301" i="23"/>
  <c r="J667" i="23"/>
  <c r="A774" i="23"/>
  <c r="I710" i="23"/>
  <c r="I623" i="23"/>
  <c r="C125" i="23"/>
  <c r="A41" i="22"/>
  <c r="A831" i="23"/>
  <c r="J432" i="23"/>
  <c r="I563" i="23"/>
  <c r="W187" i="22"/>
  <c r="H184" i="23"/>
  <c r="I280" i="23"/>
  <c r="C157" i="23"/>
  <c r="I690" i="23"/>
  <c r="C864" i="23"/>
  <c r="I689" i="23"/>
  <c r="H459" i="23"/>
  <c r="C969" i="23"/>
  <c r="H115" i="23"/>
  <c r="C11" i="23"/>
  <c r="I1238" i="23"/>
  <c r="J689" i="23"/>
  <c r="A667" i="23"/>
  <c r="A1292" i="23"/>
  <c r="A84" i="23"/>
  <c r="E387" i="22"/>
  <c r="C77" i="23"/>
  <c r="C385" i="23"/>
  <c r="A11" i="23"/>
  <c r="H83" i="23"/>
  <c r="A163" i="23"/>
  <c r="C386" i="23"/>
  <c r="A126" i="23"/>
  <c r="C123" i="23"/>
  <c r="C76" i="23"/>
  <c r="I406" i="23"/>
  <c r="I428" i="23"/>
  <c r="H158" i="23"/>
  <c r="A182" i="23"/>
  <c r="C189" i="23"/>
  <c r="W182" i="22"/>
  <c r="A116" i="23"/>
  <c r="A73" i="23"/>
  <c r="H127" i="23" l="1"/>
  <c r="X187" i="22"/>
  <c r="G43" i="22"/>
  <c r="R43" i="22"/>
  <c r="K43" i="22" s="1"/>
  <c r="H610" i="23"/>
  <c r="X181" i="22"/>
  <c r="H1366" i="23"/>
  <c r="M166" i="22"/>
  <c r="G166" i="22"/>
  <c r="R166" i="22"/>
  <c r="K166" i="22" s="1"/>
  <c r="J1198" i="23"/>
  <c r="X189" i="22"/>
  <c r="J988" i="23"/>
  <c r="X76" i="22"/>
  <c r="J1093" i="23"/>
  <c r="H1219" i="23"/>
  <c r="X122" i="22"/>
  <c r="J1324" i="23"/>
  <c r="J1114" i="23"/>
  <c r="J1240" i="23"/>
  <c r="M161" i="22"/>
  <c r="G161" i="22"/>
  <c r="R161" i="22"/>
  <c r="K161" i="22" s="1"/>
  <c r="G62" i="22"/>
  <c r="R62" i="22"/>
  <c r="K62" i="22" s="1"/>
  <c r="M62" i="22"/>
  <c r="N62" i="22" s="1"/>
  <c r="G36" i="22"/>
  <c r="R36" i="22"/>
  <c r="K36" i="22" s="1"/>
  <c r="X163" i="22"/>
  <c r="H1135" i="23"/>
  <c r="I188" i="22"/>
  <c r="X183" i="22"/>
  <c r="H1282" i="23"/>
  <c r="J862" i="23"/>
  <c r="G381" i="22"/>
  <c r="X381" i="22"/>
  <c r="R58" i="22"/>
  <c r="K58" i="22" s="1"/>
  <c r="G58" i="22"/>
  <c r="M127" i="22"/>
  <c r="N127" i="22" s="1"/>
  <c r="V127" i="22" s="1"/>
  <c r="G127" i="22"/>
  <c r="R127" i="22"/>
  <c r="K127" i="22" s="1"/>
  <c r="X119" i="22"/>
  <c r="X188" i="22"/>
  <c r="G140" i="22"/>
  <c r="R140" i="22"/>
  <c r="K140" i="22" s="1"/>
  <c r="R60" i="22"/>
  <c r="G60" i="22"/>
  <c r="G143" i="22"/>
  <c r="R143" i="22"/>
  <c r="J610" i="23"/>
  <c r="J694" i="23"/>
  <c r="J1030" i="23"/>
  <c r="J547" i="23"/>
  <c r="R125" i="22"/>
  <c r="K125" i="22" s="1"/>
  <c r="G125" i="22"/>
  <c r="X127" i="22"/>
  <c r="X423" i="22"/>
  <c r="G423" i="22"/>
  <c r="H1198" i="23"/>
  <c r="I190" i="22"/>
  <c r="X38" i="22"/>
  <c r="X164" i="22"/>
  <c r="F431" i="22"/>
  <c r="G429" i="22"/>
  <c r="K431" i="22"/>
  <c r="K429" i="22"/>
  <c r="N431" i="22"/>
  <c r="A431" i="22"/>
  <c r="A429" i="22"/>
  <c r="G431" i="22"/>
  <c r="D429" i="22"/>
  <c r="X186" i="22"/>
  <c r="F46" i="22"/>
  <c r="I46" i="22"/>
  <c r="G46" i="22"/>
  <c r="G63" i="22"/>
  <c r="R63" i="22"/>
  <c r="K63" i="22" s="1"/>
  <c r="R56" i="22"/>
  <c r="K56" i="22" s="1"/>
  <c r="G56" i="22"/>
  <c r="J1282" i="23"/>
  <c r="H967" i="23"/>
  <c r="J463" i="23"/>
  <c r="H652" i="23"/>
  <c r="R39" i="22"/>
  <c r="K39" i="22" s="1"/>
  <c r="G39" i="22"/>
  <c r="G59" i="22"/>
  <c r="R59" i="22"/>
  <c r="X184" i="22"/>
  <c r="H148" i="23"/>
  <c r="J631" i="23"/>
  <c r="R82" i="22"/>
  <c r="G82" i="22"/>
  <c r="H946" i="23"/>
  <c r="R150" i="22"/>
  <c r="X168" i="22"/>
  <c r="X56" i="22"/>
  <c r="X67" i="22" s="1"/>
  <c r="H64" i="23"/>
  <c r="J505" i="23"/>
  <c r="J778" i="23"/>
  <c r="X190" i="22"/>
  <c r="H1324" i="23"/>
  <c r="J736" i="23"/>
  <c r="F130" i="22"/>
  <c r="I130" i="22"/>
  <c r="G130" i="22"/>
  <c r="J757" i="23"/>
  <c r="H1156" i="23"/>
  <c r="J820" i="23"/>
  <c r="G44" i="22"/>
  <c r="R44" i="22"/>
  <c r="K44" i="22" s="1"/>
  <c r="J1303" i="23"/>
  <c r="X360" i="22"/>
  <c r="G360" i="22"/>
  <c r="R37" i="22"/>
  <c r="G37" i="22"/>
  <c r="X37" i="22"/>
  <c r="R34" i="22"/>
  <c r="K34" i="22" s="1"/>
  <c r="G34" i="22"/>
  <c r="H1051" i="23"/>
  <c r="R142" i="22"/>
  <c r="K142" i="22" s="1"/>
  <c r="G142" i="22"/>
  <c r="I67" i="22"/>
  <c r="G67" i="22"/>
  <c r="F67" i="22"/>
  <c r="J883" i="23"/>
  <c r="J652" i="23"/>
  <c r="I189" i="22"/>
  <c r="R141" i="22"/>
  <c r="M141" i="22" s="1"/>
  <c r="N141" i="22" s="1"/>
  <c r="V141" i="22" s="1"/>
  <c r="G141" i="22"/>
  <c r="R128" i="22"/>
  <c r="G128" i="22"/>
  <c r="G41" i="22"/>
  <c r="R41" i="22"/>
  <c r="R81" i="22"/>
  <c r="M81" i="22" s="1"/>
  <c r="G81" i="22"/>
  <c r="X78" i="22"/>
  <c r="J904" i="23"/>
  <c r="J526" i="23"/>
  <c r="J1051" i="23"/>
  <c r="R57" i="22"/>
  <c r="M57" i="22" s="1"/>
  <c r="G57" i="22"/>
  <c r="J715" i="23"/>
  <c r="X339" i="22"/>
  <c r="G339" i="22"/>
  <c r="H442" i="23"/>
  <c r="J946" i="23"/>
  <c r="J1072" i="23"/>
  <c r="R55" i="22"/>
  <c r="G55" i="22"/>
  <c r="X191" i="22"/>
  <c r="X121" i="22"/>
  <c r="H1177" i="23"/>
  <c r="H631" i="23"/>
  <c r="G123" i="22"/>
  <c r="R123" i="22"/>
  <c r="X161" i="22"/>
  <c r="H484" i="23"/>
  <c r="F193" i="22"/>
  <c r="I193" i="22"/>
  <c r="X276" i="22"/>
  <c r="G276" i="22"/>
  <c r="R87" i="22"/>
  <c r="J1219" i="23"/>
  <c r="J1345" i="23"/>
  <c r="G148" i="22"/>
  <c r="R148" i="22"/>
  <c r="M148" i="22" s="1"/>
  <c r="J799" i="23"/>
  <c r="X402" i="22"/>
  <c r="G402" i="22"/>
  <c r="J484" i="23"/>
  <c r="H925" i="23"/>
  <c r="H1093" i="23"/>
  <c r="J442" i="23"/>
  <c r="G122" i="22"/>
  <c r="R122" i="22"/>
  <c r="K122" i="22" s="1"/>
  <c r="J1009" i="23"/>
  <c r="J1135" i="23"/>
  <c r="H1240" i="23"/>
  <c r="G119" i="22"/>
  <c r="R119" i="22"/>
  <c r="K119" i="22" s="1"/>
  <c r="M119" i="22"/>
  <c r="N119" i="22" s="1"/>
  <c r="I191" i="22"/>
  <c r="I183" i="22"/>
  <c r="X34" i="22"/>
  <c r="H1072" i="23"/>
  <c r="X234" i="22"/>
  <c r="G234" i="22"/>
  <c r="H694" i="23"/>
  <c r="H1030" i="23"/>
  <c r="H463" i="23"/>
  <c r="G84" i="22"/>
  <c r="R84" i="22"/>
  <c r="K84" i="22" s="1"/>
  <c r="I186" i="22"/>
  <c r="G297" i="22"/>
  <c r="X297" i="22"/>
  <c r="X79" i="22"/>
  <c r="G85" i="22"/>
  <c r="R85" i="22"/>
  <c r="K85" i="22" s="1"/>
  <c r="I181" i="22"/>
  <c r="R86" i="22"/>
  <c r="K86" i="22" s="1"/>
  <c r="G86" i="22"/>
  <c r="H505" i="23"/>
  <c r="G42" i="22"/>
  <c r="R42" i="22"/>
  <c r="K42" i="22" s="1"/>
  <c r="M42" i="22"/>
  <c r="N42" i="22" s="1"/>
  <c r="V42" i="22" s="1"/>
  <c r="R78" i="22"/>
  <c r="G78" i="22"/>
  <c r="M40" i="22"/>
  <c r="N40" i="22" s="1"/>
  <c r="V40" i="22" s="1"/>
  <c r="G40" i="22"/>
  <c r="R40" i="22"/>
  <c r="K40" i="22" s="1"/>
  <c r="G65" i="22"/>
  <c r="R65" i="22"/>
  <c r="M65" i="22" s="1"/>
  <c r="H715" i="23"/>
  <c r="J967" i="23"/>
  <c r="G35" i="22"/>
  <c r="M35" i="22"/>
  <c r="N35" i="22" s="1"/>
  <c r="V35" i="22" s="1"/>
  <c r="R35" i="22"/>
  <c r="K35" i="22" s="1"/>
  <c r="H757" i="23"/>
  <c r="X35" i="22"/>
  <c r="J925" i="23"/>
  <c r="I187" i="22"/>
  <c r="X165" i="22"/>
  <c r="H589" i="23"/>
  <c r="J589" i="23"/>
  <c r="J1366" i="23"/>
  <c r="J1261" i="23"/>
  <c r="H820" i="23"/>
  <c r="R144" i="22"/>
  <c r="G144" i="22"/>
  <c r="X120" i="22"/>
  <c r="H904" i="23"/>
  <c r="R139" i="22"/>
  <c r="G151" i="22"/>
  <c r="G139" i="22"/>
  <c r="I172" i="22"/>
  <c r="F172" i="22"/>
  <c r="G76" i="22"/>
  <c r="R76" i="22"/>
  <c r="H736" i="23"/>
  <c r="J673" i="23"/>
  <c r="G79" i="22"/>
  <c r="R79" i="22"/>
  <c r="K79" i="22" s="1"/>
  <c r="H1345" i="23"/>
  <c r="H883" i="23"/>
  <c r="X162" i="22"/>
  <c r="G80" i="22"/>
  <c r="R80" i="22"/>
  <c r="K80" i="22" s="1"/>
  <c r="J568" i="23"/>
  <c r="G108" i="22"/>
  <c r="F95" i="22"/>
  <c r="F116" i="22" s="1"/>
  <c r="F137" i="22" s="1"/>
  <c r="F158" i="22" s="1"/>
  <c r="F179" i="22" s="1"/>
  <c r="F200" i="22" s="1"/>
  <c r="G93" i="22"/>
  <c r="G114" i="22" s="1"/>
  <c r="G135" i="22" s="1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K95" i="22"/>
  <c r="K116" i="22" s="1"/>
  <c r="K137" i="22" s="1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N95" i="22"/>
  <c r="N116" i="22" s="1"/>
  <c r="N137" i="22" s="1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D93" i="22"/>
  <c r="D114" i="22" s="1"/>
  <c r="D135" i="22" s="1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G110" i="22"/>
  <c r="G131" i="22" s="1"/>
  <c r="G152" i="22" s="1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M110" i="22"/>
  <c r="M131" i="22" s="1"/>
  <c r="M152" i="22" s="1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I95" i="22"/>
  <c r="I116" i="22" s="1"/>
  <c r="I137" i="22" s="1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A95" i="22"/>
  <c r="A116" i="22" s="1"/>
  <c r="A137" i="22" s="1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G95" i="22"/>
  <c r="G116" i="22" s="1"/>
  <c r="G137" i="22" s="1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A109" i="22"/>
  <c r="A130" i="22" s="1"/>
  <c r="A151" i="22" s="1"/>
  <c r="A172" i="22" s="1"/>
  <c r="A193" i="22" s="1"/>
  <c r="A214" i="22" s="1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K93" i="22"/>
  <c r="K114" i="22" s="1"/>
  <c r="K135" i="22" s="1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D110" i="22"/>
  <c r="D131" i="22" s="1"/>
  <c r="D152" i="22" s="1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B95" i="22"/>
  <c r="B116" i="22" s="1"/>
  <c r="B137" i="22" s="1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M95" i="22"/>
  <c r="M116" i="22" s="1"/>
  <c r="M137" i="22" s="1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K110" i="22"/>
  <c r="K131" i="22" s="1"/>
  <c r="K152" i="22" s="1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I110" i="22"/>
  <c r="I131" i="22" s="1"/>
  <c r="I152" i="22" s="1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X108" i="22"/>
  <c r="A93" i="22"/>
  <c r="A114" i="22" s="1"/>
  <c r="A135" i="22" s="1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110" i="22"/>
  <c r="A131" i="22" s="1"/>
  <c r="A152" i="22" s="1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R45" i="22"/>
  <c r="I88" i="22"/>
  <c r="G88" i="22"/>
  <c r="F88" i="22"/>
  <c r="R145" i="22"/>
  <c r="G145" i="22"/>
  <c r="W172" i="22"/>
  <c r="X160" i="22"/>
  <c r="R38" i="22"/>
  <c r="K38" i="22" s="1"/>
  <c r="G38" i="22"/>
  <c r="J841" i="23"/>
  <c r="X318" i="22"/>
  <c r="G318" i="22"/>
  <c r="X77" i="22"/>
  <c r="X170" i="22"/>
  <c r="R146" i="22"/>
  <c r="G146" i="22"/>
  <c r="M121" i="22"/>
  <c r="R121" i="22"/>
  <c r="K121" i="22" s="1"/>
  <c r="G121" i="22"/>
  <c r="R83" i="22"/>
  <c r="M83" i="22" s="1"/>
  <c r="G83" i="22"/>
  <c r="R66" i="22"/>
  <c r="K66" i="22" s="1"/>
  <c r="R77" i="22"/>
  <c r="G77" i="22"/>
  <c r="X36" i="22"/>
  <c r="J1156" i="23"/>
  <c r="I185" i="22"/>
  <c r="X166" i="22"/>
  <c r="I192" i="22"/>
  <c r="H862" i="23"/>
  <c r="R124" i="22"/>
  <c r="M124" i="22" s="1"/>
  <c r="G124" i="22"/>
  <c r="H841" i="23"/>
  <c r="X118" i="22"/>
  <c r="R120" i="22"/>
  <c r="K120" i="22" s="1"/>
  <c r="G120" i="22"/>
  <c r="I184" i="22"/>
  <c r="G126" i="22"/>
  <c r="R126" i="22"/>
  <c r="K126" i="22" s="1"/>
  <c r="R149" i="22"/>
  <c r="K149" i="22" s="1"/>
  <c r="G149" i="22"/>
  <c r="H778" i="23"/>
  <c r="R147" i="22"/>
  <c r="K147" i="22" s="1"/>
  <c r="G147" i="22"/>
  <c r="R129" i="22"/>
  <c r="J1177" i="23"/>
  <c r="H568" i="23"/>
  <c r="H1114" i="23"/>
  <c r="G64" i="22"/>
  <c r="R64" i="22"/>
  <c r="K64" i="22" s="1"/>
  <c r="H1261" i="23"/>
  <c r="H799" i="23"/>
  <c r="I182" i="22"/>
  <c r="X255" i="22"/>
  <c r="G255" i="22"/>
  <c r="H988" i="23"/>
  <c r="H547" i="23"/>
  <c r="G118" i="22"/>
  <c r="R118" i="22"/>
  <c r="K118" i="22" s="1"/>
  <c r="X213" i="22"/>
  <c r="G213" i="22"/>
  <c r="H526" i="23"/>
  <c r="H1303" i="23"/>
  <c r="R61" i="22"/>
  <c r="K61" i="22" s="1"/>
  <c r="G61" i="22"/>
  <c r="H1009" i="23"/>
  <c r="H673" i="23"/>
  <c r="M44" i="22"/>
  <c r="N44" i="22" s="1"/>
  <c r="V44" i="22" s="1"/>
  <c r="K81" i="22"/>
  <c r="X182" i="22"/>
  <c r="H85" i="23"/>
  <c r="M64" i="22"/>
  <c r="M38" i="22"/>
  <c r="N38" i="22" s="1"/>
  <c r="V38" i="22" s="1"/>
  <c r="K77" i="22"/>
  <c r="M77" i="22"/>
  <c r="K124" i="22"/>
  <c r="K57" i="22"/>
  <c r="N57" i="22"/>
  <c r="K128" i="22"/>
  <c r="M128" i="22"/>
  <c r="A370" i="22"/>
  <c r="Q372" i="22"/>
  <c r="A379" i="22"/>
  <c r="T379" i="22"/>
  <c r="B376" i="22"/>
  <c r="S377" i="22"/>
  <c r="B379" i="22"/>
  <c r="F375" i="22"/>
  <c r="A58" i="23"/>
  <c r="S421" i="22"/>
  <c r="F418" i="22"/>
  <c r="T419" i="22"/>
  <c r="A423" i="22"/>
  <c r="T420" i="22"/>
  <c r="U416" i="22"/>
  <c r="F422" i="22"/>
  <c r="T423" i="22"/>
  <c r="A416" i="22"/>
  <c r="A351" i="22"/>
  <c r="S355" i="22"/>
  <c r="T349" i="22"/>
  <c r="U349" i="22"/>
  <c r="A356" i="22"/>
  <c r="S356" i="22"/>
  <c r="F349" i="22"/>
  <c r="B359" i="22"/>
  <c r="S354" i="22"/>
  <c r="I78" i="23"/>
  <c r="I54" i="23"/>
  <c r="A335" i="22"/>
  <c r="B337" i="22"/>
  <c r="B332" i="22"/>
  <c r="A329" i="22"/>
  <c r="Q333" i="22"/>
  <c r="S338" i="22"/>
  <c r="F336" i="22"/>
  <c r="Q339" i="22"/>
  <c r="Q335" i="22"/>
  <c r="F275" i="22"/>
  <c r="B276" i="22"/>
  <c r="A265" i="22"/>
  <c r="S268" i="22"/>
  <c r="T269" i="22"/>
  <c r="S273" i="22"/>
  <c r="A266" i="22"/>
  <c r="B268" i="22"/>
  <c r="A275" i="22"/>
  <c r="A272" i="23" s="1"/>
  <c r="U393" i="22"/>
  <c r="T402" i="22"/>
  <c r="A392" i="22"/>
  <c r="U401" i="22"/>
  <c r="U400" i="22"/>
  <c r="Q400" i="22"/>
  <c r="S392" i="22"/>
  <c r="U391" i="22"/>
  <c r="F223" i="22"/>
  <c r="T230" i="22"/>
  <c r="S233" i="22"/>
  <c r="U226" i="22"/>
  <c r="T232" i="22"/>
  <c r="T223" i="22"/>
  <c r="F229" i="22"/>
  <c r="H226" i="23" s="1"/>
  <c r="U234" i="22"/>
  <c r="T231" i="22"/>
  <c r="T296" i="22"/>
  <c r="B291" i="22"/>
  <c r="Q286" i="22"/>
  <c r="F288" i="22"/>
  <c r="U293" i="22"/>
  <c r="A291" i="22"/>
  <c r="B297" i="22"/>
  <c r="F287" i="22"/>
  <c r="S108" i="22"/>
  <c r="Q104" i="22"/>
  <c r="T103" i="22"/>
  <c r="B104" i="22"/>
  <c r="Q103" i="22"/>
  <c r="S97" i="22"/>
  <c r="U103" i="22"/>
  <c r="B103" i="22"/>
  <c r="Q317" i="22"/>
  <c r="Q313" i="22"/>
  <c r="A311" i="22"/>
  <c r="T310" i="22"/>
  <c r="Q307" i="22"/>
  <c r="B318" i="22"/>
  <c r="B310" i="22"/>
  <c r="T307" i="22"/>
  <c r="F310" i="22"/>
  <c r="T251" i="22"/>
  <c r="T249" i="22"/>
  <c r="S251" i="22"/>
  <c r="B249" i="22"/>
  <c r="B254" i="22"/>
  <c r="U249" i="22"/>
  <c r="T253" i="22"/>
  <c r="S249" i="22"/>
  <c r="A245" i="22"/>
  <c r="A242" i="23" s="1"/>
  <c r="B203" i="22"/>
  <c r="S212" i="22"/>
  <c r="S208" i="22"/>
  <c r="F211" i="22"/>
  <c r="S207" i="22"/>
  <c r="S206" i="22"/>
  <c r="B207" i="22"/>
  <c r="A203" i="22"/>
  <c r="U203" i="22"/>
  <c r="Q381" i="22"/>
  <c r="B377" i="22"/>
  <c r="B380" i="22"/>
  <c r="A376" i="22"/>
  <c r="U378" i="22"/>
  <c r="Q371" i="22"/>
  <c r="S379" i="22"/>
  <c r="T373" i="22"/>
  <c r="Q417" i="22"/>
  <c r="F416" i="22"/>
  <c r="T414" i="22"/>
  <c r="B413" i="22"/>
  <c r="A414" i="22"/>
  <c r="B414" i="22"/>
  <c r="B412" i="22"/>
  <c r="A350" i="22"/>
  <c r="Q352" i="22"/>
  <c r="B355" i="22"/>
  <c r="B353" i="22"/>
  <c r="T359" i="22"/>
  <c r="U360" i="22"/>
  <c r="U355" i="22"/>
  <c r="Q353" i="22"/>
  <c r="B351" i="22"/>
  <c r="I158" i="23"/>
  <c r="F381" i="22"/>
  <c r="S371" i="22"/>
  <c r="A371" i="22"/>
  <c r="B373" i="22"/>
  <c r="Q375" i="22"/>
  <c r="S376" i="22"/>
  <c r="S381" i="22"/>
  <c r="A380" i="22"/>
  <c r="Q379" i="22"/>
  <c r="B381" i="22"/>
  <c r="C57" i="23"/>
  <c r="I407" i="23"/>
  <c r="T417" i="22"/>
  <c r="T422" i="22"/>
  <c r="B423" i="22"/>
  <c r="U419" i="22"/>
  <c r="S415" i="22"/>
  <c r="S414" i="22"/>
  <c r="B420" i="22"/>
  <c r="A419" i="22"/>
  <c r="Q414" i="22"/>
  <c r="B358" i="22"/>
  <c r="A349" i="22"/>
  <c r="Q354" i="22"/>
  <c r="Q351" i="22"/>
  <c r="A357" i="22"/>
  <c r="F354" i="22"/>
  <c r="F351" i="22"/>
  <c r="U359" i="22"/>
  <c r="U350" i="22"/>
  <c r="B331" i="22"/>
  <c r="T332" i="22"/>
  <c r="A332" i="22"/>
  <c r="F337" i="22"/>
  <c r="A333" i="22"/>
  <c r="S331" i="22"/>
  <c r="U331" i="22"/>
  <c r="T335" i="22"/>
  <c r="B267" i="22"/>
  <c r="C264" i="23" s="1"/>
  <c r="Q275" i="22"/>
  <c r="U266" i="22"/>
  <c r="T267" i="22"/>
  <c r="T268" i="22"/>
  <c r="U268" i="22"/>
  <c r="U271" i="22"/>
  <c r="Q271" i="22"/>
  <c r="T270" i="22"/>
  <c r="F392" i="22"/>
  <c r="S400" i="22"/>
  <c r="B399" i="22"/>
  <c r="S397" i="22"/>
  <c r="B401" i="22"/>
  <c r="B392" i="22"/>
  <c r="F397" i="22"/>
  <c r="S393" i="22"/>
  <c r="Q232" i="22"/>
  <c r="F228" i="22"/>
  <c r="A232" i="22"/>
  <c r="A223" i="22"/>
  <c r="B229" i="22"/>
  <c r="C226" i="23" s="1"/>
  <c r="A225" i="22"/>
  <c r="B234" i="22"/>
  <c r="C231" i="23" s="1"/>
  <c r="S227" i="22"/>
  <c r="B223" i="22"/>
  <c r="S297" i="22"/>
  <c r="Q293" i="22"/>
  <c r="A292" i="22"/>
  <c r="Q289" i="22"/>
  <c r="T290" i="22"/>
  <c r="T297" i="22"/>
  <c r="S290" i="22"/>
  <c r="U294" i="22"/>
  <c r="S288" i="22"/>
  <c r="B371" i="22"/>
  <c r="F378" i="22"/>
  <c r="U372" i="22"/>
  <c r="U380" i="22"/>
  <c r="F372" i="22"/>
  <c r="T374" i="22"/>
  <c r="F380" i="22"/>
  <c r="T380" i="22"/>
  <c r="I124" i="23"/>
  <c r="A421" i="22"/>
  <c r="Q413" i="22"/>
  <c r="S419" i="22"/>
  <c r="Q419" i="22"/>
  <c r="S412" i="22"/>
  <c r="U417" i="22"/>
  <c r="B416" i="22"/>
  <c r="S423" i="22"/>
  <c r="Q418" i="22"/>
  <c r="U374" i="22"/>
  <c r="T372" i="22"/>
  <c r="A374" i="22"/>
  <c r="T378" i="22"/>
  <c r="T377" i="22"/>
  <c r="A377" i="22"/>
  <c r="S373" i="22"/>
  <c r="A373" i="22"/>
  <c r="B372" i="22"/>
  <c r="U371" i="22"/>
  <c r="Q423" i="22"/>
  <c r="U414" i="22"/>
  <c r="A418" i="22"/>
  <c r="T421" i="22"/>
  <c r="A413" i="22"/>
  <c r="A422" i="22"/>
  <c r="F420" i="22"/>
  <c r="T418" i="22"/>
  <c r="F419" i="22"/>
  <c r="F353" i="22"/>
  <c r="F356" i="22"/>
  <c r="B352" i="22"/>
  <c r="T350" i="22"/>
  <c r="F350" i="22"/>
  <c r="A354" i="22"/>
  <c r="F359" i="22"/>
  <c r="F358" i="22"/>
  <c r="I138" i="23"/>
  <c r="A339" i="22"/>
  <c r="F331" i="22"/>
  <c r="F330" i="22"/>
  <c r="B339" i="22"/>
  <c r="B330" i="22"/>
  <c r="B329" i="22"/>
  <c r="U334" i="22"/>
  <c r="S329" i="22"/>
  <c r="F268" i="22"/>
  <c r="H265" i="23" s="1"/>
  <c r="S267" i="22"/>
  <c r="U269" i="22"/>
  <c r="U267" i="22"/>
  <c r="S276" i="22"/>
  <c r="Q269" i="22"/>
  <c r="S271" i="22"/>
  <c r="Q266" i="22"/>
  <c r="Q394" i="22"/>
  <c r="A398" i="22"/>
  <c r="F398" i="22"/>
  <c r="T401" i="22"/>
  <c r="S391" i="22"/>
  <c r="W391" i="22" s="1"/>
  <c r="A397" i="22"/>
  <c r="Q393" i="22"/>
  <c r="S394" i="22"/>
  <c r="T234" i="22"/>
  <c r="F233" i="22"/>
  <c r="T225" i="22"/>
  <c r="Q227" i="22"/>
  <c r="F230" i="22"/>
  <c r="U232" i="22"/>
  <c r="Q228" i="22"/>
  <c r="U225" i="22"/>
  <c r="S293" i="22"/>
  <c r="T295" i="22"/>
  <c r="F292" i="22"/>
  <c r="B294" i="22"/>
  <c r="F293" i="22"/>
  <c r="U291" i="22"/>
  <c r="S295" i="22"/>
  <c r="A296" i="22"/>
  <c r="Q297" i="22"/>
  <c r="Q99" i="22"/>
  <c r="T107" i="22"/>
  <c r="S100" i="22"/>
  <c r="A102" i="22"/>
  <c r="A99" i="23" s="1"/>
  <c r="A104" i="22"/>
  <c r="A101" i="23" s="1"/>
  <c r="F99" i="22"/>
  <c r="F97" i="22"/>
  <c r="F100" i="22"/>
  <c r="T106" i="22"/>
  <c r="B316" i="22"/>
  <c r="S316" i="22"/>
  <c r="F307" i="22"/>
  <c r="S307" i="22"/>
  <c r="U309" i="22"/>
  <c r="A314" i="22"/>
  <c r="B311" i="22"/>
  <c r="I121" i="23"/>
  <c r="F245" i="22"/>
  <c r="Q244" i="22"/>
  <c r="A249" i="22"/>
  <c r="F253" i="22"/>
  <c r="U250" i="22"/>
  <c r="T250" i="22"/>
  <c r="U253" i="22"/>
  <c r="B252" i="22"/>
  <c r="C249" i="23" s="1"/>
  <c r="S246" i="22"/>
  <c r="F209" i="22"/>
  <c r="S204" i="22"/>
  <c r="U207" i="22"/>
  <c r="T209" i="22"/>
  <c r="Q213" i="22"/>
  <c r="B213" i="22"/>
  <c r="F202" i="22"/>
  <c r="T202" i="22"/>
  <c r="I163" i="23"/>
  <c r="U373" i="22"/>
  <c r="T376" i="22"/>
  <c r="B378" i="22"/>
  <c r="S374" i="22"/>
  <c r="W374" i="22" s="1"/>
  <c r="A378" i="22"/>
  <c r="W371" i="22"/>
  <c r="S372" i="22"/>
  <c r="W372" i="22" s="1"/>
  <c r="F374" i="22"/>
  <c r="S416" i="22"/>
  <c r="F421" i="22"/>
  <c r="B417" i="22"/>
  <c r="U418" i="22"/>
  <c r="U422" i="22"/>
  <c r="F414" i="22"/>
  <c r="T413" i="22"/>
  <c r="F412" i="22"/>
  <c r="S418" i="22"/>
  <c r="W418" i="22" s="1"/>
  <c r="S420" i="22"/>
  <c r="W185" i="22"/>
  <c r="F352" i="22"/>
  <c r="Q360" i="22"/>
  <c r="T351" i="22"/>
  <c r="B350" i="22"/>
  <c r="T355" i="22"/>
  <c r="A353" i="22"/>
  <c r="A358" i="22"/>
  <c r="B349" i="22"/>
  <c r="U351" i="22"/>
  <c r="H168" i="23"/>
  <c r="Q377" i="22"/>
  <c r="S370" i="22"/>
  <c r="Q380" i="22"/>
  <c r="U370" i="22"/>
  <c r="W370" i="22" s="1"/>
  <c r="Q370" i="22"/>
  <c r="F373" i="22"/>
  <c r="T375" i="22"/>
  <c r="F376" i="22"/>
  <c r="T371" i="22"/>
  <c r="T415" i="22"/>
  <c r="U423" i="22"/>
  <c r="A417" i="22"/>
  <c r="B415" i="22"/>
  <c r="Q421" i="22"/>
  <c r="S422" i="22"/>
  <c r="A420" i="22"/>
  <c r="A415" i="22"/>
  <c r="C74" i="23"/>
  <c r="I59" i="23"/>
  <c r="Q378" i="22"/>
  <c r="T381" i="22"/>
  <c r="A372" i="22"/>
  <c r="A375" i="22"/>
  <c r="Q376" i="22"/>
  <c r="F371" i="22"/>
  <c r="U376" i="22"/>
  <c r="W376" i="22" s="1"/>
  <c r="B375" i="22"/>
  <c r="S378" i="22"/>
  <c r="T416" i="22"/>
  <c r="F413" i="22"/>
  <c r="U421" i="22"/>
  <c r="W421" i="22" s="1"/>
  <c r="Q415" i="22"/>
  <c r="U412" i="22"/>
  <c r="W412" i="22" s="1"/>
  <c r="F415" i="22"/>
  <c r="F423" i="22"/>
  <c r="W416" i="22"/>
  <c r="Q358" i="22"/>
  <c r="T358" i="22"/>
  <c r="F360" i="22"/>
  <c r="T360" i="22"/>
  <c r="T354" i="22"/>
  <c r="F355" i="22"/>
  <c r="T357" i="22"/>
  <c r="S351" i="22"/>
  <c r="S352" i="22"/>
  <c r="U377" i="22"/>
  <c r="A381" i="22"/>
  <c r="U381" i="22"/>
  <c r="S380" i="22"/>
  <c r="W380" i="22" s="1"/>
  <c r="F379" i="22"/>
  <c r="Q373" i="22"/>
  <c r="F377" i="22"/>
  <c r="W378" i="22"/>
  <c r="F370" i="22"/>
  <c r="B422" i="22"/>
  <c r="B418" i="22"/>
  <c r="W422" i="22"/>
  <c r="Q412" i="22"/>
  <c r="Q422" i="22"/>
  <c r="S413" i="22"/>
  <c r="A412" i="22"/>
  <c r="W414" i="22"/>
  <c r="S417" i="22"/>
  <c r="W417" i="22" s="1"/>
  <c r="B354" i="22"/>
  <c r="T352" i="22"/>
  <c r="S350" i="22"/>
  <c r="W350" i="22" s="1"/>
  <c r="W355" i="22"/>
  <c r="A355" i="22"/>
  <c r="U353" i="22"/>
  <c r="S357" i="22"/>
  <c r="Q356" i="22"/>
  <c r="A331" i="22"/>
  <c r="A336" i="22"/>
  <c r="A334" i="22"/>
  <c r="S330" i="22"/>
  <c r="B336" i="22"/>
  <c r="B335" i="22"/>
  <c r="Q328" i="22"/>
  <c r="W331" i="22"/>
  <c r="U328" i="22"/>
  <c r="T275" i="22"/>
  <c r="S274" i="22"/>
  <c r="B265" i="22"/>
  <c r="Q276" i="22"/>
  <c r="S265" i="22"/>
  <c r="B266" i="22"/>
  <c r="Q268" i="22"/>
  <c r="B270" i="22"/>
  <c r="F270" i="22"/>
  <c r="I145" i="23"/>
  <c r="U392" i="22"/>
  <c r="U402" i="22"/>
  <c r="F391" i="22"/>
  <c r="S399" i="22"/>
  <c r="U397" i="22"/>
  <c r="F395" i="22"/>
  <c r="F402" i="22"/>
  <c r="B395" i="22"/>
  <c r="B228" i="22"/>
  <c r="S232" i="22"/>
  <c r="S230" i="22"/>
  <c r="A227" i="22"/>
  <c r="S226" i="22"/>
  <c r="T228" i="22"/>
  <c r="B226" i="22"/>
  <c r="T226" i="22"/>
  <c r="Q226" i="22"/>
  <c r="T288" i="22"/>
  <c r="U288" i="22"/>
  <c r="U287" i="22"/>
  <c r="A297" i="22"/>
  <c r="U289" i="22"/>
  <c r="T292" i="22"/>
  <c r="B293" i="22"/>
  <c r="Q287" i="22"/>
  <c r="Q291" i="22"/>
  <c r="T100" i="22"/>
  <c r="U105" i="22"/>
  <c r="Q102" i="22"/>
  <c r="A97" i="22"/>
  <c r="F105" i="22"/>
  <c r="T99" i="22"/>
  <c r="T101" i="22"/>
  <c r="Q105" i="22"/>
  <c r="B106" i="22"/>
  <c r="U312" i="22"/>
  <c r="S313" i="22"/>
  <c r="A312" i="22"/>
  <c r="S309" i="22"/>
  <c r="T308" i="22"/>
  <c r="B317" i="22"/>
  <c r="F313" i="22"/>
  <c r="S318" i="22"/>
  <c r="U313" i="22"/>
  <c r="I118" i="23"/>
  <c r="U251" i="22"/>
  <c r="T247" i="22"/>
  <c r="A254" i="22"/>
  <c r="Q248" i="22"/>
  <c r="Q249" i="22"/>
  <c r="S245" i="22"/>
  <c r="U245" i="22"/>
  <c r="T254" i="22"/>
  <c r="Q245" i="22"/>
  <c r="A210" i="22"/>
  <c r="T204" i="22"/>
  <c r="T210" i="22"/>
  <c r="F205" i="22"/>
  <c r="H202" i="23" s="1"/>
  <c r="A205" i="22"/>
  <c r="T207" i="22"/>
  <c r="A213" i="22"/>
  <c r="A210" i="23" s="1"/>
  <c r="U213" i="22"/>
  <c r="B374" i="22"/>
  <c r="U352" i="22"/>
  <c r="T356" i="22"/>
  <c r="U333" i="22"/>
  <c r="A330" i="22"/>
  <c r="T328" i="22"/>
  <c r="Q338" i="22"/>
  <c r="B271" i="22"/>
  <c r="C268" i="23" s="1"/>
  <c r="F267" i="22"/>
  <c r="S269" i="22"/>
  <c r="A271" i="22"/>
  <c r="U394" i="22"/>
  <c r="W394" i="22" s="1"/>
  <c r="B402" i="22"/>
  <c r="Q399" i="22"/>
  <c r="A394" i="22"/>
  <c r="S401" i="22"/>
  <c r="S225" i="22"/>
  <c r="W225" i="22" s="1"/>
  <c r="U227" i="22"/>
  <c r="U233" i="22"/>
  <c r="A224" i="22"/>
  <c r="A221" i="23" s="1"/>
  <c r="A229" i="22"/>
  <c r="S292" i="22"/>
  <c r="S287" i="22"/>
  <c r="W287" i="22" s="1"/>
  <c r="S296" i="22"/>
  <c r="S294" i="22"/>
  <c r="Q295" i="22"/>
  <c r="F107" i="22"/>
  <c r="H104" i="23" s="1"/>
  <c r="F101" i="22"/>
  <c r="B102" i="22"/>
  <c r="C99" i="23" s="1"/>
  <c r="S106" i="22"/>
  <c r="B97" i="22"/>
  <c r="C94" i="23" s="1"/>
  <c r="T315" i="22"/>
  <c r="T309" i="22"/>
  <c r="U307" i="22"/>
  <c r="F308" i="22"/>
  <c r="Q316" i="22"/>
  <c r="T255" i="22"/>
  <c r="U244" i="22"/>
  <c r="Q254" i="22"/>
  <c r="A247" i="22"/>
  <c r="Q250" i="22"/>
  <c r="Q205" i="22"/>
  <c r="A211" i="22"/>
  <c r="A206" i="22"/>
  <c r="F206" i="22"/>
  <c r="F204" i="22"/>
  <c r="U204" i="22"/>
  <c r="H227" i="23"/>
  <c r="H370" i="23"/>
  <c r="W245" i="22"/>
  <c r="A202" i="23"/>
  <c r="C220" i="23"/>
  <c r="C378" i="23"/>
  <c r="H375" i="23"/>
  <c r="A350" i="23"/>
  <c r="C265" i="23"/>
  <c r="W204" i="22"/>
  <c r="A348" i="23"/>
  <c r="A311" i="23"/>
  <c r="C374" i="23"/>
  <c r="S375" i="22"/>
  <c r="B419" i="22"/>
  <c r="S349" i="22"/>
  <c r="U358" i="22"/>
  <c r="A360" i="22"/>
  <c r="U329" i="22"/>
  <c r="T329" i="22"/>
  <c r="F335" i="22"/>
  <c r="U335" i="22"/>
  <c r="T337" i="22"/>
  <c r="S337" i="22"/>
  <c r="B273" i="22"/>
  <c r="A272" i="22"/>
  <c r="F266" i="22"/>
  <c r="U265" i="22"/>
  <c r="F273" i="22"/>
  <c r="H270" i="23" s="1"/>
  <c r="F396" i="22"/>
  <c r="T399" i="22"/>
  <c r="U398" i="22"/>
  <c r="Q391" i="22"/>
  <c r="B391" i="22"/>
  <c r="U231" i="22"/>
  <c r="Q223" i="22"/>
  <c r="S228" i="22"/>
  <c r="F231" i="22"/>
  <c r="H228" i="23" s="1"/>
  <c r="Q288" i="22"/>
  <c r="B286" i="22"/>
  <c r="A286" i="22"/>
  <c r="S99" i="22"/>
  <c r="T98" i="22"/>
  <c r="U104" i="22"/>
  <c r="A108" i="22"/>
  <c r="T104" i="22"/>
  <c r="A99" i="22"/>
  <c r="A96" i="23" s="1"/>
  <c r="B314" i="22"/>
  <c r="A309" i="22"/>
  <c r="F315" i="22"/>
  <c r="A308" i="22"/>
  <c r="S310" i="22"/>
  <c r="A316" i="22"/>
  <c r="F248" i="22"/>
  <c r="H245" i="23" s="1"/>
  <c r="B247" i="22"/>
  <c r="C244" i="23" s="1"/>
  <c r="F246" i="22"/>
  <c r="A255" i="22"/>
  <c r="F255" i="22"/>
  <c r="U212" i="22"/>
  <c r="W212" i="22" s="1"/>
  <c r="F212" i="22"/>
  <c r="Q209" i="22"/>
  <c r="U202" i="22"/>
  <c r="S211" i="22"/>
  <c r="T206" i="22"/>
  <c r="C388" i="23"/>
  <c r="H332" i="23"/>
  <c r="C346" i="23"/>
  <c r="C270" i="23"/>
  <c r="C396" i="23"/>
  <c r="H392" i="23"/>
  <c r="C267" i="23"/>
  <c r="C399" i="23"/>
  <c r="C419" i="23"/>
  <c r="A294" i="23"/>
  <c r="T370" i="22"/>
  <c r="Q416" i="22"/>
  <c r="Q359" i="22"/>
  <c r="S360" i="22"/>
  <c r="Q349" i="22"/>
  <c r="Q336" i="22"/>
  <c r="B334" i="22"/>
  <c r="S335" i="22"/>
  <c r="S339" i="22"/>
  <c r="T333" i="22"/>
  <c r="A337" i="22"/>
  <c r="T276" i="22"/>
  <c r="Q270" i="22"/>
  <c r="U276" i="22"/>
  <c r="Q265" i="22"/>
  <c r="B269" i="22"/>
  <c r="B400" i="22"/>
  <c r="A402" i="22"/>
  <c r="Q402" i="22"/>
  <c r="F401" i="22"/>
  <c r="A391" i="22"/>
  <c r="A388" i="23" s="1"/>
  <c r="U224" i="22"/>
  <c r="F224" i="22"/>
  <c r="W232" i="22"/>
  <c r="Q225" i="22"/>
  <c r="T224" i="22"/>
  <c r="Q290" i="22"/>
  <c r="B289" i="22"/>
  <c r="A295" i="22"/>
  <c r="F286" i="22"/>
  <c r="T289" i="22"/>
  <c r="B99" i="22"/>
  <c r="B98" i="22"/>
  <c r="F108" i="22"/>
  <c r="H105" i="23" s="1"/>
  <c r="B100" i="22"/>
  <c r="S98" i="22"/>
  <c r="U99" i="22"/>
  <c r="S102" i="22"/>
  <c r="F318" i="22"/>
  <c r="F311" i="22"/>
  <c r="W307" i="22"/>
  <c r="A315" i="22"/>
  <c r="S314" i="22"/>
  <c r="T313" i="22"/>
  <c r="A244" i="22"/>
  <c r="F249" i="22"/>
  <c r="Q247" i="22"/>
  <c r="T245" i="22"/>
  <c r="Q252" i="22"/>
  <c r="S252" i="22"/>
  <c r="F210" i="22"/>
  <c r="H207" i="23" s="1"/>
  <c r="T208" i="22"/>
  <c r="S213" i="22"/>
  <c r="B205" i="22"/>
  <c r="C202" i="23" s="1"/>
  <c r="B206" i="22"/>
  <c r="Q206" i="22"/>
  <c r="U375" i="22"/>
  <c r="Q420" i="22"/>
  <c r="U356" i="22"/>
  <c r="W349" i="22"/>
  <c r="Q350" i="22"/>
  <c r="T331" i="22"/>
  <c r="U339" i="22"/>
  <c r="F328" i="22"/>
  <c r="Q334" i="22"/>
  <c r="B328" i="22"/>
  <c r="T334" i="22"/>
  <c r="T266" i="22"/>
  <c r="A273" i="22"/>
  <c r="T274" i="22"/>
  <c r="U273" i="22"/>
  <c r="Q272" i="22"/>
  <c r="T395" i="22"/>
  <c r="U399" i="22"/>
  <c r="W399" i="22" s="1"/>
  <c r="A401" i="22"/>
  <c r="W393" i="22"/>
  <c r="A396" i="22"/>
  <c r="I116" i="23"/>
  <c r="U230" i="22"/>
  <c r="S223" i="22"/>
  <c r="Q229" i="22"/>
  <c r="Q234" i="22"/>
  <c r="A228" i="22"/>
  <c r="S224" i="22"/>
  <c r="S289" i="22"/>
  <c r="U295" i="22"/>
  <c r="U296" i="22"/>
  <c r="W296" i="22" s="1"/>
  <c r="B292" i="22"/>
  <c r="F294" i="22"/>
  <c r="S101" i="22"/>
  <c r="U101" i="22"/>
  <c r="A105" i="22"/>
  <c r="U106" i="22"/>
  <c r="Q108" i="22"/>
  <c r="S104" i="22"/>
  <c r="B315" i="22"/>
  <c r="B308" i="22"/>
  <c r="Q310" i="22"/>
  <c r="Q309" i="22"/>
  <c r="F316" i="22"/>
  <c r="Q246" i="22"/>
  <c r="U247" i="22"/>
  <c r="F252" i="22"/>
  <c r="S255" i="22"/>
  <c r="A250" i="22"/>
  <c r="A247" i="23" s="1"/>
  <c r="U246" i="22"/>
  <c r="T203" i="22"/>
  <c r="F207" i="22"/>
  <c r="H204" i="23" s="1"/>
  <c r="F203" i="22"/>
  <c r="B208" i="22"/>
  <c r="B202" i="22"/>
  <c r="C199" i="23" s="1"/>
  <c r="U210" i="22"/>
  <c r="H418" i="23"/>
  <c r="C273" i="23"/>
  <c r="A105" i="23"/>
  <c r="C376" i="23"/>
  <c r="C356" i="23"/>
  <c r="C312" i="23"/>
  <c r="H377" i="23"/>
  <c r="W249" i="22"/>
  <c r="H420" i="23"/>
  <c r="W419" i="22"/>
  <c r="A289" i="23"/>
  <c r="C372" i="23"/>
  <c r="J116" i="23"/>
  <c r="C326" i="23"/>
  <c r="A414" i="23"/>
  <c r="I61" i="23"/>
  <c r="H356" i="23"/>
  <c r="C392" i="23"/>
  <c r="H372" i="23"/>
  <c r="W251" i="22"/>
  <c r="C414" i="23"/>
  <c r="A418" i="23"/>
  <c r="A283" i="23"/>
  <c r="C289" i="23"/>
  <c r="C283" i="23"/>
  <c r="B370" i="22"/>
  <c r="U420" i="22"/>
  <c r="B360" i="22"/>
  <c r="S353" i="22"/>
  <c r="W353" i="22" s="1"/>
  <c r="F357" i="22"/>
  <c r="S328" i="22"/>
  <c r="T330" i="22"/>
  <c r="F329" i="22"/>
  <c r="H326" i="23" s="1"/>
  <c r="Q332" i="22"/>
  <c r="U332" i="22"/>
  <c r="B275" i="22"/>
  <c r="C272" i="23" s="1"/>
  <c r="Q267" i="22"/>
  <c r="T272" i="22"/>
  <c r="T273" i="22"/>
  <c r="F265" i="22"/>
  <c r="U396" i="22"/>
  <c r="T394" i="22"/>
  <c r="T392" i="22"/>
  <c r="Q398" i="22"/>
  <c r="W401" i="22"/>
  <c r="H180" i="23"/>
  <c r="A226" i="22"/>
  <c r="U228" i="22"/>
  <c r="W228" i="22" s="1"/>
  <c r="S231" i="22"/>
  <c r="Q224" i="22"/>
  <c r="F225" i="22"/>
  <c r="H222" i="23" s="1"/>
  <c r="B233" i="22"/>
  <c r="F296" i="22"/>
  <c r="H293" i="23" s="1"/>
  <c r="Q294" i="22"/>
  <c r="B287" i="22"/>
  <c r="C284" i="23" s="1"/>
  <c r="S286" i="22"/>
  <c r="U290" i="22"/>
  <c r="W290" i="22" s="1"/>
  <c r="U286" i="22"/>
  <c r="W286" i="22" s="1"/>
  <c r="F98" i="22"/>
  <c r="A101" i="22"/>
  <c r="A98" i="23" s="1"/>
  <c r="F106" i="22"/>
  <c r="H103" i="23" s="1"/>
  <c r="U100" i="22"/>
  <c r="B107" i="22"/>
  <c r="Q106" i="22"/>
  <c r="F314" i="22"/>
  <c r="H311" i="23" s="1"/>
  <c r="B307" i="22"/>
  <c r="A310" i="22"/>
  <c r="T318" i="22"/>
  <c r="A317" i="22"/>
  <c r="A314" i="23" s="1"/>
  <c r="S315" i="22"/>
  <c r="B253" i="22"/>
  <c r="F247" i="22"/>
  <c r="B250" i="22"/>
  <c r="T244" i="22"/>
  <c r="S248" i="22"/>
  <c r="F244" i="22"/>
  <c r="A208" i="22"/>
  <c r="F213" i="22"/>
  <c r="A207" i="22"/>
  <c r="Q203" i="22"/>
  <c r="Q204" i="22"/>
  <c r="H351" i="23"/>
  <c r="H307" i="23"/>
  <c r="C398" i="23"/>
  <c r="H334" i="23"/>
  <c r="A393" i="23"/>
  <c r="C305" i="23"/>
  <c r="W227" i="22"/>
  <c r="H395" i="23"/>
  <c r="H416" i="23"/>
  <c r="H399" i="23"/>
  <c r="H369" i="23"/>
  <c r="C351" i="23"/>
  <c r="W268" i="22"/>
  <c r="W224" i="22"/>
  <c r="A413" i="23"/>
  <c r="C291" i="23"/>
  <c r="C420" i="23"/>
  <c r="C347" i="23"/>
  <c r="H328" i="23"/>
  <c r="C370" i="23"/>
  <c r="C368" i="23"/>
  <c r="A377" i="23"/>
  <c r="C266" i="23"/>
  <c r="C373" i="23"/>
  <c r="C412" i="23"/>
  <c r="W375" i="22"/>
  <c r="B421" i="22"/>
  <c r="C418" i="23" s="1"/>
  <c r="S359" i="22"/>
  <c r="S358" i="22"/>
  <c r="W358" i="22" s="1"/>
  <c r="B357" i="22"/>
  <c r="S333" i="22"/>
  <c r="Q331" i="22"/>
  <c r="F339" i="22"/>
  <c r="S332" i="22"/>
  <c r="A338" i="22"/>
  <c r="W335" i="22"/>
  <c r="H160" i="23"/>
  <c r="U274" i="22"/>
  <c r="Q274" i="22"/>
  <c r="F269" i="22"/>
  <c r="H266" i="23" s="1"/>
  <c r="S272" i="22"/>
  <c r="A267" i="22"/>
  <c r="T397" i="22"/>
  <c r="Q392" i="22"/>
  <c r="Q397" i="22"/>
  <c r="Q401" i="22"/>
  <c r="A395" i="22"/>
  <c r="U395" i="22"/>
  <c r="T229" i="22"/>
  <c r="A233" i="22"/>
  <c r="U223" i="22"/>
  <c r="W223" i="22" s="1"/>
  <c r="T227" i="22"/>
  <c r="S234" i="22"/>
  <c r="T293" i="22"/>
  <c r="F291" i="22"/>
  <c r="T286" i="22"/>
  <c r="A293" i="22"/>
  <c r="W289" i="22"/>
  <c r="B288" i="22"/>
  <c r="I62" i="23"/>
  <c r="A106" i="22"/>
  <c r="A103" i="22"/>
  <c r="A100" i="23" s="1"/>
  <c r="F103" i="22"/>
  <c r="A100" i="22"/>
  <c r="F102" i="22"/>
  <c r="F104" i="22"/>
  <c r="Q107" i="22"/>
  <c r="S308" i="22"/>
  <c r="B312" i="22"/>
  <c r="C309" i="23" s="1"/>
  <c r="U310" i="22"/>
  <c r="T314" i="22"/>
  <c r="U314" i="22"/>
  <c r="S311" i="22"/>
  <c r="Q311" i="22"/>
  <c r="B244" i="22"/>
  <c r="S244" i="22"/>
  <c r="Q251" i="22"/>
  <c r="U252" i="22"/>
  <c r="Q253" i="22"/>
  <c r="B245" i="22"/>
  <c r="A204" i="22"/>
  <c r="A201" i="23" s="1"/>
  <c r="A212" i="22"/>
  <c r="A209" i="23" s="1"/>
  <c r="T213" i="22"/>
  <c r="S210" i="22"/>
  <c r="W210" i="22" s="1"/>
  <c r="S202" i="22"/>
  <c r="W202" i="22" s="1"/>
  <c r="U205" i="22"/>
  <c r="A409" i="23"/>
  <c r="A288" i="23"/>
  <c r="A410" i="23"/>
  <c r="H417" i="23"/>
  <c r="A252" i="23"/>
  <c r="U379" i="22"/>
  <c r="U415" i="22"/>
  <c r="W415" i="22" s="1"/>
  <c r="T353" i="22"/>
  <c r="W351" i="22"/>
  <c r="U336" i="22"/>
  <c r="Q329" i="22"/>
  <c r="U338" i="22"/>
  <c r="W338" i="22" s="1"/>
  <c r="S336" i="22"/>
  <c r="W336" i="22" s="1"/>
  <c r="F333" i="22"/>
  <c r="Q273" i="22"/>
  <c r="B272" i="22"/>
  <c r="A269" i="22"/>
  <c r="A270" i="22"/>
  <c r="A267" i="23" s="1"/>
  <c r="F276" i="22"/>
  <c r="T396" i="22"/>
  <c r="T400" i="22"/>
  <c r="B393" i="22"/>
  <c r="C390" i="23" s="1"/>
  <c r="S402" i="22"/>
  <c r="S396" i="22"/>
  <c r="T393" i="22"/>
  <c r="B227" i="22"/>
  <c r="C224" i="23" s="1"/>
  <c r="F232" i="22"/>
  <c r="H229" i="23" s="1"/>
  <c r="F227" i="22"/>
  <c r="H224" i="23" s="1"/>
  <c r="B231" i="22"/>
  <c r="Q231" i="22"/>
  <c r="U292" i="22"/>
  <c r="W292" i="22" s="1"/>
  <c r="B296" i="22"/>
  <c r="S291" i="22"/>
  <c r="T287" i="22"/>
  <c r="U297" i="22"/>
  <c r="B101" i="22"/>
  <c r="A107" i="22"/>
  <c r="U108" i="22"/>
  <c r="Q100" i="22"/>
  <c r="S105" i="22"/>
  <c r="Q312" i="22"/>
  <c r="Q315" i="22"/>
  <c r="T316" i="22"/>
  <c r="S312" i="22"/>
  <c r="W312" i="22" s="1"/>
  <c r="W314" i="22"/>
  <c r="F317" i="22"/>
  <c r="H314" i="23" s="1"/>
  <c r="F312" i="22"/>
  <c r="H309" i="23" s="1"/>
  <c r="S247" i="22"/>
  <c r="W247" i="22" s="1"/>
  <c r="U254" i="22"/>
  <c r="B246" i="22"/>
  <c r="C243" i="23" s="1"/>
  <c r="A248" i="22"/>
  <c r="A245" i="23" s="1"/>
  <c r="T248" i="22"/>
  <c r="F250" i="22"/>
  <c r="H247" i="23" s="1"/>
  <c r="Q202" i="22"/>
  <c r="S209" i="22"/>
  <c r="Q212" i="22"/>
  <c r="U206" i="22"/>
  <c r="U208" i="22"/>
  <c r="A202" i="22"/>
  <c r="Q374" i="22"/>
  <c r="U413" i="22"/>
  <c r="W413" i="22" s="1"/>
  <c r="U354" i="22"/>
  <c r="W354" i="22" s="1"/>
  <c r="B356" i="22"/>
  <c r="A352" i="22"/>
  <c r="U330" i="22"/>
  <c r="W330" i="22" s="1"/>
  <c r="Q337" i="22"/>
  <c r="T338" i="22"/>
  <c r="B333" i="22"/>
  <c r="T339" i="22"/>
  <c r="A276" i="22"/>
  <c r="T265" i="22"/>
  <c r="A268" i="22"/>
  <c r="T271" i="22"/>
  <c r="U272" i="22"/>
  <c r="F394" i="22"/>
  <c r="T391" i="22"/>
  <c r="B396" i="22"/>
  <c r="C393" i="23" s="1"/>
  <c r="F399" i="22"/>
  <c r="W392" i="22"/>
  <c r="F400" i="22"/>
  <c r="B224" i="22"/>
  <c r="Q230" i="22"/>
  <c r="F226" i="22"/>
  <c r="W226" i="22"/>
  <c r="A234" i="22"/>
  <c r="T291" i="22"/>
  <c r="B290" i="22"/>
  <c r="Q292" i="22"/>
  <c r="T294" i="22"/>
  <c r="B295" i="22"/>
  <c r="S103" i="22"/>
  <c r="U107" i="22"/>
  <c r="T102" i="22"/>
  <c r="T97" i="22"/>
  <c r="A98" i="22"/>
  <c r="Q97" i="22"/>
  <c r="U318" i="22"/>
  <c r="T317" i="22"/>
  <c r="U315" i="22"/>
  <c r="W315" i="22" s="1"/>
  <c r="Q318" i="22"/>
  <c r="A313" i="22"/>
  <c r="A310" i="23" s="1"/>
  <c r="S317" i="22"/>
  <c r="F309" i="22"/>
  <c r="I80" i="23"/>
  <c r="S253" i="22"/>
  <c r="F254" i="22"/>
  <c r="T252" i="22"/>
  <c r="B248" i="22"/>
  <c r="B255" i="22"/>
  <c r="C252" i="23" s="1"/>
  <c r="T246" i="22"/>
  <c r="A209" i="22"/>
  <c r="T212" i="22"/>
  <c r="B212" i="22"/>
  <c r="C209" i="23" s="1"/>
  <c r="S203" i="22"/>
  <c r="B209" i="22"/>
  <c r="U211" i="22"/>
  <c r="W211" i="22" s="1"/>
  <c r="W379" i="22"/>
  <c r="F417" i="22"/>
  <c r="U357" i="22"/>
  <c r="W357" i="22" s="1"/>
  <c r="A359" i="22"/>
  <c r="A356" i="23" s="1"/>
  <c r="C343" i="23"/>
  <c r="F338" i="22"/>
  <c r="H335" i="23" s="1"/>
  <c r="T336" i="22"/>
  <c r="A328" i="22"/>
  <c r="B338" i="22"/>
  <c r="W329" i="22"/>
  <c r="F272" i="22"/>
  <c r="H269" i="23" s="1"/>
  <c r="F274" i="22"/>
  <c r="U275" i="22"/>
  <c r="F271" i="22"/>
  <c r="U270" i="22"/>
  <c r="B394" i="22"/>
  <c r="C391" i="23" s="1"/>
  <c r="Q396" i="22"/>
  <c r="S395" i="22"/>
  <c r="W395" i="22" s="1"/>
  <c r="B398" i="22"/>
  <c r="T398" i="22"/>
  <c r="A400" i="22"/>
  <c r="A397" i="23" s="1"/>
  <c r="B230" i="22"/>
  <c r="C227" i="23" s="1"/>
  <c r="U229" i="22"/>
  <c r="S229" i="22"/>
  <c r="A230" i="22"/>
  <c r="B232" i="22"/>
  <c r="C229" i="23" s="1"/>
  <c r="F297" i="22"/>
  <c r="F295" i="22"/>
  <c r="A287" i="22"/>
  <c r="A288" i="22"/>
  <c r="Q296" i="22"/>
  <c r="B108" i="22"/>
  <c r="C105" i="23" s="1"/>
  <c r="U102" i="22"/>
  <c r="W102" i="22" s="1"/>
  <c r="T105" i="22"/>
  <c r="Q98" i="22"/>
  <c r="T108" i="22"/>
  <c r="P167" i="22"/>
  <c r="P162" i="22"/>
  <c r="AR13" i="1"/>
  <c r="P171" i="22"/>
  <c r="P169" i="22"/>
  <c r="P170" i="22"/>
  <c r="P165" i="22"/>
  <c r="P168" i="22"/>
  <c r="P160" i="22"/>
  <c r="P164" i="22"/>
  <c r="P163" i="22"/>
  <c r="A307" i="22"/>
  <c r="A304" i="23" s="1"/>
  <c r="T311" i="22"/>
  <c r="A318" i="22"/>
  <c r="Q308" i="22"/>
  <c r="B309" i="22"/>
  <c r="C306" i="23" s="1"/>
  <c r="Q314" i="22"/>
  <c r="A246" i="22"/>
  <c r="A243" i="23" s="1"/>
  <c r="B251" i="22"/>
  <c r="W244" i="22"/>
  <c r="S254" i="22"/>
  <c r="Q255" i="22"/>
  <c r="F251" i="22"/>
  <c r="H248" i="23" s="1"/>
  <c r="T211" i="22"/>
  <c r="Q210" i="22"/>
  <c r="S205" i="22"/>
  <c r="U209" i="22"/>
  <c r="Q207" i="22"/>
  <c r="B211" i="22"/>
  <c r="A224" i="23"/>
  <c r="H371" i="23"/>
  <c r="C355" i="23"/>
  <c r="C413" i="23"/>
  <c r="A308" i="23"/>
  <c r="C286" i="23"/>
  <c r="A306" i="23"/>
  <c r="C100" i="23"/>
  <c r="H288" i="23"/>
  <c r="H313" i="23"/>
  <c r="H394" i="23"/>
  <c r="H368" i="23"/>
  <c r="H353" i="23"/>
  <c r="A371" i="23"/>
  <c r="H376" i="23"/>
  <c r="A307" i="23"/>
  <c r="A346" i="23"/>
  <c r="C95" i="23"/>
  <c r="A97" i="23"/>
  <c r="H305" i="23"/>
  <c r="W400" i="22"/>
  <c r="A398" i="23"/>
  <c r="A412" i="23"/>
  <c r="C328" i="23"/>
  <c r="W229" i="22"/>
  <c r="T412" i="22"/>
  <c r="Q355" i="22"/>
  <c r="Q357" i="22"/>
  <c r="U337" i="22"/>
  <c r="W337" i="22" s="1"/>
  <c r="Q330" i="22"/>
  <c r="F332" i="22"/>
  <c r="H329" i="23" s="1"/>
  <c r="S334" i="22"/>
  <c r="F334" i="22"/>
  <c r="H331" i="23" s="1"/>
  <c r="S266" i="22"/>
  <c r="W266" i="22" s="1"/>
  <c r="B274" i="22"/>
  <c r="A274" i="22"/>
  <c r="A271" i="23" s="1"/>
  <c r="S275" i="22"/>
  <c r="S270" i="22"/>
  <c r="W270" i="22" s="1"/>
  <c r="A399" i="22"/>
  <c r="A396" i="23" s="1"/>
  <c r="S398" i="22"/>
  <c r="B397" i="22"/>
  <c r="Q395" i="22"/>
  <c r="A393" i="22"/>
  <c r="F393" i="22"/>
  <c r="H390" i="23" s="1"/>
  <c r="A231" i="22"/>
  <c r="Q233" i="22"/>
  <c r="T233" i="22"/>
  <c r="F234" i="22"/>
  <c r="H231" i="23" s="1"/>
  <c r="B225" i="22"/>
  <c r="C222" i="23" s="1"/>
  <c r="F289" i="22"/>
  <c r="A294" i="22"/>
  <c r="A289" i="22"/>
  <c r="A286" i="23" s="1"/>
  <c r="F290" i="22"/>
  <c r="H287" i="23" s="1"/>
  <c r="A290" i="22"/>
  <c r="Q101" i="22"/>
  <c r="U98" i="22"/>
  <c r="W98" i="22" s="1"/>
  <c r="B105" i="22"/>
  <c r="C102" i="23" s="1"/>
  <c r="U97" i="22"/>
  <c r="S107" i="22"/>
  <c r="W107" i="22" s="1"/>
  <c r="T312" i="22"/>
  <c r="U308" i="22"/>
  <c r="B313" i="22"/>
  <c r="U317" i="22"/>
  <c r="U316" i="22"/>
  <c r="W316" i="22" s="1"/>
  <c r="U311" i="22"/>
  <c r="S250" i="22"/>
  <c r="W250" i="22" s="1"/>
  <c r="U248" i="22"/>
  <c r="U255" i="22"/>
  <c r="A253" i="22"/>
  <c r="A252" i="22"/>
  <c r="A249" i="23" s="1"/>
  <c r="A251" i="22"/>
  <c r="T205" i="22"/>
  <c r="B204" i="22"/>
  <c r="C201" i="23" s="1"/>
  <c r="Q208" i="22"/>
  <c r="Q211" i="22"/>
  <c r="B210" i="22"/>
  <c r="C207" i="23" s="1"/>
  <c r="F208" i="22"/>
  <c r="H393" i="23"/>
  <c r="C294" i="23"/>
  <c r="A378" i="23"/>
  <c r="C242" i="23"/>
  <c r="A399" i="23"/>
  <c r="H210" i="23"/>
  <c r="C349" i="23"/>
  <c r="C353" i="23"/>
  <c r="A415" i="23"/>
  <c r="A290" i="23"/>
  <c r="W254" i="22"/>
  <c r="A374" i="23"/>
  <c r="C395" i="23"/>
  <c r="C223" i="23"/>
  <c r="A370" i="23"/>
  <c r="A251" i="23"/>
  <c r="A372" i="23"/>
  <c r="H349" i="23"/>
  <c r="H230" i="23"/>
  <c r="W352" i="22"/>
  <c r="C287" i="23"/>
  <c r="H312" i="23"/>
  <c r="H333" i="23"/>
  <c r="A375" i="23"/>
  <c r="C325" i="23"/>
  <c r="H411" i="23"/>
  <c r="C248" i="23"/>
  <c r="A292" i="23"/>
  <c r="C331" i="23"/>
  <c r="C208" i="23"/>
  <c r="H310" i="23"/>
  <c r="H206" i="23"/>
  <c r="H389" i="23"/>
  <c r="H101" i="23"/>
  <c r="A309" i="23"/>
  <c r="H412" i="23"/>
  <c r="C357" i="23"/>
  <c r="C263" i="23"/>
  <c r="C348" i="23"/>
  <c r="C334" i="23"/>
  <c r="C409" i="23"/>
  <c r="C352" i="23"/>
  <c r="A293" i="23"/>
  <c r="C311" i="23"/>
  <c r="H289" i="23"/>
  <c r="A206" i="23"/>
  <c r="A265" i="23"/>
  <c r="C389" i="23"/>
  <c r="W293" i="22"/>
  <c r="C371" i="23"/>
  <c r="H203" i="23"/>
  <c r="H414" i="23"/>
  <c r="C327" i="23"/>
  <c r="W104" i="22"/>
  <c r="C210" i="23"/>
  <c r="C103" i="23"/>
  <c r="A416" i="23"/>
  <c r="H391" i="23"/>
  <c r="I74" i="23"/>
  <c r="A328" i="23"/>
  <c r="H96" i="23"/>
  <c r="C417" i="23"/>
  <c r="W265" i="22"/>
  <c r="W207" i="22"/>
  <c r="W209" i="22"/>
  <c r="C308" i="23"/>
  <c r="W397" i="22"/>
  <c r="H209" i="23"/>
  <c r="H263" i="23"/>
  <c r="A220" i="23"/>
  <c r="H294" i="23"/>
  <c r="A357" i="23"/>
  <c r="C333" i="23"/>
  <c r="W310" i="22"/>
  <c r="C336" i="23"/>
  <c r="H315" i="23"/>
  <c r="A352" i="23"/>
  <c r="C415" i="23"/>
  <c r="C314" i="23"/>
  <c r="C310" i="23"/>
  <c r="C411" i="23"/>
  <c r="H336" i="23"/>
  <c r="C330" i="23"/>
  <c r="H290" i="23"/>
  <c r="H244" i="23"/>
  <c r="H396" i="23"/>
  <c r="A394" i="23"/>
  <c r="C394" i="23"/>
  <c r="A349" i="23"/>
  <c r="A200" i="23"/>
  <c r="A313" i="23"/>
  <c r="H291" i="23"/>
  <c r="C332" i="23"/>
  <c r="A373" i="23"/>
  <c r="J124" i="23"/>
  <c r="C204" i="23"/>
  <c r="C288" i="23"/>
  <c r="A325" i="23"/>
  <c r="A355" i="23"/>
  <c r="C292" i="23"/>
  <c r="A270" i="23"/>
  <c r="W103" i="22"/>
  <c r="H201" i="23"/>
  <c r="C350" i="23"/>
  <c r="A241" i="23"/>
  <c r="A327" i="23"/>
  <c r="H273" i="23"/>
  <c r="H352" i="23"/>
  <c r="W269" i="22"/>
  <c r="J59" i="23"/>
  <c r="H284" i="23"/>
  <c r="H272" i="23"/>
  <c r="A391" i="23"/>
  <c r="C290" i="23"/>
  <c r="A326" i="23"/>
  <c r="H378" i="23"/>
  <c r="W253" i="22"/>
  <c r="H415" i="23"/>
  <c r="A284" i="23"/>
  <c r="C410" i="23"/>
  <c r="C329" i="23"/>
  <c r="A94" i="23"/>
  <c r="C397" i="23"/>
  <c r="A417" i="23"/>
  <c r="C354" i="23"/>
  <c r="C313" i="23"/>
  <c r="H410" i="23"/>
  <c r="C315" i="23"/>
  <c r="C369" i="23"/>
  <c r="H398" i="23"/>
  <c r="A367" i="23"/>
  <c r="C304" i="23"/>
  <c r="A305" i="23"/>
  <c r="C367" i="23"/>
  <c r="W101" i="22"/>
  <c r="C416" i="23"/>
  <c r="H251" i="23"/>
  <c r="H355" i="23"/>
  <c r="A376" i="23"/>
  <c r="A336" i="23"/>
  <c r="A262" i="23"/>
  <c r="C307" i="23"/>
  <c r="H286" i="23"/>
  <c r="A331" i="23"/>
  <c r="A268" i="23"/>
  <c r="H397" i="23"/>
  <c r="A347" i="23"/>
  <c r="C104" i="23"/>
  <c r="I125" i="23"/>
  <c r="A222" i="23"/>
  <c r="W208" i="22"/>
  <c r="C293" i="23"/>
  <c r="A411" i="23"/>
  <c r="A315" i="23"/>
  <c r="H102" i="23"/>
  <c r="W398" i="22"/>
  <c r="W97" i="22"/>
  <c r="A332" i="23"/>
  <c r="W205" i="22"/>
  <c r="A395" i="23"/>
  <c r="A330" i="23"/>
  <c r="C335" i="23"/>
  <c r="H250" i="23"/>
  <c r="A329" i="23"/>
  <c r="W333" i="22"/>
  <c r="A312" i="23"/>
  <c r="A223" i="23"/>
  <c r="A244" i="23"/>
  <c r="A419" i="23"/>
  <c r="H354" i="23"/>
  <c r="H246" i="23"/>
  <c r="H413" i="23"/>
  <c r="W317" i="22"/>
  <c r="H327" i="23"/>
  <c r="H374" i="23"/>
  <c r="A369" i="23"/>
  <c r="A351" i="23"/>
  <c r="A285" i="23"/>
  <c r="A390" i="23"/>
  <c r="H292" i="23"/>
  <c r="A333" i="23"/>
  <c r="A291" i="23"/>
  <c r="A269" i="23"/>
  <c r="H100" i="23"/>
  <c r="A353" i="23"/>
  <c r="H285" i="23"/>
  <c r="W271" i="22"/>
  <c r="W309" i="22"/>
  <c r="A204" i="23"/>
  <c r="C375" i="23"/>
  <c r="H350" i="23"/>
  <c r="A392" i="23"/>
  <c r="H348" i="23"/>
  <c r="C285" i="23"/>
  <c r="H357" i="23"/>
  <c r="W231" i="22"/>
  <c r="A334" i="23"/>
  <c r="A354" i="23"/>
  <c r="H308" i="23"/>
  <c r="H347" i="23"/>
  <c r="H373" i="23"/>
  <c r="A335" i="23"/>
  <c r="H306" i="23"/>
  <c r="J54" i="23"/>
  <c r="A389" i="23"/>
  <c r="H419" i="23"/>
  <c r="A368" i="23"/>
  <c r="H330" i="23"/>
  <c r="J138" i="23"/>
  <c r="A287" i="23"/>
  <c r="A420" i="23"/>
  <c r="C377" i="23"/>
  <c r="H346" i="23"/>
  <c r="H220" i="23"/>
  <c r="H94" i="23"/>
  <c r="H304" i="23"/>
  <c r="H199" i="23"/>
  <c r="H409" i="23"/>
  <c r="H367" i="23"/>
  <c r="H388" i="23"/>
  <c r="H283" i="23"/>
  <c r="H325" i="23"/>
  <c r="H262" i="23"/>
  <c r="H241" i="23"/>
  <c r="K141" i="22" l="1"/>
  <c r="M34" i="22"/>
  <c r="N34" i="22" s="1"/>
  <c r="V34" i="22" s="1"/>
  <c r="X46" i="22"/>
  <c r="K46" i="22"/>
  <c r="M36" i="22"/>
  <c r="N36" i="22" s="1"/>
  <c r="V36" i="22" s="1"/>
  <c r="M79" i="22"/>
  <c r="N79" i="22" s="1"/>
  <c r="M84" i="22"/>
  <c r="N84" i="22" s="1"/>
  <c r="M142" i="22"/>
  <c r="N142" i="22" s="1"/>
  <c r="M86" i="22"/>
  <c r="M147" i="22"/>
  <c r="M61" i="22"/>
  <c r="M85" i="22"/>
  <c r="M122" i="22"/>
  <c r="K88" i="22"/>
  <c r="K148" i="22"/>
  <c r="M118" i="22"/>
  <c r="M125" i="22"/>
  <c r="N125" i="22" s="1"/>
  <c r="M39" i="22"/>
  <c r="N39" i="22" s="1"/>
  <c r="V39" i="22" s="1"/>
  <c r="M56" i="22"/>
  <c r="M80" i="22"/>
  <c r="N80" i="22" s="1"/>
  <c r="I211" i="22"/>
  <c r="I208" i="22"/>
  <c r="X250" i="22"/>
  <c r="X316" i="22"/>
  <c r="I101" i="22"/>
  <c r="I233" i="22"/>
  <c r="I395" i="22"/>
  <c r="X270" i="22"/>
  <c r="X266" i="22"/>
  <c r="I330" i="22"/>
  <c r="X337" i="22"/>
  <c r="I357" i="22"/>
  <c r="I355" i="22"/>
  <c r="I207" i="22"/>
  <c r="I210" i="22"/>
  <c r="I255" i="22"/>
  <c r="X244" i="22"/>
  <c r="I314" i="22"/>
  <c r="I308" i="22"/>
  <c r="G163" i="22"/>
  <c r="R163" i="22"/>
  <c r="K163" i="22" s="1"/>
  <c r="R164" i="22"/>
  <c r="K164" i="22" s="1"/>
  <c r="G164" i="22"/>
  <c r="G172" i="22"/>
  <c r="R160" i="22"/>
  <c r="G160" i="22"/>
  <c r="G168" i="22"/>
  <c r="R168" i="22"/>
  <c r="K168" i="22" s="1"/>
  <c r="G165" i="22"/>
  <c r="R165" i="22"/>
  <c r="K165" i="22" s="1"/>
  <c r="G170" i="22"/>
  <c r="R170" i="22"/>
  <c r="K170" i="22" s="1"/>
  <c r="R169" i="22"/>
  <c r="K169" i="22" s="1"/>
  <c r="G169" i="22"/>
  <c r="R171" i="22"/>
  <c r="M171" i="22" s="1"/>
  <c r="G162" i="22"/>
  <c r="R162" i="22"/>
  <c r="K162" i="22" s="1"/>
  <c r="R167" i="22"/>
  <c r="K167" i="22" s="1"/>
  <c r="G167" i="22"/>
  <c r="I98" i="22"/>
  <c r="I296" i="22"/>
  <c r="X395" i="22"/>
  <c r="I396" i="22"/>
  <c r="X329" i="22"/>
  <c r="X357" i="22"/>
  <c r="X379" i="22"/>
  <c r="X211" i="22"/>
  <c r="I318" i="22"/>
  <c r="X315" i="22"/>
  <c r="I97" i="22"/>
  <c r="I292" i="22"/>
  <c r="X226" i="22"/>
  <c r="I230" i="22"/>
  <c r="X392" i="22"/>
  <c r="I337" i="22"/>
  <c r="X330" i="22"/>
  <c r="X413" i="22"/>
  <c r="I374" i="22"/>
  <c r="I212" i="22"/>
  <c r="I202" i="22"/>
  <c r="X247" i="22"/>
  <c r="X314" i="22"/>
  <c r="X312" i="22"/>
  <c r="I315" i="22"/>
  <c r="I312" i="22"/>
  <c r="I100" i="22"/>
  <c r="X292" i="22"/>
  <c r="I231" i="22"/>
  <c r="I273" i="22"/>
  <c r="X336" i="22"/>
  <c r="X338" i="22"/>
  <c r="I329" i="22"/>
  <c r="X351" i="22"/>
  <c r="X415" i="22"/>
  <c r="X202" i="22"/>
  <c r="I253" i="22"/>
  <c r="I251" i="22"/>
  <c r="I311" i="22"/>
  <c r="I107" i="22"/>
  <c r="X289" i="22"/>
  <c r="I401" i="22"/>
  <c r="I397" i="22"/>
  <c r="I392" i="22"/>
  <c r="I274" i="22"/>
  <c r="H169" i="23"/>
  <c r="X335" i="22"/>
  <c r="I331" i="22"/>
  <c r="X358" i="22"/>
  <c r="X375" i="22"/>
  <c r="I204" i="22"/>
  <c r="I203" i="22"/>
  <c r="F256" i="22"/>
  <c r="I256" i="22"/>
  <c r="I106" i="22"/>
  <c r="X286" i="22"/>
  <c r="X290" i="22"/>
  <c r="I294" i="22"/>
  <c r="I224" i="22"/>
  <c r="X228" i="22"/>
  <c r="H190" i="23"/>
  <c r="X401" i="22"/>
  <c r="I398" i="22"/>
  <c r="I277" i="22"/>
  <c r="F277" i="22"/>
  <c r="I267" i="22"/>
  <c r="I332" i="22"/>
  <c r="X353" i="22"/>
  <c r="I246" i="22"/>
  <c r="I309" i="22"/>
  <c r="I310" i="22"/>
  <c r="I108" i="22"/>
  <c r="X296" i="22"/>
  <c r="I234" i="22"/>
  <c r="I229" i="22"/>
  <c r="X393" i="22"/>
  <c r="X399" i="22"/>
  <c r="I272" i="22"/>
  <c r="I334" i="22"/>
  <c r="I340" i="22"/>
  <c r="F340" i="22"/>
  <c r="I350" i="22"/>
  <c r="X349" i="22"/>
  <c r="I420" i="22"/>
  <c r="I206" i="22"/>
  <c r="I252" i="22"/>
  <c r="I247" i="22"/>
  <c r="X307" i="22"/>
  <c r="F298" i="22"/>
  <c r="I298" i="22"/>
  <c r="I290" i="22"/>
  <c r="I225" i="22"/>
  <c r="X232" i="22"/>
  <c r="I402" i="22"/>
  <c r="I265" i="22"/>
  <c r="I270" i="22"/>
  <c r="I336" i="22"/>
  <c r="I349" i="22"/>
  <c r="I359" i="22"/>
  <c r="I416" i="22"/>
  <c r="I209" i="22"/>
  <c r="I288" i="22"/>
  <c r="I223" i="22"/>
  <c r="I391" i="22"/>
  <c r="I205" i="22"/>
  <c r="I250" i="22"/>
  <c r="I254" i="22"/>
  <c r="I316" i="22"/>
  <c r="I295" i="22"/>
  <c r="X287" i="22"/>
  <c r="X225" i="22"/>
  <c r="I399" i="22"/>
  <c r="X394" i="22"/>
  <c r="I338" i="22"/>
  <c r="I245" i="22"/>
  <c r="I249" i="22"/>
  <c r="I248" i="22"/>
  <c r="I105" i="22"/>
  <c r="I102" i="22"/>
  <c r="I291" i="22"/>
  <c r="I287" i="22"/>
  <c r="I226" i="22"/>
  <c r="I403" i="22"/>
  <c r="F403" i="22"/>
  <c r="I268" i="22"/>
  <c r="I276" i="22"/>
  <c r="X331" i="22"/>
  <c r="I328" i="22"/>
  <c r="I356" i="22"/>
  <c r="X355" i="22"/>
  <c r="X350" i="22"/>
  <c r="X417" i="22"/>
  <c r="X414" i="22"/>
  <c r="I422" i="22"/>
  <c r="I412" i="22"/>
  <c r="X422" i="22"/>
  <c r="F382" i="22"/>
  <c r="I382" i="22"/>
  <c r="X378" i="22"/>
  <c r="I373" i="22"/>
  <c r="X380" i="22"/>
  <c r="I358" i="22"/>
  <c r="X416" i="22"/>
  <c r="X412" i="22"/>
  <c r="I415" i="22"/>
  <c r="X421" i="22"/>
  <c r="X376" i="22"/>
  <c r="I376" i="22"/>
  <c r="I378" i="22"/>
  <c r="I421" i="22"/>
  <c r="I370" i="22"/>
  <c r="X370" i="22"/>
  <c r="I380" i="22"/>
  <c r="I377" i="22"/>
  <c r="I360" i="22"/>
  <c r="X185" i="22"/>
  <c r="X193" i="22" s="1"/>
  <c r="W193" i="22"/>
  <c r="X418" i="22"/>
  <c r="I424" i="22"/>
  <c r="F424" i="22"/>
  <c r="X372" i="22"/>
  <c r="X371" i="22"/>
  <c r="X374" i="22"/>
  <c r="F214" i="22"/>
  <c r="I214" i="22"/>
  <c r="I213" i="22"/>
  <c r="I244" i="22"/>
  <c r="F319" i="22"/>
  <c r="I319" i="22"/>
  <c r="I109" i="22"/>
  <c r="F109" i="22"/>
  <c r="I99" i="22"/>
  <c r="I297" i="22"/>
  <c r="I228" i="22"/>
  <c r="I227" i="22"/>
  <c r="I393" i="22"/>
  <c r="X391" i="22"/>
  <c r="I394" i="22"/>
  <c r="I266" i="22"/>
  <c r="I269" i="22"/>
  <c r="I423" i="22"/>
  <c r="I418" i="22"/>
  <c r="I419" i="22"/>
  <c r="I413" i="22"/>
  <c r="I289" i="22"/>
  <c r="I293" i="22"/>
  <c r="I232" i="22"/>
  <c r="I271" i="22"/>
  <c r="I275" i="22"/>
  <c r="I351" i="22"/>
  <c r="I354" i="22"/>
  <c r="I414" i="22"/>
  <c r="I379" i="22"/>
  <c r="I375" i="22"/>
  <c r="I353" i="22"/>
  <c r="I352" i="22"/>
  <c r="I417" i="22"/>
  <c r="I371" i="22"/>
  <c r="I381" i="22"/>
  <c r="I307" i="22"/>
  <c r="I313" i="22"/>
  <c r="I317" i="22"/>
  <c r="I103" i="22"/>
  <c r="I104" i="22"/>
  <c r="I286" i="22"/>
  <c r="F235" i="22"/>
  <c r="I235" i="22"/>
  <c r="I400" i="22"/>
  <c r="I335" i="22"/>
  <c r="I339" i="22"/>
  <c r="I333" i="22"/>
  <c r="I361" i="22"/>
  <c r="F361" i="22"/>
  <c r="I372" i="22"/>
  <c r="K78" i="22"/>
  <c r="M78" i="22"/>
  <c r="M37" i="22"/>
  <c r="N37" i="22" s="1"/>
  <c r="V37" i="22" s="1"/>
  <c r="K37" i="22"/>
  <c r="K130" i="22"/>
  <c r="M126" i="22"/>
  <c r="N83" i="22"/>
  <c r="N122" i="22"/>
  <c r="V122" i="22" s="1"/>
  <c r="K87" i="22"/>
  <c r="M87" i="22"/>
  <c r="K145" i="22"/>
  <c r="M145" i="22"/>
  <c r="N145" i="22" s="1"/>
  <c r="K139" i="22"/>
  <c r="M139" i="22"/>
  <c r="M129" i="22"/>
  <c r="K129" i="22"/>
  <c r="N65" i="22"/>
  <c r="K150" i="22"/>
  <c r="M150" i="22"/>
  <c r="K151" i="22"/>
  <c r="M66" i="22"/>
  <c r="M120" i="22"/>
  <c r="N120" i="22" s="1"/>
  <c r="K83" i="22"/>
  <c r="M76" i="22"/>
  <c r="K76" i="22"/>
  <c r="K67" i="22"/>
  <c r="M149" i="22"/>
  <c r="X130" i="22"/>
  <c r="M146" i="22"/>
  <c r="K146" i="22"/>
  <c r="K55" i="22"/>
  <c r="M55" i="22"/>
  <c r="K59" i="22"/>
  <c r="M59" i="22"/>
  <c r="K123" i="22"/>
  <c r="M123" i="22"/>
  <c r="K82" i="22"/>
  <c r="M82" i="22"/>
  <c r="N121" i="22"/>
  <c r="V121" i="22" s="1"/>
  <c r="X172" i="22"/>
  <c r="M144" i="22"/>
  <c r="K144" i="22"/>
  <c r="N148" i="22"/>
  <c r="M41" i="22"/>
  <c r="N41" i="22" s="1"/>
  <c r="V41" i="22" s="1"/>
  <c r="K41" i="22"/>
  <c r="M43" i="22"/>
  <c r="N43" i="22" s="1"/>
  <c r="V43" i="22" s="1"/>
  <c r="M143" i="22"/>
  <c r="K143" i="22"/>
  <c r="N166" i="22"/>
  <c r="V166" i="22" s="1"/>
  <c r="K65" i="22"/>
  <c r="N124" i="22"/>
  <c r="V124" i="22" s="1"/>
  <c r="M60" i="22"/>
  <c r="K60" i="22"/>
  <c r="X88" i="22"/>
  <c r="M63" i="22"/>
  <c r="M140" i="22"/>
  <c r="N161" i="22"/>
  <c r="M45" i="22"/>
  <c r="K45" i="22"/>
  <c r="N81" i="22"/>
  <c r="V81" i="22" s="1"/>
  <c r="M58" i="22"/>
  <c r="N147" i="22"/>
  <c r="V147" i="22" s="1"/>
  <c r="N85" i="22"/>
  <c r="X103" i="22"/>
  <c r="H337" i="23"/>
  <c r="X209" i="22"/>
  <c r="X354" i="22"/>
  <c r="H295" i="23"/>
  <c r="X207" i="22"/>
  <c r="X310" i="22"/>
  <c r="X269" i="22"/>
  <c r="X265" i="22"/>
  <c r="X251" i="22"/>
  <c r="X352" i="22"/>
  <c r="X97" i="22"/>
  <c r="X210" i="22"/>
  <c r="X317" i="22"/>
  <c r="X398" i="22"/>
  <c r="H400" i="23"/>
  <c r="X205" i="22"/>
  <c r="X104" i="22"/>
  <c r="X229" i="22"/>
  <c r="X309" i="22"/>
  <c r="X333" i="22"/>
  <c r="X101" i="22"/>
  <c r="H358" i="23"/>
  <c r="X224" i="22"/>
  <c r="X271" i="22"/>
  <c r="X268" i="22"/>
  <c r="X102" i="22"/>
  <c r="X400" i="22"/>
  <c r="X208" i="22"/>
  <c r="X293" i="22"/>
  <c r="H316" i="23"/>
  <c r="X254" i="22"/>
  <c r="X253" i="22"/>
  <c r="X419" i="22"/>
  <c r="X231" i="22"/>
  <c r="X249" i="22"/>
  <c r="X204" i="22"/>
  <c r="H379" i="23"/>
  <c r="X223" i="22"/>
  <c r="H421" i="23"/>
  <c r="X107" i="22"/>
  <c r="X227" i="22"/>
  <c r="X245" i="22"/>
  <c r="X397" i="22"/>
  <c r="X98" i="22"/>
  <c r="X212" i="22"/>
  <c r="N77" i="22"/>
  <c r="N86" i="22"/>
  <c r="N64" i="22"/>
  <c r="V119" i="22"/>
  <c r="N128" i="22"/>
  <c r="N61" i="22"/>
  <c r="V61" i="22" s="1"/>
  <c r="V57" i="22"/>
  <c r="V62" i="22"/>
  <c r="V64" i="22"/>
  <c r="V65" i="22"/>
  <c r="V83" i="22"/>
  <c r="V161" i="22"/>
  <c r="F221" i="22"/>
  <c r="I81" i="23"/>
  <c r="I76" i="23"/>
  <c r="I139" i="23"/>
  <c r="I83" i="23"/>
  <c r="I144" i="23"/>
  <c r="I53" i="23"/>
  <c r="I58" i="23"/>
  <c r="I77" i="23"/>
  <c r="I82" i="23"/>
  <c r="I119" i="23"/>
  <c r="I115" i="23"/>
  <c r="I122" i="23"/>
  <c r="H205" i="23"/>
  <c r="W334" i="22"/>
  <c r="I168" i="23"/>
  <c r="A227" i="23"/>
  <c r="A266" i="23"/>
  <c r="C203" i="23"/>
  <c r="W294" i="22"/>
  <c r="A229" i="23"/>
  <c r="A263" i="23"/>
  <c r="W356" i="22"/>
  <c r="I84" i="23"/>
  <c r="J62" i="23"/>
  <c r="I143" i="23"/>
  <c r="W272" i="22"/>
  <c r="W105" i="22"/>
  <c r="C269" i="23"/>
  <c r="W248" i="22"/>
  <c r="W252" i="22"/>
  <c r="W246" i="22"/>
  <c r="H225" i="23"/>
  <c r="I117" i="23"/>
  <c r="I79" i="23"/>
  <c r="I57" i="23"/>
  <c r="J117" i="23"/>
  <c r="J61" i="23"/>
  <c r="A273" i="23"/>
  <c r="H99" i="23"/>
  <c r="C247" i="23"/>
  <c r="C230" i="23"/>
  <c r="H252" i="23"/>
  <c r="A226" i="23"/>
  <c r="A207" i="23"/>
  <c r="C262" i="23"/>
  <c r="A246" i="23"/>
  <c r="H97" i="23"/>
  <c r="J118" i="23"/>
  <c r="I140" i="23"/>
  <c r="J58" i="23"/>
  <c r="A248" i="23"/>
  <c r="H268" i="23"/>
  <c r="A95" i="23"/>
  <c r="A199" i="23"/>
  <c r="A104" i="23"/>
  <c r="A103" i="23"/>
  <c r="W332" i="22"/>
  <c r="C250" i="23"/>
  <c r="W273" i="22"/>
  <c r="H243" i="23"/>
  <c r="W233" i="22"/>
  <c r="W274" i="22"/>
  <c r="W203" i="22"/>
  <c r="J81" i="23"/>
  <c r="I142" i="23"/>
  <c r="I73" i="23"/>
  <c r="I52" i="23"/>
  <c r="A250" i="23"/>
  <c r="A228" i="23"/>
  <c r="H271" i="23"/>
  <c r="C206" i="23"/>
  <c r="C98" i="23"/>
  <c r="H221" i="23"/>
  <c r="W328" i="22"/>
  <c r="P181" i="22"/>
  <c r="P192" i="22"/>
  <c r="P188" i="22"/>
  <c r="P184" i="22"/>
  <c r="P185" i="22"/>
  <c r="P183" i="22"/>
  <c r="P182" i="22"/>
  <c r="P191" i="22"/>
  <c r="P190" i="22"/>
  <c r="P186" i="22"/>
  <c r="P189" i="22"/>
  <c r="AR14" i="1"/>
  <c r="P187" i="22"/>
  <c r="H242" i="23"/>
  <c r="W373" i="22"/>
  <c r="W206" i="22"/>
  <c r="C101" i="23"/>
  <c r="I75" i="23"/>
  <c r="J139" i="23"/>
  <c r="I141" i="23"/>
  <c r="J163" i="23"/>
  <c r="J76" i="23"/>
  <c r="C245" i="23"/>
  <c r="A231" i="23"/>
  <c r="W291" i="22"/>
  <c r="A230" i="23"/>
  <c r="A102" i="23"/>
  <c r="W230" i="22"/>
  <c r="W267" i="22"/>
  <c r="H208" i="23"/>
  <c r="I123" i="23"/>
  <c r="I136" i="23"/>
  <c r="I147" i="23"/>
  <c r="I56" i="23"/>
  <c r="J78" i="23"/>
  <c r="J142" i="23"/>
  <c r="J83" i="23"/>
  <c r="C205" i="23"/>
  <c r="W99" i="22"/>
  <c r="W313" i="22"/>
  <c r="C225" i="23"/>
  <c r="C200" i="23"/>
  <c r="J80" i="23"/>
  <c r="J145" i="23"/>
  <c r="J121" i="23"/>
  <c r="I60" i="23"/>
  <c r="W308" i="22"/>
  <c r="W275" i="22"/>
  <c r="H223" i="23"/>
  <c r="C241" i="23"/>
  <c r="W100" i="22"/>
  <c r="H200" i="23"/>
  <c r="A225" i="23"/>
  <c r="C97" i="23"/>
  <c r="A203" i="23"/>
  <c r="W106" i="22"/>
  <c r="H264" i="23"/>
  <c r="W295" i="22"/>
  <c r="W288" i="22"/>
  <c r="C251" i="23"/>
  <c r="W377" i="22"/>
  <c r="I126" i="23"/>
  <c r="I63" i="23"/>
  <c r="I137" i="23"/>
  <c r="C271" i="23"/>
  <c r="C228" i="23"/>
  <c r="A205" i="23"/>
  <c r="H95" i="23"/>
  <c r="H249" i="23"/>
  <c r="C96" i="23"/>
  <c r="A208" i="23"/>
  <c r="H98" i="23"/>
  <c r="W359" i="22"/>
  <c r="C246" i="23"/>
  <c r="J119" i="23"/>
  <c r="I146" i="23"/>
  <c r="I120" i="23"/>
  <c r="J158" i="23"/>
  <c r="I55" i="23"/>
  <c r="J82" i="23"/>
  <c r="C221" i="23"/>
  <c r="W396" i="22"/>
  <c r="W311" i="22"/>
  <c r="A264" i="23"/>
  <c r="H267" i="23"/>
  <c r="W420" i="22"/>
  <c r="J77" i="23"/>
  <c r="J144" i="23"/>
  <c r="J74" i="23"/>
  <c r="J122" i="23"/>
  <c r="J125" i="23"/>
  <c r="K171" i="22" l="1"/>
  <c r="V46" i="22"/>
  <c r="E47" i="22" s="1"/>
  <c r="N118" i="22"/>
  <c r="N56" i="22"/>
  <c r="M167" i="22"/>
  <c r="N167" i="22" s="1"/>
  <c r="M165" i="22"/>
  <c r="X420" i="22"/>
  <c r="X424" i="22" s="1"/>
  <c r="W424" i="22"/>
  <c r="X311" i="22"/>
  <c r="X396" i="22"/>
  <c r="X403" i="22" s="1"/>
  <c r="W403" i="22"/>
  <c r="X359" i="22"/>
  <c r="H106" i="23"/>
  <c r="X377" i="22"/>
  <c r="X288" i="22"/>
  <c r="W298" i="22"/>
  <c r="X295" i="22"/>
  <c r="H274" i="23"/>
  <c r="X106" i="22"/>
  <c r="H211" i="23"/>
  <c r="X100" i="22"/>
  <c r="X275" i="22"/>
  <c r="X308" i="22"/>
  <c r="W319" i="22"/>
  <c r="X313" i="22"/>
  <c r="X99" i="22"/>
  <c r="W109" i="22"/>
  <c r="X267" i="22"/>
  <c r="W277" i="22"/>
  <c r="X230" i="22"/>
  <c r="W235" i="22"/>
  <c r="X291" i="22"/>
  <c r="X206" i="22"/>
  <c r="X373" i="22"/>
  <c r="W382" i="22"/>
  <c r="H253" i="23"/>
  <c r="G187" i="22"/>
  <c r="R187" i="22"/>
  <c r="K187" i="22" s="1"/>
  <c r="G189" i="22"/>
  <c r="R189" i="22"/>
  <c r="K189" i="22" s="1"/>
  <c r="G186" i="22"/>
  <c r="R186" i="22"/>
  <c r="K186" i="22" s="1"/>
  <c r="G190" i="22"/>
  <c r="R190" i="22"/>
  <c r="K190" i="22" s="1"/>
  <c r="G191" i="22"/>
  <c r="R191" i="22"/>
  <c r="K191" i="22" s="1"/>
  <c r="G182" i="22"/>
  <c r="R182" i="22"/>
  <c r="K182" i="22" s="1"/>
  <c r="R183" i="22"/>
  <c r="K183" i="22" s="1"/>
  <c r="G183" i="22"/>
  <c r="G185" i="22"/>
  <c r="R185" i="22"/>
  <c r="K185" i="22" s="1"/>
  <c r="R184" i="22"/>
  <c r="K184" i="22" s="1"/>
  <c r="G184" i="22"/>
  <c r="M184" i="22"/>
  <c r="G188" i="22"/>
  <c r="R188" i="22"/>
  <c r="K188" i="22" s="1"/>
  <c r="R192" i="22"/>
  <c r="M192" i="22" s="1"/>
  <c r="R181" i="22"/>
  <c r="M181" i="22" s="1"/>
  <c r="N181" i="22" s="1"/>
  <c r="V181" i="22" s="1"/>
  <c r="G181" i="22"/>
  <c r="G193" i="22"/>
  <c r="X328" i="22"/>
  <c r="W340" i="22"/>
  <c r="H232" i="23"/>
  <c r="X203" i="22"/>
  <c r="X214" i="22" s="1"/>
  <c r="W214" i="22"/>
  <c r="X274" i="22"/>
  <c r="X233" i="22"/>
  <c r="X273" i="22"/>
  <c r="X332" i="22"/>
  <c r="X246" i="22"/>
  <c r="W256" i="22"/>
  <c r="X252" i="22"/>
  <c r="X248" i="22"/>
  <c r="X105" i="22"/>
  <c r="X272" i="22"/>
  <c r="X356" i="22"/>
  <c r="W361" i="22"/>
  <c r="X294" i="22"/>
  <c r="X334" i="22"/>
  <c r="V120" i="22"/>
  <c r="V80" i="22"/>
  <c r="M169" i="22"/>
  <c r="N58" i="22"/>
  <c r="N123" i="22"/>
  <c r="M130" i="22" s="1"/>
  <c r="N149" i="22"/>
  <c r="N140" i="22"/>
  <c r="N63" i="22"/>
  <c r="M160" i="22"/>
  <c r="K160" i="22"/>
  <c r="K172" i="22"/>
  <c r="N59" i="22"/>
  <c r="N139" i="22"/>
  <c r="N126" i="22"/>
  <c r="M170" i="22"/>
  <c r="N144" i="22"/>
  <c r="V142" i="22"/>
  <c r="N78" i="22"/>
  <c r="B47" i="22" a="1"/>
  <c r="B47" i="22" s="1"/>
  <c r="M46" i="22"/>
  <c r="N55" i="22"/>
  <c r="N76" i="22"/>
  <c r="V84" i="22"/>
  <c r="N165" i="22"/>
  <c r="V165" i="22" s="1"/>
  <c r="V148" i="22"/>
  <c r="N143" i="22"/>
  <c r="M164" i="22"/>
  <c r="N60" i="22"/>
  <c r="N82" i="22"/>
  <c r="L89" i="22" s="1"/>
  <c r="L47" i="22"/>
  <c r="M162" i="22"/>
  <c r="M163" i="22"/>
  <c r="N146" i="22"/>
  <c r="M168" i="22"/>
  <c r="X256" i="22"/>
  <c r="M188" i="22"/>
  <c r="V125" i="22"/>
  <c r="V85" i="22"/>
  <c r="V145" i="22"/>
  <c r="V79" i="22"/>
  <c r="M190" i="22"/>
  <c r="V86" i="22"/>
  <c r="N184" i="22"/>
  <c r="V128" i="22"/>
  <c r="V77" i="22"/>
  <c r="F242" i="22"/>
  <c r="J53" i="23"/>
  <c r="J115" i="23"/>
  <c r="I164" i="23"/>
  <c r="I162" i="23"/>
  <c r="J141" i="23"/>
  <c r="J79" i="23"/>
  <c r="I185" i="23"/>
  <c r="P105" i="22"/>
  <c r="P102" i="22"/>
  <c r="P106" i="22"/>
  <c r="P108" i="22"/>
  <c r="P97" i="22"/>
  <c r="P99" i="22"/>
  <c r="P103" i="22"/>
  <c r="P101" i="22"/>
  <c r="P100" i="22"/>
  <c r="AR10" i="1"/>
  <c r="P104" i="22"/>
  <c r="P107" i="22"/>
  <c r="P98" i="22"/>
  <c r="P211" i="22"/>
  <c r="P202" i="22"/>
  <c r="P212" i="22"/>
  <c r="P203" i="22"/>
  <c r="P210" i="22"/>
  <c r="P207" i="22"/>
  <c r="P213" i="22"/>
  <c r="P206" i="22"/>
  <c r="AR15" i="1"/>
  <c r="P204" i="22"/>
  <c r="P209" i="22"/>
  <c r="P208" i="22"/>
  <c r="P205" i="22"/>
  <c r="J60" i="23"/>
  <c r="J56" i="23"/>
  <c r="J162" i="23"/>
  <c r="AQ7" i="1"/>
  <c r="N47" i="22" s="1"/>
  <c r="J143" i="23"/>
  <c r="P412" i="22"/>
  <c r="P416" i="22"/>
  <c r="P418" i="22"/>
  <c r="AR25" i="1"/>
  <c r="P419" i="22"/>
  <c r="P422" i="22"/>
  <c r="P417" i="22"/>
  <c r="P413" i="22"/>
  <c r="P420" i="22"/>
  <c r="P414" i="22"/>
  <c r="P415" i="22"/>
  <c r="P423" i="22"/>
  <c r="P421" i="22"/>
  <c r="J136" i="23"/>
  <c r="J75" i="23"/>
  <c r="I165" i="23"/>
  <c r="J123" i="23"/>
  <c r="I178" i="23"/>
  <c r="P359" i="22"/>
  <c r="P349" i="22"/>
  <c r="P360" i="22"/>
  <c r="P351" i="22"/>
  <c r="AR22" i="1"/>
  <c r="P358" i="22"/>
  <c r="P350" i="22"/>
  <c r="P357" i="22"/>
  <c r="P352" i="22"/>
  <c r="P353" i="22"/>
  <c r="P354" i="22"/>
  <c r="P355" i="22"/>
  <c r="P356" i="22"/>
  <c r="J55" i="23"/>
  <c r="P288" i="22"/>
  <c r="P295" i="22"/>
  <c r="P297" i="22"/>
  <c r="P290" i="22"/>
  <c r="P292" i="22"/>
  <c r="P296" i="22"/>
  <c r="P287" i="22"/>
  <c r="P293" i="22"/>
  <c r="P291" i="22"/>
  <c r="P286" i="22"/>
  <c r="P294" i="22"/>
  <c r="P289" i="22"/>
  <c r="AR19" i="1"/>
  <c r="P268" i="22"/>
  <c r="P272" i="22"/>
  <c r="P267" i="22"/>
  <c r="P274" i="22"/>
  <c r="P276" i="22"/>
  <c r="P270" i="22"/>
  <c r="AR18" i="1"/>
  <c r="P271" i="22"/>
  <c r="P266" i="22"/>
  <c r="P269" i="22"/>
  <c r="P273" i="22"/>
  <c r="P275" i="22"/>
  <c r="P265" i="22"/>
  <c r="J120" i="23"/>
  <c r="J164" i="23"/>
  <c r="J146" i="23"/>
  <c r="I157" i="23"/>
  <c r="J140" i="23"/>
  <c r="AP11" i="1"/>
  <c r="P399" i="22"/>
  <c r="P402" i="22"/>
  <c r="P401" i="22"/>
  <c r="P395" i="22"/>
  <c r="P394" i="22"/>
  <c r="AR24" i="1"/>
  <c r="P400" i="22"/>
  <c r="P398" i="22"/>
  <c r="P392" i="22"/>
  <c r="P397" i="22"/>
  <c r="P391" i="22"/>
  <c r="P396" i="22"/>
  <c r="P393" i="22"/>
  <c r="P314" i="22"/>
  <c r="P313" i="22"/>
  <c r="P312" i="22"/>
  <c r="P318" i="22"/>
  <c r="P307" i="22"/>
  <c r="P316" i="22"/>
  <c r="P317" i="22"/>
  <c r="P311" i="22"/>
  <c r="P315" i="22"/>
  <c r="P308" i="22"/>
  <c r="P309" i="22"/>
  <c r="P310" i="22"/>
  <c r="AR20" i="1"/>
  <c r="P231" i="22"/>
  <c r="P229" i="22"/>
  <c r="P234" i="22"/>
  <c r="P224" i="22"/>
  <c r="P232" i="22"/>
  <c r="P228" i="22"/>
  <c r="P226" i="22"/>
  <c r="P230" i="22"/>
  <c r="AR16" i="1"/>
  <c r="P223" i="22"/>
  <c r="P233" i="22"/>
  <c r="P225" i="22"/>
  <c r="P227" i="22"/>
  <c r="AR23" i="1"/>
  <c r="P381" i="22"/>
  <c r="P376" i="22"/>
  <c r="P378" i="22"/>
  <c r="P370" i="22"/>
  <c r="P374" i="22"/>
  <c r="P371" i="22"/>
  <c r="P373" i="22"/>
  <c r="P375" i="22"/>
  <c r="P377" i="22"/>
  <c r="P372" i="22"/>
  <c r="P379" i="22"/>
  <c r="P380" i="22"/>
  <c r="AP7" i="1"/>
  <c r="I187" i="23"/>
  <c r="P334" i="22"/>
  <c r="AR21" i="1"/>
  <c r="P331" i="22"/>
  <c r="P333" i="22"/>
  <c r="P328" i="22"/>
  <c r="P330" i="22"/>
  <c r="P337" i="22"/>
  <c r="P335" i="22"/>
  <c r="P339" i="22"/>
  <c r="P329" i="22"/>
  <c r="P338" i="22"/>
  <c r="P332" i="22"/>
  <c r="P336" i="22"/>
  <c r="P254" i="22"/>
  <c r="P247" i="22"/>
  <c r="P245" i="22"/>
  <c r="P244" i="22"/>
  <c r="P249" i="22"/>
  <c r="P251" i="22"/>
  <c r="P246" i="22"/>
  <c r="P255" i="22"/>
  <c r="P253" i="22"/>
  <c r="P252" i="22"/>
  <c r="AR17" i="1"/>
  <c r="P250" i="22"/>
  <c r="P248" i="22"/>
  <c r="I161" i="23"/>
  <c r="AQ9" i="1"/>
  <c r="C87" i="23"/>
  <c r="I167" i="23"/>
  <c r="J52" i="23"/>
  <c r="I159" i="23"/>
  <c r="J181" i="23"/>
  <c r="I181" i="23"/>
  <c r="I166" i="23"/>
  <c r="J137" i="23"/>
  <c r="J73" i="23"/>
  <c r="J57" i="23"/>
  <c r="I160" i="23"/>
  <c r="I189" i="23"/>
  <c r="J178" i="23"/>
  <c r="M88" i="22" l="1"/>
  <c r="K192" i="22"/>
  <c r="M189" i="22"/>
  <c r="X109" i="22"/>
  <c r="M183" i="22"/>
  <c r="X382" i="22"/>
  <c r="X235" i="22"/>
  <c r="X319" i="22"/>
  <c r="X277" i="22"/>
  <c r="L68" i="22"/>
  <c r="M151" i="22"/>
  <c r="M187" i="22"/>
  <c r="M191" i="22"/>
  <c r="X361" i="22"/>
  <c r="V118" i="22"/>
  <c r="M182" i="22"/>
  <c r="N182" i="22" s="1"/>
  <c r="V56" i="22"/>
  <c r="J85" i="23"/>
  <c r="J64" i="23"/>
  <c r="R248" i="22"/>
  <c r="K248" i="22" s="1"/>
  <c r="G248" i="22"/>
  <c r="R250" i="22"/>
  <c r="K250" i="22" s="1"/>
  <c r="G250" i="22"/>
  <c r="G252" i="22"/>
  <c r="R252" i="22"/>
  <c r="K252" i="22" s="1"/>
  <c r="R253" i="22"/>
  <c r="K253" i="22" s="1"/>
  <c r="G253" i="22"/>
  <c r="R255" i="22"/>
  <c r="K255" i="22" s="1"/>
  <c r="R246" i="22"/>
  <c r="K246" i="22" s="1"/>
  <c r="G246" i="22"/>
  <c r="G251" i="22"/>
  <c r="R251" i="22"/>
  <c r="K251" i="22" s="1"/>
  <c r="M251" i="22"/>
  <c r="G249" i="22"/>
  <c r="R249" i="22"/>
  <c r="K249" i="22" s="1"/>
  <c r="R244" i="22"/>
  <c r="M244" i="22" s="1"/>
  <c r="G244" i="22"/>
  <c r="G256" i="22"/>
  <c r="R245" i="22"/>
  <c r="K245" i="22" s="1"/>
  <c r="G245" i="22"/>
  <c r="R247" i="22"/>
  <c r="K247" i="22" s="1"/>
  <c r="G247" i="22"/>
  <c r="R254" i="22"/>
  <c r="K254" i="22" s="1"/>
  <c r="G254" i="22"/>
  <c r="R336" i="22"/>
  <c r="K336" i="22" s="1"/>
  <c r="G336" i="22"/>
  <c r="G332" i="22"/>
  <c r="R332" i="22"/>
  <c r="K332" i="22" s="1"/>
  <c r="G338" i="22"/>
  <c r="R338" i="22"/>
  <c r="K338" i="22" s="1"/>
  <c r="R329" i="22"/>
  <c r="K329" i="22" s="1"/>
  <c r="G329" i="22"/>
  <c r="R339" i="22"/>
  <c r="G335" i="22"/>
  <c r="R335" i="22"/>
  <c r="K335" i="22" s="1"/>
  <c r="G337" i="22"/>
  <c r="R337" i="22"/>
  <c r="K337" i="22" s="1"/>
  <c r="R330" i="22"/>
  <c r="K330" i="22" s="1"/>
  <c r="G330" i="22"/>
  <c r="G328" i="22"/>
  <c r="G340" i="22"/>
  <c r="R328" i="22"/>
  <c r="R333" i="22"/>
  <c r="K333" i="22" s="1"/>
  <c r="G333" i="22"/>
  <c r="G331" i="22"/>
  <c r="R331" i="22"/>
  <c r="K331" i="22" s="1"/>
  <c r="R334" i="22"/>
  <c r="K334" i="22" s="1"/>
  <c r="G334" i="22"/>
  <c r="AS7" i="1"/>
  <c r="R380" i="22"/>
  <c r="K380" i="22" s="1"/>
  <c r="G380" i="22"/>
  <c r="G379" i="22"/>
  <c r="R379" i="22"/>
  <c r="K379" i="22" s="1"/>
  <c r="G372" i="22"/>
  <c r="R372" i="22"/>
  <c r="K372" i="22" s="1"/>
  <c r="M372" i="22"/>
  <c r="G377" i="22"/>
  <c r="R377" i="22"/>
  <c r="K377" i="22" s="1"/>
  <c r="M377" i="22"/>
  <c r="R375" i="22"/>
  <c r="K375" i="22" s="1"/>
  <c r="G375" i="22"/>
  <c r="R373" i="22"/>
  <c r="K373" i="22" s="1"/>
  <c r="G373" i="22"/>
  <c r="G371" i="22"/>
  <c r="R371" i="22"/>
  <c r="K371" i="22" s="1"/>
  <c r="R374" i="22"/>
  <c r="K374" i="22" s="1"/>
  <c r="G374" i="22"/>
  <c r="R370" i="22"/>
  <c r="G382" i="22"/>
  <c r="G370" i="22"/>
  <c r="R378" i="22"/>
  <c r="K378" i="22" s="1"/>
  <c r="G378" i="22"/>
  <c r="M378" i="22"/>
  <c r="R376" i="22"/>
  <c r="K376" i="22" s="1"/>
  <c r="G376" i="22"/>
  <c r="M376" i="22"/>
  <c r="R381" i="22"/>
  <c r="R227" i="22"/>
  <c r="K227" i="22" s="1"/>
  <c r="G227" i="22"/>
  <c r="G225" i="22"/>
  <c r="R225" i="22"/>
  <c r="K225" i="22" s="1"/>
  <c r="G233" i="22"/>
  <c r="R233" i="22"/>
  <c r="K233" i="22" s="1"/>
  <c r="G235" i="22"/>
  <c r="G223" i="22"/>
  <c r="R223" i="22"/>
  <c r="G230" i="22"/>
  <c r="R230" i="22"/>
  <c r="K230" i="22" s="1"/>
  <c r="G226" i="22"/>
  <c r="R226" i="22"/>
  <c r="K226" i="22" s="1"/>
  <c r="G228" i="22"/>
  <c r="R228" i="22"/>
  <c r="K228" i="22" s="1"/>
  <c r="R232" i="22"/>
  <c r="K232" i="22" s="1"/>
  <c r="G232" i="22"/>
  <c r="R224" i="22"/>
  <c r="K224" i="22" s="1"/>
  <c r="G224" i="22"/>
  <c r="R234" i="22"/>
  <c r="R229" i="22"/>
  <c r="K229" i="22" s="1"/>
  <c r="G229" i="22"/>
  <c r="R231" i="22"/>
  <c r="K231" i="22" s="1"/>
  <c r="G231" i="22"/>
  <c r="R310" i="22"/>
  <c r="K310" i="22" s="1"/>
  <c r="G310" i="22"/>
  <c r="R309" i="22"/>
  <c r="K309" i="22" s="1"/>
  <c r="G309" i="22"/>
  <c r="G308" i="22"/>
  <c r="R308" i="22"/>
  <c r="K308" i="22" s="1"/>
  <c r="R315" i="22"/>
  <c r="K315" i="22" s="1"/>
  <c r="G315" i="22"/>
  <c r="R311" i="22"/>
  <c r="K311" i="22" s="1"/>
  <c r="G311" i="22"/>
  <c r="G317" i="22"/>
  <c r="R317" i="22"/>
  <c r="K317" i="22" s="1"/>
  <c r="G316" i="22"/>
  <c r="R316" i="22"/>
  <c r="K316" i="22" s="1"/>
  <c r="R307" i="22"/>
  <c r="M307" i="22" s="1"/>
  <c r="G307" i="22"/>
  <c r="G319" i="22"/>
  <c r="R318" i="22"/>
  <c r="R312" i="22"/>
  <c r="K312" i="22" s="1"/>
  <c r="G312" i="22"/>
  <c r="R313" i="22"/>
  <c r="K313" i="22" s="1"/>
  <c r="G313" i="22"/>
  <c r="R314" i="22"/>
  <c r="K314" i="22" s="1"/>
  <c r="G314" i="22"/>
  <c r="G393" i="22"/>
  <c r="R393" i="22"/>
  <c r="K393" i="22" s="1"/>
  <c r="R396" i="22"/>
  <c r="K396" i="22" s="1"/>
  <c r="G396" i="22"/>
  <c r="R391" i="22"/>
  <c r="G391" i="22"/>
  <c r="G403" i="22"/>
  <c r="G397" i="22"/>
  <c r="R397" i="22"/>
  <c r="K397" i="22" s="1"/>
  <c r="R392" i="22"/>
  <c r="K392" i="22" s="1"/>
  <c r="G392" i="22"/>
  <c r="R398" i="22"/>
  <c r="K398" i="22" s="1"/>
  <c r="G398" i="22"/>
  <c r="R400" i="22"/>
  <c r="K400" i="22" s="1"/>
  <c r="G400" i="22"/>
  <c r="R394" i="22"/>
  <c r="K394" i="22" s="1"/>
  <c r="G394" i="22"/>
  <c r="R395" i="22"/>
  <c r="K395" i="22" s="1"/>
  <c r="G395" i="22"/>
  <c r="G401" i="22"/>
  <c r="R401" i="22"/>
  <c r="K401" i="22" s="1"/>
  <c r="R402" i="22"/>
  <c r="G399" i="22"/>
  <c r="R399" i="22"/>
  <c r="K399" i="22" s="1"/>
  <c r="J127" i="23"/>
  <c r="R265" i="22"/>
  <c r="K265" i="22" s="1"/>
  <c r="G265" i="22"/>
  <c r="G277" i="22"/>
  <c r="G275" i="22"/>
  <c r="R275" i="22"/>
  <c r="K275" i="22" s="1"/>
  <c r="R273" i="22"/>
  <c r="K273" i="22" s="1"/>
  <c r="G273" i="22"/>
  <c r="G269" i="22"/>
  <c r="R269" i="22"/>
  <c r="K269" i="22" s="1"/>
  <c r="R266" i="22"/>
  <c r="K266" i="22" s="1"/>
  <c r="G266" i="22"/>
  <c r="G271" i="22"/>
  <c r="R271" i="22"/>
  <c r="K271" i="22" s="1"/>
  <c r="G270" i="22"/>
  <c r="R270" i="22"/>
  <c r="K270" i="22" s="1"/>
  <c r="R276" i="22"/>
  <c r="G274" i="22"/>
  <c r="R274" i="22"/>
  <c r="K274" i="22" s="1"/>
  <c r="R267" i="22"/>
  <c r="K267" i="22" s="1"/>
  <c r="G267" i="22"/>
  <c r="G272" i="22"/>
  <c r="R272" i="22"/>
  <c r="K272" i="22" s="1"/>
  <c r="G268" i="22"/>
  <c r="R268" i="22"/>
  <c r="K268" i="22" s="1"/>
  <c r="G289" i="22"/>
  <c r="R289" i="22"/>
  <c r="K289" i="22" s="1"/>
  <c r="R294" i="22"/>
  <c r="K294" i="22" s="1"/>
  <c r="G294" i="22"/>
  <c r="G286" i="22"/>
  <c r="R286" i="22"/>
  <c r="K286" i="22" s="1"/>
  <c r="G298" i="22"/>
  <c r="G291" i="22"/>
  <c r="R291" i="22"/>
  <c r="K291" i="22" s="1"/>
  <c r="R293" i="22"/>
  <c r="K293" i="22" s="1"/>
  <c r="G293" i="22"/>
  <c r="G287" i="22"/>
  <c r="R287" i="22"/>
  <c r="K287" i="22" s="1"/>
  <c r="R296" i="22"/>
  <c r="K296" i="22" s="1"/>
  <c r="G296" i="22"/>
  <c r="G292" i="22"/>
  <c r="R292" i="22"/>
  <c r="K292" i="22" s="1"/>
  <c r="R290" i="22"/>
  <c r="K290" i="22" s="1"/>
  <c r="G290" i="22"/>
  <c r="R297" i="22"/>
  <c r="G295" i="22"/>
  <c r="R295" i="22"/>
  <c r="K295" i="22" s="1"/>
  <c r="R288" i="22"/>
  <c r="K288" i="22" s="1"/>
  <c r="G288" i="22"/>
  <c r="R356" i="22"/>
  <c r="K356" i="22" s="1"/>
  <c r="G356" i="22"/>
  <c r="R355" i="22"/>
  <c r="K355" i="22" s="1"/>
  <c r="G355" i="22"/>
  <c r="G354" i="22"/>
  <c r="R354" i="22"/>
  <c r="K354" i="22" s="1"/>
  <c r="R353" i="22"/>
  <c r="K353" i="22" s="1"/>
  <c r="G353" i="22"/>
  <c r="G352" i="22"/>
  <c r="R352" i="22"/>
  <c r="K352" i="22" s="1"/>
  <c r="R357" i="22"/>
  <c r="K357" i="22" s="1"/>
  <c r="G357" i="22"/>
  <c r="R350" i="22"/>
  <c r="K350" i="22" s="1"/>
  <c r="G350" i="22"/>
  <c r="G358" i="22"/>
  <c r="R358" i="22"/>
  <c r="K358" i="22" s="1"/>
  <c r="R351" i="22"/>
  <c r="K351" i="22" s="1"/>
  <c r="G351" i="22"/>
  <c r="R360" i="22"/>
  <c r="M360" i="22" s="1"/>
  <c r="R349" i="22"/>
  <c r="G361" i="22"/>
  <c r="G349" i="22"/>
  <c r="R359" i="22"/>
  <c r="K359" i="22" s="1"/>
  <c r="G359" i="22"/>
  <c r="J148" i="23"/>
  <c r="G421" i="22"/>
  <c r="R421" i="22"/>
  <c r="K421" i="22" s="1"/>
  <c r="R423" i="22"/>
  <c r="G415" i="22"/>
  <c r="R415" i="22"/>
  <c r="K415" i="22" s="1"/>
  <c r="G414" i="22"/>
  <c r="R414" i="22"/>
  <c r="K414" i="22" s="1"/>
  <c r="R420" i="22"/>
  <c r="K420" i="22" s="1"/>
  <c r="G420" i="22"/>
  <c r="R413" i="22"/>
  <c r="K413" i="22" s="1"/>
  <c r="G413" i="22"/>
  <c r="R417" i="22"/>
  <c r="K417" i="22" s="1"/>
  <c r="G417" i="22"/>
  <c r="R422" i="22"/>
  <c r="K422" i="22" s="1"/>
  <c r="G422" i="22"/>
  <c r="R419" i="22"/>
  <c r="K419" i="22" s="1"/>
  <c r="G419" i="22"/>
  <c r="R418" i="22"/>
  <c r="K418" i="22" s="1"/>
  <c r="G418" i="22"/>
  <c r="G416" i="22"/>
  <c r="R416" i="22"/>
  <c r="K416" i="22" s="1"/>
  <c r="G424" i="22"/>
  <c r="G412" i="22"/>
  <c r="R412" i="22"/>
  <c r="K412" i="22" s="1"/>
  <c r="R205" i="22"/>
  <c r="K205" i="22" s="1"/>
  <c r="G205" i="22"/>
  <c r="R208" i="22"/>
  <c r="K208" i="22" s="1"/>
  <c r="G208" i="22"/>
  <c r="G209" i="22"/>
  <c r="R209" i="22"/>
  <c r="K209" i="22" s="1"/>
  <c r="M209" i="22"/>
  <c r="R204" i="22"/>
  <c r="K204" i="22" s="1"/>
  <c r="G204" i="22"/>
  <c r="R206" i="22"/>
  <c r="K206" i="22" s="1"/>
  <c r="G206" i="22"/>
  <c r="R213" i="22"/>
  <c r="K213" i="22" s="1"/>
  <c r="G207" i="22"/>
  <c r="R207" i="22"/>
  <c r="K207" i="22" s="1"/>
  <c r="R210" i="22"/>
  <c r="K210" i="22" s="1"/>
  <c r="G210" i="22"/>
  <c r="R203" i="22"/>
  <c r="K203" i="22" s="1"/>
  <c r="G203" i="22"/>
  <c r="G212" i="22"/>
  <c r="R212" i="22"/>
  <c r="K212" i="22" s="1"/>
  <c r="G202" i="22"/>
  <c r="G214" i="22"/>
  <c r="R202" i="22"/>
  <c r="K202" i="22" s="1"/>
  <c r="R211" i="22"/>
  <c r="K211" i="22" s="1"/>
  <c r="G211" i="22"/>
  <c r="G98" i="22"/>
  <c r="M98" i="22"/>
  <c r="R98" i="22"/>
  <c r="K98" i="22" s="1"/>
  <c r="R107" i="22"/>
  <c r="K107" i="22" s="1"/>
  <c r="G107" i="22"/>
  <c r="G104" i="22"/>
  <c r="R104" i="22"/>
  <c r="K104" i="22" s="1"/>
  <c r="G100" i="22"/>
  <c r="R100" i="22"/>
  <c r="K100" i="22" s="1"/>
  <c r="G101" i="22"/>
  <c r="R101" i="22"/>
  <c r="K101" i="22" s="1"/>
  <c r="G103" i="22"/>
  <c r="R103" i="22"/>
  <c r="K103" i="22" s="1"/>
  <c r="M103" i="22"/>
  <c r="N103" i="22" s="1"/>
  <c r="G99" i="22"/>
  <c r="R99" i="22"/>
  <c r="K99" i="22" s="1"/>
  <c r="G97" i="22"/>
  <c r="G109" i="22"/>
  <c r="R97" i="22"/>
  <c r="M97" i="22" s="1"/>
  <c r="R108" i="22"/>
  <c r="M108" i="22" s="1"/>
  <c r="G106" i="22"/>
  <c r="R106" i="22"/>
  <c r="K106" i="22" s="1"/>
  <c r="G102" i="22"/>
  <c r="R102" i="22"/>
  <c r="K102" i="22" s="1"/>
  <c r="G105" i="22"/>
  <c r="R105" i="22"/>
  <c r="K105" i="22" s="1"/>
  <c r="N163" i="22"/>
  <c r="V60" i="22"/>
  <c r="V76" i="22"/>
  <c r="V140" i="22"/>
  <c r="N169" i="22"/>
  <c r="L131" i="22"/>
  <c r="N162" i="22"/>
  <c r="M67" i="22"/>
  <c r="V55" i="22"/>
  <c r="N170" i="22"/>
  <c r="M185" i="22"/>
  <c r="N185" i="22" s="1"/>
  <c r="N164" i="22"/>
  <c r="H47" i="22"/>
  <c r="X340" i="22"/>
  <c r="V143" i="22"/>
  <c r="N160" i="22"/>
  <c r="V149" i="22"/>
  <c r="M186" i="22"/>
  <c r="V167" i="22"/>
  <c r="V123" i="22"/>
  <c r="V58" i="22"/>
  <c r="X298" i="22"/>
  <c r="V126" i="22"/>
  <c r="N168" i="22"/>
  <c r="V78" i="22"/>
  <c r="V139" i="22"/>
  <c r="L152" i="22"/>
  <c r="K193" i="22"/>
  <c r="V146" i="22"/>
  <c r="V59" i="22"/>
  <c r="V63" i="22"/>
  <c r="K181" i="22"/>
  <c r="V82" i="22"/>
  <c r="V144" i="22"/>
  <c r="H152" i="22"/>
  <c r="M397" i="22"/>
  <c r="M230" i="22"/>
  <c r="M246" i="22"/>
  <c r="M338" i="22"/>
  <c r="M250" i="22"/>
  <c r="M224" i="22"/>
  <c r="M270" i="22"/>
  <c r="M252" i="22"/>
  <c r="M399" i="22"/>
  <c r="N188" i="22"/>
  <c r="K360" i="22"/>
  <c r="M204" i="22"/>
  <c r="M228" i="22"/>
  <c r="M294" i="22"/>
  <c r="M329" i="22"/>
  <c r="M335" i="22"/>
  <c r="M420" i="22"/>
  <c r="M421" i="22"/>
  <c r="AS11" i="1"/>
  <c r="M231" i="22"/>
  <c r="M309" i="22"/>
  <c r="M330" i="22"/>
  <c r="K244" i="22"/>
  <c r="M253" i="22"/>
  <c r="M336" i="22"/>
  <c r="M353" i="22"/>
  <c r="M415" i="22"/>
  <c r="N415" i="22" s="1"/>
  <c r="V188" i="22"/>
  <c r="M412" i="22"/>
  <c r="V184" i="22"/>
  <c r="M225" i="22"/>
  <c r="M274" i="22"/>
  <c r="M288" i="22"/>
  <c r="M359" i="22"/>
  <c r="M315" i="22"/>
  <c r="N190" i="22"/>
  <c r="H131" i="22"/>
  <c r="M249" i="22"/>
  <c r="M317" i="22"/>
  <c r="N187" i="22"/>
  <c r="M100" i="22"/>
  <c r="F263" i="22"/>
  <c r="AP9" i="1"/>
  <c r="I186" i="23"/>
  <c r="I180" i="23"/>
  <c r="AP12" i="1"/>
  <c r="I184" i="23"/>
  <c r="I188" i="23"/>
  <c r="I179" i="23"/>
  <c r="AQ8" i="1"/>
  <c r="C66" i="23"/>
  <c r="I357" i="23"/>
  <c r="I100" i="23"/>
  <c r="J160" i="23"/>
  <c r="J182" i="23"/>
  <c r="I249" i="23"/>
  <c r="F129" i="23"/>
  <c r="J100" i="23"/>
  <c r="B15" i="22"/>
  <c r="C150" i="23"/>
  <c r="AQ12" i="1"/>
  <c r="I250" i="23"/>
  <c r="I291" i="23"/>
  <c r="I182" i="23"/>
  <c r="I396" i="23"/>
  <c r="I227" i="23"/>
  <c r="I271" i="23"/>
  <c r="I1368" i="23"/>
  <c r="I465" i="23"/>
  <c r="I1347" i="23"/>
  <c r="I248" i="23"/>
  <c r="I369" i="23"/>
  <c r="I304" i="23"/>
  <c r="I247" i="23"/>
  <c r="I201" i="23"/>
  <c r="I267" i="23"/>
  <c r="J47" i="22"/>
  <c r="I375" i="23"/>
  <c r="I206" i="23"/>
  <c r="J166" i="23"/>
  <c r="J161" i="23"/>
  <c r="J157" i="23"/>
  <c r="C129" i="23"/>
  <c r="AQ11" i="1"/>
  <c r="N131" i="22" s="1"/>
  <c r="I243" i="23"/>
  <c r="I350" i="23"/>
  <c r="I228" i="23"/>
  <c r="J184" i="23"/>
  <c r="I222" i="23"/>
  <c r="I326" i="23"/>
  <c r="I335" i="23"/>
  <c r="I312" i="23"/>
  <c r="J179" i="23"/>
  <c r="I486" i="23"/>
  <c r="I528" i="23"/>
  <c r="I507" i="23"/>
  <c r="I444" i="23"/>
  <c r="A15" i="22"/>
  <c r="I241" i="23"/>
  <c r="I374" i="23"/>
  <c r="N68" i="22"/>
  <c r="J159" i="23"/>
  <c r="J187" i="23"/>
  <c r="I394" i="23"/>
  <c r="J185" i="23"/>
  <c r="I333" i="23"/>
  <c r="I373" i="23"/>
  <c r="AP8" i="1"/>
  <c r="I183" i="23"/>
  <c r="I221" i="23"/>
  <c r="I95" i="23"/>
  <c r="J165" i="23"/>
  <c r="I246" i="23"/>
  <c r="F15" i="22"/>
  <c r="I314" i="23"/>
  <c r="I327" i="23"/>
  <c r="I409" i="23"/>
  <c r="N89" i="22"/>
  <c r="J167" i="23"/>
  <c r="I225" i="23"/>
  <c r="I332" i="23"/>
  <c r="I417" i="23"/>
  <c r="I285" i="23"/>
  <c r="I97" i="23"/>
  <c r="I1326" i="23"/>
  <c r="I418" i="23"/>
  <c r="J131" i="22"/>
  <c r="F150" i="23"/>
  <c r="I306" i="23"/>
  <c r="I105" i="23"/>
  <c r="I356" i="23"/>
  <c r="I94" i="23"/>
  <c r="AS9" i="1" l="1"/>
  <c r="K403" i="22"/>
  <c r="M290" i="22"/>
  <c r="M293" i="22"/>
  <c r="M418" i="22"/>
  <c r="M400" i="22"/>
  <c r="M311" i="22"/>
  <c r="N189" i="22"/>
  <c r="M268" i="22"/>
  <c r="N268" i="22" s="1"/>
  <c r="K97" i="22"/>
  <c r="K256" i="22"/>
  <c r="M308" i="22"/>
  <c r="M292" i="22"/>
  <c r="M107" i="22"/>
  <c r="M233" i="22"/>
  <c r="N233" i="22" s="1"/>
  <c r="V233" i="22" s="1"/>
  <c r="M272" i="22"/>
  <c r="M273" i="22"/>
  <c r="H89" i="22"/>
  <c r="AS12" i="1"/>
  <c r="M232" i="22"/>
  <c r="M213" i="22"/>
  <c r="K319" i="22"/>
  <c r="M295" i="22"/>
  <c r="N295" i="22" s="1"/>
  <c r="V295" i="22" s="1"/>
  <c r="M266" i="22"/>
  <c r="K109" i="22"/>
  <c r="M296" i="22"/>
  <c r="N296" i="22" s="1"/>
  <c r="V296" i="22" s="1"/>
  <c r="M105" i="22"/>
  <c r="M267" i="22"/>
  <c r="N267" i="22" s="1"/>
  <c r="V267" i="22" s="1"/>
  <c r="M271" i="22"/>
  <c r="M312" i="22"/>
  <c r="M371" i="22"/>
  <c r="M332" i="22"/>
  <c r="M245" i="22"/>
  <c r="M248" i="22"/>
  <c r="N248" i="22" s="1"/>
  <c r="V248" i="22" s="1"/>
  <c r="M373" i="22"/>
  <c r="N373" i="22" s="1"/>
  <c r="M205" i="22"/>
  <c r="N205" i="22" s="1"/>
  <c r="M354" i="22"/>
  <c r="N354" i="22" s="1"/>
  <c r="V354" i="22" s="1"/>
  <c r="M331" i="22"/>
  <c r="N331" i="22" s="1"/>
  <c r="M401" i="22"/>
  <c r="N401" i="22" s="1"/>
  <c r="M106" i="22"/>
  <c r="M417" i="22"/>
  <c r="M394" i="22"/>
  <c r="N394" i="22" s="1"/>
  <c r="M316" i="22"/>
  <c r="N316" i="22" s="1"/>
  <c r="V316" i="22" s="1"/>
  <c r="M380" i="22"/>
  <c r="N191" i="22"/>
  <c r="M414" i="22"/>
  <c r="V130" i="22"/>
  <c r="B131" i="22" s="1" a="1"/>
  <c r="B131" i="22" s="1"/>
  <c r="M334" i="22"/>
  <c r="N334" i="22" s="1"/>
  <c r="M357" i="22"/>
  <c r="N357" i="22" s="1"/>
  <c r="M337" i="22"/>
  <c r="M203" i="22"/>
  <c r="M313" i="22"/>
  <c r="M374" i="22"/>
  <c r="M247" i="22"/>
  <c r="N183" i="22"/>
  <c r="AS8" i="1"/>
  <c r="J169" i="23"/>
  <c r="N97" i="22"/>
  <c r="V97" i="22" s="1"/>
  <c r="M352" i="22"/>
  <c r="N352" i="22" s="1"/>
  <c r="M101" i="22"/>
  <c r="N101" i="22" s="1"/>
  <c r="V101" i="22" s="1"/>
  <c r="V170" i="22"/>
  <c r="M212" i="22"/>
  <c r="M206" i="22"/>
  <c r="M208" i="22"/>
  <c r="M413" i="22"/>
  <c r="M351" i="22"/>
  <c r="M370" i="22"/>
  <c r="K370" i="22"/>
  <c r="K382" i="22"/>
  <c r="M375" i="22"/>
  <c r="N245" i="22"/>
  <c r="M223" i="22"/>
  <c r="K223" i="22"/>
  <c r="M381" i="22"/>
  <c r="K381" i="22"/>
  <c r="N374" i="22"/>
  <c r="V374" i="22" s="1"/>
  <c r="V168" i="22"/>
  <c r="V67" i="22"/>
  <c r="M289" i="22"/>
  <c r="N289" i="22" s="1"/>
  <c r="M416" i="22"/>
  <c r="N186" i="22"/>
  <c r="H68" i="22"/>
  <c r="M286" i="22"/>
  <c r="K298" i="22"/>
  <c r="M393" i="22"/>
  <c r="N311" i="22"/>
  <c r="N376" i="22"/>
  <c r="V376" i="22" s="1"/>
  <c r="M333" i="22"/>
  <c r="M339" i="22"/>
  <c r="K339" i="22"/>
  <c r="M255" i="22"/>
  <c r="K235" i="22"/>
  <c r="M419" i="22"/>
  <c r="M104" i="22"/>
  <c r="M356" i="22"/>
  <c r="V162" i="22"/>
  <c r="M265" i="22"/>
  <c r="M318" i="22"/>
  <c r="K318" i="22"/>
  <c r="N377" i="22"/>
  <c r="M328" i="22"/>
  <c r="K328" i="22"/>
  <c r="N244" i="22"/>
  <c r="V244" i="22" s="1"/>
  <c r="K307" i="22"/>
  <c r="K340" i="22"/>
  <c r="M202" i="22"/>
  <c r="N202" i="22" s="1"/>
  <c r="K361" i="22"/>
  <c r="M211" i="22"/>
  <c r="M422" i="22"/>
  <c r="M358" i="22"/>
  <c r="M287" i="22"/>
  <c r="M314" i="22"/>
  <c r="M254" i="22"/>
  <c r="V160" i="22"/>
  <c r="L173" i="22"/>
  <c r="M172" i="22"/>
  <c r="V164" i="22"/>
  <c r="V169" i="22"/>
  <c r="N209" i="22"/>
  <c r="N378" i="22"/>
  <c r="N98" i="22"/>
  <c r="V98" i="22" s="1"/>
  <c r="M102" i="22"/>
  <c r="M99" i="22"/>
  <c r="M207" i="22"/>
  <c r="M297" i="22"/>
  <c r="K297" i="22"/>
  <c r="N307" i="22"/>
  <c r="N372" i="22"/>
  <c r="N251" i="22"/>
  <c r="K277" i="22"/>
  <c r="M275" i="22"/>
  <c r="V88" i="22"/>
  <c r="N417" i="22"/>
  <c r="V417" i="22" s="1"/>
  <c r="M350" i="22"/>
  <c r="M276" i="22"/>
  <c r="K276" i="22"/>
  <c r="M269" i="22"/>
  <c r="K402" i="22"/>
  <c r="M402" i="22"/>
  <c r="M391" i="22"/>
  <c r="K391" i="22"/>
  <c r="M229" i="22"/>
  <c r="M226" i="22"/>
  <c r="N332" i="22"/>
  <c r="K424" i="22"/>
  <c r="K108" i="22"/>
  <c r="K214" i="22"/>
  <c r="M395" i="22"/>
  <c r="N395" i="22" s="1"/>
  <c r="M423" i="22"/>
  <c r="K423" i="22"/>
  <c r="M349" i="22"/>
  <c r="K349" i="22"/>
  <c r="M398" i="22"/>
  <c r="M396" i="22"/>
  <c r="M234" i="22"/>
  <c r="K234" i="22"/>
  <c r="M392" i="22"/>
  <c r="M210" i="22"/>
  <c r="M310" i="22"/>
  <c r="N310" i="22" s="1"/>
  <c r="V151" i="22"/>
  <c r="V163" i="22"/>
  <c r="M355" i="22"/>
  <c r="M291" i="22"/>
  <c r="M227" i="22"/>
  <c r="M379" i="22"/>
  <c r="N420" i="22"/>
  <c r="N203" i="22"/>
  <c r="V203" i="22" s="1"/>
  <c r="N338" i="22"/>
  <c r="N293" i="22"/>
  <c r="N252" i="22"/>
  <c r="N418" i="22"/>
  <c r="N337" i="22"/>
  <c r="V337" i="22" s="1"/>
  <c r="N356" i="22"/>
  <c r="V356" i="22" s="1"/>
  <c r="N421" i="22"/>
  <c r="V421" i="22" s="1"/>
  <c r="N335" i="22"/>
  <c r="V335" i="22" s="1"/>
  <c r="N246" i="22"/>
  <c r="N270" i="22"/>
  <c r="V270" i="22" s="1"/>
  <c r="N230" i="22"/>
  <c r="V230" i="22" s="1"/>
  <c r="N104" i="22"/>
  <c r="N228" i="22"/>
  <c r="V228" i="22" s="1"/>
  <c r="N224" i="22"/>
  <c r="V224" i="22" s="1"/>
  <c r="N294" i="22"/>
  <c r="N204" i="22"/>
  <c r="N399" i="22"/>
  <c r="N308" i="22"/>
  <c r="V308" i="22" s="1"/>
  <c r="N416" i="22"/>
  <c r="V416" i="22" s="1"/>
  <c r="N397" i="22"/>
  <c r="N329" i="22"/>
  <c r="N250" i="22"/>
  <c r="V250" i="22" s="1"/>
  <c r="N317" i="22"/>
  <c r="N225" i="22"/>
  <c r="V225" i="22" s="1"/>
  <c r="N330" i="22"/>
  <c r="V330" i="22" s="1"/>
  <c r="N309" i="22"/>
  <c r="V103" i="22"/>
  <c r="V185" i="22"/>
  <c r="N266" i="22"/>
  <c r="V266" i="22" s="1"/>
  <c r="V190" i="22"/>
  <c r="N412" i="22"/>
  <c r="N107" i="22"/>
  <c r="N249" i="22"/>
  <c r="V182" i="22"/>
  <c r="N231" i="22"/>
  <c r="V231" i="22" s="1"/>
  <c r="N100" i="22"/>
  <c r="N315" i="22"/>
  <c r="V315" i="22" s="1"/>
  <c r="N419" i="22"/>
  <c r="V419" i="22" s="1"/>
  <c r="V187" i="22"/>
  <c r="N292" i="22"/>
  <c r="N359" i="22"/>
  <c r="V359" i="22" s="1"/>
  <c r="N414" i="22"/>
  <c r="V414" i="22" s="1"/>
  <c r="N353" i="22"/>
  <c r="N210" i="22"/>
  <c r="V210" i="22" s="1"/>
  <c r="N336" i="22"/>
  <c r="N288" i="22"/>
  <c r="V288" i="22" s="1"/>
  <c r="N290" i="22"/>
  <c r="V290" i="22" s="1"/>
  <c r="N274" i="22"/>
  <c r="V274" i="22" s="1"/>
  <c r="N253" i="22"/>
  <c r="V253" i="22" s="1"/>
  <c r="V209" i="22"/>
  <c r="V245" i="22"/>
  <c r="V307" i="22"/>
  <c r="V397" i="22"/>
  <c r="V309" i="22"/>
  <c r="F284" i="22"/>
  <c r="X15" i="22"/>
  <c r="I15" i="22"/>
  <c r="J89" i="22"/>
  <c r="I87" i="23" s="1"/>
  <c r="I230" i="23"/>
  <c r="I308" i="23"/>
  <c r="I305" i="23"/>
  <c r="I415" i="23"/>
  <c r="I269" i="23"/>
  <c r="J186" i="23"/>
  <c r="I287" i="23"/>
  <c r="I289" i="23"/>
  <c r="I270" i="23"/>
  <c r="F87" i="23"/>
  <c r="I290" i="23"/>
  <c r="I104" i="23"/>
  <c r="I397" i="23"/>
  <c r="I242" i="23"/>
  <c r="I398" i="23"/>
  <c r="I331" i="23"/>
  <c r="J152" i="22"/>
  <c r="I150" i="23" s="1"/>
  <c r="I245" i="23"/>
  <c r="I354" i="23"/>
  <c r="I309" i="23"/>
  <c r="I371" i="23"/>
  <c r="J188" i="23"/>
  <c r="I293" i="23"/>
  <c r="I103" i="23"/>
  <c r="I102" i="23"/>
  <c r="I414" i="23"/>
  <c r="I334" i="23"/>
  <c r="I229" i="23"/>
  <c r="I264" i="23"/>
  <c r="I200" i="23"/>
  <c r="I210" i="23"/>
  <c r="I268" i="23"/>
  <c r="I313" i="23"/>
  <c r="I310" i="23"/>
  <c r="I368" i="23"/>
  <c r="I202" i="23"/>
  <c r="I377" i="23"/>
  <c r="I329" i="23"/>
  <c r="I351" i="23"/>
  <c r="I411" i="23"/>
  <c r="J180" i="23"/>
  <c r="I292" i="23"/>
  <c r="I244" i="23"/>
  <c r="I263" i="23"/>
  <c r="J68" i="22"/>
  <c r="I66" i="23" s="1"/>
  <c r="I372" i="23"/>
  <c r="I283" i="23"/>
  <c r="I204" i="23"/>
  <c r="I347" i="23"/>
  <c r="J313" i="23"/>
  <c r="I207" i="23"/>
  <c r="I352" i="23"/>
  <c r="J225" i="23"/>
  <c r="J334" i="23"/>
  <c r="A12" i="23"/>
  <c r="J263" i="23"/>
  <c r="J285" i="23"/>
  <c r="J230" i="23"/>
  <c r="J354" i="23"/>
  <c r="J246" i="23"/>
  <c r="I311" i="23"/>
  <c r="I265" i="23"/>
  <c r="J356" i="23"/>
  <c r="F16" i="22"/>
  <c r="J416" i="23"/>
  <c r="J350" i="23"/>
  <c r="B16" i="22"/>
  <c r="I392" i="23"/>
  <c r="J242" i="23"/>
  <c r="I252" i="23"/>
  <c r="I262" i="23"/>
  <c r="I355" i="23"/>
  <c r="J206" i="23"/>
  <c r="I294" i="23"/>
  <c r="I273" i="23"/>
  <c r="I226" i="23"/>
  <c r="I346" i="23"/>
  <c r="I288" i="23"/>
  <c r="J394" i="23"/>
  <c r="J227" i="23"/>
  <c r="J289" i="23"/>
  <c r="J97" i="23"/>
  <c r="J207" i="23"/>
  <c r="J287" i="23"/>
  <c r="J199" i="23"/>
  <c r="J104" i="23"/>
  <c r="J228" i="23"/>
  <c r="J250" i="23"/>
  <c r="H12" i="23"/>
  <c r="I315" i="23"/>
  <c r="J304" i="23"/>
  <c r="I266" i="23"/>
  <c r="J221" i="23"/>
  <c r="J291" i="23"/>
  <c r="I410" i="23"/>
  <c r="J308" i="23"/>
  <c r="J374" i="23"/>
  <c r="J248" i="23"/>
  <c r="I393" i="23"/>
  <c r="I413" i="23"/>
  <c r="J373" i="23"/>
  <c r="I325" i="23"/>
  <c r="A33" i="23"/>
  <c r="J413" i="23"/>
  <c r="N152" i="22"/>
  <c r="I209" i="23"/>
  <c r="J245" i="23"/>
  <c r="J264" i="23"/>
  <c r="I199" i="23"/>
  <c r="I284" i="23"/>
  <c r="I223" i="23"/>
  <c r="J98" i="23"/>
  <c r="J332" i="23"/>
  <c r="J326" i="23"/>
  <c r="J305" i="23"/>
  <c r="J333" i="23"/>
  <c r="J375" i="23"/>
  <c r="J415" i="23"/>
  <c r="J247" i="23"/>
  <c r="J353" i="23"/>
  <c r="J293" i="23"/>
  <c r="J201" i="23"/>
  <c r="J331" i="23"/>
  <c r="I231" i="23"/>
  <c r="H33" i="23"/>
  <c r="J327" i="23"/>
  <c r="B130" i="23"/>
  <c r="I203" i="23"/>
  <c r="I416" i="23"/>
  <c r="J329" i="23"/>
  <c r="J271" i="23"/>
  <c r="I205" i="23"/>
  <c r="I390" i="23"/>
  <c r="I101" i="23"/>
  <c r="J95" i="23"/>
  <c r="J369" i="23"/>
  <c r="I395" i="23"/>
  <c r="I224" i="23"/>
  <c r="I220" i="23"/>
  <c r="I353" i="23"/>
  <c r="I251" i="23"/>
  <c r="I549" i="23"/>
  <c r="J94" i="23"/>
  <c r="J396" i="23"/>
  <c r="I129" i="23"/>
  <c r="I399" i="23"/>
  <c r="I348" i="23"/>
  <c r="J398" i="23"/>
  <c r="C12" i="23"/>
  <c r="I367" i="23"/>
  <c r="I378" i="23"/>
  <c r="J183" i="23"/>
  <c r="C171" i="23"/>
  <c r="AQ13" i="1"/>
  <c r="N173" i="22" s="1"/>
  <c r="I98" i="23"/>
  <c r="I330" i="23"/>
  <c r="J241" i="23"/>
  <c r="I419" i="23"/>
  <c r="AP13" i="1"/>
  <c r="I99" i="23"/>
  <c r="I388" i="23"/>
  <c r="J101" i="23"/>
  <c r="J200" i="23"/>
  <c r="J335" i="23"/>
  <c r="J243" i="23"/>
  <c r="J409" i="23"/>
  <c r="J314" i="23"/>
  <c r="C33" i="23"/>
  <c r="J306" i="23"/>
  <c r="J312" i="23"/>
  <c r="J417" i="23"/>
  <c r="J351" i="23"/>
  <c r="J292" i="23"/>
  <c r="I376" i="23"/>
  <c r="J290" i="23"/>
  <c r="I272" i="23"/>
  <c r="J267" i="23"/>
  <c r="J371" i="23"/>
  <c r="F66" i="23"/>
  <c r="I336" i="23"/>
  <c r="I96" i="23"/>
  <c r="J414" i="23"/>
  <c r="I420" i="23"/>
  <c r="I389" i="23"/>
  <c r="J392" i="23"/>
  <c r="J418" i="23"/>
  <c r="J249" i="23"/>
  <c r="A16" i="22"/>
  <c r="J222" i="23"/>
  <c r="J411" i="23"/>
  <c r="I208" i="23"/>
  <c r="J202" i="23"/>
  <c r="V189" i="22" l="1"/>
  <c r="M193" i="22"/>
  <c r="N400" i="22"/>
  <c r="N273" i="22"/>
  <c r="N272" i="22"/>
  <c r="N247" i="22"/>
  <c r="V247" i="22" s="1"/>
  <c r="V183" i="22"/>
  <c r="V193" i="22" s="1"/>
  <c r="N380" i="22"/>
  <c r="V380" i="22" s="1"/>
  <c r="L194" i="22"/>
  <c r="N313" i="22"/>
  <c r="V172" i="22"/>
  <c r="B173" i="22" s="1" a="1"/>
  <c r="B173" i="22" s="1"/>
  <c r="N371" i="22"/>
  <c r="N232" i="22"/>
  <c r="E131" i="22"/>
  <c r="N106" i="22"/>
  <c r="V191" i="22"/>
  <c r="N105" i="22"/>
  <c r="V105" i="22" s="1"/>
  <c r="N271" i="22"/>
  <c r="N312" i="22"/>
  <c r="AS13" i="1"/>
  <c r="J190" i="23"/>
  <c r="N211" i="22"/>
  <c r="N99" i="22"/>
  <c r="N379" i="22"/>
  <c r="N391" i="22"/>
  <c r="E89" i="22"/>
  <c r="B89" i="22" a="1"/>
  <c r="B89" i="22" s="1"/>
  <c r="N102" i="22"/>
  <c r="M109" i="22" s="1"/>
  <c r="H110" i="22" s="1"/>
  <c r="H173" i="22"/>
  <c r="N422" i="22"/>
  <c r="N333" i="22"/>
  <c r="V186" i="22"/>
  <c r="N370" i="22"/>
  <c r="N351" i="22"/>
  <c r="N275" i="22"/>
  <c r="E152" i="22"/>
  <c r="B152" i="22" a="1"/>
  <c r="B152" i="22" s="1"/>
  <c r="N254" i="22"/>
  <c r="N223" i="22"/>
  <c r="N227" i="22"/>
  <c r="N398" i="22"/>
  <c r="V372" i="22"/>
  <c r="N393" i="22"/>
  <c r="N208" i="22"/>
  <c r="V332" i="22"/>
  <c r="E68" i="22"/>
  <c r="B68" i="22" a="1"/>
  <c r="B68" i="22" s="1"/>
  <c r="N206" i="22"/>
  <c r="V378" i="22"/>
  <c r="N226" i="22"/>
  <c r="N287" i="22"/>
  <c r="N212" i="22"/>
  <c r="N328" i="22"/>
  <c r="N396" i="22"/>
  <c r="V377" i="22"/>
  <c r="V311" i="22"/>
  <c r="N413" i="22"/>
  <c r="V251" i="22"/>
  <c r="N269" i="22"/>
  <c r="N291" i="22"/>
  <c r="N349" i="22"/>
  <c r="N229" i="22"/>
  <c r="N358" i="22"/>
  <c r="N265" i="22"/>
  <c r="N314" i="22"/>
  <c r="N392" i="22"/>
  <c r="N355" i="22"/>
  <c r="N350" i="22"/>
  <c r="N207" i="22"/>
  <c r="N286" i="22"/>
  <c r="N375" i="22"/>
  <c r="V204" i="22"/>
  <c r="V294" i="22"/>
  <c r="V399" i="22"/>
  <c r="V246" i="22"/>
  <c r="V329" i="22"/>
  <c r="V338" i="22"/>
  <c r="V401" i="22"/>
  <c r="V252" i="22"/>
  <c r="V293" i="22"/>
  <c r="V420" i="22"/>
  <c r="V418" i="22"/>
  <c r="V395" i="22"/>
  <c r="V104" i="22"/>
  <c r="V317" i="22"/>
  <c r="V107" i="22"/>
  <c r="V249" i="22"/>
  <c r="V357" i="22"/>
  <c r="V412" i="22"/>
  <c r="H194" i="22"/>
  <c r="V205" i="22"/>
  <c r="V334" i="22"/>
  <c r="V202" i="22"/>
  <c r="V353" i="22"/>
  <c r="V336" i="22"/>
  <c r="V100" i="22"/>
  <c r="V292" i="22"/>
  <c r="F305" i="22"/>
  <c r="X16" i="22"/>
  <c r="I16" i="22"/>
  <c r="AP14" i="1"/>
  <c r="J269" i="23"/>
  <c r="J397" i="23"/>
  <c r="J270" i="23"/>
  <c r="F130" i="23"/>
  <c r="AQ14" i="1"/>
  <c r="C192" i="23"/>
  <c r="J244" i="23"/>
  <c r="J103" i="23"/>
  <c r="J102" i="23"/>
  <c r="J377" i="23"/>
  <c r="J268" i="23"/>
  <c r="J309" i="23"/>
  <c r="J310" i="23"/>
  <c r="B172" i="23"/>
  <c r="J368" i="23"/>
  <c r="J229" i="23"/>
  <c r="J173" i="22"/>
  <c r="I171" i="23" s="1"/>
  <c r="J376" i="23"/>
  <c r="J348" i="23"/>
  <c r="J226" i="23"/>
  <c r="J388" i="23"/>
  <c r="J355" i="23"/>
  <c r="N194" i="22"/>
  <c r="A35" i="23"/>
  <c r="C34" i="23"/>
  <c r="F17" i="22"/>
  <c r="A34" i="23"/>
  <c r="J419" i="23"/>
  <c r="J330" i="23"/>
  <c r="J209" i="23"/>
  <c r="J352" i="23"/>
  <c r="F88" i="23"/>
  <c r="J272" i="23"/>
  <c r="J390" i="23"/>
  <c r="J410" i="23"/>
  <c r="J262" i="23"/>
  <c r="J283" i="23"/>
  <c r="F192" i="23"/>
  <c r="I570" i="23"/>
  <c r="J99" i="23"/>
  <c r="AP10" i="1"/>
  <c r="H34" i="23"/>
  <c r="H13" i="23"/>
  <c r="B88" i="23"/>
  <c r="F151" i="23"/>
  <c r="J372" i="23"/>
  <c r="J205" i="23"/>
  <c r="J311" i="23"/>
  <c r="J208" i="23"/>
  <c r="J284" i="23"/>
  <c r="J265" i="23"/>
  <c r="J251" i="23"/>
  <c r="I286" i="23"/>
  <c r="J224" i="23"/>
  <c r="J325" i="23"/>
  <c r="J288" i="23"/>
  <c r="J347" i="23"/>
  <c r="F108" i="23"/>
  <c r="C13" i="23"/>
  <c r="A13" i="23"/>
  <c r="J223" i="23"/>
  <c r="F171" i="23"/>
  <c r="J96" i="23"/>
  <c r="I591" i="23"/>
  <c r="J220" i="23"/>
  <c r="B17" i="22"/>
  <c r="J367" i="23"/>
  <c r="J395" i="23"/>
  <c r="J203" i="23"/>
  <c r="J393" i="23"/>
  <c r="J346" i="23"/>
  <c r="J204" i="23"/>
  <c r="C35" i="23"/>
  <c r="A17" i="22"/>
  <c r="H35" i="23"/>
  <c r="B151" i="23"/>
  <c r="J266" i="23"/>
  <c r="F67" i="23"/>
  <c r="J389" i="23"/>
  <c r="B67" i="23"/>
  <c r="AS14" i="1" l="1"/>
  <c r="M235" i="22"/>
  <c r="V273" i="22"/>
  <c r="V400" i="22"/>
  <c r="V272" i="22"/>
  <c r="V232" i="22"/>
  <c r="V371" i="22"/>
  <c r="V271" i="22"/>
  <c r="V312" i="22"/>
  <c r="E173" i="22"/>
  <c r="V106" i="22"/>
  <c r="V313" i="22"/>
  <c r="J211" i="23"/>
  <c r="J232" i="23"/>
  <c r="J106" i="23"/>
  <c r="J253" i="23"/>
  <c r="V269" i="22"/>
  <c r="V207" i="22"/>
  <c r="V349" i="22"/>
  <c r="V396" i="22"/>
  <c r="V206" i="22"/>
  <c r="V398" i="22"/>
  <c r="V370" i="22"/>
  <c r="V223" i="22"/>
  <c r="L236" i="22"/>
  <c r="V99" i="22"/>
  <c r="V226" i="22"/>
  <c r="L110" i="22"/>
  <c r="V109" i="22"/>
  <c r="B110" i="22" s="1" a="1"/>
  <c r="B110" i="22" s="1"/>
  <c r="V350" i="22"/>
  <c r="V291" i="22"/>
  <c r="V328" i="22"/>
  <c r="V227" i="22"/>
  <c r="V254" i="22"/>
  <c r="V287" i="22"/>
  <c r="V211" i="22"/>
  <c r="V392" i="22"/>
  <c r="V314" i="22"/>
  <c r="V208" i="22"/>
  <c r="V375" i="22"/>
  <c r="V102" i="22"/>
  <c r="M256" i="22"/>
  <c r="H257" i="22" s="1"/>
  <c r="L257" i="22"/>
  <c r="V286" i="22"/>
  <c r="V265" i="22"/>
  <c r="V413" i="22"/>
  <c r="V393" i="22"/>
  <c r="V275" i="22"/>
  <c r="V355" i="22"/>
  <c r="V212" i="22"/>
  <c r="V333" i="22"/>
  <c r="V422" i="22"/>
  <c r="M214" i="22"/>
  <c r="V358" i="22"/>
  <c r="V391" i="22"/>
  <c r="L215" i="22"/>
  <c r="V229" i="22"/>
  <c r="V351" i="22"/>
  <c r="V379" i="22"/>
  <c r="AS10" i="1"/>
  <c r="B194" i="22" a="1"/>
  <c r="B194" i="22" s="1"/>
  <c r="E194" i="22"/>
  <c r="V256" i="22"/>
  <c r="B257" i="22" s="1" a="1"/>
  <c r="B257" i="22" s="1"/>
  <c r="F326" i="22"/>
  <c r="J274" i="23"/>
  <c r="M277" i="22"/>
  <c r="V268" i="22"/>
  <c r="L278" i="22"/>
  <c r="X17" i="22"/>
  <c r="I17" i="22"/>
  <c r="J194" i="22"/>
  <c r="AP16" i="1"/>
  <c r="F172" i="23"/>
  <c r="AQ15" i="1"/>
  <c r="C213" i="23"/>
  <c r="C276" i="23"/>
  <c r="F255" i="23"/>
  <c r="C108" i="23"/>
  <c r="AQ10" i="1"/>
  <c r="AP17" i="1"/>
  <c r="I192" i="23"/>
  <c r="C255" i="23"/>
  <c r="AQ17" i="1"/>
  <c r="AP15" i="1"/>
  <c r="H14" i="23"/>
  <c r="I307" i="23"/>
  <c r="I612" i="23"/>
  <c r="J110" i="22"/>
  <c r="B18" i="22"/>
  <c r="B256" i="23"/>
  <c r="AQ18" i="1"/>
  <c r="B193" i="23"/>
  <c r="B109" i="23"/>
  <c r="J286" i="23"/>
  <c r="A14" i="23"/>
  <c r="F18" i="22"/>
  <c r="AP18" i="1"/>
  <c r="C14" i="23"/>
  <c r="A18" i="22"/>
  <c r="AQ16" i="1"/>
  <c r="N236" i="22" s="1"/>
  <c r="C234" i="23"/>
  <c r="F193" i="23"/>
  <c r="C36" i="23"/>
  <c r="AS16" i="1" l="1"/>
  <c r="H236" i="22"/>
  <c r="V214" i="22"/>
  <c r="E257" i="22"/>
  <c r="V277" i="22"/>
  <c r="B278" i="22" s="1" a="1"/>
  <c r="B278" i="22" s="1"/>
  <c r="E110" i="22"/>
  <c r="AS15" i="1"/>
  <c r="AS17" i="1"/>
  <c r="B215" i="22" a="1"/>
  <c r="B215" i="22" s="1"/>
  <c r="E215" i="22"/>
  <c r="V235" i="22"/>
  <c r="H215" i="22"/>
  <c r="J295" i="23"/>
  <c r="V289" i="22"/>
  <c r="V298" i="22" s="1"/>
  <c r="M298" i="22"/>
  <c r="L299" i="22"/>
  <c r="F347" i="22"/>
  <c r="AS18" i="1"/>
  <c r="E278" i="22"/>
  <c r="H278" i="22"/>
  <c r="X18" i="22"/>
  <c r="I18" i="22"/>
  <c r="J236" i="22"/>
  <c r="I234" i="23" s="1"/>
  <c r="F234" i="23"/>
  <c r="F256" i="23"/>
  <c r="F109" i="23"/>
  <c r="N215" i="22"/>
  <c r="H36" i="23"/>
  <c r="B214" i="23"/>
  <c r="I633" i="23"/>
  <c r="F19" i="22"/>
  <c r="F277" i="23"/>
  <c r="F214" i="23"/>
  <c r="C37" i="23"/>
  <c r="I108" i="23"/>
  <c r="AP19" i="1"/>
  <c r="F213" i="23"/>
  <c r="C297" i="23"/>
  <c r="J307" i="23"/>
  <c r="J215" i="22"/>
  <c r="A15" i="23"/>
  <c r="C15" i="23"/>
  <c r="N257" i="22"/>
  <c r="N278" i="22"/>
  <c r="B277" i="23"/>
  <c r="J257" i="22"/>
  <c r="A36" i="23"/>
  <c r="F276" i="23"/>
  <c r="A19" i="22"/>
  <c r="H15" i="23"/>
  <c r="I255" i="23"/>
  <c r="I328" i="23"/>
  <c r="N110" i="22"/>
  <c r="J278" i="22"/>
  <c r="A37" i="23"/>
  <c r="B19" i="22"/>
  <c r="AQ19" i="1"/>
  <c r="B236" i="22" l="1" a="1"/>
  <c r="B236" i="22" s="1"/>
  <c r="E236" i="22"/>
  <c r="J316" i="23"/>
  <c r="V310" i="22"/>
  <c r="V319" i="22" s="1"/>
  <c r="M319" i="22"/>
  <c r="L320" i="22"/>
  <c r="AS19" i="1"/>
  <c r="H299" i="22"/>
  <c r="E299" i="22"/>
  <c r="B299" i="22" a="1"/>
  <c r="B299" i="22" s="1"/>
  <c r="F368" i="22"/>
  <c r="X19" i="22"/>
  <c r="I19" i="22"/>
  <c r="I213" i="23"/>
  <c r="I349" i="23"/>
  <c r="I654" i="23"/>
  <c r="J328" i="23"/>
  <c r="AQ20" i="1"/>
  <c r="B235" i="23"/>
  <c r="F235" i="23"/>
  <c r="H37" i="23"/>
  <c r="H16" i="23"/>
  <c r="J299" i="22"/>
  <c r="A16" i="23"/>
  <c r="B298" i="23"/>
  <c r="B20" i="22"/>
  <c r="C318" i="23"/>
  <c r="F298" i="23"/>
  <c r="C16" i="23"/>
  <c r="F20" i="22"/>
  <c r="F297" i="23"/>
  <c r="A20" i="22"/>
  <c r="AP20" i="1"/>
  <c r="N299" i="22"/>
  <c r="I276" i="23"/>
  <c r="J337" i="23" l="1"/>
  <c r="AS20" i="1"/>
  <c r="H320" i="22"/>
  <c r="E320" i="22"/>
  <c r="B320" i="22" a="1"/>
  <c r="B320" i="22" s="1"/>
  <c r="V331" i="22"/>
  <c r="V340" i="22" s="1"/>
  <c r="M340" i="22"/>
  <c r="L341" i="22"/>
  <c r="F389" i="22"/>
  <c r="X20" i="22"/>
  <c r="I20" i="22"/>
  <c r="B319" i="23"/>
  <c r="J320" i="22"/>
  <c r="AP21" i="1"/>
  <c r="H38" i="23"/>
  <c r="F319" i="23"/>
  <c r="H17" i="23"/>
  <c r="F21" i="22"/>
  <c r="A38" i="23"/>
  <c r="N320" i="22"/>
  <c r="C39" i="23"/>
  <c r="A39" i="23"/>
  <c r="I370" i="23"/>
  <c r="F318" i="23"/>
  <c r="C339" i="23"/>
  <c r="A17" i="23"/>
  <c r="I297" i="23"/>
  <c r="C17" i="23"/>
  <c r="I675" i="23"/>
  <c r="H39" i="23"/>
  <c r="AQ21" i="1"/>
  <c r="J349" i="23"/>
  <c r="A21" i="22"/>
  <c r="B21" i="22"/>
  <c r="C38" i="23"/>
  <c r="J358" i="23" l="1"/>
  <c r="AS21" i="1"/>
  <c r="V352" i="22"/>
  <c r="V361" i="22" s="1"/>
  <c r="M361" i="22"/>
  <c r="L362" i="22"/>
  <c r="H341" i="22"/>
  <c r="E341" i="22"/>
  <c r="B341" i="22" a="1"/>
  <c r="B341" i="22" s="1"/>
  <c r="F410" i="22"/>
  <c r="X21" i="22"/>
  <c r="I21" i="22"/>
  <c r="C18" i="23"/>
  <c r="B22" i="22"/>
  <c r="F22" i="22"/>
  <c r="A22" i="22"/>
  <c r="AQ22" i="1"/>
  <c r="C40" i="23"/>
  <c r="I412" i="23"/>
  <c r="J341" i="22"/>
  <c r="I318" i="23"/>
  <c r="A18" i="23"/>
  <c r="N341" i="22"/>
  <c r="A40" i="23"/>
  <c r="F340" i="23"/>
  <c r="J370" i="23"/>
  <c r="H18" i="23"/>
  <c r="B340" i="23"/>
  <c r="H40" i="23"/>
  <c r="AP22" i="1"/>
  <c r="C360" i="23"/>
  <c r="F339" i="23"/>
  <c r="I696" i="23"/>
  <c r="I391" i="23"/>
  <c r="J379" i="23" l="1"/>
  <c r="AS22" i="1"/>
  <c r="E362" i="22"/>
  <c r="B362" i="22" a="1"/>
  <c r="B362" i="22" s="1"/>
  <c r="V373" i="22"/>
  <c r="V382" i="22" s="1"/>
  <c r="M382" i="22"/>
  <c r="L383" i="22"/>
  <c r="H362" i="22"/>
  <c r="X22" i="22"/>
  <c r="I22" i="22"/>
  <c r="J391" i="23"/>
  <c r="C41" i="23"/>
  <c r="A19" i="23"/>
  <c r="H19" i="23"/>
  <c r="C19" i="23"/>
  <c r="A23" i="22"/>
  <c r="A41" i="23"/>
  <c r="C381" i="23"/>
  <c r="J362" i="22"/>
  <c r="F360" i="23"/>
  <c r="B361" i="23"/>
  <c r="F361" i="23"/>
  <c r="AQ23" i="1"/>
  <c r="J412" i="23"/>
  <c r="H41" i="23"/>
  <c r="I339" i="23"/>
  <c r="I717" i="23"/>
  <c r="AP23" i="1"/>
  <c r="N362" i="22"/>
  <c r="B23" i="22"/>
  <c r="F23" i="22"/>
  <c r="J421" i="23" l="1"/>
  <c r="J400" i="23"/>
  <c r="AS23" i="1"/>
  <c r="V415" i="22"/>
  <c r="V424" i="22" s="1"/>
  <c r="M424" i="22"/>
  <c r="L425" i="22"/>
  <c r="H383" i="22"/>
  <c r="E383" i="22"/>
  <c r="B383" i="22" a="1"/>
  <c r="B383" i="22" s="1"/>
  <c r="V394" i="22"/>
  <c r="V403" i="22" s="1"/>
  <c r="M403" i="22"/>
  <c r="L404" i="22"/>
  <c r="X23" i="22"/>
  <c r="I23" i="22"/>
  <c r="I360" i="23"/>
  <c r="B24" i="22"/>
  <c r="C42" i="23"/>
  <c r="A20" i="23"/>
  <c r="F24" i="22"/>
  <c r="AP25" i="1"/>
  <c r="AQ24" i="1"/>
  <c r="A24" i="22"/>
  <c r="AP24" i="1"/>
  <c r="I738" i="23"/>
  <c r="C402" i="23"/>
  <c r="F381" i="23"/>
  <c r="AQ25" i="1"/>
  <c r="H20" i="23"/>
  <c r="A42" i="23"/>
  <c r="C423" i="23"/>
  <c r="F382" i="23"/>
  <c r="N383" i="22"/>
  <c r="H42" i="23"/>
  <c r="J383" i="22"/>
  <c r="B382" i="23"/>
  <c r="C20" i="23"/>
  <c r="AS24" i="1" l="1"/>
  <c r="AS25" i="1"/>
  <c r="H404" i="22"/>
  <c r="H425" i="22"/>
  <c r="E404" i="22"/>
  <c r="B404" i="22" a="1"/>
  <c r="B404" i="22" s="1"/>
  <c r="E425" i="22"/>
  <c r="B425" i="22" a="1"/>
  <c r="B425" i="22" s="1"/>
  <c r="H43" i="23"/>
  <c r="I24" i="22"/>
  <c r="W25" i="22"/>
  <c r="F25" i="22"/>
  <c r="I25" i="22"/>
  <c r="P14" i="22"/>
  <c r="F423" i="23"/>
  <c r="P21" i="22"/>
  <c r="B403" i="23"/>
  <c r="I381" i="23"/>
  <c r="P13" i="22"/>
  <c r="F403" i="23"/>
  <c r="P20" i="22"/>
  <c r="P18" i="22"/>
  <c r="P23" i="22"/>
  <c r="P22" i="22"/>
  <c r="P19" i="22"/>
  <c r="H21" i="23"/>
  <c r="P17" i="22"/>
  <c r="F424" i="23"/>
  <c r="B424" i="23"/>
  <c r="P15" i="22"/>
  <c r="I759" i="23"/>
  <c r="C21" i="23"/>
  <c r="J404" i="22"/>
  <c r="N404" i="22"/>
  <c r="F402" i="23"/>
  <c r="P24" i="22"/>
  <c r="N425" i="22"/>
  <c r="AR6" i="1"/>
  <c r="J425" i="22"/>
  <c r="P16" i="22"/>
  <c r="A21" i="23"/>
  <c r="R21" i="22" l="1"/>
  <c r="M21" i="22" s="1"/>
  <c r="N21" i="22" s="1"/>
  <c r="R18" i="22"/>
  <c r="M18" i="22" s="1"/>
  <c r="N18" i="22" s="1"/>
  <c r="R22" i="22"/>
  <c r="M22" i="22" s="1"/>
  <c r="N22" i="22" s="1"/>
  <c r="R19" i="22"/>
  <c r="M19" i="22" s="1"/>
  <c r="N19" i="22" s="1"/>
  <c r="R20" i="22"/>
  <c r="M20" i="22" s="1"/>
  <c r="N20" i="22" s="1"/>
  <c r="R23" i="22"/>
  <c r="K23" i="22" s="1"/>
  <c r="R15" i="22"/>
  <c r="M15" i="22" s="1"/>
  <c r="N15" i="22" s="1"/>
  <c r="R16" i="22"/>
  <c r="M16" i="22" s="1"/>
  <c r="N16" i="22" s="1"/>
  <c r="R14" i="22"/>
  <c r="M14" i="22" s="1"/>
  <c r="N14" i="22" s="1"/>
  <c r="R13" i="22"/>
  <c r="M13" i="22" s="1"/>
  <c r="N13" i="22" s="1"/>
  <c r="R24" i="22"/>
  <c r="R17" i="22"/>
  <c r="M17" i="22" s="1"/>
  <c r="N17" i="22" s="1"/>
  <c r="H22" i="23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I423" i="23"/>
  <c r="I32" i="23"/>
  <c r="I33" i="23"/>
  <c r="I18" i="23"/>
  <c r="I38" i="23"/>
  <c r="I780" i="23"/>
  <c r="I34" i="23"/>
  <c r="I402" i="23"/>
  <c r="I39" i="23"/>
  <c r="I35" i="23"/>
  <c r="I19" i="23"/>
  <c r="I31" i="23"/>
  <c r="I40" i="23"/>
  <c r="I36" i="23"/>
  <c r="I37" i="23"/>
  <c r="M23" i="22" l="1"/>
  <c r="N23" i="22" s="1"/>
  <c r="K22" i="22"/>
  <c r="K15" i="22"/>
  <c r="K17" i="22"/>
  <c r="K21" i="22"/>
  <c r="M24" i="22"/>
  <c r="K24" i="22"/>
  <c r="K19" i="22"/>
  <c r="K14" i="22"/>
  <c r="K16" i="22"/>
  <c r="K20" i="22"/>
  <c r="K18" i="22"/>
  <c r="K13" i="22"/>
  <c r="K25" i="22"/>
  <c r="I15" i="23"/>
  <c r="I13" i="23"/>
  <c r="I41" i="23"/>
  <c r="J40" i="23"/>
  <c r="J19" i="23"/>
  <c r="I10" i="23"/>
  <c r="I12" i="23"/>
  <c r="I42" i="23"/>
  <c r="I21" i="23"/>
  <c r="I17" i="23"/>
  <c r="I20" i="23"/>
  <c r="I14" i="23"/>
  <c r="I11" i="23"/>
  <c r="I801" i="23"/>
  <c r="I16" i="23"/>
  <c r="V22" i="22" l="1"/>
  <c r="J14" i="23"/>
  <c r="J35" i="23"/>
  <c r="J16" i="23"/>
  <c r="J32" i="23"/>
  <c r="J36" i="23"/>
  <c r="J31" i="23"/>
  <c r="J17" i="23"/>
  <c r="J37" i="23"/>
  <c r="I822" i="23"/>
  <c r="J15" i="23"/>
  <c r="J20" i="23"/>
  <c r="J18" i="23"/>
  <c r="J41" i="23"/>
  <c r="J13" i="23"/>
  <c r="J12" i="23"/>
  <c r="J38" i="23"/>
  <c r="J33" i="23"/>
  <c r="J39" i="23"/>
  <c r="J11" i="23"/>
  <c r="J34" i="23"/>
  <c r="J10" i="23"/>
  <c r="V19" i="22" l="1"/>
  <c r="V23" i="22"/>
  <c r="V18" i="22"/>
  <c r="V15" i="22"/>
  <c r="V21" i="22"/>
  <c r="V13" i="22"/>
  <c r="V16" i="22"/>
  <c r="V20" i="22"/>
  <c r="V17" i="22"/>
  <c r="V14" i="22"/>
  <c r="M25" i="22"/>
  <c r="J22" i="23"/>
  <c r="J43" i="23"/>
  <c r="L26" i="22"/>
  <c r="I843" i="23"/>
  <c r="C24" i="23"/>
  <c r="AP6" i="1"/>
  <c r="AQ6" i="1"/>
  <c r="C45" i="23"/>
  <c r="V25" i="22" l="1"/>
  <c r="B26" i="22" s="1" a="1"/>
  <c r="B26" i="22" s="1"/>
  <c r="AS6" i="1"/>
  <c r="H26" i="22"/>
  <c r="N26" i="22"/>
  <c r="F45" i="23"/>
  <c r="I864" i="23"/>
  <c r="F24" i="23"/>
  <c r="F46" i="23"/>
  <c r="J26" i="22"/>
  <c r="E26" i="22" l="1"/>
  <c r="I1284" i="23"/>
  <c r="I1095" i="23"/>
  <c r="I1263" i="23"/>
  <c r="F25" i="23"/>
  <c r="I885" i="23"/>
  <c r="I1053" i="23"/>
  <c r="I1200" i="23"/>
  <c r="I1032" i="23"/>
  <c r="I1242" i="23"/>
  <c r="I969" i="23"/>
  <c r="I45" i="23"/>
  <c r="I1074" i="23"/>
  <c r="I1158" i="23"/>
  <c r="I1221" i="23"/>
  <c r="B25" i="23"/>
  <c r="I24" i="23"/>
  <c r="B46" i="23"/>
  <c r="I1137" i="23"/>
  <c r="I990" i="23"/>
  <c r="I1116" i="23"/>
  <c r="I927" i="23"/>
  <c r="I948" i="23"/>
  <c r="I1179" i="23"/>
  <c r="I906" i="23"/>
  <c r="I1011" i="23"/>
  <c r="I1305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<sst xmlns="http://schemas.openxmlformats.org/spreadsheetml/2006/main" count="1266" uniqueCount="148">
  <si>
    <t>Roll No.</t>
  </si>
  <si>
    <t>Enroll No.</t>
  </si>
  <si>
    <t xml:space="preserve">Student's Name </t>
  </si>
  <si>
    <t>Father's Name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</si>
  <si>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</si>
  <si>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</si>
  <si>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</si>
  <si>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</si>
  <si>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</si>
  <si>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</si>
  <si>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</si>
  <si>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</si>
  <si>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</si>
  <si>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</si>
  <si>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</si>
  <si>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</si>
  <si>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</si>
  <si>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</si>
  <si>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</si>
  <si>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</si>
  <si>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</si>
  <si>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</si>
  <si>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</si>
  <si>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</si>
  <si>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</si>
  <si>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</si>
  <si>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</si>
  <si>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</si>
  <si>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</si>
  <si>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</si>
  <si>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</si>
  <si>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</si>
  <si>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</si>
  <si>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</si>
  <si>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</si>
  <si>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</si>
  <si>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</si>
  <si>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</si>
  <si>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</si>
  <si>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</si>
  <si>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</si>
  <si>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</si>
  <si>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</si>
  <si>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</si>
  <si>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</si>
  <si>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</si>
  <si>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</si>
  <si>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</si>
  <si>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</si>
  <si>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</si>
  <si>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</si>
  <si>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</si>
  <si>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</si>
  <si>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</si>
  <si>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AHT 003</t>
  </si>
  <si>
    <t>Introduction to Engineering Mathematics</t>
  </si>
  <si>
    <t>General Proficiency ($)</t>
  </si>
  <si>
    <t>A+</t>
  </si>
  <si>
    <t>B+</t>
  </si>
  <si>
    <t>AHT 001</t>
  </si>
  <si>
    <t>Engineering Physics</t>
  </si>
  <si>
    <t>EET 001</t>
  </si>
  <si>
    <t>Basic Electrical Engineering</t>
  </si>
  <si>
    <t>Programming for Problem Solving</t>
  </si>
  <si>
    <t>CST 001</t>
  </si>
  <si>
    <t>AHT 004</t>
  </si>
  <si>
    <t>Environmental Studies ($)</t>
  </si>
  <si>
    <t>AHP 001</t>
  </si>
  <si>
    <t>Engineering Physics Lab</t>
  </si>
  <si>
    <t>Basic Electrical Engineering Lab</t>
  </si>
  <si>
    <t>EEP 001</t>
  </si>
  <si>
    <t>CSP 001</t>
  </si>
  <si>
    <t>Programming for Problem Solving Lab</t>
  </si>
  <si>
    <t>Engineering Graphics &amp; Design Lab</t>
  </si>
  <si>
    <t>MEP 002</t>
  </si>
  <si>
    <t>Introduction to Digital Marketing Lab</t>
  </si>
  <si>
    <t>AHP 003</t>
  </si>
  <si>
    <t>AHP 005</t>
  </si>
  <si>
    <t>Self Employment &amp; Entrepreneurship Development</t>
  </si>
  <si>
    <t>GP 01</t>
  </si>
  <si>
    <t>D</t>
  </si>
  <si>
    <t>Govind Ballabh Pant Institute of Engineering and Technology</t>
  </si>
  <si>
    <t>Tabulation Chart for Bachelor of Technology
Mechanical Engineering (Manufacturing Engineering) 
I Semester December 2025</t>
  </si>
  <si>
    <t>Bachelor of Technology (Mechanical Engineering)
(with Specialization in Manufacturing Engineering)
I Semester December 2025</t>
  </si>
  <si>
    <t>C+</t>
  </si>
  <si>
    <t>D+</t>
  </si>
  <si>
    <t>E+</t>
  </si>
  <si>
    <t>E</t>
  </si>
  <si>
    <t>UTU/2501104318</t>
  </si>
  <si>
    <t>AADITYA SINGH RAWAT</t>
  </si>
  <si>
    <t>SHYAM SINGH</t>
  </si>
  <si>
    <t>PUTU/2501104192</t>
  </si>
  <si>
    <t>AMAN RAIWANI</t>
  </si>
  <si>
    <t>ANIL KUMAR</t>
  </si>
  <si>
    <t>PUTU/2501104373</t>
  </si>
  <si>
    <t>ANUSHKA DIXIT</t>
  </si>
  <si>
    <t>DUSHYANT DIXIT</t>
  </si>
  <si>
    <t>UTU/2501104325</t>
  </si>
  <si>
    <t>ARNAV KUMAR</t>
  </si>
  <si>
    <t>SATISH KUMAR</t>
  </si>
  <si>
    <t>UTU/2501103843</t>
  </si>
  <si>
    <t>AYUSH CHANDRA</t>
  </si>
  <si>
    <t>ANIL DUTT KANSWAL</t>
  </si>
  <si>
    <t>UTU/2501104079</t>
  </si>
  <si>
    <t>HARSHIT GOSWAMI</t>
  </si>
  <si>
    <t>RAJENDRA NATH GOSWAMI</t>
  </si>
  <si>
    <t>UTU/2501103847</t>
  </si>
  <si>
    <t>KANIKA BHATT</t>
  </si>
  <si>
    <t>SHAMBHU PRASAD BHATT</t>
  </si>
  <si>
    <t>UTU/2501103872</t>
  </si>
  <si>
    <t>KRRISH THAKUR</t>
  </si>
  <si>
    <t>SUDHIR THAKUR</t>
  </si>
  <si>
    <t>UTU/2501103935</t>
  </si>
  <si>
    <t>MANSI PATWAL</t>
  </si>
  <si>
    <t>SUNIL PATWAL</t>
  </si>
  <si>
    <t>UTU/2501104037</t>
  </si>
  <si>
    <t>MOHD KASHIF</t>
  </si>
  <si>
    <t>MOHD ANEES</t>
  </si>
  <si>
    <t>UTU/2501103608</t>
  </si>
  <si>
    <t>OM NEGI</t>
  </si>
  <si>
    <t>PRADEEP SINGH</t>
  </si>
  <si>
    <t>UTU/2501103618</t>
  </si>
  <si>
    <t>PRATYUSH PANWAR</t>
  </si>
  <si>
    <t>MUKESH PANWAR</t>
  </si>
  <si>
    <t>UTU/2501104093</t>
  </si>
  <si>
    <t>PRIYANSHU RANA</t>
  </si>
  <si>
    <t>MR. PRADEEP SING RANA</t>
  </si>
  <si>
    <t>UTU/2501104374</t>
  </si>
  <si>
    <t>SANIDHYA LAKHERA</t>
  </si>
  <si>
    <t>TULSI RAM LAKHERA</t>
  </si>
  <si>
    <t>PUTU/2501104321</t>
  </si>
  <si>
    <t>SIDDHARTH RAWAT</t>
  </si>
  <si>
    <t>PARMESH RAWAT</t>
  </si>
  <si>
    <t>UTU/2501103693</t>
  </si>
  <si>
    <t>SIDHARTH SINGH SAJWAN</t>
  </si>
  <si>
    <t>RAJENDRA SINGH SAJWAN</t>
  </si>
  <si>
    <t>UTU/2501104107</t>
  </si>
  <si>
    <t>TANUJ RAWAT</t>
  </si>
  <si>
    <t>BIJENDRA SINGH RAWAT</t>
  </si>
  <si>
    <t>UTU/2501104154</t>
  </si>
  <si>
    <t>VAIBH KUMAR THAKUR</t>
  </si>
  <si>
    <t>KAMLESH KUMAR THAKUR</t>
  </si>
  <si>
    <t>UTU/2501104348</t>
  </si>
  <si>
    <t>VIKRANT TOMAR</t>
  </si>
  <si>
    <t>SUSHIL KUMAR</t>
  </si>
  <si>
    <t>UTU/2501103766</t>
  </si>
  <si>
    <t>YOGITA BELWAL</t>
  </si>
  <si>
    <t>VIRENDRA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</si>
</sst>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6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164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10</xdr:col>
      <xdr:colOff>4360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25"/>
  <sheetViews>
    <sheetView tabSelected="1" zoomScaleNormal="100" workbookViewId="0">
      <selection activeCell="AQ19" sqref="AQ19:AQ25"/>
    </sheetView>
  </sheetViews>
  <sheetFormatPr baseColWidth="10" defaultColWidth="8.83203125" defaultRowHeight="15" x14ac:dyDescent="0.2"/>
  <cols>
    <col min="1" max="1" width="4.1640625" bestFit="1" customWidth="1"/>
    <col min="2" max="2" width="13.1640625" bestFit="1" customWidth="1"/>
    <col min="3" max="3" width="8.6640625" bestFit="1" customWidth="1"/>
    <col min="4" max="4" width="17.5" bestFit="1" customWidth="1"/>
    <col min="5" max="5" width="25.83203125" bestFit="1" customWidth="1"/>
    <col min="39" max="41" width="9.33203125" customWidth="1"/>
  </cols>
  <sheetData>
    <row r="1" spans="1:50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59</v>
      </c>
      <c r="I1" t="s">
        <v>54</v>
      </c>
      <c r="L1" t="s">
        <v>61</v>
      </c>
      <c r="O1" t="s">
        <v>64</v>
      </c>
      <c r="R1" t="s">
        <v>65</v>
      </c>
      <c r="U1" t="s">
        <v>67</v>
      </c>
      <c r="X1" t="s">
        <v>70</v>
      </c>
      <c r="AA1" t="s">
        <v>71</v>
      </c>
      <c r="AD1" t="s">
        <v>74</v>
      </c>
      <c r="AG1" t="s">
        <v>76</v>
      </c>
      <c r="AJ1" t="s">
        <v>77</v>
      </c>
      <c r="AM1" t="s">
        <v>79</v>
      </c>
      <c r="AP1" t="s">
        <v>45</v>
      </c>
      <c r="AQ1" t="s">
        <v>46</v>
      </c>
      <c r="AR1" t="s">
        <v>47</v>
      </c>
      <c r="AS1" t="s">
        <v>48</v>
      </c>
    </row>
    <row r="2" spans="1:50" ht="14.75" customHeight="1" x14ac:dyDescent="0.2">
      <c r="A2" t="s">
        <v>23</v>
      </c>
      <c r="B2" s="12"/>
      <c r="C2" s="12"/>
      <c r="D2" s="12"/>
      <c r="E2" s="12"/>
      <c r="F2" t="s">
        <v>60</v>
      </c>
      <c r="I2" t="s">
        <v>55</v>
      </c>
      <c r="L2" t="s">
        <v>62</v>
      </c>
      <c r="O2" t="s">
        <v>63</v>
      </c>
      <c r="R2" t="s">
        <v>66</v>
      </c>
      <c r="U2" t="s">
        <v>68</v>
      </c>
      <c r="X2" t="s">
        <v>69</v>
      </c>
      <c r="AA2" t="s">
        <v>72</v>
      </c>
      <c r="AD2" t="s">
        <v>73</v>
      </c>
      <c r="AG2" t="s">
        <v>75</v>
      </c>
      <c r="AJ2" t="s">
        <v>78</v>
      </c>
      <c r="AM2" t="s">
        <v>56</v>
      </c>
    </row>
    <row r="3" spans="1:50" x14ac:dyDescent="0.2">
      <c r="A3" t="s">
        <v>14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7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  <c r="AJ4" t="s">
        <v>7</v>
      </c>
      <c r="AK4" t="s">
        <v>5</v>
      </c>
      <c r="AL4" t="s">
        <v>6</v>
      </c>
      <c r="AM4" t="s">
        <v>9</v>
      </c>
      <c r="AN4" t="s">
        <v>5</v>
      </c>
      <c r="AO4" t="s">
        <v>6</v>
      </c>
    </row>
    <row r="5" spans="1:50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50</v>
      </c>
      <c r="S5">
        <v>25</v>
      </c>
      <c r="T5">
        <v>75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50</v>
      </c>
      <c r="AE5">
        <v>50</v>
      </c>
      <c r="AF5">
        <v>100</v>
      </c>
      <c r="AG5">
        <v>25</v>
      </c>
      <c r="AH5">
        <v>25</v>
      </c>
      <c r="AI5">
        <v>50</v>
      </c>
      <c r="AJ5">
        <v>25</v>
      </c>
      <c r="AK5">
        <v>25</v>
      </c>
      <c r="AL5">
        <v>50</v>
      </c>
      <c r="AN5">
        <v>50</v>
      </c>
      <c r="AO5">
        <v>50</v>
      </c>
    </row>
    <row r="6" spans="1:50" x14ac:dyDescent="0.2">
      <c r="A6" s="1">
        <v>1</v>
      </c>
      <c r="B6" s="1">
        <v>250090111001</v>
      </c>
      <c r="C6" s="1" t="s">
        <v>88</v>
      </c>
      <c r="D6" s="1" t="s">
        <v>89</v>
      </c>
      <c r="E6" s="1" t="s">
        <v>90</v>
      </c>
      <c r="F6">
        <v>39</v>
      </c>
      <c r="G6">
        <v>25</v>
      </c>
      <c r="H6" s="1">
        <v>64</v>
      </c>
      <c r="I6">
        <v>42</v>
      </c>
      <c r="J6">
        <v>18</v>
      </c>
      <c r="K6" s="1">
        <v>60</v>
      </c>
      <c r="L6">
        <v>69</v>
      </c>
      <c r="M6">
        <v>29</v>
      </c>
      <c r="N6" s="1">
        <v>98</v>
      </c>
      <c r="O6">
        <v>47</v>
      </c>
      <c r="P6">
        <v>30</v>
      </c>
      <c r="Q6" s="1">
        <v>77</v>
      </c>
      <c r="R6">
        <v>34</v>
      </c>
      <c r="S6">
        <v>16</v>
      </c>
      <c r="T6" s="1">
        <v>50</v>
      </c>
      <c r="U6">
        <v>18</v>
      </c>
      <c r="V6">
        <v>22</v>
      </c>
      <c r="W6" s="1">
        <v>40</v>
      </c>
      <c r="X6">
        <v>23</v>
      </c>
      <c r="Y6">
        <v>21</v>
      </c>
      <c r="Z6" s="1">
        <v>44</v>
      </c>
      <c r="AA6">
        <v>22</v>
      </c>
      <c r="AB6">
        <v>22</v>
      </c>
      <c r="AC6" s="1">
        <v>44</v>
      </c>
      <c r="AD6" s="1">
        <v>38</v>
      </c>
      <c r="AE6" s="1">
        <v>41</v>
      </c>
      <c r="AF6" s="1">
        <v>79</v>
      </c>
      <c r="AG6">
        <v>21</v>
      </c>
      <c r="AH6">
        <v>22</v>
      </c>
      <c r="AI6" s="1">
        <v>43</v>
      </c>
      <c r="AJ6">
        <v>20</v>
      </c>
      <c r="AK6">
        <v>23</v>
      </c>
      <c r="AL6" s="1">
        <v>43</v>
      </c>
      <c r="AN6">
        <v>47</v>
      </c>
      <c r="AO6">
        <v>47</v>
      </c>
      <c r="AP6">
        <f t="shared" ref="AP6:AP25" ca="1" si="0">INDIRECT(_xlfn.TEXTJOIN("",TRUE,"TC_",AW6,"!",ADDRESS(4+A6*(AX6+9),13)))</f>
        <v>146.5</v>
      </c>
      <c r="AQ6">
        <f t="shared" ref="AQ6:AQ25" ca="1" si="1">INDIRECT(_xlfn.TEXTJOIN("",TRUE,"TC_",AW6,"!",ADDRESS(5+A6*(AX6+9),12)))</f>
        <v>23</v>
      </c>
      <c r="AR6">
        <f t="shared" ref="AR6:AR25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6.3695652173913047</v>
      </c>
      <c r="AW6" t="s">
        <v>42</v>
      </c>
      <c r="AX6">
        <v>12</v>
      </c>
    </row>
    <row r="7" spans="1:50" x14ac:dyDescent="0.2">
      <c r="A7" s="1">
        <v>2</v>
      </c>
      <c r="B7" s="1">
        <v>250090111002</v>
      </c>
      <c r="C7" s="1" t="s">
        <v>91</v>
      </c>
      <c r="D7" s="1" t="s">
        <v>92</v>
      </c>
      <c r="E7" s="1" t="s">
        <v>93</v>
      </c>
      <c r="F7">
        <v>4</v>
      </c>
      <c r="G7">
        <v>16</v>
      </c>
      <c r="H7" s="1">
        <v>20</v>
      </c>
      <c r="I7" t="s">
        <v>80</v>
      </c>
      <c r="J7" t="s">
        <v>80</v>
      </c>
      <c r="K7" s="1">
        <v>0</v>
      </c>
      <c r="L7">
        <v>0</v>
      </c>
      <c r="M7">
        <v>25</v>
      </c>
      <c r="N7" s="1">
        <v>25</v>
      </c>
      <c r="O7">
        <v>2</v>
      </c>
      <c r="P7">
        <v>19</v>
      </c>
      <c r="Q7" s="1">
        <v>21</v>
      </c>
      <c r="R7">
        <v>13</v>
      </c>
      <c r="S7">
        <v>8</v>
      </c>
      <c r="T7" s="1">
        <v>21</v>
      </c>
      <c r="U7">
        <v>19</v>
      </c>
      <c r="V7">
        <v>21</v>
      </c>
      <c r="W7" s="1">
        <v>40</v>
      </c>
      <c r="X7">
        <v>16</v>
      </c>
      <c r="Y7">
        <v>14</v>
      </c>
      <c r="Z7" s="1">
        <v>30</v>
      </c>
      <c r="AA7">
        <v>17</v>
      </c>
      <c r="AB7">
        <v>16</v>
      </c>
      <c r="AC7" s="1">
        <v>33</v>
      </c>
      <c r="AD7" s="1">
        <v>37</v>
      </c>
      <c r="AE7" s="1">
        <v>33</v>
      </c>
      <c r="AF7" s="1">
        <v>70</v>
      </c>
      <c r="AG7">
        <v>16</v>
      </c>
      <c r="AH7">
        <v>19</v>
      </c>
      <c r="AI7" s="1">
        <v>35</v>
      </c>
      <c r="AJ7">
        <v>23</v>
      </c>
      <c r="AK7">
        <v>23</v>
      </c>
      <c r="AL7" s="1">
        <v>46</v>
      </c>
      <c r="AN7">
        <v>48</v>
      </c>
      <c r="AO7">
        <v>48</v>
      </c>
      <c r="AP7">
        <f t="shared" ca="1" si="0"/>
        <v>54</v>
      </c>
      <c r="AQ7">
        <f t="shared" ca="1" si="1"/>
        <v>7</v>
      </c>
      <c r="AR7">
        <f t="shared" ca="1" si="2"/>
        <v>0</v>
      </c>
      <c r="AS7">
        <f t="shared" ref="AS7:AS25" ca="1" si="3">AP7/$AQ$3</f>
        <v>2.347826086956522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250090111003</v>
      </c>
      <c r="C8" s="1" t="s">
        <v>94</v>
      </c>
      <c r="D8" s="1" t="s">
        <v>95</v>
      </c>
      <c r="E8" s="1" t="s">
        <v>96</v>
      </c>
      <c r="F8">
        <v>37</v>
      </c>
      <c r="G8">
        <v>23</v>
      </c>
      <c r="H8" s="1">
        <v>60</v>
      </c>
      <c r="I8">
        <v>14</v>
      </c>
      <c r="J8">
        <v>18</v>
      </c>
      <c r="K8" s="1">
        <v>32</v>
      </c>
      <c r="L8">
        <v>37</v>
      </c>
      <c r="M8">
        <v>33</v>
      </c>
      <c r="N8" s="1">
        <v>70</v>
      </c>
      <c r="O8">
        <v>33</v>
      </c>
      <c r="P8">
        <v>28</v>
      </c>
      <c r="Q8" s="1">
        <v>61</v>
      </c>
      <c r="R8">
        <v>31</v>
      </c>
      <c r="S8">
        <v>17</v>
      </c>
      <c r="T8" s="1">
        <v>48</v>
      </c>
      <c r="U8">
        <v>20</v>
      </c>
      <c r="V8">
        <v>22</v>
      </c>
      <c r="W8" s="1">
        <v>42</v>
      </c>
      <c r="X8">
        <v>21</v>
      </c>
      <c r="Y8">
        <v>15</v>
      </c>
      <c r="Z8" s="1">
        <v>36</v>
      </c>
      <c r="AA8">
        <v>19</v>
      </c>
      <c r="AB8">
        <v>20</v>
      </c>
      <c r="AC8" s="1">
        <v>39</v>
      </c>
      <c r="AD8" s="1">
        <v>42</v>
      </c>
      <c r="AE8" s="1">
        <v>37</v>
      </c>
      <c r="AF8" s="1">
        <v>79</v>
      </c>
      <c r="AG8">
        <v>20</v>
      </c>
      <c r="AH8">
        <v>23</v>
      </c>
      <c r="AI8" s="1">
        <v>43</v>
      </c>
      <c r="AJ8">
        <v>20</v>
      </c>
      <c r="AK8">
        <v>22</v>
      </c>
      <c r="AL8" s="1">
        <v>42</v>
      </c>
      <c r="AN8">
        <v>48</v>
      </c>
      <c r="AO8">
        <v>48</v>
      </c>
      <c r="AP8">
        <f t="shared" ca="1" si="0"/>
        <v>113.5</v>
      </c>
      <c r="AQ8">
        <f t="shared" ca="1" si="1"/>
        <v>19</v>
      </c>
      <c r="AR8">
        <f t="shared" ca="1" si="2"/>
        <v>0</v>
      </c>
      <c r="AS8">
        <f t="shared" ca="1" si="3"/>
        <v>4.9347826086956523</v>
      </c>
      <c r="AW8" t="str">
        <f t="shared" ref="AW8:AW25" si="4">AW7</f>
        <v>I</v>
      </c>
      <c r="AX8">
        <f t="shared" ref="AX8:AX25" si="5">AX7</f>
        <v>12</v>
      </c>
    </row>
    <row r="9" spans="1:50" x14ac:dyDescent="0.2">
      <c r="A9" s="1">
        <v>4</v>
      </c>
      <c r="B9" s="1">
        <v>250090111004</v>
      </c>
      <c r="C9" s="1" t="s">
        <v>97</v>
      </c>
      <c r="D9" s="1" t="s">
        <v>98</v>
      </c>
      <c r="E9" s="1" t="s">
        <v>99</v>
      </c>
      <c r="F9">
        <v>24</v>
      </c>
      <c r="G9">
        <v>23</v>
      </c>
      <c r="H9" s="1">
        <v>47</v>
      </c>
      <c r="I9">
        <v>14</v>
      </c>
      <c r="J9">
        <v>18</v>
      </c>
      <c r="K9" s="1">
        <v>32</v>
      </c>
      <c r="L9">
        <v>22</v>
      </c>
      <c r="M9">
        <v>24</v>
      </c>
      <c r="N9" s="1">
        <v>46</v>
      </c>
      <c r="O9">
        <v>17</v>
      </c>
      <c r="P9">
        <v>24</v>
      </c>
      <c r="Q9" s="1">
        <v>41</v>
      </c>
      <c r="R9">
        <v>23</v>
      </c>
      <c r="S9">
        <v>14</v>
      </c>
      <c r="T9" s="1">
        <v>37</v>
      </c>
      <c r="U9">
        <v>20</v>
      </c>
      <c r="V9">
        <v>21</v>
      </c>
      <c r="W9" s="1">
        <v>41</v>
      </c>
      <c r="X9">
        <v>18</v>
      </c>
      <c r="Y9">
        <v>16</v>
      </c>
      <c r="Z9" s="1">
        <v>34</v>
      </c>
      <c r="AA9">
        <v>21</v>
      </c>
      <c r="AB9">
        <v>21</v>
      </c>
      <c r="AC9" s="1">
        <v>42</v>
      </c>
      <c r="AD9" s="1">
        <v>40</v>
      </c>
      <c r="AE9" s="1">
        <v>36</v>
      </c>
      <c r="AF9" s="1">
        <v>76</v>
      </c>
      <c r="AG9">
        <v>20</v>
      </c>
      <c r="AH9">
        <v>19</v>
      </c>
      <c r="AI9" s="1">
        <v>39</v>
      </c>
      <c r="AJ9">
        <v>21</v>
      </c>
      <c r="AK9">
        <v>22</v>
      </c>
      <c r="AL9" s="1">
        <v>43</v>
      </c>
      <c r="AN9">
        <v>47</v>
      </c>
      <c r="AO9">
        <v>47</v>
      </c>
      <c r="AP9">
        <f t="shared" ca="1" si="0"/>
        <v>57</v>
      </c>
      <c r="AQ9">
        <f t="shared" ca="1" si="1"/>
        <v>7</v>
      </c>
      <c r="AR9">
        <f t="shared" ca="1" si="2"/>
        <v>0</v>
      </c>
      <c r="AS9">
        <f t="shared" ca="1" si="3"/>
        <v>2.4782608695652173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250090111005</v>
      </c>
      <c r="C10" s="1" t="s">
        <v>100</v>
      </c>
      <c r="D10" s="1" t="s">
        <v>101</v>
      </c>
      <c r="E10" s="1" t="s">
        <v>102</v>
      </c>
      <c r="F10">
        <v>47</v>
      </c>
      <c r="G10">
        <v>25</v>
      </c>
      <c r="H10" s="1">
        <v>72</v>
      </c>
      <c r="I10">
        <v>52</v>
      </c>
      <c r="J10">
        <v>18</v>
      </c>
      <c r="K10" s="1">
        <v>70</v>
      </c>
      <c r="L10">
        <v>35</v>
      </c>
      <c r="M10">
        <v>30</v>
      </c>
      <c r="N10" s="1">
        <v>65</v>
      </c>
      <c r="O10">
        <v>60</v>
      </c>
      <c r="P10">
        <v>30</v>
      </c>
      <c r="Q10" s="1">
        <v>90</v>
      </c>
      <c r="R10">
        <v>38</v>
      </c>
      <c r="S10">
        <v>20</v>
      </c>
      <c r="T10" s="1">
        <v>58</v>
      </c>
      <c r="U10">
        <v>21</v>
      </c>
      <c r="V10">
        <v>22</v>
      </c>
      <c r="W10" s="1">
        <v>43</v>
      </c>
      <c r="X10">
        <v>23</v>
      </c>
      <c r="Y10">
        <v>17</v>
      </c>
      <c r="Z10" s="1">
        <v>40</v>
      </c>
      <c r="AA10">
        <v>22</v>
      </c>
      <c r="AB10">
        <v>22</v>
      </c>
      <c r="AC10" s="1">
        <v>44</v>
      </c>
      <c r="AD10" s="1">
        <v>40</v>
      </c>
      <c r="AE10" s="1">
        <v>43</v>
      </c>
      <c r="AF10" s="1">
        <v>83</v>
      </c>
      <c r="AG10">
        <v>21</v>
      </c>
      <c r="AH10">
        <v>15</v>
      </c>
      <c r="AI10" s="1">
        <v>36</v>
      </c>
      <c r="AJ10">
        <v>21</v>
      </c>
      <c r="AK10">
        <v>24</v>
      </c>
      <c r="AL10" s="1">
        <v>45</v>
      </c>
      <c r="AN10">
        <v>47</v>
      </c>
      <c r="AO10">
        <v>47</v>
      </c>
      <c r="AP10">
        <f t="shared" ca="1" si="0"/>
        <v>144.5</v>
      </c>
      <c r="AQ10">
        <f t="shared" ca="1" si="1"/>
        <v>23</v>
      </c>
      <c r="AR10">
        <f t="shared" ca="1" si="2"/>
        <v>0</v>
      </c>
      <c r="AS10">
        <f t="shared" ca="1" si="3"/>
        <v>6.2826086956521738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250090111006</v>
      </c>
      <c r="C11" s="1" t="s">
        <v>103</v>
      </c>
      <c r="D11" s="1" t="s">
        <v>104</v>
      </c>
      <c r="E11" s="1" t="s">
        <v>105</v>
      </c>
      <c r="F11">
        <v>6</v>
      </c>
      <c r="G11">
        <v>14</v>
      </c>
      <c r="H11" s="1">
        <v>20</v>
      </c>
      <c r="I11" t="s">
        <v>80</v>
      </c>
      <c r="J11" t="s">
        <v>80</v>
      </c>
      <c r="K11" s="1">
        <v>0</v>
      </c>
      <c r="L11">
        <v>17</v>
      </c>
      <c r="M11">
        <v>25</v>
      </c>
      <c r="N11" s="1">
        <v>42</v>
      </c>
      <c r="O11">
        <v>4</v>
      </c>
      <c r="P11">
        <v>18</v>
      </c>
      <c r="Q11" s="1">
        <v>22</v>
      </c>
      <c r="R11">
        <v>19</v>
      </c>
      <c r="S11">
        <v>10</v>
      </c>
      <c r="T11" s="1">
        <v>29</v>
      </c>
      <c r="U11">
        <v>16</v>
      </c>
      <c r="V11">
        <v>18</v>
      </c>
      <c r="W11" s="1">
        <v>34</v>
      </c>
      <c r="X11">
        <v>21</v>
      </c>
      <c r="Y11">
        <v>8</v>
      </c>
      <c r="Z11" s="1">
        <v>29</v>
      </c>
      <c r="AA11">
        <v>17</v>
      </c>
      <c r="AB11">
        <v>19</v>
      </c>
      <c r="AC11" s="1">
        <v>36</v>
      </c>
      <c r="AD11" s="1">
        <v>42</v>
      </c>
      <c r="AE11" s="1">
        <v>35</v>
      </c>
      <c r="AF11" s="1">
        <v>77</v>
      </c>
      <c r="AG11" t="s">
        <v>8</v>
      </c>
      <c r="AH11">
        <v>5</v>
      </c>
      <c r="AI11" s="1">
        <v>5</v>
      </c>
      <c r="AJ11">
        <v>18</v>
      </c>
      <c r="AK11">
        <v>22</v>
      </c>
      <c r="AL11" s="1">
        <v>40</v>
      </c>
      <c r="AN11">
        <v>48</v>
      </c>
      <c r="AO11">
        <v>48</v>
      </c>
      <c r="AP11">
        <f t="shared" ca="1" si="0"/>
        <v>45</v>
      </c>
      <c r="AQ11">
        <f t="shared" ca="1" si="1"/>
        <v>6</v>
      </c>
      <c r="AR11">
        <f t="shared" ca="1" si="2"/>
        <v>0</v>
      </c>
      <c r="AS11">
        <f t="shared" ca="1" si="3"/>
        <v>1.9565217391304348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250090111007</v>
      </c>
      <c r="C12" s="1" t="s">
        <v>106</v>
      </c>
      <c r="D12" s="1" t="s">
        <v>107</v>
      </c>
      <c r="E12" s="1" t="s">
        <v>108</v>
      </c>
      <c r="F12">
        <v>41</v>
      </c>
      <c r="G12">
        <v>31</v>
      </c>
      <c r="H12" s="1">
        <v>72</v>
      </c>
      <c r="I12">
        <v>40</v>
      </c>
      <c r="J12">
        <v>21</v>
      </c>
      <c r="K12" s="1">
        <v>61</v>
      </c>
      <c r="L12">
        <v>41</v>
      </c>
      <c r="M12">
        <v>32</v>
      </c>
      <c r="N12" s="1">
        <v>73</v>
      </c>
      <c r="O12">
        <v>51</v>
      </c>
      <c r="P12">
        <v>35</v>
      </c>
      <c r="Q12" s="1">
        <v>86</v>
      </c>
      <c r="R12">
        <v>22</v>
      </c>
      <c r="S12">
        <v>21</v>
      </c>
      <c r="T12" s="1">
        <v>43</v>
      </c>
      <c r="U12">
        <v>23</v>
      </c>
      <c r="V12">
        <v>22</v>
      </c>
      <c r="W12" s="1">
        <v>45</v>
      </c>
      <c r="X12">
        <v>23</v>
      </c>
      <c r="Y12">
        <v>21</v>
      </c>
      <c r="Z12" s="1">
        <v>44</v>
      </c>
      <c r="AA12">
        <v>22</v>
      </c>
      <c r="AB12">
        <v>23</v>
      </c>
      <c r="AC12" s="1">
        <v>45</v>
      </c>
      <c r="AD12" s="1">
        <v>46</v>
      </c>
      <c r="AE12" s="1">
        <v>48</v>
      </c>
      <c r="AF12" s="1">
        <v>94</v>
      </c>
      <c r="AG12">
        <v>18</v>
      </c>
      <c r="AH12">
        <v>19</v>
      </c>
      <c r="AI12" s="1">
        <v>37</v>
      </c>
      <c r="AJ12">
        <v>23</v>
      </c>
      <c r="AK12">
        <v>24</v>
      </c>
      <c r="AL12" s="1">
        <v>47</v>
      </c>
      <c r="AN12">
        <v>47</v>
      </c>
      <c r="AO12">
        <v>47</v>
      </c>
      <c r="AP12">
        <f t="shared" ca="1" si="0"/>
        <v>146</v>
      </c>
      <c r="AQ12">
        <f t="shared" ca="1" si="1"/>
        <v>23</v>
      </c>
      <c r="AR12">
        <f t="shared" ca="1" si="2"/>
        <v>0</v>
      </c>
      <c r="AS12">
        <f t="shared" ca="1" si="3"/>
        <v>6.3478260869565215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250090111008</v>
      </c>
      <c r="C13" s="1" t="s">
        <v>109</v>
      </c>
      <c r="D13" s="1" t="s">
        <v>110</v>
      </c>
      <c r="E13" s="1" t="s">
        <v>111</v>
      </c>
      <c r="F13">
        <v>2</v>
      </c>
      <c r="G13">
        <v>14</v>
      </c>
      <c r="H13" s="1">
        <v>16</v>
      </c>
      <c r="I13" t="s">
        <v>80</v>
      </c>
      <c r="J13" t="s">
        <v>80</v>
      </c>
      <c r="K13" s="1">
        <v>0</v>
      </c>
      <c r="L13">
        <v>11</v>
      </c>
      <c r="M13">
        <v>24</v>
      </c>
      <c r="N13" s="1">
        <v>35</v>
      </c>
      <c r="O13">
        <v>9</v>
      </c>
      <c r="P13">
        <v>19</v>
      </c>
      <c r="Q13" s="1">
        <v>28</v>
      </c>
      <c r="R13">
        <v>7</v>
      </c>
      <c r="S13">
        <v>10</v>
      </c>
      <c r="T13" s="1">
        <v>17</v>
      </c>
      <c r="U13">
        <v>16</v>
      </c>
      <c r="V13">
        <v>20</v>
      </c>
      <c r="W13" s="1">
        <v>36</v>
      </c>
      <c r="X13" t="s">
        <v>80</v>
      </c>
      <c r="Y13" t="s">
        <v>80</v>
      </c>
      <c r="Z13" s="1">
        <v>0</v>
      </c>
      <c r="AA13">
        <v>17</v>
      </c>
      <c r="AB13">
        <v>17</v>
      </c>
      <c r="AC13" s="1">
        <v>34</v>
      </c>
      <c r="AD13" s="1">
        <v>42</v>
      </c>
      <c r="AE13" s="1">
        <v>35</v>
      </c>
      <c r="AF13" s="1">
        <v>77</v>
      </c>
      <c r="AG13">
        <v>18</v>
      </c>
      <c r="AH13">
        <v>14</v>
      </c>
      <c r="AI13" s="1">
        <v>32</v>
      </c>
      <c r="AJ13">
        <v>18</v>
      </c>
      <c r="AK13">
        <v>23</v>
      </c>
      <c r="AL13" s="1">
        <v>41</v>
      </c>
      <c r="AN13">
        <v>47</v>
      </c>
      <c r="AO13">
        <v>47</v>
      </c>
      <c r="AP13">
        <f t="shared" ca="1" si="0"/>
        <v>45.5</v>
      </c>
      <c r="AQ13">
        <f t="shared" ca="1" si="1"/>
        <v>6</v>
      </c>
      <c r="AR13">
        <f t="shared" ca="1" si="2"/>
        <v>0</v>
      </c>
      <c r="AS13">
        <f t="shared" ca="1" si="3"/>
        <v>1.9782608695652173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250090111009</v>
      </c>
      <c r="C14" s="1" t="s">
        <v>112</v>
      </c>
      <c r="D14" s="1" t="s">
        <v>113</v>
      </c>
      <c r="E14" s="1" t="s">
        <v>114</v>
      </c>
      <c r="F14">
        <v>3</v>
      </c>
      <c r="G14">
        <v>24</v>
      </c>
      <c r="H14" s="1">
        <v>27</v>
      </c>
      <c r="I14">
        <v>1</v>
      </c>
      <c r="J14">
        <v>18</v>
      </c>
      <c r="K14" s="1">
        <v>19</v>
      </c>
      <c r="L14">
        <v>14</v>
      </c>
      <c r="M14">
        <v>26</v>
      </c>
      <c r="N14" s="1">
        <v>40</v>
      </c>
      <c r="O14">
        <v>16</v>
      </c>
      <c r="P14">
        <v>23</v>
      </c>
      <c r="Q14" s="1">
        <v>39</v>
      </c>
      <c r="R14">
        <v>20</v>
      </c>
      <c r="S14">
        <v>15</v>
      </c>
      <c r="T14" s="1">
        <v>35</v>
      </c>
      <c r="U14">
        <v>17</v>
      </c>
      <c r="V14">
        <v>22</v>
      </c>
      <c r="W14" s="1">
        <v>39</v>
      </c>
      <c r="X14">
        <v>21</v>
      </c>
      <c r="Y14">
        <v>14</v>
      </c>
      <c r="Z14" s="1">
        <v>35</v>
      </c>
      <c r="AA14">
        <v>18</v>
      </c>
      <c r="AB14">
        <v>18</v>
      </c>
      <c r="AC14" s="1">
        <v>36</v>
      </c>
      <c r="AD14" s="1">
        <v>42</v>
      </c>
      <c r="AE14" s="1">
        <v>36</v>
      </c>
      <c r="AF14" s="1">
        <v>78</v>
      </c>
      <c r="AG14">
        <v>16</v>
      </c>
      <c r="AH14">
        <v>15</v>
      </c>
      <c r="AI14" s="1">
        <v>31</v>
      </c>
      <c r="AJ14">
        <v>20</v>
      </c>
      <c r="AK14">
        <v>22</v>
      </c>
      <c r="AL14" s="1">
        <v>42</v>
      </c>
      <c r="AN14">
        <v>47</v>
      </c>
      <c r="AO14">
        <v>47</v>
      </c>
      <c r="AP14">
        <f t="shared" ca="1" si="0"/>
        <v>54</v>
      </c>
      <c r="AQ14">
        <f t="shared" ca="1" si="1"/>
        <v>7</v>
      </c>
      <c r="AR14">
        <f t="shared" ca="1" si="2"/>
        <v>0</v>
      </c>
      <c r="AS14">
        <f t="shared" ca="1" si="3"/>
        <v>2.347826086956522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250090111010</v>
      </c>
      <c r="C15" s="1" t="s">
        <v>115</v>
      </c>
      <c r="D15" s="1" t="s">
        <v>116</v>
      </c>
      <c r="E15" s="1" t="s">
        <v>117</v>
      </c>
      <c r="F15">
        <v>17</v>
      </c>
      <c r="G15">
        <v>26</v>
      </c>
      <c r="H15" s="1">
        <v>43</v>
      </c>
      <c r="I15">
        <v>8</v>
      </c>
      <c r="J15">
        <v>22</v>
      </c>
      <c r="K15" s="1">
        <v>30</v>
      </c>
      <c r="L15">
        <v>18</v>
      </c>
      <c r="M15">
        <v>26</v>
      </c>
      <c r="N15" s="1">
        <v>44</v>
      </c>
      <c r="O15">
        <v>14</v>
      </c>
      <c r="P15">
        <v>25</v>
      </c>
      <c r="Q15" s="1">
        <v>39</v>
      </c>
      <c r="R15">
        <v>21</v>
      </c>
      <c r="S15">
        <v>14</v>
      </c>
      <c r="T15" s="1">
        <v>35</v>
      </c>
      <c r="U15">
        <v>18</v>
      </c>
      <c r="V15">
        <v>22</v>
      </c>
      <c r="W15" s="1">
        <v>40</v>
      </c>
      <c r="X15">
        <v>19</v>
      </c>
      <c r="Y15">
        <v>13</v>
      </c>
      <c r="Z15" s="1">
        <v>32</v>
      </c>
      <c r="AA15">
        <v>17</v>
      </c>
      <c r="AB15">
        <v>18</v>
      </c>
      <c r="AC15" s="1">
        <v>35</v>
      </c>
      <c r="AD15" s="1">
        <v>44</v>
      </c>
      <c r="AE15" s="1">
        <v>38</v>
      </c>
      <c r="AF15" s="1">
        <v>82</v>
      </c>
      <c r="AG15">
        <v>16</v>
      </c>
      <c r="AH15">
        <v>16</v>
      </c>
      <c r="AI15" s="1">
        <v>32</v>
      </c>
      <c r="AJ15">
        <v>18</v>
      </c>
      <c r="AK15">
        <v>22</v>
      </c>
      <c r="AL15" s="1">
        <v>40</v>
      </c>
      <c r="AN15">
        <v>47</v>
      </c>
      <c r="AO15">
        <v>47</v>
      </c>
      <c r="AP15">
        <f t="shared" ca="1" si="0"/>
        <v>54.5</v>
      </c>
      <c r="AQ15">
        <f t="shared" ca="1" si="1"/>
        <v>7</v>
      </c>
      <c r="AR15">
        <f t="shared" ca="1" si="2"/>
        <v>0</v>
      </c>
      <c r="AS15">
        <f t="shared" ca="1" si="3"/>
        <v>2.3695652173913042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250090111011</v>
      </c>
      <c r="C16" s="1" t="s">
        <v>118</v>
      </c>
      <c r="D16" s="1" t="s">
        <v>119</v>
      </c>
      <c r="E16" s="1" t="s">
        <v>120</v>
      </c>
      <c r="F16">
        <v>3</v>
      </c>
      <c r="G16">
        <v>19</v>
      </c>
      <c r="H16" s="1">
        <v>22</v>
      </c>
      <c r="I16">
        <v>42</v>
      </c>
      <c r="J16">
        <v>15</v>
      </c>
      <c r="K16" s="1">
        <v>57</v>
      </c>
      <c r="L16">
        <v>4</v>
      </c>
      <c r="M16">
        <v>23</v>
      </c>
      <c r="N16" s="1">
        <v>27</v>
      </c>
      <c r="O16">
        <v>0.7</v>
      </c>
      <c r="P16">
        <v>18</v>
      </c>
      <c r="Q16" s="1">
        <v>18.7</v>
      </c>
      <c r="R16">
        <v>18</v>
      </c>
      <c r="S16">
        <v>10</v>
      </c>
      <c r="T16" s="1">
        <v>28</v>
      </c>
      <c r="U16">
        <v>18</v>
      </c>
      <c r="V16">
        <v>19</v>
      </c>
      <c r="W16" s="1">
        <v>37</v>
      </c>
      <c r="X16">
        <v>17</v>
      </c>
      <c r="Y16">
        <v>10</v>
      </c>
      <c r="Z16" s="1">
        <v>27</v>
      </c>
      <c r="AA16">
        <v>18</v>
      </c>
      <c r="AB16">
        <v>17</v>
      </c>
      <c r="AC16" s="1">
        <v>35</v>
      </c>
      <c r="AD16" s="1">
        <v>38</v>
      </c>
      <c r="AE16" s="1">
        <v>37</v>
      </c>
      <c r="AF16" s="1">
        <v>75</v>
      </c>
      <c r="AG16">
        <v>19</v>
      </c>
      <c r="AH16">
        <v>14</v>
      </c>
      <c r="AI16" s="1">
        <v>33</v>
      </c>
      <c r="AJ16">
        <v>18</v>
      </c>
      <c r="AK16">
        <v>24</v>
      </c>
      <c r="AL16" s="1">
        <v>42</v>
      </c>
      <c r="AN16">
        <v>47</v>
      </c>
      <c r="AO16">
        <v>47</v>
      </c>
      <c r="AP16">
        <f t="shared" ca="1" si="0"/>
        <v>52</v>
      </c>
      <c r="AQ16">
        <f t="shared" ca="1" si="1"/>
        <v>7</v>
      </c>
      <c r="AR16">
        <f t="shared" ca="1" si="2"/>
        <v>0</v>
      </c>
      <c r="AS16">
        <f t="shared" ca="1" si="3"/>
        <v>2.2608695652173911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250090111012</v>
      </c>
      <c r="C17" s="1" t="s">
        <v>121</v>
      </c>
      <c r="D17" s="1" t="s">
        <v>122</v>
      </c>
      <c r="E17" s="1" t="s">
        <v>123</v>
      </c>
      <c r="F17">
        <v>1</v>
      </c>
      <c r="G17">
        <v>20</v>
      </c>
      <c r="H17" s="1">
        <v>21</v>
      </c>
      <c r="I17">
        <v>2</v>
      </c>
      <c r="J17">
        <v>6</v>
      </c>
      <c r="K17" s="1">
        <v>8</v>
      </c>
      <c r="L17">
        <v>5</v>
      </c>
      <c r="M17">
        <v>24</v>
      </c>
      <c r="N17" s="1">
        <v>29</v>
      </c>
      <c r="O17">
        <v>7</v>
      </c>
      <c r="P17">
        <v>25</v>
      </c>
      <c r="Q17" s="1">
        <v>32</v>
      </c>
      <c r="R17">
        <v>23</v>
      </c>
      <c r="S17">
        <v>9</v>
      </c>
      <c r="T17" s="1">
        <v>32</v>
      </c>
      <c r="U17">
        <v>19</v>
      </c>
      <c r="V17">
        <v>22</v>
      </c>
      <c r="W17" s="1">
        <v>41</v>
      </c>
      <c r="X17">
        <v>19</v>
      </c>
      <c r="Y17">
        <v>13</v>
      </c>
      <c r="Z17" s="1">
        <v>32</v>
      </c>
      <c r="AA17">
        <v>17</v>
      </c>
      <c r="AB17">
        <v>17</v>
      </c>
      <c r="AC17" s="1">
        <v>34</v>
      </c>
      <c r="AD17" s="1">
        <v>42</v>
      </c>
      <c r="AE17" s="1">
        <v>42</v>
      </c>
      <c r="AF17" s="1">
        <v>84</v>
      </c>
      <c r="AG17">
        <v>19</v>
      </c>
      <c r="AH17">
        <v>21</v>
      </c>
      <c r="AI17" s="1">
        <v>40</v>
      </c>
      <c r="AJ17">
        <v>18</v>
      </c>
      <c r="AK17">
        <v>23</v>
      </c>
      <c r="AL17" s="1">
        <v>41</v>
      </c>
      <c r="AN17">
        <v>49</v>
      </c>
      <c r="AO17">
        <v>49</v>
      </c>
      <c r="AP17">
        <f t="shared" ca="1" si="0"/>
        <v>56</v>
      </c>
      <c r="AQ17">
        <f t="shared" ca="1" si="1"/>
        <v>7</v>
      </c>
      <c r="AR17">
        <f t="shared" ca="1" si="2"/>
        <v>0</v>
      </c>
      <c r="AS17">
        <f t="shared" ca="1" si="3"/>
        <v>2.4347826086956523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250090111013</v>
      </c>
      <c r="C18" s="1" t="s">
        <v>124</v>
      </c>
      <c r="D18" s="1" t="s">
        <v>125</v>
      </c>
      <c r="E18" s="1" t="s">
        <v>126</v>
      </c>
      <c r="F18">
        <v>47</v>
      </c>
      <c r="G18">
        <v>16</v>
      </c>
      <c r="H18" s="1">
        <v>63</v>
      </c>
      <c r="I18">
        <v>7</v>
      </c>
      <c r="J18">
        <v>17</v>
      </c>
      <c r="K18" s="1">
        <v>24</v>
      </c>
      <c r="L18">
        <v>30</v>
      </c>
      <c r="M18">
        <v>30</v>
      </c>
      <c r="N18" s="1">
        <v>60</v>
      </c>
      <c r="O18">
        <v>14</v>
      </c>
      <c r="P18">
        <v>28</v>
      </c>
      <c r="Q18" s="1">
        <v>42</v>
      </c>
      <c r="R18">
        <v>24</v>
      </c>
      <c r="S18">
        <v>13</v>
      </c>
      <c r="T18" s="1">
        <v>37</v>
      </c>
      <c r="U18">
        <v>16</v>
      </c>
      <c r="V18">
        <v>21</v>
      </c>
      <c r="W18" s="1">
        <v>37</v>
      </c>
      <c r="X18">
        <v>17</v>
      </c>
      <c r="Y18">
        <v>18</v>
      </c>
      <c r="Z18" s="1">
        <v>35</v>
      </c>
      <c r="AA18">
        <v>19</v>
      </c>
      <c r="AB18">
        <v>18</v>
      </c>
      <c r="AC18" s="1">
        <v>37</v>
      </c>
      <c r="AD18" s="1">
        <v>40</v>
      </c>
      <c r="AE18" s="1">
        <v>38</v>
      </c>
      <c r="AF18" s="1">
        <v>78</v>
      </c>
      <c r="AG18">
        <v>16</v>
      </c>
      <c r="AH18">
        <v>15</v>
      </c>
      <c r="AI18" s="1">
        <v>31</v>
      </c>
      <c r="AJ18">
        <v>18</v>
      </c>
      <c r="AK18">
        <v>22</v>
      </c>
      <c r="AL18" s="1">
        <v>40</v>
      </c>
      <c r="AN18">
        <v>47</v>
      </c>
      <c r="AO18">
        <v>47</v>
      </c>
      <c r="AP18">
        <f t="shared" ca="1" si="0"/>
        <v>89.5</v>
      </c>
      <c r="AQ18">
        <f t="shared" ca="1" si="1"/>
        <v>15</v>
      </c>
      <c r="AR18">
        <f t="shared" ca="1" si="2"/>
        <v>0</v>
      </c>
      <c r="AS18">
        <f t="shared" ca="1" si="3"/>
        <v>3.8913043478260869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250090111014</v>
      </c>
      <c r="C19" s="1" t="s">
        <v>127</v>
      </c>
      <c r="D19" s="1" t="s">
        <v>128</v>
      </c>
      <c r="E19" s="1" t="s">
        <v>129</v>
      </c>
      <c r="F19">
        <v>35</v>
      </c>
      <c r="G19">
        <v>25</v>
      </c>
      <c r="H19" s="1">
        <v>60</v>
      </c>
      <c r="I19">
        <v>27</v>
      </c>
      <c r="J19">
        <v>18</v>
      </c>
      <c r="K19" s="1">
        <v>45</v>
      </c>
      <c r="L19">
        <v>14</v>
      </c>
      <c r="M19">
        <v>29</v>
      </c>
      <c r="N19" s="1">
        <v>43</v>
      </c>
      <c r="O19">
        <v>34</v>
      </c>
      <c r="P19">
        <v>34</v>
      </c>
      <c r="Q19" s="1">
        <v>68</v>
      </c>
      <c r="R19">
        <v>31</v>
      </c>
      <c r="S19">
        <v>14</v>
      </c>
      <c r="T19" s="1">
        <v>45</v>
      </c>
      <c r="U19">
        <v>20</v>
      </c>
      <c r="V19">
        <v>22</v>
      </c>
      <c r="W19" s="1">
        <v>42</v>
      </c>
      <c r="X19">
        <v>20</v>
      </c>
      <c r="Y19">
        <v>9</v>
      </c>
      <c r="Z19" s="1">
        <v>29</v>
      </c>
      <c r="AA19">
        <v>22</v>
      </c>
      <c r="AB19">
        <v>22</v>
      </c>
      <c r="AC19" s="1">
        <v>44</v>
      </c>
      <c r="AD19" s="1">
        <v>40</v>
      </c>
      <c r="AE19" s="1">
        <v>40</v>
      </c>
      <c r="AF19" s="1">
        <v>80</v>
      </c>
      <c r="AG19">
        <v>19</v>
      </c>
      <c r="AH19">
        <v>14</v>
      </c>
      <c r="AI19" s="1">
        <v>33</v>
      </c>
      <c r="AJ19">
        <v>21</v>
      </c>
      <c r="AK19">
        <v>24</v>
      </c>
      <c r="AL19" s="1">
        <v>45</v>
      </c>
      <c r="AN19">
        <v>47</v>
      </c>
      <c r="AO19">
        <v>47</v>
      </c>
      <c r="AP19">
        <f t="shared" ca="1" si="0"/>
        <v>95</v>
      </c>
      <c r="AQ19">
        <f t="shared" ca="1" si="1"/>
        <v>15</v>
      </c>
      <c r="AR19">
        <f t="shared" ca="1" si="2"/>
        <v>0</v>
      </c>
      <c r="AS19">
        <f t="shared" ca="1" si="3"/>
        <v>4.1304347826086953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250090111015</v>
      </c>
      <c r="C20" s="1" t="s">
        <v>130</v>
      </c>
      <c r="D20" s="1" t="s">
        <v>131</v>
      </c>
      <c r="E20" s="1" t="s">
        <v>132</v>
      </c>
      <c r="F20">
        <v>13</v>
      </c>
      <c r="G20">
        <v>19</v>
      </c>
      <c r="H20" s="1">
        <v>32</v>
      </c>
      <c r="I20">
        <v>9</v>
      </c>
      <c r="J20">
        <v>18</v>
      </c>
      <c r="K20" s="1">
        <v>27</v>
      </c>
      <c r="L20">
        <v>47</v>
      </c>
      <c r="M20">
        <v>31</v>
      </c>
      <c r="N20" s="1">
        <v>78</v>
      </c>
      <c r="O20">
        <v>36</v>
      </c>
      <c r="P20">
        <v>30</v>
      </c>
      <c r="Q20" s="1">
        <v>66</v>
      </c>
      <c r="R20">
        <v>29</v>
      </c>
      <c r="S20">
        <v>12</v>
      </c>
      <c r="T20" s="1">
        <v>41</v>
      </c>
      <c r="U20">
        <v>19</v>
      </c>
      <c r="V20">
        <v>21</v>
      </c>
      <c r="W20" s="1">
        <v>40</v>
      </c>
      <c r="X20">
        <v>22</v>
      </c>
      <c r="Y20">
        <v>15</v>
      </c>
      <c r="Z20" s="1">
        <v>37</v>
      </c>
      <c r="AA20">
        <v>18</v>
      </c>
      <c r="AB20">
        <v>21</v>
      </c>
      <c r="AC20" s="1">
        <v>39</v>
      </c>
      <c r="AD20" s="1">
        <v>40</v>
      </c>
      <c r="AE20" s="1">
        <v>38</v>
      </c>
      <c r="AF20" s="1">
        <v>78</v>
      </c>
      <c r="AG20">
        <v>16</v>
      </c>
      <c r="AH20">
        <v>16</v>
      </c>
      <c r="AI20" s="1">
        <v>32</v>
      </c>
      <c r="AJ20">
        <v>18</v>
      </c>
      <c r="AK20">
        <v>22</v>
      </c>
      <c r="AL20" s="1">
        <v>40</v>
      </c>
      <c r="AN20">
        <v>47</v>
      </c>
      <c r="AO20">
        <v>47</v>
      </c>
      <c r="AP20">
        <f t="shared" ca="1" si="0"/>
        <v>95</v>
      </c>
      <c r="AQ20">
        <f t="shared" ca="1" si="1"/>
        <v>15</v>
      </c>
      <c r="AR20">
        <f t="shared" ca="1" si="2"/>
        <v>0</v>
      </c>
      <c r="AS20">
        <f t="shared" ca="1" si="3"/>
        <v>4.1304347826086953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250090111016</v>
      </c>
      <c r="C21" s="1" t="s">
        <v>133</v>
      </c>
      <c r="D21" s="1" t="s">
        <v>134</v>
      </c>
      <c r="E21" s="1" t="s">
        <v>135</v>
      </c>
      <c r="F21">
        <v>7</v>
      </c>
      <c r="G21">
        <v>21</v>
      </c>
      <c r="H21" s="1">
        <v>28</v>
      </c>
      <c r="I21">
        <v>7</v>
      </c>
      <c r="J21">
        <v>19</v>
      </c>
      <c r="K21" s="1">
        <v>26</v>
      </c>
      <c r="L21">
        <v>12</v>
      </c>
      <c r="M21">
        <v>27</v>
      </c>
      <c r="N21" s="1">
        <v>39</v>
      </c>
      <c r="O21">
        <v>18</v>
      </c>
      <c r="P21">
        <v>30</v>
      </c>
      <c r="Q21" s="1">
        <v>48</v>
      </c>
      <c r="R21">
        <v>25</v>
      </c>
      <c r="S21">
        <v>18</v>
      </c>
      <c r="T21" s="1">
        <v>43</v>
      </c>
      <c r="U21">
        <v>19</v>
      </c>
      <c r="V21">
        <v>22</v>
      </c>
      <c r="W21" s="1">
        <v>41</v>
      </c>
      <c r="X21">
        <v>20</v>
      </c>
      <c r="Y21">
        <v>18</v>
      </c>
      <c r="Z21" s="1">
        <v>38</v>
      </c>
      <c r="AA21">
        <v>19</v>
      </c>
      <c r="AB21">
        <v>21</v>
      </c>
      <c r="AC21" s="1">
        <v>40</v>
      </c>
      <c r="AD21" s="1">
        <v>40</v>
      </c>
      <c r="AE21" s="1">
        <v>47</v>
      </c>
      <c r="AF21" s="1">
        <v>87</v>
      </c>
      <c r="AG21">
        <v>23</v>
      </c>
      <c r="AH21">
        <v>23</v>
      </c>
      <c r="AI21" s="1">
        <v>46</v>
      </c>
      <c r="AJ21">
        <v>20</v>
      </c>
      <c r="AK21">
        <v>23</v>
      </c>
      <c r="AL21" s="1">
        <v>43</v>
      </c>
      <c r="AN21">
        <v>47</v>
      </c>
      <c r="AO21">
        <v>47</v>
      </c>
      <c r="AP21">
        <f t="shared" ca="1" si="0"/>
        <v>61.5</v>
      </c>
      <c r="AQ21">
        <f t="shared" ca="1" si="1"/>
        <v>7</v>
      </c>
      <c r="AR21">
        <f t="shared" ca="1" si="2"/>
        <v>0</v>
      </c>
      <c r="AS21">
        <f t="shared" ca="1" si="3"/>
        <v>2.6739130434782608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250090111017</v>
      </c>
      <c r="C22" s="1" t="s">
        <v>136</v>
      </c>
      <c r="D22" s="1" t="s">
        <v>137</v>
      </c>
      <c r="E22" s="1" t="s">
        <v>138</v>
      </c>
      <c r="F22">
        <v>8</v>
      </c>
      <c r="G22">
        <v>23</v>
      </c>
      <c r="H22" s="1">
        <v>31</v>
      </c>
      <c r="I22">
        <v>33</v>
      </c>
      <c r="J22">
        <v>27</v>
      </c>
      <c r="K22" s="1">
        <v>60</v>
      </c>
      <c r="L22">
        <v>11</v>
      </c>
      <c r="M22">
        <v>25</v>
      </c>
      <c r="N22" s="1">
        <v>36</v>
      </c>
      <c r="O22">
        <v>20</v>
      </c>
      <c r="P22">
        <v>25</v>
      </c>
      <c r="Q22" s="1">
        <v>45</v>
      </c>
      <c r="R22">
        <v>31</v>
      </c>
      <c r="S22">
        <v>15</v>
      </c>
      <c r="T22" s="1">
        <v>46</v>
      </c>
      <c r="U22">
        <v>19</v>
      </c>
      <c r="V22">
        <v>22</v>
      </c>
      <c r="W22" s="1">
        <v>41</v>
      </c>
      <c r="X22">
        <v>20</v>
      </c>
      <c r="Y22">
        <v>18</v>
      </c>
      <c r="Z22" s="1">
        <v>38</v>
      </c>
      <c r="AA22">
        <v>17</v>
      </c>
      <c r="AB22">
        <v>17</v>
      </c>
      <c r="AC22" s="1">
        <v>34</v>
      </c>
      <c r="AD22" s="1">
        <v>41</v>
      </c>
      <c r="AE22" s="1">
        <v>47</v>
      </c>
      <c r="AF22" s="1">
        <v>88</v>
      </c>
      <c r="AG22">
        <v>20</v>
      </c>
      <c r="AH22">
        <v>24</v>
      </c>
      <c r="AI22" s="1">
        <v>44</v>
      </c>
      <c r="AJ22">
        <v>20</v>
      </c>
      <c r="AK22">
        <v>24</v>
      </c>
      <c r="AL22" s="1">
        <v>44</v>
      </c>
      <c r="AN22">
        <v>47</v>
      </c>
      <c r="AO22">
        <v>47</v>
      </c>
      <c r="AP22">
        <f t="shared" ca="1" si="0"/>
        <v>77.5</v>
      </c>
      <c r="AQ22">
        <f t="shared" ca="1" si="1"/>
        <v>11</v>
      </c>
      <c r="AR22">
        <f t="shared" ca="1" si="2"/>
        <v>0</v>
      </c>
      <c r="AS22">
        <f t="shared" ca="1" si="3"/>
        <v>3.3695652173913042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250090111018</v>
      </c>
      <c r="C23" s="1" t="s">
        <v>139</v>
      </c>
      <c r="D23" s="1" t="s">
        <v>140</v>
      </c>
      <c r="E23" s="1" t="s">
        <v>141</v>
      </c>
      <c r="F23">
        <v>51</v>
      </c>
      <c r="G23">
        <v>35</v>
      </c>
      <c r="H23" s="1">
        <v>86</v>
      </c>
      <c r="I23">
        <v>31</v>
      </c>
      <c r="J23">
        <v>28</v>
      </c>
      <c r="K23" s="1">
        <v>59</v>
      </c>
      <c r="L23">
        <v>72</v>
      </c>
      <c r="M23">
        <v>50</v>
      </c>
      <c r="N23" s="1">
        <v>122</v>
      </c>
      <c r="O23">
        <v>65</v>
      </c>
      <c r="P23">
        <v>36</v>
      </c>
      <c r="Q23" s="1">
        <v>101</v>
      </c>
      <c r="R23">
        <v>27</v>
      </c>
      <c r="S23">
        <v>17</v>
      </c>
      <c r="T23" s="1">
        <v>44</v>
      </c>
      <c r="U23">
        <v>22</v>
      </c>
      <c r="V23">
        <v>23</v>
      </c>
      <c r="W23" s="1">
        <v>45</v>
      </c>
      <c r="X23">
        <v>21</v>
      </c>
      <c r="Y23">
        <v>18</v>
      </c>
      <c r="Z23" s="1">
        <v>39</v>
      </c>
      <c r="AA23">
        <v>22</v>
      </c>
      <c r="AB23">
        <v>23</v>
      </c>
      <c r="AC23" s="1">
        <v>45</v>
      </c>
      <c r="AD23" s="1">
        <v>39</v>
      </c>
      <c r="AE23" s="1">
        <v>46</v>
      </c>
      <c r="AF23" s="1">
        <v>85</v>
      </c>
      <c r="AG23">
        <v>22</v>
      </c>
      <c r="AH23">
        <v>24</v>
      </c>
      <c r="AI23" s="1">
        <v>46</v>
      </c>
      <c r="AJ23">
        <v>20</v>
      </c>
      <c r="AK23">
        <v>24</v>
      </c>
      <c r="AL23" s="1">
        <v>44</v>
      </c>
      <c r="AN23">
        <v>47</v>
      </c>
      <c r="AO23">
        <v>47</v>
      </c>
      <c r="AP23">
        <f t="shared" ca="1" si="0"/>
        <v>167.5</v>
      </c>
      <c r="AQ23">
        <f t="shared" ca="1" si="1"/>
        <v>23</v>
      </c>
      <c r="AR23">
        <f t="shared" ca="1" si="2"/>
        <v>1</v>
      </c>
      <c r="AS23">
        <f t="shared" ca="1" si="3"/>
        <v>7.2826086956521738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250090111019</v>
      </c>
      <c r="C24" s="1" t="s">
        <v>142</v>
      </c>
      <c r="D24" s="1" t="s">
        <v>143</v>
      </c>
      <c r="E24" s="1" t="s">
        <v>144</v>
      </c>
      <c r="F24">
        <v>17</v>
      </c>
      <c r="G24">
        <v>27</v>
      </c>
      <c r="H24" s="1">
        <v>44</v>
      </c>
      <c r="I24">
        <v>28</v>
      </c>
      <c r="J24">
        <v>24</v>
      </c>
      <c r="K24" s="1">
        <v>52</v>
      </c>
      <c r="L24">
        <v>30</v>
      </c>
      <c r="M24">
        <v>32</v>
      </c>
      <c r="N24" s="1">
        <v>62</v>
      </c>
      <c r="O24">
        <v>40</v>
      </c>
      <c r="P24">
        <v>29</v>
      </c>
      <c r="Q24" s="1">
        <v>69</v>
      </c>
      <c r="R24">
        <v>18</v>
      </c>
      <c r="S24">
        <v>15</v>
      </c>
      <c r="T24" s="1">
        <v>33</v>
      </c>
      <c r="U24">
        <v>20</v>
      </c>
      <c r="V24">
        <v>18</v>
      </c>
      <c r="W24" s="1">
        <v>38</v>
      </c>
      <c r="X24">
        <v>18</v>
      </c>
      <c r="Y24">
        <v>12</v>
      </c>
      <c r="Z24" s="1">
        <v>30</v>
      </c>
      <c r="AA24">
        <v>21</v>
      </c>
      <c r="AB24">
        <v>21</v>
      </c>
      <c r="AC24" s="1">
        <v>42</v>
      </c>
      <c r="AD24" s="1">
        <v>39</v>
      </c>
      <c r="AE24" s="1">
        <v>36</v>
      </c>
      <c r="AF24" s="1">
        <v>75</v>
      </c>
      <c r="AG24">
        <v>18</v>
      </c>
      <c r="AH24">
        <v>20</v>
      </c>
      <c r="AI24" s="1">
        <v>38</v>
      </c>
      <c r="AJ24">
        <v>18</v>
      </c>
      <c r="AK24">
        <v>22</v>
      </c>
      <c r="AL24" s="1">
        <v>40</v>
      </c>
      <c r="AN24">
        <v>47</v>
      </c>
      <c r="AO24">
        <v>47</v>
      </c>
      <c r="AP24">
        <f t="shared" ca="1" si="0"/>
        <v>93.5</v>
      </c>
      <c r="AQ24">
        <f t="shared" ca="1" si="1"/>
        <v>15</v>
      </c>
      <c r="AR24">
        <f t="shared" ca="1" si="2"/>
        <v>0</v>
      </c>
      <c r="AS24">
        <f t="shared" ca="1" si="3"/>
        <v>4.0652173913043477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250090111020</v>
      </c>
      <c r="C25" s="1" t="s">
        <v>145</v>
      </c>
      <c r="D25" s="1" t="s">
        <v>146</v>
      </c>
      <c r="E25" s="1" t="s">
        <v>147</v>
      </c>
      <c r="F25">
        <v>33</v>
      </c>
      <c r="G25">
        <v>23</v>
      </c>
      <c r="H25" s="1">
        <v>56</v>
      </c>
      <c r="I25">
        <v>55</v>
      </c>
      <c r="J25">
        <v>32</v>
      </c>
      <c r="K25" s="1">
        <v>87</v>
      </c>
      <c r="L25">
        <v>30</v>
      </c>
      <c r="M25">
        <v>39</v>
      </c>
      <c r="N25" s="1">
        <v>69</v>
      </c>
      <c r="O25">
        <v>40</v>
      </c>
      <c r="P25">
        <v>30</v>
      </c>
      <c r="Q25" s="1">
        <v>70</v>
      </c>
      <c r="R25">
        <v>30</v>
      </c>
      <c r="S25">
        <v>18</v>
      </c>
      <c r="T25" s="1">
        <v>48</v>
      </c>
      <c r="U25">
        <v>20</v>
      </c>
      <c r="V25">
        <v>22</v>
      </c>
      <c r="W25" s="1">
        <v>42</v>
      </c>
      <c r="X25">
        <v>20</v>
      </c>
      <c r="Y25">
        <v>22</v>
      </c>
      <c r="Z25" s="1">
        <v>42</v>
      </c>
      <c r="AA25">
        <v>21</v>
      </c>
      <c r="AB25">
        <v>21</v>
      </c>
      <c r="AC25" s="1">
        <v>42</v>
      </c>
      <c r="AD25" s="1">
        <v>43</v>
      </c>
      <c r="AE25" s="1">
        <v>47</v>
      </c>
      <c r="AF25" s="1">
        <v>90</v>
      </c>
      <c r="AG25">
        <v>21</v>
      </c>
      <c r="AH25">
        <v>22</v>
      </c>
      <c r="AI25" s="1">
        <v>43</v>
      </c>
      <c r="AJ25">
        <v>23</v>
      </c>
      <c r="AK25">
        <v>23</v>
      </c>
      <c r="AL25" s="1">
        <v>46</v>
      </c>
      <c r="AN25">
        <v>47</v>
      </c>
      <c r="AO25">
        <v>47</v>
      </c>
      <c r="AP25">
        <f t="shared" ca="1" si="0"/>
        <v>145</v>
      </c>
      <c r="AQ25">
        <f t="shared" ca="1" si="1"/>
        <v>23</v>
      </c>
      <c r="AR25">
        <f t="shared" ca="1" si="2"/>
        <v>4</v>
      </c>
      <c r="AS25">
        <f t="shared" ca="1" si="3"/>
        <v>6.3043478260869561</v>
      </c>
      <c r="AW25" t="str">
        <f t="shared" si="4"/>
        <v>I</v>
      </c>
      <c r="AX25">
        <f t="shared" si="5"/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435"/>
  <sheetViews>
    <sheetView view="pageBreakPreview" topLeftCell="A408" zoomScale="60" zoomScaleNormal="100" workbookViewId="0">
      <selection activeCell="M412" sqref="M412:N422"/>
    </sheetView>
  </sheetViews>
  <sheetFormatPr baseColWidth="10" defaultColWidth="8.83203125" defaultRowHeight="12" customHeight="1" x14ac:dyDescent="0.2"/>
  <cols>
    <col min="5" max="5" width="9.83203125" customWidth="1"/>
  </cols>
  <sheetData>
    <row r="1" spans="1:26" ht="26" x14ac:dyDescent="0.2">
      <c r="A1" s="32" t="s">
        <v>81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Y1" s="2" t="s">
        <v>10</v>
      </c>
      <c r="Z1" s="3" t="s">
        <v>11</v>
      </c>
    </row>
    <row r="2" spans="1:26" ht="15" x14ac:dyDescent="0.2">
      <c r="A2" s="33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Y2" s="4" t="s">
        <v>12</v>
      </c>
      <c r="Z2" s="23">
        <v>10</v>
      </c>
    </row>
    <row r="3" spans="1:26" ht="15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Y3" s="4" t="s">
        <v>57</v>
      </c>
      <c r="Z3" s="23">
        <v>9.5</v>
      </c>
    </row>
    <row r="4" spans="1:26" ht="15" x14ac:dyDescent="0.2">
      <c r="A4" s="33" t="s">
        <v>28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Y4" s="4" t="s">
        <v>8</v>
      </c>
      <c r="Z4" s="23">
        <v>9</v>
      </c>
    </row>
    <row r="5" spans="1:26" ht="15" x14ac:dyDescent="0.2">
      <c r="A5" s="34" t="s">
        <v>82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Y5" s="4" t="s">
        <v>58</v>
      </c>
      <c r="Z5" s="23">
        <v>8.5</v>
      </c>
    </row>
    <row r="6" spans="1:26" ht="12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Y6" s="4" t="s">
        <v>13</v>
      </c>
      <c r="Z6" s="23">
        <v>8</v>
      </c>
    </row>
    <row r="7" spans="1:26" ht="30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Y7" s="4" t="s">
        <v>84</v>
      </c>
      <c r="Z7" s="23">
        <v>7.5</v>
      </c>
    </row>
    <row r="8" spans="1:26" ht="12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14</v>
      </c>
      <c r="F8" s="5" t="s">
        <v>42</v>
      </c>
      <c r="G8" s="5"/>
      <c r="H8" s="5"/>
      <c r="I8" s="5"/>
      <c r="J8" s="6"/>
      <c r="K8" s="6"/>
      <c r="L8" s="6"/>
      <c r="M8" s="6"/>
      <c r="N8" s="6"/>
      <c r="Y8" s="4" t="s">
        <v>14</v>
      </c>
      <c r="Z8" s="23">
        <v>7</v>
      </c>
    </row>
    <row r="9" spans="1:26" ht="12" customHeight="1" x14ac:dyDescent="0.2">
      <c r="A9" s="24" t="s">
        <v>24</v>
      </c>
      <c r="B9" s="24" t="str">
        <f ca="1">VLOOKUP(B8,INDIRECT($F$8),4,0)</f>
        <v>AADITYA SINGH RAWAT</v>
      </c>
      <c r="C9" s="24"/>
      <c r="D9" s="24" t="s">
        <v>25</v>
      </c>
      <c r="E9" s="24" t="str">
        <f ca="1">VLOOKUP(B8,INDIRECT($F$8),5,0)</f>
        <v>SHYAM SINGH</v>
      </c>
      <c r="F9" s="24"/>
      <c r="G9" s="24" t="s">
        <v>26</v>
      </c>
      <c r="H9" s="24"/>
      <c r="I9" s="25">
        <f ca="1">VLOOKUP(B8,INDIRECT($F$8),2,0)</f>
        <v>250090111001</v>
      </c>
      <c r="J9" s="25"/>
      <c r="K9" s="24" t="s">
        <v>27</v>
      </c>
      <c r="L9" s="24"/>
      <c r="M9" s="25" t="str">
        <f ca="1">VLOOKUP(B8,INDIRECT($F$8),3,0)</f>
        <v>UTU/2501104318</v>
      </c>
      <c r="N9" s="25"/>
      <c r="Y9" s="4" t="s">
        <v>85</v>
      </c>
      <c r="Z9" s="23">
        <v>6.5</v>
      </c>
    </row>
    <row r="10" spans="1:26" ht="12" customHeight="1" x14ac:dyDescent="0.2">
      <c r="A10" s="24"/>
      <c r="B10" s="24"/>
      <c r="C10" s="24"/>
      <c r="D10" s="24"/>
      <c r="E10" s="24"/>
      <c r="F10" s="24"/>
      <c r="G10" s="24"/>
      <c r="H10" s="24"/>
      <c r="I10" s="25"/>
      <c r="J10" s="25"/>
      <c r="K10" s="24"/>
      <c r="L10" s="24"/>
      <c r="M10" s="25"/>
      <c r="N10" s="25"/>
      <c r="Y10" s="4" t="s">
        <v>80</v>
      </c>
      <c r="Z10" s="23">
        <v>6</v>
      </c>
    </row>
    <row r="11" spans="1:26" ht="12" customHeight="1" x14ac:dyDescent="0.2">
      <c r="A11" s="26" t="s">
        <v>28</v>
      </c>
      <c r="B11" s="26" t="s">
        <v>29</v>
      </c>
      <c r="C11" s="26"/>
      <c r="D11" s="26"/>
      <c r="E11" s="26"/>
      <c r="F11" s="26" t="s">
        <v>30</v>
      </c>
      <c r="G11" s="26" t="s">
        <v>31</v>
      </c>
      <c r="H11" s="26"/>
      <c r="I11" s="26" t="s">
        <v>32</v>
      </c>
      <c r="J11" s="26"/>
      <c r="K11" s="26" t="s">
        <v>33</v>
      </c>
      <c r="L11" s="26"/>
      <c r="M11" s="26" t="s">
        <v>10</v>
      </c>
      <c r="N11" s="26" t="s">
        <v>34</v>
      </c>
      <c r="Y11" s="4" t="s">
        <v>86</v>
      </c>
      <c r="Z11" s="23">
        <v>5.5</v>
      </c>
    </row>
    <row r="12" spans="1:26" ht="12" customHeight="1" x14ac:dyDescent="0.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87</v>
      </c>
      <c r="Z12" s="23">
        <v>5</v>
      </c>
    </row>
    <row r="13" spans="1:26" ht="12" customHeight="1" x14ac:dyDescent="0.2">
      <c r="A13" s="7" t="str">
        <f ca="1">IF(ISERROR(F8),"",VLOOKUP(C8,INDIRECT($F$8),6+(O13-1)*3,0))</f>
        <v>AHT 001</v>
      </c>
      <c r="B13" s="31" t="str">
        <f ca="1">IF(ISERROR(F8),"",VLOOKUP(D8,INDIRECT($F$8),6+(O13-1)*3,0))</f>
        <v>Engineering Physics</v>
      </c>
      <c r="C13" s="31"/>
      <c r="D13" s="31"/>
      <c r="E13" s="31"/>
      <c r="F13" s="7">
        <f ca="1">IF(ISERROR(F8),"",VLOOKUP(E8,INDIRECT($F$8),6+(O13-1)*3,0))</f>
        <v>4</v>
      </c>
      <c r="G13" s="29" t="str">
        <f ca="1">IF(ISERROR(F8),"",_xlfn.TEXTJOIN("/",FALSE,P13,S13))</f>
        <v>39/100</v>
      </c>
      <c r="H13" s="29"/>
      <c r="I13" s="29" t="str">
        <f ca="1">IF(ISERROR(F8),"",_xlfn.TEXTJOIN("/",FALSE,Q13,T13))</f>
        <v>25/50</v>
      </c>
      <c r="J13" s="29"/>
      <c r="K13" s="29" t="str">
        <f ca="1">IF(ISERROR(F8),"",_xlfn.TEXTJOIN("/",FALSE,R13,U13))</f>
        <v>64/150</v>
      </c>
      <c r="L13" s="29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P</v>
      </c>
      <c r="N13" s="8">
        <f ca="1">INDEX($Z$2:$Z$17,MATCH(M13,$Y$2:$Y$17,0))</f>
        <v>4.5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39</v>
      </c>
      <c r="Q13" s="1">
        <f ca="1">IF(ISERROR(F8),"",VLOOKUP(B8,INDIRECT($F$8),7+(O13-1)*3))</f>
        <v>25</v>
      </c>
      <c r="R13" s="1">
        <f ca="1">IF(ISERROR(F8),"",SUM(P13:Q13))</f>
        <v>64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15</v>
      </c>
      <c r="Z13" s="23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31" t="str">
        <f ca="1">IF(ISERROR(F8),"",VLOOKUP(D8,INDIRECT($F$8),6+(O14-1)*3,0))</f>
        <v>Introduction to Engineering Mathematics</v>
      </c>
      <c r="C14" s="31"/>
      <c r="D14" s="31"/>
      <c r="E14" s="31"/>
      <c r="F14" s="7">
        <f ca="1">IF(ISERROR(F8),"",VLOOKUP(E8,INDIRECT($F$8),6+(O14-1)*3,0))</f>
        <v>4</v>
      </c>
      <c r="G14" s="29" t="str">
        <f ca="1">IF(ISERROR(F8),"",_xlfn.TEXTJOIN("/",FALSE,P14,S14))</f>
        <v>42/100</v>
      </c>
      <c r="H14" s="29"/>
      <c r="I14" s="29" t="str">
        <f ca="1">IF(ISERROR(F8),"",_xlfn.TEXTJOIN("/",FALSE,Q14,T14))</f>
        <v>18/50</v>
      </c>
      <c r="J14" s="29"/>
      <c r="K14" s="29" t="str">
        <f ca="1">IF(ISERROR(F8),"",_xlfn.TEXTJOIN("/",FALSE,R14,U14))</f>
        <v>60/150</v>
      </c>
      <c r="L14" s="29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P</v>
      </c>
      <c r="N14" s="8">
        <f t="shared" ref="N14:N23" ca="1" si="0">INDEX($Z$2:$Z$17,MATCH(M14,$Y$2:$Y$17,0))</f>
        <v>4.5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42</v>
      </c>
      <c r="Q14" s="1">
        <f ca="1">IF(ISERROR(F8),"",VLOOKUP(B8,INDIRECT($F$8),7+(O14-1)*3))</f>
        <v>18</v>
      </c>
      <c r="R14" s="1">
        <f ca="1">IF(ISERROR(F8),"",SUM(P14:Q14))</f>
        <v>60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16</v>
      </c>
      <c r="Z14" s="23">
        <v>0</v>
      </c>
    </row>
    <row r="15" spans="1:26" ht="12" customHeight="1" x14ac:dyDescent="0.2">
      <c r="A15" s="7" t="str">
        <f ca="1">IF(ISERROR(F8),"",VLOOKUP(C8,INDIRECT($F$8),6+(O15-1)*3,0))</f>
        <v>EET 001</v>
      </c>
      <c r="B15" s="31" t="str">
        <f ca="1">IF(ISERROR(F8),"",VLOOKUP(D8,INDIRECT($F$8),6+(O15-1)*3,0))</f>
        <v>Basic Electrical Engineering</v>
      </c>
      <c r="C15" s="31"/>
      <c r="D15" s="31"/>
      <c r="E15" s="31"/>
      <c r="F15" s="7">
        <f ca="1">IF(ISERROR(F8),"",VLOOKUP(E8,INDIRECT($F$8),6+(O15-1)*3,0))</f>
        <v>4</v>
      </c>
      <c r="G15" s="29" t="str">
        <f ca="1">IF(ISERROR(F8),"",_xlfn.TEXTJOIN("/",FALSE,P15,S15))</f>
        <v>69/100</v>
      </c>
      <c r="H15" s="29"/>
      <c r="I15" s="29" t="str">
        <f ca="1">IF(ISERROR(F8),"",_xlfn.TEXTJOIN("/",FALSE,Q15,T15))</f>
        <v>29/50</v>
      </c>
      <c r="J15" s="29"/>
      <c r="K15" s="29" t="str">
        <f ca="1">IF(ISERROR(F8),"",_xlfn.TEXTJOIN("/",FALSE,R15,U15))</f>
        <v>98/150</v>
      </c>
      <c r="L15" s="29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C</v>
      </c>
      <c r="N15" s="8">
        <f t="shared" ca="1" si="0"/>
        <v>7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69</v>
      </c>
      <c r="Q15" s="1">
        <f ca="1">IF(ISERROR(F8),"",VLOOKUP(B8,INDIRECT($F$8),7+(O15-1)*3))</f>
        <v>29</v>
      </c>
      <c r="R15" s="1">
        <f ca="1">IF(ISERROR(F8),"",SUM(P15:Q15))</f>
        <v>98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17</v>
      </c>
      <c r="Z15" s="23">
        <v>0</v>
      </c>
    </row>
    <row r="16" spans="1:26" ht="12" customHeight="1" x14ac:dyDescent="0.2">
      <c r="A16" s="7" t="str">
        <f ca="1">IF(ISERROR(F8),"",VLOOKUP(C8,INDIRECT($F$8),6+(O16-1)*3,0))</f>
        <v>CST 001</v>
      </c>
      <c r="B16" s="31" t="str">
        <f ca="1">IF(ISERROR(F8),"",VLOOKUP(D8,INDIRECT($F$8),6+(O16-1)*3,0))</f>
        <v>Programming for Problem Solving</v>
      </c>
      <c r="C16" s="31"/>
      <c r="D16" s="31"/>
      <c r="E16" s="31"/>
      <c r="F16" s="7">
        <f ca="1">IF(ISERROR(F8),"",VLOOKUP(E8,INDIRECT($F$8),6+(O16-1)*3,0))</f>
        <v>4</v>
      </c>
      <c r="G16" s="29" t="str">
        <f ca="1">IF(ISERROR(F8),"",_xlfn.TEXTJOIN("/",FALSE,P16,S16))</f>
        <v>47/100</v>
      </c>
      <c r="H16" s="29"/>
      <c r="I16" s="29" t="str">
        <f ca="1">IF(ISERROR(F8),"",_xlfn.TEXTJOIN("/",FALSE,Q16,T16))</f>
        <v>30/50</v>
      </c>
      <c r="J16" s="29"/>
      <c r="K16" s="29" t="str">
        <f ca="1">IF(ISERROR(F8),"",_xlfn.TEXTJOIN("/",FALSE,R16,U16))</f>
        <v>77/150</v>
      </c>
      <c r="L16" s="29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E+</v>
      </c>
      <c r="N16" s="8">
        <f t="shared" ca="1" si="0"/>
        <v>5.5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47</v>
      </c>
      <c r="Q16" s="1">
        <f ca="1">IF(ISERROR(F8),"",VLOOKUP(B8,INDIRECT($F$8),7+(O16-1)*3))</f>
        <v>30</v>
      </c>
      <c r="R16" s="1">
        <f ca="1">IF(ISERROR(F8),"",SUM(P16:Q16))</f>
        <v>77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18</v>
      </c>
      <c r="Z16" s="23">
        <v>0</v>
      </c>
    </row>
    <row r="17" spans="1:26" ht="12" customHeight="1" x14ac:dyDescent="0.2">
      <c r="A17" s="7" t="str">
        <f ca="1">IF(ISERROR(F8),"",VLOOKUP(C8,INDIRECT($F$8),6+(O17-1)*3,0))</f>
        <v>AHT 004</v>
      </c>
      <c r="B17" s="31" t="str">
        <f ca="1">IF(ISERROR(F8),"",VLOOKUP(D8,INDIRECT($F$8),6+(O17-1)*3,0))</f>
        <v>Environmental Studies ($)</v>
      </c>
      <c r="C17" s="31"/>
      <c r="D17" s="31"/>
      <c r="E17" s="31"/>
      <c r="F17" s="7">
        <f ca="1">IF(ISERROR(F8),"",VLOOKUP(E8,INDIRECT($F$8),6+(O17-1)*3,0))</f>
        <v>0</v>
      </c>
      <c r="G17" s="29" t="str">
        <f ca="1">IF(ISERROR(F8),"",_xlfn.TEXTJOIN("/",FALSE,P17,S17))</f>
        <v>34/50</v>
      </c>
      <c r="H17" s="29"/>
      <c r="I17" s="29" t="str">
        <f ca="1">IF(ISERROR(F8),"",_xlfn.TEXTJOIN("/",FALSE,Q17,T17))</f>
        <v>16/25</v>
      </c>
      <c r="J17" s="29"/>
      <c r="K17" s="29" t="str">
        <f ca="1">IF(ISERROR(F8),"",_xlfn.TEXTJOIN("/",FALSE,R17,U17))</f>
        <v>50/75</v>
      </c>
      <c r="L17" s="29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C</v>
      </c>
      <c r="N17" s="8">
        <f t="shared" ca="1" si="0"/>
        <v>7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34</v>
      </c>
      <c r="Q17" s="1">
        <f ca="1">IF(ISERROR(F8),"",VLOOKUP(B8,INDIRECT($F$8),7+(O17-1)*3))</f>
        <v>16</v>
      </c>
      <c r="R17" s="1">
        <f ca="1">IF(ISERROR(F8),"",SUM(P17:Q17))</f>
        <v>50</v>
      </c>
      <c r="S17" s="1">
        <f ca="1">IF(ISERROR(F8),"",VLOOKUP(A8,INDIRECT($F$8),6+(O17-1)*3))</f>
        <v>50</v>
      </c>
      <c r="T17" s="1">
        <f ca="1">IF(ISERROR(F8),"",VLOOKUP(A8,INDIRECT($F$8),7+(O17-1)*3))</f>
        <v>25</v>
      </c>
      <c r="U17" s="1">
        <f ca="1">IF(ISERROR(F8),"",VLOOKUP(A8,INDIRECT($F$8),8+(O17-1)*3))</f>
        <v>75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19</v>
      </c>
      <c r="Z17" s="23">
        <v>0</v>
      </c>
    </row>
    <row r="18" spans="1:26" ht="12" customHeight="1" x14ac:dyDescent="0.2">
      <c r="A18" s="7" t="str">
        <f ca="1">IF(ISERROR(F8),"",VLOOKUP(C8,INDIRECT($F$8),6+(O18-1)*3,0))</f>
        <v>AHP 001</v>
      </c>
      <c r="B18" s="31" t="str">
        <f ca="1">IF(ISERROR(F8),"",VLOOKUP(D8,INDIRECT($F$8),6+(O18-1)*3,0))</f>
        <v>Engineering Physics Lab</v>
      </c>
      <c r="C18" s="31"/>
      <c r="D18" s="31"/>
      <c r="E18" s="31"/>
      <c r="F18" s="7">
        <f ca="1">IF(ISERROR(F8),"",VLOOKUP(E8,INDIRECT($F$8),6+(O18-1)*3,0))</f>
        <v>1</v>
      </c>
      <c r="G18" s="29" t="str">
        <f ca="1">IF(ISERROR(F8),"",_xlfn.TEXTJOIN("/",FALSE,P18,S18))</f>
        <v>18/25</v>
      </c>
      <c r="H18" s="29"/>
      <c r="I18" s="29" t="str">
        <f ca="1">IF(ISERROR(F8),"",_xlfn.TEXTJOIN("/",FALSE,Q18,T18))</f>
        <v>22/25</v>
      </c>
      <c r="J18" s="29"/>
      <c r="K18" s="29" t="str">
        <f ca="1">IF(ISERROR(F8),"",_xlfn.TEXTJOIN("/",FALSE,R18,U18))</f>
        <v>40/50</v>
      </c>
      <c r="L18" s="29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B+</v>
      </c>
      <c r="N18" s="8">
        <f t="shared" ca="1" si="0"/>
        <v>8.5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18</v>
      </c>
      <c r="Q18" s="1">
        <f ca="1">IF(ISERROR(F8),"",VLOOKUP(B8,INDIRECT($F$8),7+(O18-1)*3))</f>
        <v>22</v>
      </c>
      <c r="R18" s="1">
        <f ca="1">IF(ISERROR(F8),"",SUM(P18:Q18))</f>
        <v>40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">
      <c r="A19" s="7" t="str">
        <f ca="1">IF(ISERROR(F8),"",VLOOKUP(C8,INDIRECT($F$8),6+(O19-1)*3,0))</f>
        <v>EEP 001</v>
      </c>
      <c r="B19" s="31" t="str">
        <f ca="1">IF(ISERROR(F8),"",VLOOKUP(D8,INDIRECT($F$8),6+(O19-1)*3,0))</f>
        <v>Basic Electrical Engineering Lab</v>
      </c>
      <c r="C19" s="31"/>
      <c r="D19" s="31"/>
      <c r="E19" s="31"/>
      <c r="F19" s="7">
        <f ca="1">IF(ISERROR(F8),"",VLOOKUP(E8,INDIRECT($F$8),6+(O19-1)*3,0))</f>
        <v>1</v>
      </c>
      <c r="G19" s="29" t="str">
        <f ca="1">IF(ISERROR(F8),"",_xlfn.TEXTJOIN("/",FALSE,P19,S19))</f>
        <v>23/25</v>
      </c>
      <c r="H19" s="29"/>
      <c r="I19" s="29" t="str">
        <f ca="1">IF(ISERROR(F8),"",_xlfn.TEXTJOIN("/",FALSE,Q19,T19))</f>
        <v>21/25</v>
      </c>
      <c r="J19" s="29"/>
      <c r="K19" s="29" t="str">
        <f ca="1">IF(ISERROR(F8),"",_xlfn.TEXTJOIN("/",FALSE,R19,U19))</f>
        <v>44/50</v>
      </c>
      <c r="L19" s="29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A</v>
      </c>
      <c r="N19" s="8">
        <f t="shared" ca="1" si="0"/>
        <v>9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23</v>
      </c>
      <c r="Q19" s="1">
        <f ca="1">IF(ISERROR(F8),"",VLOOKUP(B8,INDIRECT($F$8),7+(O19-1)*3))</f>
        <v>21</v>
      </c>
      <c r="R19" s="1">
        <f ca="1">IF(ISERROR(F8),"",SUM(P19:Q19))</f>
        <v>44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">
      <c r="A20" s="7" t="str">
        <f ca="1">IF(ISERROR(F8),"",VLOOKUP(C8,INDIRECT($F$8),6+(O20-1)*3,0))</f>
        <v>CSP 001</v>
      </c>
      <c r="B20" s="31" t="str">
        <f ca="1">IF(ISERROR(F8),"",VLOOKUP(D8,INDIRECT($F$8),6+(O20-1)*3-Z20,0))</f>
        <v>Programming for Problem Solving Lab</v>
      </c>
      <c r="C20" s="31"/>
      <c r="D20" s="31"/>
      <c r="E20" s="31"/>
      <c r="F20" s="7">
        <f ca="1">IF(ISERROR(F8),"",VLOOKUP(E8,INDIRECT($F$8),6+(O20-1)*3,0))</f>
        <v>1</v>
      </c>
      <c r="G20" s="29" t="str">
        <f ca="1">IF(ISERROR(F8),"",_xlfn.TEXTJOIN("/",FALSE,P20,S20))</f>
        <v>22/25</v>
      </c>
      <c r="H20" s="29"/>
      <c r="I20" s="29" t="str">
        <f ca="1">IF(ISERROR(F8),"",_xlfn.TEXTJOIN("/",FALSE,Q20,T20))</f>
        <v>22/25</v>
      </c>
      <c r="J20" s="29"/>
      <c r="K20" s="29" t="str">
        <f ca="1">IF(ISERROR(F8),"",_xlfn.TEXTJOIN("/",FALSE,R20,U20))</f>
        <v>44/50</v>
      </c>
      <c r="L20" s="29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A</v>
      </c>
      <c r="N20" s="8">
        <f t="shared" ca="1" si="0"/>
        <v>9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22</v>
      </c>
      <c r="Q20" s="1">
        <f ca="1">IF(ISERROR(F8),"",VLOOKUP(B8,INDIRECT($F$8),7+(O20-1)*3))</f>
        <v>22</v>
      </c>
      <c r="R20" s="1">
        <f ca="1">IF(ISERROR(F8),"",SUM(P20:Q20))</f>
        <v>44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">
      <c r="A21" s="7" t="str">
        <f ca="1">IF(ISERROR(F8),"",VLOOKUP(C8,INDIRECT($F$8),6+(O21-1)*3,0))</f>
        <v>MEP 002</v>
      </c>
      <c r="B21" s="31" t="str">
        <f ca="1">IF(ISERROR(F8),"",VLOOKUP(D8,INDIRECT($F$8),6+(O21-1)*3-Z21,0))</f>
        <v>Engineering Graphics &amp; Design Lab</v>
      </c>
      <c r="C21" s="31"/>
      <c r="D21" s="31"/>
      <c r="E21" s="31"/>
      <c r="F21" s="7">
        <f ca="1">IF(ISERROR(F8),"",VLOOKUP(E8,INDIRECT($F$8),6+(O21-1)*3,0))</f>
        <v>2</v>
      </c>
      <c r="G21" s="29" t="str">
        <f ca="1">IF(ISERROR(F8),"",_xlfn.TEXTJOIN("/",FALSE,P21,S21))</f>
        <v>38/50</v>
      </c>
      <c r="H21" s="29"/>
      <c r="I21" s="29" t="str">
        <f ca="1">IF(ISERROR(F8),"",_xlfn.TEXTJOIN("/",FALSE,Q21,T21))</f>
        <v>41/50</v>
      </c>
      <c r="J21" s="29"/>
      <c r="K21" s="29" t="str">
        <f ca="1">IF(ISERROR(F8),"",_xlfn.TEXTJOIN("/",FALSE,R21,U21))</f>
        <v>79/100</v>
      </c>
      <c r="L21" s="29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B</v>
      </c>
      <c r="N21" s="8">
        <f t="shared" ca="1" si="0"/>
        <v>8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38</v>
      </c>
      <c r="Q21" s="1">
        <f ca="1">IF(ISERROR(F8),"",VLOOKUP(B8,INDIRECT($F$8),7+(O21-1)*3))</f>
        <v>41</v>
      </c>
      <c r="R21" s="1">
        <f ca="1">IF(ISERROR(F8),"",SUM(P21:Q21))</f>
        <v>79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">
      <c r="A22" s="7" t="str">
        <f ca="1">IF(ISERROR(F8),"",VLOOKUP(C8,INDIRECT($F$8),6+(O22-1)*3,0))</f>
        <v>AHP 003</v>
      </c>
      <c r="B22" s="31" t="str">
        <f ca="1">IF(ISERROR(F8),"",VLOOKUP(D8,INDIRECT($F$8),6+(O22-1)*3,0))</f>
        <v>Introduction to Digital Marketing Lab</v>
      </c>
      <c r="C22" s="31"/>
      <c r="D22" s="31"/>
      <c r="E22" s="31"/>
      <c r="F22" s="7">
        <f ca="1">IF(ISERROR(F8),"",VLOOKUP(E8,INDIRECT($F$8),6+(O22-1)*3,0))</f>
        <v>1</v>
      </c>
      <c r="G22" s="29" t="str">
        <f ca="1">IF(ISERROR(F8),"",_xlfn.TEXTJOIN("/",FALSE,P22,S22))</f>
        <v>21/25</v>
      </c>
      <c r="H22" s="29"/>
      <c r="I22" s="29" t="str">
        <f ca="1">IF(ISERROR(F8),"",_xlfn.TEXTJOIN("/",FALSE,Q22,T22))</f>
        <v>22/25</v>
      </c>
      <c r="J22" s="29"/>
      <c r="K22" s="29" t="str">
        <f ca="1">IF(ISERROR(F8),"",_xlfn.TEXTJOIN("/",FALSE,R22,U22))</f>
        <v>43/50</v>
      </c>
      <c r="L22" s="29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A</v>
      </c>
      <c r="N22" s="8">
        <f t="shared" ca="1" si="0"/>
        <v>9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21</v>
      </c>
      <c r="Q22" s="1">
        <f ca="1">IF(ISERROR(F8),"",VLOOKUP(B8,INDIRECT($F$8),7+(O22-1)*3))</f>
        <v>22</v>
      </c>
      <c r="R22" s="1">
        <f ca="1">IF(ISERROR(F8),"",SUM(P22:Q22))</f>
        <v>43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">
      <c r="A23" s="7" t="str">
        <f ca="1">IF(ISERROR(F8),"",VLOOKUP(C8,INDIRECT($F$8),6+(O23-1)*3,0))</f>
        <v>AHP 005</v>
      </c>
      <c r="B23" s="31" t="str">
        <f ca="1">IF(ISERROR(F8),"",VLOOKUP(D8,INDIRECT($F$8),6+(O23-1)*3,0))</f>
        <v>Self Employment &amp; Entrepreneurship Development</v>
      </c>
      <c r="C23" s="31"/>
      <c r="D23" s="31"/>
      <c r="E23" s="31"/>
      <c r="F23" s="7">
        <f ca="1">IF(ISERROR(F8),"",VLOOKUP(E8,INDIRECT($F$8),6+(O23-1)*3,0))</f>
        <v>1</v>
      </c>
      <c r="G23" s="29" t="str">
        <f ca="1">IF(ISERROR(F8),"",_xlfn.TEXTJOIN("/",FALSE,P23,S23))</f>
        <v>20/25</v>
      </c>
      <c r="H23" s="29"/>
      <c r="I23" s="29" t="str">
        <f ca="1">IF(ISERROR(F8),"",_xlfn.TEXTJOIN("/",FALSE,Q23,T23))</f>
        <v>23/25</v>
      </c>
      <c r="J23" s="29"/>
      <c r="K23" s="29" t="str">
        <f ca="1">IF(ISERROR(F8),"",_xlfn.TEXTJOIN("/",FALSE,R23,U23))</f>
        <v>43/50</v>
      </c>
      <c r="L23" s="29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A</v>
      </c>
      <c r="N23" s="8">
        <f t="shared" ca="1" si="0"/>
        <v>9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20</v>
      </c>
      <c r="Q23" s="1">
        <f ca="1">IF(ISERROR(F8),"",VLOOKUP(B8,INDIRECT($F$8),7+(O23-1)*3))</f>
        <v>23</v>
      </c>
      <c r="R23" s="1">
        <f ca="1">IF(ISERROR(F8),"",SUM(P23:Q23))</f>
        <v>43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">
      <c r="A24" s="7" t="str">
        <f ca="1">IF(ISERROR(F8),"",VLOOKUP(C8,INDIRECT($F$8),6+(O24-1)*3-Y24,0))</f>
        <v>GP 01</v>
      </c>
      <c r="B24" s="31" t="str">
        <f ca="1">IF(ISERROR(F8),"",VLOOKUP(D8,INDIRECT($F$8),6+(O24-1)*3-Z24,0))</f>
        <v>General Proficiency ($)</v>
      </c>
      <c r="C24" s="31"/>
      <c r="D24" s="31"/>
      <c r="E24" s="31"/>
      <c r="F24" s="7">
        <f ca="1">IF(ISERROR(F8),"",VLOOKUP(E8,INDIRECT($F$8),6+(O24-1)*3-AA24,0))</f>
        <v>0</v>
      </c>
      <c r="G24" s="29" t="str">
        <f>IF(ISERROR(F8),"","-")</f>
        <v>-</v>
      </c>
      <c r="H24" s="29"/>
      <c r="I24" s="29" t="str">
        <f ca="1">IF(ISERROR(F8),"",_xlfn.TEXTJOIN("/",FALSE,Q24,T24))</f>
        <v>47/50</v>
      </c>
      <c r="J24" s="29"/>
      <c r="K24" s="29" t="str">
        <f ca="1">IF(ISERROR(F8),"",_xlfn.TEXTJOIN("/",FALSE,R24,U24))</f>
        <v>47/50</v>
      </c>
      <c r="L24" s="29"/>
      <c r="M24" s="29" t="str">
        <f ca="1">IF(ISBLANK(R24),"",IF(ISTEXT(R24),R24,IF(R24&gt;=0.8*U24,"Excellent",IF(R24&gt;=0.6*U24,"Very Good",IF(R24&gt;=0.4*U24,"Good",IF(R24&gt;=0.2*U24,"Satisfactory","Average"))))))</f>
        <v>Excellent</v>
      </c>
      <c r="N24" s="29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30" t="s">
        <v>35</v>
      </c>
      <c r="B25" s="30"/>
      <c r="C25" s="30"/>
      <c r="D25" s="30"/>
      <c r="E25" s="30"/>
      <c r="F25" s="9">
        <f ca="1">SUM(F13:F24)</f>
        <v>23</v>
      </c>
      <c r="G25" s="30" t="str">
        <f ca="1">_xlfn.TEXTJOIN("/",TRUE,SUMIF(F13:F24,"&gt;0",P13:P24),SUMIF(F13:F24,"&gt;0",S13:S24))</f>
        <v>339/575</v>
      </c>
      <c r="H25" s="30"/>
      <c r="I25" s="30" t="str">
        <f ca="1">_xlfn.TEXTJOIN("/",TRUE,SUMIF(F13:F24,"&gt;0",Q13:Q24),SUMIF(F13:F24,"&gt;0",T13:T24))</f>
        <v>253/375</v>
      </c>
      <c r="J25" s="30"/>
      <c r="K25" s="30" t="str">
        <f ca="1">_xlfn.TEXTJOIN("/",TRUE,SUMIF(F13:F24,"&gt;0",R13:R24),SUMIF(F13:F24,"&gt;0",U13:U24))</f>
        <v>592/950</v>
      </c>
      <c r="L25" s="30"/>
      <c r="M25" s="27">
        <f ca="1">SUMPRODUCT(N13:N23,F13:F23)</f>
        <v>146.5</v>
      </c>
      <c r="N25" s="27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">
      <c r="A26" s="27" t="s">
        <v>36</v>
      </c>
      <c r="B26" s="26" t="str" cm="1">
        <f t="array" aca="1" ref="B26" ca="1">IF(SUM(COUNTIF(M13:M23,{"Ab","Dt"}))=11, "Not Promoted to IInd Semester", IF(V25="", "PASS", "CARRY OVER"))</f>
        <v>PASS</v>
      </c>
      <c r="C26" s="26"/>
      <c r="D26" s="27" t="s">
        <v>37</v>
      </c>
      <c r="E26" s="26" t="str">
        <f ca="1">IF(V25="",IF(X25="","",X25),_xlfn.TEXTJOIN(" ",TRUE,"BACK IN",V25))</f>
        <v/>
      </c>
      <c r="F26" s="26"/>
      <c r="G26" s="27" t="s">
        <v>38</v>
      </c>
      <c r="H26" s="28">
        <f ca="1">M25/F25</f>
        <v>6.3695652173913047</v>
      </c>
      <c r="I26" s="27" t="s">
        <v>39</v>
      </c>
      <c r="J26" s="28">
        <f ca="1">IF(ISERROR(F8),"",VLOOKUP(B8,INDIRECT($F$8),12+(O24-1)*3,0))</f>
        <v>6.3695652173913047</v>
      </c>
      <c r="K26" s="26" t="s">
        <v>40</v>
      </c>
      <c r="L26" s="27">
        <f ca="1">SUMIF(N13:N23,"&gt;0",F13:F23)</f>
        <v>23</v>
      </c>
      <c r="M26" s="26" t="s">
        <v>41</v>
      </c>
      <c r="N26" s="27">
        <f ca="1">IF(ISERROR(F8),"",VLOOKUP(B8,INDIRECT($F$8),10+(O24-1)*3,0))</f>
        <v>23</v>
      </c>
    </row>
    <row r="27" spans="1:26" ht="12" customHeight="1" x14ac:dyDescent="0.2">
      <c r="A27" s="27"/>
      <c r="B27" s="26"/>
      <c r="C27" s="26"/>
      <c r="D27" s="27"/>
      <c r="E27" s="26"/>
      <c r="F27" s="26"/>
      <c r="G27" s="27"/>
      <c r="H27" s="28"/>
      <c r="I27" s="27"/>
      <c r="J27" s="28"/>
      <c r="K27" s="26"/>
      <c r="L27" s="27"/>
      <c r="M27" s="26"/>
      <c r="N27" s="27"/>
    </row>
    <row r="28" spans="1:26" ht="12" customHeight="1" x14ac:dyDescent="0.2">
      <c r="A28" s="27"/>
      <c r="B28" s="26"/>
      <c r="C28" s="26"/>
      <c r="D28" s="27"/>
      <c r="E28" s="26"/>
      <c r="F28" s="26"/>
      <c r="G28" s="27"/>
      <c r="H28" s="28"/>
      <c r="I28" s="27"/>
      <c r="J28" s="28"/>
      <c r="K28" s="26"/>
      <c r="L28" s="27"/>
      <c r="M28" s="26"/>
      <c r="N28" s="27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AMAN RAIWANI</v>
      </c>
    </row>
    <row r="30" spans="1:26" ht="12" customHeight="1" x14ac:dyDescent="0.2">
      <c r="A30" s="24" t="str">
        <f ca="1">IF(ISERROR(F29),"",A9)</f>
        <v>Name:</v>
      </c>
      <c r="B30" s="24" t="str">
        <f ca="1">IFERROR(VLOOKUP(B29,INDIRECT($F$8),4,0),"")</f>
        <v>AMAN RAIWANI</v>
      </c>
      <c r="C30" s="24"/>
      <c r="D30" s="24" t="str">
        <f ca="1">IF(ISERROR(F29),"",D9)</f>
        <v>Father's Name:</v>
      </c>
      <c r="E30" s="24" t="str">
        <f ca="1">IFERROR(VLOOKUP(B29,INDIRECT($F$8),5,0),"")</f>
        <v>ANIL KUMAR</v>
      </c>
      <c r="F30" s="24"/>
      <c r="G30" s="24" t="str">
        <f ca="1">IF(ISERROR(F29),"",G9)</f>
        <v>University Roll No:</v>
      </c>
      <c r="H30" s="24"/>
      <c r="I30" s="25">
        <f ca="1">IFERROR(VLOOKUP(B29,INDIRECT($F$8),2,0),"")</f>
        <v>250090111002</v>
      </c>
      <c r="J30" s="25"/>
      <c r="K30" s="24" t="str">
        <f ca="1">IF(ISERROR(F29),"",K9)</f>
        <v>University Enrol. No:</v>
      </c>
      <c r="L30" s="24"/>
      <c r="M30" s="25" t="str">
        <f ca="1">IFERROR(VLOOKUP(B29,INDIRECT($F$8),3,0),"")</f>
        <v>PUTU/2501104192</v>
      </c>
      <c r="N30" s="25"/>
    </row>
    <row r="31" spans="1:26" ht="12" customHeight="1" x14ac:dyDescent="0.2">
      <c r="A31" s="24"/>
      <c r="B31" s="24"/>
      <c r="C31" s="24"/>
      <c r="D31" s="24"/>
      <c r="E31" s="24"/>
      <c r="F31" s="24"/>
      <c r="G31" s="24"/>
      <c r="H31" s="24"/>
      <c r="I31" s="25"/>
      <c r="J31" s="25"/>
      <c r="K31" s="24"/>
      <c r="L31" s="24"/>
      <c r="M31" s="25"/>
      <c r="N31" s="25"/>
    </row>
    <row r="32" spans="1:26" ht="12" customHeight="1" x14ac:dyDescent="0.2">
      <c r="A32" s="26" t="str">
        <f ca="1">IF(ISERROR(F29),"",A11)</f>
        <v>Subject Code</v>
      </c>
      <c r="B32" s="26" t="str">
        <f ca="1">IF(ISERROR(F29),"",B11)</f>
        <v>Subject Name</v>
      </c>
      <c r="C32" s="26"/>
      <c r="D32" s="26"/>
      <c r="E32" s="26"/>
      <c r="F32" s="26" t="str">
        <f ca="1">IF(ISERROR(F29),"",F11)</f>
        <v>Credits</v>
      </c>
      <c r="G32" s="26" t="str">
        <f ca="1">IF(ISERROR(F29),"",G11)</f>
        <v>External Marks</v>
      </c>
      <c r="H32" s="26"/>
      <c r="I32" s="26" t="str">
        <f ca="1">IF(ISERROR(F29),"",I11)</f>
        <v>Sessional Marks</v>
      </c>
      <c r="J32" s="26"/>
      <c r="K32" s="26" t="str">
        <f ca="1">IF(ISERROR(F29),"",K11)</f>
        <v>Total Marks</v>
      </c>
      <c r="L32" s="26"/>
      <c r="M32" s="26" t="str">
        <f ca="1">IF(ISERROR(F29),"",M11)</f>
        <v>Grade</v>
      </c>
      <c r="N32" s="26" t="str">
        <f ca="1">IF(ISERROR(F29),"",N11)</f>
        <v>Grade Points</v>
      </c>
    </row>
    <row r="33" spans="1:31" ht="12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001</v>
      </c>
      <c r="B34" s="31" t="str">
        <f ca="1">IF(ISERROR(F29),"",VLOOKUP(D29,INDIRECT($F$8),6+(O34-1)*3,0))</f>
        <v>Engineering Physics</v>
      </c>
      <c r="C34" s="31"/>
      <c r="D34" s="31"/>
      <c r="E34" s="31"/>
      <c r="F34" s="7">
        <f ca="1">IF(ISERROR(F29),"",VLOOKUP(E29,INDIRECT($F$8),6+(O34-1)*3,0))</f>
        <v>4</v>
      </c>
      <c r="G34" s="29" t="str">
        <f ca="1">IF(ISERROR(F29),"",_xlfn.TEXTJOIN("/",FALSE,P34,S34))</f>
        <v>4/100</v>
      </c>
      <c r="H34" s="29"/>
      <c r="I34" s="29" t="str">
        <f ca="1">IF(ISERROR(F29),"",_xlfn.TEXTJOIN("/",FALSE,Q34,T34))</f>
        <v>16/50</v>
      </c>
      <c r="J34" s="29"/>
      <c r="K34" s="29" t="str">
        <f ca="1">IF(ISERROR(F29),"",_xlfn.TEXTJOIN("/",FALSE,R34,U34))</f>
        <v>20/150</v>
      </c>
      <c r="L34" s="29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F</v>
      </c>
      <c r="N34" s="8">
        <f ca="1">INDEX($Z$2:$Z$17,MATCH(M34,$Y$2:$Y$17,0))</f>
        <v>0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4</v>
      </c>
      <c r="Q34" s="1">
        <f ca="1">IF(ISERROR(F29),"",VLOOKUP(B29,INDIRECT($F$8),7+(O34-1)*3))</f>
        <v>16</v>
      </c>
      <c r="R34" s="1">
        <f ca="1">IF(ISERROR(F29),"",SUM(P34:Q34))</f>
        <v>20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>AHT 001</v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11</v>
      </c>
      <c r="X34" s="1" t="str">
        <f ca="1">IF(ISERROR(F29),"",IF(W34=0,"",_xlfn.TEXTJOIN("",FALSE," G+",W34," in ",A34)))</f>
        <v xml:space="preserve"> G+11 in AHT 001</v>
      </c>
    </row>
    <row r="35" spans="1:31" ht="12" customHeight="1" x14ac:dyDescent="0.2">
      <c r="A35" s="7" t="str">
        <f ca="1">IF(ISERROR(F29),"",VLOOKUP(C29,INDIRECT($F$8),6+(O35-1)*3,0))</f>
        <v>AHT 003</v>
      </c>
      <c r="B35" s="31" t="str">
        <f ca="1">IF(ISERROR(F29),"",VLOOKUP(D29,INDIRECT($F$8),6+(O35-1)*3,0))</f>
        <v>Introduction to Engineering Mathematics</v>
      </c>
      <c r="C35" s="31"/>
      <c r="D35" s="31"/>
      <c r="E35" s="31"/>
      <c r="F35" s="7">
        <f ca="1">IF(ISERROR(F29),"",VLOOKUP(E29,INDIRECT($F$8),6+(O35-1)*3,0))</f>
        <v>4</v>
      </c>
      <c r="G35" s="29" t="str">
        <f ca="1">IF(ISERROR(F29),"",_xlfn.TEXTJOIN("/",FALSE,P35,S35))</f>
        <v>D/100</v>
      </c>
      <c r="H35" s="29"/>
      <c r="I35" s="29" t="str">
        <f ca="1">IF(ISERROR(F29),"",_xlfn.TEXTJOIN("/",FALSE,Q35,T35))</f>
        <v>D/50</v>
      </c>
      <c r="J35" s="29"/>
      <c r="K35" s="29" t="str">
        <f ca="1">IF(ISERROR(F29),"",_xlfn.TEXTJOIN("/",FALSE,R35,U35))</f>
        <v>0/150</v>
      </c>
      <c r="L35" s="29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Dt</v>
      </c>
      <c r="N35" s="8">
        <f t="shared" ref="N35:N44" ca="1" si="2">INDEX($Z$2:$Z$17,MATCH(M35,$Y$2:$Y$17,0))</f>
        <v>0</v>
      </c>
      <c r="O35">
        <f>O34+1</f>
        <v>2</v>
      </c>
      <c r="P35" s="1" t="str">
        <f ca="1">IF(ISERROR(F29),"",IF(ISTEXT(VLOOKUP(B29,INDIRECT($F$8),6+(O35-1)*3)),(VLOOKUP(B29,INDIRECT($F$8),6+(O35-1)*3)),SUM(VLOOKUP(B29,INDIRECT($F$8),6+(O35-1)*3),IF(W46,W35,0))))</f>
        <v>D</v>
      </c>
      <c r="Q35" s="1" t="str">
        <f ca="1">IF(ISERROR(F29),"",VLOOKUP(B29,INDIRECT($F$8),7+(O35-1)*3))</f>
        <v>D</v>
      </c>
      <c r="R35" s="1">
        <f ca="1">IF(ISERROR(F29),"",SUM(P35:Q35))</f>
        <v>0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>AHT 003</v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11</v>
      </c>
      <c r="X35" s="1" t="str">
        <f ca="1">IF(ISERROR(F29),"",IF(W35=0,"",_xlfn.TEXTJOIN("",FALSE," G+",W35," in ",A35)))</f>
        <v xml:space="preserve"> G+11 in AHT 003</v>
      </c>
    </row>
    <row r="36" spans="1:31" ht="12" customHeight="1" x14ac:dyDescent="0.2">
      <c r="A36" s="7" t="str">
        <f ca="1">IF(ISERROR(F29),"",VLOOKUP(C29,INDIRECT($F$8),6+(O36-1)*3,0))</f>
        <v>EET 001</v>
      </c>
      <c r="B36" s="31" t="str">
        <f ca="1">IF(ISERROR(F29),"",VLOOKUP(D29,INDIRECT($F$8),6+(O36-1)*3,0))</f>
        <v>Basic Electrical Engineering</v>
      </c>
      <c r="C36" s="31"/>
      <c r="D36" s="31"/>
      <c r="E36" s="31"/>
      <c r="F36" s="7">
        <f ca="1">IF(ISERROR(F29),"",VLOOKUP(E29,INDIRECT($F$8),6+(O36-1)*3,0))</f>
        <v>4</v>
      </c>
      <c r="G36" s="29" t="str">
        <f ca="1">IF(ISERROR(F29),"",_xlfn.TEXTJOIN("/",FALSE,P36,S36))</f>
        <v>0/100</v>
      </c>
      <c r="H36" s="29"/>
      <c r="I36" s="29" t="str">
        <f ca="1">IF(ISERROR(F29),"",_xlfn.TEXTJOIN("/",FALSE,Q36,T36))</f>
        <v>25/50</v>
      </c>
      <c r="J36" s="29"/>
      <c r="K36" s="29" t="str">
        <f ca="1">IF(ISERROR(F29),"",_xlfn.TEXTJOIN("/",FALSE,R36,U36))</f>
        <v>25/150</v>
      </c>
      <c r="L36" s="29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F</v>
      </c>
      <c r="N36" s="8">
        <f t="shared" ca="1" si="2"/>
        <v>0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0</v>
      </c>
      <c r="Q36" s="1">
        <f ca="1">IF(ISERROR(F29),"",VLOOKUP(B29,INDIRECT($F$8),7+(O36-1)*3))</f>
        <v>25</v>
      </c>
      <c r="R36" s="1">
        <f ca="1">IF(ISERROR(F29),"",SUM(P36:Q36))</f>
        <v>25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>EET 001</v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11</v>
      </c>
      <c r="X36" s="1" t="str">
        <f ca="1">IF(ISERROR(F29),"",IF(W36=0,"",_xlfn.TEXTJOIN("",FALSE," G+",W36," in ",A36)))</f>
        <v xml:space="preserve"> G+11 in EET 001</v>
      </c>
    </row>
    <row r="37" spans="1:31" ht="12" customHeight="1" x14ac:dyDescent="0.2">
      <c r="A37" s="7" t="str">
        <f ca="1">IF(ISERROR(F29),"",VLOOKUP(C29,INDIRECT($F$8),6+(O37-1)*3,0))</f>
        <v>CST 001</v>
      </c>
      <c r="B37" s="31" t="str">
        <f ca="1">IF(ISERROR(F29),"",VLOOKUP(D29,INDIRECT($F$8),6+(O37-1)*3,0))</f>
        <v>Programming for Problem Solving</v>
      </c>
      <c r="C37" s="31"/>
      <c r="D37" s="31"/>
      <c r="E37" s="31"/>
      <c r="F37" s="7">
        <f ca="1">IF(ISERROR(F29),"",VLOOKUP(E29,INDIRECT($F$8),6+(O37-1)*3,0))</f>
        <v>4</v>
      </c>
      <c r="G37" s="29" t="str">
        <f ca="1">IF(ISERROR(F29),"",_xlfn.TEXTJOIN("/",FALSE,P37,S37))</f>
        <v>2/100</v>
      </c>
      <c r="H37" s="29"/>
      <c r="I37" s="29" t="str">
        <f ca="1">IF(ISERROR(F29),"",_xlfn.TEXTJOIN("/",FALSE,Q37,T37))</f>
        <v>19/50</v>
      </c>
      <c r="J37" s="29"/>
      <c r="K37" s="29" t="str">
        <f ca="1">IF(ISERROR(F29),"",_xlfn.TEXTJOIN("/",FALSE,R37,U37))</f>
        <v>21/150</v>
      </c>
      <c r="L37" s="29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F</v>
      </c>
      <c r="N37" s="8">
        <f t="shared" ca="1" si="2"/>
        <v>0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2</v>
      </c>
      <c r="Q37" s="1">
        <f ca="1">IF(ISERROR(F29),"",VLOOKUP(B29,INDIRECT($F$8),7+(O37-1)*3))</f>
        <v>19</v>
      </c>
      <c r="R37" s="1">
        <f ca="1">IF(ISERROR(F29),"",SUM(P37:Q37))</f>
        <v>21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>CST 001</v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11</v>
      </c>
      <c r="X37" s="1" t="str">
        <f ca="1">IF(ISERROR(F29),"",IF(W37=0,"",_xlfn.TEXTJOIN("",FALSE," G+",W37," in ",A37)))</f>
        <v xml:space="preserve"> G+11 in CST 001</v>
      </c>
    </row>
    <row r="38" spans="1:31" ht="12" customHeight="1" x14ac:dyDescent="0.2">
      <c r="A38" s="7" t="str">
        <f ca="1">IF(ISERROR(F29),"",VLOOKUP(C29,INDIRECT($F$8),6+(O38-1)*3,0))</f>
        <v>AHT 004</v>
      </c>
      <c r="B38" s="31" t="str">
        <f ca="1">IF(ISERROR(F29),"",VLOOKUP(D29,INDIRECT($F$8),6+(O38-1)*3,0))</f>
        <v>Environmental Studies ($)</v>
      </c>
      <c r="C38" s="31"/>
      <c r="D38" s="31"/>
      <c r="E38" s="31"/>
      <c r="F38" s="7">
        <f ca="1">IF(ISERROR(F29),"",VLOOKUP(E29,INDIRECT($F$8),6+(O38-1)*3,0))</f>
        <v>0</v>
      </c>
      <c r="G38" s="29" t="str">
        <f ca="1">IF(ISERROR(F29),"",_xlfn.TEXTJOIN("/",FALSE,P38,S38))</f>
        <v>13/50</v>
      </c>
      <c r="H38" s="29"/>
      <c r="I38" s="29" t="str">
        <f ca="1">IF(ISERROR(F29),"",_xlfn.TEXTJOIN("/",FALSE,Q38,T38))</f>
        <v>8/25</v>
      </c>
      <c r="J38" s="29"/>
      <c r="K38" s="29" t="str">
        <f ca="1">IF(ISERROR(F29),"",_xlfn.TEXTJOIN("/",FALSE,R38,U38))</f>
        <v>21/75</v>
      </c>
      <c r="L38" s="29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F</v>
      </c>
      <c r="N38" s="8">
        <f t="shared" ca="1" si="2"/>
        <v>0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13</v>
      </c>
      <c r="Q38" s="1">
        <f ca="1">IF(ISERROR(F29),"",VLOOKUP(B29,INDIRECT($F$8),7+(O38-1)*3))</f>
        <v>8</v>
      </c>
      <c r="R38" s="1">
        <f ca="1">IF(ISERROR(F29),"",SUM(P38:Q38))</f>
        <v>21</v>
      </c>
      <c r="S38" s="1">
        <f ca="1">IF(ISERROR(F29),"",VLOOKUP(A29,INDIRECT($F$8),6+(O38-1)*3))</f>
        <v>50</v>
      </c>
      <c r="T38" s="1">
        <f ca="1">IF(ISERROR(F29),"",VLOOKUP(A29,INDIRECT($F$8),7+(O38-1)*3))</f>
        <v>25</v>
      </c>
      <c r="U38" s="1">
        <f ca="1">IF(ISERROR(F29),"",VLOOKUP(A29,INDIRECT($F$8),8+(O38-1)*3))</f>
        <v>75</v>
      </c>
      <c r="V38" s="1" t="str">
        <f ca="1">IF(ISERROR(F29),"",IF(N38=0,A38,""))</f>
        <v>AHT 004</v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11</v>
      </c>
      <c r="X38" s="1" t="str">
        <f ca="1">IF(ISERROR(F29),"",IF(W38=0,"",_xlfn.TEXTJOIN("",FALSE," G+",W38," in ",A38)))</f>
        <v xml:space="preserve"> G+11 in AHT 004</v>
      </c>
    </row>
    <row r="39" spans="1:31" ht="12" customHeight="1" x14ac:dyDescent="0.2">
      <c r="A39" s="7" t="str">
        <f ca="1">IF(ISERROR(F29),"",VLOOKUP(C29,INDIRECT($F$8),6+(O39-1)*3,0))</f>
        <v>AHP 001</v>
      </c>
      <c r="B39" s="31" t="str">
        <f ca="1">IF(ISERROR(F29),"",VLOOKUP(D29,INDIRECT($F$8),6+(O39-1)*3,0))</f>
        <v>Engineering Physics Lab</v>
      </c>
      <c r="C39" s="31"/>
      <c r="D39" s="31"/>
      <c r="E39" s="31"/>
      <c r="F39" s="7">
        <f ca="1">IF(ISERROR(F29),"",VLOOKUP(E29,INDIRECT($F$8),6+(O39-1)*3,0))</f>
        <v>1</v>
      </c>
      <c r="G39" s="29" t="str">
        <f ca="1">IF(ISERROR(F29),"",_xlfn.TEXTJOIN("/",FALSE,P39,S39))</f>
        <v>19/25</v>
      </c>
      <c r="H39" s="29"/>
      <c r="I39" s="29" t="str">
        <f ca="1">IF(ISERROR(F29),"",_xlfn.TEXTJOIN("/",FALSE,Q39,T39))</f>
        <v>21/25</v>
      </c>
      <c r="J39" s="29"/>
      <c r="K39" s="29" t="str">
        <f ca="1">IF(ISERROR(F29),"",_xlfn.TEXTJOIN("/",FALSE,R39,U39))</f>
        <v>40/50</v>
      </c>
      <c r="L39" s="29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B+</v>
      </c>
      <c r="N39" s="8">
        <f t="shared" ca="1" si="2"/>
        <v>8.5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19</v>
      </c>
      <c r="Q39" s="1">
        <f ca="1">IF(ISERROR(F29),"",VLOOKUP(B29,INDIRECT($F$8),7+(O39-1)*3))</f>
        <v>21</v>
      </c>
      <c r="R39" s="1">
        <f ca="1">IF(ISERROR(F29),"",SUM(P39:Q39))</f>
        <v>40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EEP 001</v>
      </c>
      <c r="B40" s="31" t="str">
        <f ca="1">IF(ISERROR(F29),"",VLOOKUP(D29,INDIRECT($F$8),6+(O40-1)*3,0))</f>
        <v>Basic Electrical Engineering Lab</v>
      </c>
      <c r="C40" s="31"/>
      <c r="D40" s="31"/>
      <c r="E40" s="31"/>
      <c r="F40" s="7">
        <f ca="1">IF(ISERROR(F29),"",VLOOKUP(E29,INDIRECT($F$8),6+(O40-1)*3,0))</f>
        <v>1</v>
      </c>
      <c r="G40" s="29" t="str">
        <f ca="1">IF(ISERROR(F29),"",_xlfn.TEXTJOIN("/",FALSE,P40,S40))</f>
        <v>16/25</v>
      </c>
      <c r="H40" s="29"/>
      <c r="I40" s="29" t="str">
        <f ca="1">IF(ISERROR(F29),"",_xlfn.TEXTJOIN("/",FALSE,Q40,T40))</f>
        <v>14/25</v>
      </c>
      <c r="J40" s="29"/>
      <c r="K40" s="29" t="str">
        <f ca="1">IF(ISERROR(F29),"",_xlfn.TEXTJOIN("/",FALSE,R40,U40))</f>
        <v>30/50</v>
      </c>
      <c r="L40" s="29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D+</v>
      </c>
      <c r="N40" s="8">
        <f t="shared" ca="1" si="2"/>
        <v>6.5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16</v>
      </c>
      <c r="Q40" s="1">
        <f ca="1">IF(ISERROR(F29),"",VLOOKUP(B29,INDIRECT($F$8),7+(O40-1)*3))</f>
        <v>14</v>
      </c>
      <c r="R40" s="1">
        <f ca="1">IF(ISERROR(F29),"",SUM(P40:Q40))</f>
        <v>30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CSP 001</v>
      </c>
      <c r="B41" s="31" t="str">
        <f ca="1">IF(ISERROR(F29),"",VLOOKUP(D29,INDIRECT($F$8),6+(O41-1)*3-Z41,0))</f>
        <v>Programming for Problem Solving Lab</v>
      </c>
      <c r="C41" s="31"/>
      <c r="D41" s="31"/>
      <c r="E41" s="31"/>
      <c r="F41" s="7">
        <f ca="1">IF(ISERROR(F29),"",VLOOKUP(E29,INDIRECT($F$8),6+(O41-1)*3,0))</f>
        <v>1</v>
      </c>
      <c r="G41" s="29" t="str">
        <f ca="1">IF(ISERROR(F29),"",_xlfn.TEXTJOIN("/",FALSE,P41,S41))</f>
        <v>17/25</v>
      </c>
      <c r="H41" s="29"/>
      <c r="I41" s="29" t="str">
        <f ca="1">IF(ISERROR(F29),"",_xlfn.TEXTJOIN("/",FALSE,Q41,T41))</f>
        <v>16/25</v>
      </c>
      <c r="J41" s="29"/>
      <c r="K41" s="29" t="str">
        <f ca="1">IF(ISERROR(F29),"",_xlfn.TEXTJOIN("/",FALSE,R41,U41))</f>
        <v>33/50</v>
      </c>
      <c r="L41" s="29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C</v>
      </c>
      <c r="N41" s="8">
        <f t="shared" ca="1" si="2"/>
        <v>7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17</v>
      </c>
      <c r="Q41" s="1">
        <f ca="1">IF(ISERROR(F29),"",VLOOKUP(B29,INDIRECT($F$8),7+(O41-1)*3))</f>
        <v>16</v>
      </c>
      <c r="R41" s="1">
        <f ca="1">IF(ISERROR(F29),"",SUM(P41:Q41))</f>
        <v>33</v>
      </c>
      <c r="S41" s="1">
        <f ca="1">IF(ISERROR(F29),"",VLOOKUP(A29,INDIRECT($F$8),6+(O41-1)*3))</f>
        <v>25</v>
      </c>
      <c r="T41" s="1">
        <f ca="1">IF(ISERROR(F29),"",VLOOKUP(A29,INDIRECT($F$8),7+(O41-1)*3))</f>
        <v>25</v>
      </c>
      <c r="U41" s="1">
        <f ca="1">IF(ISERROR(F29),"",VLOOKUP(A29,INDIRECT($F$8),8+(O41-1)*3))</f>
        <v>50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MEP 002</v>
      </c>
      <c r="B42" s="31" t="str">
        <f ca="1">IF(ISERROR(F29),"",VLOOKUP(D29,INDIRECT($F$8),6+(O42-1)*3-Z42,0))</f>
        <v>Engineering Graphics &amp; Design Lab</v>
      </c>
      <c r="C42" s="31"/>
      <c r="D42" s="31"/>
      <c r="E42" s="31"/>
      <c r="F42" s="7">
        <f ca="1">IF(ISERROR(F29),"",VLOOKUP(E29,INDIRECT($F$8),6+(O42-1)*3,0))</f>
        <v>2</v>
      </c>
      <c r="G42" s="29" t="str">
        <f ca="1">IF(ISERROR(F29),"",_xlfn.TEXTJOIN("/",FALSE,P42,S42))</f>
        <v>37/50</v>
      </c>
      <c r="H42" s="29"/>
      <c r="I42" s="29" t="str">
        <f ca="1">IF(ISERROR(F29),"",_xlfn.TEXTJOIN("/",FALSE,Q42,T42))</f>
        <v>33/50</v>
      </c>
      <c r="J42" s="29"/>
      <c r="K42" s="29" t="str">
        <f ca="1">IF(ISERROR(F29),"",_xlfn.TEXTJOIN("/",FALSE,R42,U42))</f>
        <v>70/100</v>
      </c>
      <c r="L42" s="29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C+</v>
      </c>
      <c r="N42" s="8">
        <f t="shared" ca="1" si="2"/>
        <v>7.5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37</v>
      </c>
      <c r="Q42" s="1">
        <f ca="1">IF(ISERROR(F29),"",VLOOKUP(B29,INDIRECT($F$8),7+(O42-1)*3))</f>
        <v>33</v>
      </c>
      <c r="R42" s="1">
        <f ca="1">IF(ISERROR(F29),"",SUM(P42:Q42))</f>
        <v>70</v>
      </c>
      <c r="S42" s="1">
        <f ca="1">IF(ISERROR(F29),"",VLOOKUP(A29,INDIRECT($F$8),6+(O42-1)*3))</f>
        <v>50</v>
      </c>
      <c r="T42" s="1">
        <f ca="1">IF(ISERROR(F29),"",VLOOKUP(A29,INDIRECT($F$8),7+(O42-1)*3))</f>
        <v>50</v>
      </c>
      <c r="U42" s="1">
        <f ca="1">IF(ISERROR(F29),"",VLOOKUP(A29,INDIRECT($F$8),8+(O42-1)*3))</f>
        <v>100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AHP 003</v>
      </c>
      <c r="B43" s="31" t="str">
        <f ca="1">IF(ISERROR(F29),"",VLOOKUP(D29,INDIRECT($F$8),6+(O43-1)*3,0))</f>
        <v>Introduction to Digital Marketing Lab</v>
      </c>
      <c r="C43" s="31"/>
      <c r="D43" s="31"/>
      <c r="E43" s="31"/>
      <c r="F43" s="7">
        <f ca="1">IF(ISERROR(F29),"",VLOOKUP(E29,INDIRECT($F$8),6+(O43-1)*3,0))</f>
        <v>1</v>
      </c>
      <c r="G43" s="29" t="str">
        <f ca="1">IF(ISERROR(F29),"",_xlfn.TEXTJOIN("/",FALSE,P43,S43))</f>
        <v>16/25</v>
      </c>
      <c r="H43" s="29"/>
      <c r="I43" s="29" t="str">
        <f ca="1">IF(ISERROR(F29),"",_xlfn.TEXTJOIN("/",FALSE,Q43,T43))</f>
        <v>19/25</v>
      </c>
      <c r="J43" s="29"/>
      <c r="K43" s="29" t="str">
        <f ca="1">IF(ISERROR(F29),"",_xlfn.TEXTJOIN("/",FALSE,R43,U43))</f>
        <v>35/50</v>
      </c>
      <c r="L43" s="29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C+</v>
      </c>
      <c r="N43" s="8">
        <f t="shared" ca="1" si="2"/>
        <v>7.5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16</v>
      </c>
      <c r="Q43" s="1">
        <f ca="1">IF(ISERROR(F29),"",VLOOKUP(B29,INDIRECT($F$8),7+(O43-1)*3))</f>
        <v>19</v>
      </c>
      <c r="R43" s="1">
        <f ca="1">IF(ISERROR(F29),"",SUM(P43:Q43))</f>
        <v>35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005</v>
      </c>
      <c r="B44" s="31" t="str">
        <f ca="1">IF(ISERROR(F29),"",VLOOKUP(D29,INDIRECT($F$8),6+(O44-1)*3,0))</f>
        <v>Self Employment &amp; Entrepreneurship Development</v>
      </c>
      <c r="C44" s="31"/>
      <c r="D44" s="31"/>
      <c r="E44" s="31"/>
      <c r="F44" s="7">
        <f ca="1">IF(ISERROR(F29),"",VLOOKUP(E29,INDIRECT($F$8),6+(O44-1)*3,0))</f>
        <v>1</v>
      </c>
      <c r="G44" s="29" t="str">
        <f ca="1">IF(ISERROR(F29),"",_xlfn.TEXTJOIN("/",FALSE,P44,S44))</f>
        <v>23/25</v>
      </c>
      <c r="H44" s="29"/>
      <c r="I44" s="29" t="str">
        <f ca="1">IF(ISERROR(F29),"",_xlfn.TEXTJOIN("/",FALSE,Q44,T44))</f>
        <v>23/25</v>
      </c>
      <c r="J44" s="29"/>
      <c r="K44" s="29" t="str">
        <f ca="1">IF(ISERROR(F29),"",_xlfn.TEXTJOIN("/",FALSE,R44,U44))</f>
        <v>46/50</v>
      </c>
      <c r="L44" s="29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A+</v>
      </c>
      <c r="N44" s="8">
        <f t="shared" ca="1" si="2"/>
        <v>9.5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23</v>
      </c>
      <c r="Q44" s="1">
        <f ca="1">IF(ISERROR(F29),"",VLOOKUP(B29,INDIRECT($F$8),7+(O44-1)*3))</f>
        <v>23</v>
      </c>
      <c r="R44" s="1">
        <f ca="1">IF(ISERROR(F29),"",SUM(P44:Q44))</f>
        <v>46</v>
      </c>
      <c r="S44" s="1">
        <f ca="1">IF(ISERROR(F29),"",VLOOKUP(A29,INDIRECT($F$8),6+(O44-1)*3))</f>
        <v>25</v>
      </c>
      <c r="T44" s="1">
        <f ca="1">IF(ISERROR(F29),"",VLOOKUP(A29,INDIRECT($F$8),7+(O44-1)*3))</f>
        <v>25</v>
      </c>
      <c r="U44" s="1">
        <f ca="1">IF(ISERROR(F29),"",VLOOKUP(A29,INDIRECT($F$8),8+(O44-1)*3))</f>
        <v>50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31" t="str">
        <f ca="1">IF(ISERROR(F29),"",VLOOKUP(D29,INDIRECT($F$8),6+(O45-1)*3-Z45,0))</f>
        <v>General Proficiency ($)</v>
      </c>
      <c r="C45" s="31"/>
      <c r="D45" s="31"/>
      <c r="E45" s="31"/>
      <c r="F45" s="7">
        <f ca="1">IF(ISERROR(F29),"",VLOOKUP(E29,INDIRECT($F$8),6+(O45-1)*3-AA45,0))</f>
        <v>0</v>
      </c>
      <c r="G45" s="29" t="str">
        <f ca="1">IF(ISERROR(F29),"","-")</f>
        <v>-</v>
      </c>
      <c r="H45" s="29"/>
      <c r="I45" s="29" t="str">
        <f ca="1">IF(ISERROR(F29),"",_xlfn.TEXTJOIN("/",FALSE,Q45,T45))</f>
        <v>48/50</v>
      </c>
      <c r="J45" s="29"/>
      <c r="K45" s="29" t="str">
        <f ca="1">IF(ISERROR(F29),"",_xlfn.TEXTJOIN("/",FALSE,R45,U45))</f>
        <v>48/50</v>
      </c>
      <c r="L45" s="29"/>
      <c r="M45" s="29" t="str">
        <f ca="1">IF(ISBLANK(R45),"",IF(ISTEXT(R45),R45,IF(R45&gt;=0.8*U45,"Excellent",IF(R45&gt;=0.6*U45,"Very Good",IF(R45&gt;=0.4*U45,"Good",IF(R45&gt;=0.2*U45,"Satisfactory","Average"))))))</f>
        <v>Excellent</v>
      </c>
      <c r="N45" s="29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48</v>
      </c>
      <c r="R45" s="1">
        <f ca="1">IF(ISERROR(F29),"",SUM(P45:Q45))</f>
        <v>48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7" t="str">
        <f ca="1">IF(ISERROR(F29),"",A25)</f>
        <v>Total Credits/ Marks/ Total Grade Points</v>
      </c>
      <c r="B46" s="27"/>
      <c r="C46" s="27"/>
      <c r="D46" s="27"/>
      <c r="E46" s="27"/>
      <c r="F46" s="10">
        <f ca="1">IF(ISERROR(F29),"",SUM(F34:F44))</f>
        <v>23</v>
      </c>
      <c r="G46" s="30" t="str">
        <f ca="1">IF(ISERROR(F29),"",_xlfn.TEXTJOIN("/",TRUE,SUMIF(F34:F45,"&gt;0",P34:P45),SUMIF(F34:F45,"&gt;0",S34:S45)))</f>
        <v>134/575</v>
      </c>
      <c r="H46" s="30"/>
      <c r="I46" s="30" t="str">
        <f ca="1">IF(ISERROR(F29),"",_xlfn.TEXTJOIN("/",TRUE,SUMIF(F34:F45,"&gt;0",Q34:Q45),SUMIF(F34:F45,"&gt;0",T34:T45)))</f>
        <v>186/375</v>
      </c>
      <c r="J46" s="30"/>
      <c r="K46" s="30" t="str">
        <f ca="1">IF(ISERROR(F29),"",_xlfn.TEXTJOIN("/",TRUE,SUMIF(F34:F45,"&gt;0",R34:R45),SUMIF(F34:F45,"&gt;0",U34:U45)))</f>
        <v>320/950</v>
      </c>
      <c r="L46" s="30"/>
      <c r="M46" s="27">
        <f ca="1">IF(ISERROR(F29),"",SUMPRODUCT(N34:N44,F34:F44))</f>
        <v>54</v>
      </c>
      <c r="N46" s="27"/>
      <c r="V46" s="1" t="str">
        <f ca="1">IF(ISERROR(F29),"",_xlfn.TEXTJOIN(", ",TRUE,V34:V45))</f>
        <v>AHT 001, AHT 003, EET 001, CST 001, AHT 004</v>
      </c>
      <c r="W46" t="b">
        <f ca="1">IF(ISERROR(F29),"",IF(SUM(W34:W45)&lt;=W33,TRUE,FALSE))</f>
        <v>0</v>
      </c>
      <c r="X46" s="1" t="str">
        <f ca="1">IF(ISERROR(F29),"",_xlfn.TEXTJOIN(",",TRUE,X34:X45))</f>
        <v xml:space="preserve"> G+11 in AHT 001, G+11 in AHT 003, G+11 in EET 001, G+11 in CST 001, G+11 in AHT 004</v>
      </c>
    </row>
    <row r="47" spans="1:31" ht="12" customHeight="1" x14ac:dyDescent="0.2">
      <c r="A47" s="27" t="str">
        <f ca="1">IF(ISERROR(F29),"",A26)</f>
        <v>Result:</v>
      </c>
      <c r="B47" s="26" t="str" cm="1">
        <f t="array" aca="1" ref="B47" ca="1">IF(SUM(COUNTIF(M34:M44,{"Ab","Dt"}))=11, "Not Promoted to IInd Semester", IF(V46="", "PASS", "CARRY OVER"))</f>
        <v>CARRY OVER</v>
      </c>
      <c r="C47" s="26"/>
      <c r="D47" s="27" t="str">
        <f ca="1">IF(ISERROR(F29),"",D26)</f>
        <v>Remark:</v>
      </c>
      <c r="E47" s="26" t="str">
        <f ca="1">IF(ISERROR(F29),"",IF(V46="",IF(X46="","",X46),_xlfn.TEXTJOIN(" ",TRUE,"BACK IN",V46)))</f>
        <v>BACK IN AHT 001, AHT 003, EET 001, CST 001, AHT 004</v>
      </c>
      <c r="F47" s="26"/>
      <c r="G47" s="27" t="str">
        <f ca="1">IF(ISERROR(F29),"",G26)</f>
        <v>SGPA:</v>
      </c>
      <c r="H47" s="28">
        <f ca="1">IF(ISERROR(F29),"",M46/F46)</f>
        <v>2.347826086956522</v>
      </c>
      <c r="I47" s="27" t="str">
        <f ca="1">IF(ISERROR(F29),"",I26)</f>
        <v>CGPA:</v>
      </c>
      <c r="J47" s="28">
        <f ca="1">IF(ISERROR(F29),"",VLOOKUP(B29,INDIRECT($F$8),12+(O45-1)*3,0))</f>
        <v>2.347826086956522</v>
      </c>
      <c r="K47" s="26" t="str">
        <f ca="1">IF(ISERROR(F29),"",K26)</f>
        <v>Earned Credits:</v>
      </c>
      <c r="L47" s="27">
        <f ca="1">IF(ISERROR(F29),"",SUMIF(N34:N44,"&gt;0",F34:F44))</f>
        <v>7</v>
      </c>
      <c r="M47" s="26" t="str">
        <f ca="1">IF(ISERROR(F29),"",M26)</f>
        <v>Cuml. Earned Credits:</v>
      </c>
      <c r="N47" s="27">
        <f ca="1">IF(ISERROR(F29),"",VLOOKUP(B29,INDIRECT($F$8),10+(O45-1)*3,0))</f>
        <v>7</v>
      </c>
    </row>
    <row r="48" spans="1:31" ht="12" customHeight="1" x14ac:dyDescent="0.2">
      <c r="A48" s="27"/>
      <c r="B48" s="26"/>
      <c r="C48" s="26"/>
      <c r="D48" s="27"/>
      <c r="E48" s="26"/>
      <c r="F48" s="26"/>
      <c r="G48" s="27"/>
      <c r="H48" s="28"/>
      <c r="I48" s="27"/>
      <c r="J48" s="28"/>
      <c r="K48" s="26"/>
      <c r="L48" s="27"/>
      <c r="M48" s="26"/>
      <c r="N48" s="27"/>
    </row>
    <row r="49" spans="1:24" ht="12" customHeight="1" x14ac:dyDescent="0.2">
      <c r="A49" s="27"/>
      <c r="B49" s="26"/>
      <c r="C49" s="26"/>
      <c r="D49" s="27"/>
      <c r="E49" s="26"/>
      <c r="F49" s="26"/>
      <c r="G49" s="27"/>
      <c r="H49" s="28"/>
      <c r="I49" s="27"/>
      <c r="J49" s="28"/>
      <c r="K49" s="26"/>
      <c r="L49" s="27"/>
      <c r="M49" s="26"/>
      <c r="N49" s="27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ANUSHKA DIXIT</v>
      </c>
    </row>
    <row r="51" spans="1:24" ht="12" customHeight="1" x14ac:dyDescent="0.2">
      <c r="A51" s="24" t="str">
        <f ca="1">IF(ISERROR(F50),"",A30)</f>
        <v>Name:</v>
      </c>
      <c r="B51" s="24" t="str">
        <f ca="1">IFERROR(VLOOKUP(B50,INDIRECT($F$8),4,0),"")</f>
        <v>ANUSHKA DIXIT</v>
      </c>
      <c r="C51" s="24"/>
      <c r="D51" s="24" t="str">
        <f ca="1">IF(ISERROR(F50),"",D30)</f>
        <v>Father's Name:</v>
      </c>
      <c r="E51" s="24" t="str">
        <f ca="1">IFERROR(VLOOKUP(B50,INDIRECT($F$8),5,0),"")</f>
        <v>DUSHYANT DIXIT</v>
      </c>
      <c r="F51" s="24"/>
      <c r="G51" s="24" t="str">
        <f ca="1">IF(ISERROR(F50),"",G30)</f>
        <v>University Roll No:</v>
      </c>
      <c r="H51" s="24"/>
      <c r="I51" s="25">
        <f ca="1">IFERROR(VLOOKUP(B50,INDIRECT($F$8),2,0),"")</f>
        <v>250090111003</v>
      </c>
      <c r="J51" s="25"/>
      <c r="K51" s="24" t="str">
        <f ca="1">IF(ISERROR(F50),"",K30)</f>
        <v>University Enrol. No:</v>
      </c>
      <c r="L51" s="24"/>
      <c r="M51" s="25" t="str">
        <f ca="1">IFERROR(VLOOKUP(B50,INDIRECT($F$8),3,0),"")</f>
        <v>PUTU/2501104373</v>
      </c>
      <c r="N51" s="25"/>
    </row>
    <row r="52" spans="1:24" ht="12" customHeight="1" x14ac:dyDescent="0.2">
      <c r="A52" s="24"/>
      <c r="B52" s="24"/>
      <c r="C52" s="24"/>
      <c r="D52" s="24"/>
      <c r="E52" s="24"/>
      <c r="F52" s="24"/>
      <c r="G52" s="24"/>
      <c r="H52" s="24"/>
      <c r="I52" s="25"/>
      <c r="J52" s="25"/>
      <c r="K52" s="24"/>
      <c r="L52" s="24"/>
      <c r="M52" s="25"/>
      <c r="N52" s="25"/>
    </row>
    <row r="53" spans="1:24" ht="12" customHeight="1" x14ac:dyDescent="0.2">
      <c r="A53" s="26" t="str">
        <f ca="1">IF(ISERROR(F50),"",A32)</f>
        <v>Subject Code</v>
      </c>
      <c r="B53" s="26" t="str">
        <f ca="1">IF(ISERROR(F50),"",B32)</f>
        <v>Subject Name</v>
      </c>
      <c r="C53" s="26"/>
      <c r="D53" s="26"/>
      <c r="E53" s="26"/>
      <c r="F53" s="26" t="str">
        <f ca="1">IF(ISERROR(F50),"",F32)</f>
        <v>Credits</v>
      </c>
      <c r="G53" s="26" t="str">
        <f ca="1">IF(ISERROR(F50),"",G32)</f>
        <v>External Marks</v>
      </c>
      <c r="H53" s="26"/>
      <c r="I53" s="26" t="str">
        <f ca="1">IF(ISERROR(F50),"",I32)</f>
        <v>Sessional Marks</v>
      </c>
      <c r="J53" s="26"/>
      <c r="K53" s="26" t="str">
        <f ca="1">IF(ISERROR(F50),"",K32)</f>
        <v>Total Marks</v>
      </c>
      <c r="L53" s="26"/>
      <c r="M53" s="26" t="str">
        <f ca="1">IF(ISERROR(F50),"",M32)</f>
        <v>Grade</v>
      </c>
      <c r="N53" s="26" t="str">
        <f ca="1">IF(ISERROR(F50),"",N32)</f>
        <v>Grade Points</v>
      </c>
    </row>
    <row r="54" spans="1:24" ht="12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001</v>
      </c>
      <c r="B55" s="31" t="str">
        <f ca="1">IF(ISERROR(F50),"",VLOOKUP(D50,INDIRECT($F$8),6+(O55-1)*3,0))</f>
        <v>Engineering Physics</v>
      </c>
      <c r="C55" s="31"/>
      <c r="D55" s="31"/>
      <c r="E55" s="31"/>
      <c r="F55" s="7">
        <f ca="1">IF(ISERROR(F50),"",VLOOKUP(E50,INDIRECT($F$8),6+(O55-1)*3,0))</f>
        <v>4</v>
      </c>
      <c r="G55" s="29" t="str">
        <f ca="1">IF(ISERROR(F50),"",_xlfn.TEXTJOIN("/",FALSE,P55,S55))</f>
        <v>37/100</v>
      </c>
      <c r="H55" s="29"/>
      <c r="I55" s="29" t="str">
        <f ca="1">IF(ISERROR(F50),"",_xlfn.TEXTJOIN("/",FALSE,Q55,T55))</f>
        <v>23/50</v>
      </c>
      <c r="J55" s="29"/>
      <c r="K55" s="29" t="str">
        <f ca="1">IF(ISERROR(F50),"",_xlfn.TEXTJOIN("/",FALSE,R55,U55))</f>
        <v>60/150</v>
      </c>
      <c r="L55" s="29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P</v>
      </c>
      <c r="N55" s="8">
        <f ca="1">INDEX($Z$2:$Z$17,MATCH(M55,$Y$2:$Y$17,0))</f>
        <v>4.5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37</v>
      </c>
      <c r="Q55" s="1">
        <f ca="1">IF(ISERROR(F50),"",VLOOKUP(B50,INDIRECT($F$8),7+(O55-1)*3))</f>
        <v>23</v>
      </c>
      <c r="R55" s="1">
        <f ca="1">IF(ISERROR(F50),"",SUM(P55:Q55))</f>
        <v>60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">
      <c r="A56" s="7" t="str">
        <f ca="1">IF(ISERROR(F50),"",VLOOKUP(C50,INDIRECT($F$8),6+(O56-1)*3,0))</f>
        <v>AHT 003</v>
      </c>
      <c r="B56" s="31" t="str">
        <f ca="1">IF(ISERROR(F50),"",VLOOKUP(D50,INDIRECT($F$8),6+(O56-1)*3,0))</f>
        <v>Introduction to Engineering Mathematics</v>
      </c>
      <c r="C56" s="31"/>
      <c r="D56" s="31"/>
      <c r="E56" s="31"/>
      <c r="F56" s="7">
        <f ca="1">IF(ISERROR(F50),"",VLOOKUP(E50,INDIRECT($F$8),6+(O56-1)*3,0))</f>
        <v>4</v>
      </c>
      <c r="G56" s="29" t="str">
        <f ca="1">IF(ISERROR(F50),"",_xlfn.TEXTJOIN("/",FALSE,P56,S56))</f>
        <v>14/100</v>
      </c>
      <c r="H56" s="29"/>
      <c r="I56" s="29" t="str">
        <f ca="1">IF(ISERROR(F50),"",_xlfn.TEXTJOIN("/",FALSE,Q56,T56))</f>
        <v>18/50</v>
      </c>
      <c r="J56" s="29"/>
      <c r="K56" s="29" t="str">
        <f ca="1">IF(ISERROR(F50),"",_xlfn.TEXTJOIN("/",FALSE,R56,U56))</f>
        <v>32/150</v>
      </c>
      <c r="L56" s="29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F</v>
      </c>
      <c r="N56" s="8">
        <f t="shared" ref="N56:N65" ca="1" si="5">INDEX($Z$2:$Z$17,MATCH(M56,$Y$2:$Y$17,0))</f>
        <v>0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14</v>
      </c>
      <c r="Q56" s="1">
        <f ca="1">IF(ISERROR(F50),"",VLOOKUP(B50,INDIRECT($F$8),7+(O56-1)*3))</f>
        <v>18</v>
      </c>
      <c r="R56" s="1">
        <f ca="1">IF(ISERROR(F50),"",SUM(P56:Q56))</f>
        <v>32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>AHT 003</v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11</v>
      </c>
      <c r="X56" s="1" t="str">
        <f ca="1">IF(ISERROR(F50),"",IF(W56=0,"",_xlfn.TEXTJOIN("",FALSE," G+",W56," in ",A56)))</f>
        <v xml:space="preserve"> G+11 in AHT 003</v>
      </c>
    </row>
    <row r="57" spans="1:24" ht="12" customHeight="1" x14ac:dyDescent="0.2">
      <c r="A57" s="7" t="str">
        <f ca="1">IF(ISERROR(F50),"",VLOOKUP(C50,INDIRECT($F$8),6+(O57-1)*3,0))</f>
        <v>EET 001</v>
      </c>
      <c r="B57" s="31" t="str">
        <f ca="1">IF(ISERROR(F50),"",VLOOKUP(D50,INDIRECT($F$8),6+(O57-1)*3,0))</f>
        <v>Basic Electrical Engineering</v>
      </c>
      <c r="C57" s="31"/>
      <c r="D57" s="31"/>
      <c r="E57" s="31"/>
      <c r="F57" s="7">
        <f ca="1">IF(ISERROR(F50),"",VLOOKUP(E50,INDIRECT($F$8),6+(O57-1)*3,0))</f>
        <v>4</v>
      </c>
      <c r="G57" s="29" t="str">
        <f ca="1">IF(ISERROR(F50),"",_xlfn.TEXTJOIN("/",FALSE,P57,S57))</f>
        <v>37/100</v>
      </c>
      <c r="H57" s="29"/>
      <c r="I57" s="29" t="str">
        <f ca="1">IF(ISERROR(F50),"",_xlfn.TEXTJOIN("/",FALSE,Q57,T57))</f>
        <v>33/50</v>
      </c>
      <c r="J57" s="29"/>
      <c r="K57" s="29" t="str">
        <f ca="1">IF(ISERROR(F50),"",_xlfn.TEXTJOIN("/",FALSE,R57,U57))</f>
        <v>70/150</v>
      </c>
      <c r="L57" s="29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E</v>
      </c>
      <c r="N57" s="8">
        <f t="shared" ca="1" si="5"/>
        <v>5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37</v>
      </c>
      <c r="Q57" s="1">
        <f ca="1">IF(ISERROR(F50),"",VLOOKUP(B50,INDIRECT($F$8),7+(O57-1)*3))</f>
        <v>33</v>
      </c>
      <c r="R57" s="1">
        <f ca="1">IF(ISERROR(F50),"",SUM(P57:Q57))</f>
        <v>70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/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0</v>
      </c>
      <c r="X57" s="1" t="str">
        <f ca="1">IF(ISERROR(F50),"",IF(W57=0,"",_xlfn.TEXTJOIN("",FALSE," G+",W57," in ",A57)))</f>
        <v/>
      </c>
    </row>
    <row r="58" spans="1:24" ht="12" customHeight="1" x14ac:dyDescent="0.2">
      <c r="A58" s="7" t="str">
        <f ca="1">IF(ISERROR(F50),"",VLOOKUP(C50,INDIRECT($F$8),6+(O58-1)*3,0))</f>
        <v>CST 001</v>
      </c>
      <c r="B58" s="31" t="str">
        <f ca="1">IF(ISERROR(F50),"",VLOOKUP(D50,INDIRECT($F$8),6+(O58-1)*3,0))</f>
        <v>Programming for Problem Solving</v>
      </c>
      <c r="C58" s="31"/>
      <c r="D58" s="31"/>
      <c r="E58" s="31"/>
      <c r="F58" s="7">
        <f ca="1">IF(ISERROR(F50),"",VLOOKUP(E50,INDIRECT($F$8),6+(O58-1)*3,0))</f>
        <v>4</v>
      </c>
      <c r="G58" s="29" t="str">
        <f ca="1">IF(ISERROR(F50),"",_xlfn.TEXTJOIN("/",FALSE,P58,S58))</f>
        <v>33/100</v>
      </c>
      <c r="H58" s="29"/>
      <c r="I58" s="29" t="str">
        <f ca="1">IF(ISERROR(F50),"",_xlfn.TEXTJOIN("/",FALSE,Q58,T58))</f>
        <v>28/50</v>
      </c>
      <c r="J58" s="29"/>
      <c r="K58" s="29" t="str">
        <f ca="1">IF(ISERROR(F50),"",_xlfn.TEXTJOIN("/",FALSE,R58,U58))</f>
        <v>61/150</v>
      </c>
      <c r="L58" s="29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P</v>
      </c>
      <c r="N58" s="8">
        <f t="shared" ca="1" si="5"/>
        <v>4.5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33</v>
      </c>
      <c r="Q58" s="1">
        <f ca="1">IF(ISERROR(F50),"",VLOOKUP(B50,INDIRECT($F$8),7+(O58-1)*3))</f>
        <v>28</v>
      </c>
      <c r="R58" s="1">
        <f ca="1">IF(ISERROR(F50),"",SUM(P58:Q58))</f>
        <v>61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">
      <c r="A59" s="7" t="str">
        <f ca="1">IF(ISERROR(F50),"",VLOOKUP(C50,INDIRECT($F$8),6+(O59-1)*3,0))</f>
        <v>AHT 004</v>
      </c>
      <c r="B59" s="31" t="str">
        <f ca="1">IF(ISERROR(F50),"",VLOOKUP(D50,INDIRECT($F$8),6+(O59-1)*3,0))</f>
        <v>Environmental Studies ($)</v>
      </c>
      <c r="C59" s="31"/>
      <c r="D59" s="31"/>
      <c r="E59" s="31"/>
      <c r="F59" s="7">
        <f ca="1">IF(ISERROR(F50),"",VLOOKUP(E50,INDIRECT($F$8),6+(O59-1)*3,0))</f>
        <v>0</v>
      </c>
      <c r="G59" s="29" t="str">
        <f ca="1">IF(ISERROR(F50),"",_xlfn.TEXTJOIN("/",FALSE,P59,S59))</f>
        <v>31/50</v>
      </c>
      <c r="H59" s="29"/>
      <c r="I59" s="29" t="str">
        <f ca="1">IF(ISERROR(F50),"",_xlfn.TEXTJOIN("/",FALSE,Q59,T59))</f>
        <v>17/25</v>
      </c>
      <c r="J59" s="29"/>
      <c r="K59" s="29" t="str">
        <f ca="1">IF(ISERROR(F50),"",_xlfn.TEXTJOIN("/",FALSE,R59,U59))</f>
        <v>48/75</v>
      </c>
      <c r="L59" s="29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D+</v>
      </c>
      <c r="N59" s="8">
        <f t="shared" ca="1" si="5"/>
        <v>6.5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31</v>
      </c>
      <c r="Q59" s="1">
        <f ca="1">IF(ISERROR(F50),"",VLOOKUP(B50,INDIRECT($F$8),7+(O59-1)*3))</f>
        <v>17</v>
      </c>
      <c r="R59" s="1">
        <f ca="1">IF(ISERROR(F50),"",SUM(P59:Q59))</f>
        <v>48</v>
      </c>
      <c r="S59" s="1">
        <f ca="1">IF(ISERROR(F50),"",VLOOKUP(A50,INDIRECT($F$8),6+(O59-1)*3))</f>
        <v>50</v>
      </c>
      <c r="T59" s="1">
        <f ca="1">IF(ISERROR(F50),"",VLOOKUP(A50,INDIRECT($F$8),7+(O59-1)*3))</f>
        <v>25</v>
      </c>
      <c r="U59" s="1">
        <f ca="1">IF(ISERROR(F50),"",VLOOKUP(A50,INDIRECT($F$8),8+(O59-1)*3))</f>
        <v>75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">
      <c r="A60" s="7" t="str">
        <f ca="1">IF(ISERROR(F50),"",VLOOKUP(C50,INDIRECT($F$8),6+(O60-1)*3,0))</f>
        <v>AHP 001</v>
      </c>
      <c r="B60" s="31" t="str">
        <f ca="1">IF(ISERROR(F50),"",VLOOKUP(D50,INDIRECT($F$8),6+(O60-1)*3,0))</f>
        <v>Engineering Physics Lab</v>
      </c>
      <c r="C60" s="31"/>
      <c r="D60" s="31"/>
      <c r="E60" s="31"/>
      <c r="F60" s="7">
        <f ca="1">IF(ISERROR(F50),"",VLOOKUP(E50,INDIRECT($F$8),6+(O60-1)*3,0))</f>
        <v>1</v>
      </c>
      <c r="G60" s="29" t="str">
        <f ca="1">IF(ISERROR(F50),"",_xlfn.TEXTJOIN("/",FALSE,P60,S60))</f>
        <v>20/25</v>
      </c>
      <c r="H60" s="29"/>
      <c r="I60" s="29" t="str">
        <f ca="1">IF(ISERROR(F50),"",_xlfn.TEXTJOIN("/",FALSE,Q60,T60))</f>
        <v>22/25</v>
      </c>
      <c r="J60" s="29"/>
      <c r="K60" s="29" t="str">
        <f ca="1">IF(ISERROR(F50),"",_xlfn.TEXTJOIN("/",FALSE,R60,U60))</f>
        <v>42/50</v>
      </c>
      <c r="L60" s="29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B+</v>
      </c>
      <c r="N60" s="8">
        <f t="shared" ca="1" si="5"/>
        <v>8.5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20</v>
      </c>
      <c r="Q60" s="1">
        <f ca="1">IF(ISERROR(F50),"",VLOOKUP(B50,INDIRECT($F$8),7+(O60-1)*3))</f>
        <v>22</v>
      </c>
      <c r="R60" s="1">
        <f ca="1">IF(ISERROR(F50),"",SUM(P60:Q60))</f>
        <v>42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">
      <c r="A61" s="7" t="str">
        <f ca="1">IF(ISERROR(F50),"",VLOOKUP(C50,INDIRECT($F$8),6+(O61-1)*3,0))</f>
        <v>EEP 001</v>
      </c>
      <c r="B61" s="31" t="str">
        <f ca="1">IF(ISERROR(F50),"",VLOOKUP(D50,INDIRECT($F$8),6+(O61-1)*3,0))</f>
        <v>Basic Electrical Engineering Lab</v>
      </c>
      <c r="C61" s="31"/>
      <c r="D61" s="31"/>
      <c r="E61" s="31"/>
      <c r="F61" s="7">
        <f ca="1">IF(ISERROR(F50),"",VLOOKUP(E50,INDIRECT($F$8),6+(O61-1)*3,0))</f>
        <v>1</v>
      </c>
      <c r="G61" s="29" t="str">
        <f ca="1">IF(ISERROR(F50),"",_xlfn.TEXTJOIN("/",FALSE,P61,S61))</f>
        <v>21/25</v>
      </c>
      <c r="H61" s="29"/>
      <c r="I61" s="29" t="str">
        <f ca="1">IF(ISERROR(F50),"",_xlfn.TEXTJOIN("/",FALSE,Q61,T61))</f>
        <v>15/25</v>
      </c>
      <c r="J61" s="29"/>
      <c r="K61" s="29" t="str">
        <f ca="1">IF(ISERROR(F50),"",_xlfn.TEXTJOIN("/",FALSE,R61,U61))</f>
        <v>36/50</v>
      </c>
      <c r="L61" s="29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C+</v>
      </c>
      <c r="N61" s="8">
        <f t="shared" ca="1" si="5"/>
        <v>7.5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21</v>
      </c>
      <c r="Q61" s="1">
        <f ca="1">IF(ISERROR(F50),"",VLOOKUP(B50,INDIRECT($F$8),7+(O61-1)*3))</f>
        <v>15</v>
      </c>
      <c r="R61" s="1">
        <f ca="1">IF(ISERROR(F50),"",SUM(P61:Q61))</f>
        <v>36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">
      <c r="A62" s="7" t="str">
        <f ca="1">IF(ISERROR(F50),"",VLOOKUP(C50,INDIRECT($F$8),6+(O62-1)*3,0))</f>
        <v>CSP 001</v>
      </c>
      <c r="B62" s="31" t="str">
        <f ca="1">IF(ISERROR(F50),"",VLOOKUP(D50,INDIRECT($F$8),6+(O62-1)*3-Z62,0))</f>
        <v>Programming for Problem Solving Lab</v>
      </c>
      <c r="C62" s="31"/>
      <c r="D62" s="31"/>
      <c r="E62" s="31"/>
      <c r="F62" s="7">
        <f ca="1">IF(ISERROR(F50),"",VLOOKUP(E50,INDIRECT($F$8),6+(O62-1)*3,0))</f>
        <v>1</v>
      </c>
      <c r="G62" s="29" t="str">
        <f ca="1">IF(ISERROR(F50),"",_xlfn.TEXTJOIN("/",FALSE,P62,S62))</f>
        <v>19/25</v>
      </c>
      <c r="H62" s="29"/>
      <c r="I62" s="29" t="str">
        <f ca="1">IF(ISERROR(F50),"",_xlfn.TEXTJOIN("/",FALSE,Q62,T62))</f>
        <v>20/25</v>
      </c>
      <c r="J62" s="29"/>
      <c r="K62" s="29" t="str">
        <f ca="1">IF(ISERROR(F50),"",_xlfn.TEXTJOIN("/",FALSE,R62,U62))</f>
        <v>39/50</v>
      </c>
      <c r="L62" s="29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B</v>
      </c>
      <c r="N62" s="8">
        <f t="shared" ca="1" si="5"/>
        <v>8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19</v>
      </c>
      <c r="Q62" s="1">
        <f ca="1">IF(ISERROR(F50),"",VLOOKUP(B50,INDIRECT($F$8),7+(O62-1)*3))</f>
        <v>20</v>
      </c>
      <c r="R62" s="1">
        <f ca="1">IF(ISERROR(F50),"",SUM(P62:Q62))</f>
        <v>39</v>
      </c>
      <c r="S62" s="1">
        <f ca="1">IF(ISERROR(F50),"",VLOOKUP(A50,INDIRECT($F$8),6+(O62-1)*3))</f>
        <v>25</v>
      </c>
      <c r="T62" s="1">
        <f ca="1">IF(ISERROR(F50),"",VLOOKUP(A50,INDIRECT($F$8),7+(O62-1)*3))</f>
        <v>25</v>
      </c>
      <c r="U62" s="1">
        <f ca="1">IF(ISERROR(F50),"",VLOOKUP(A50,INDIRECT($F$8),8+(O62-1)*3))</f>
        <v>50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">
      <c r="A63" s="7" t="str">
        <f ca="1">IF(ISERROR(F50),"",VLOOKUP(C50,INDIRECT($F$8),6+(O63-1)*3,0))</f>
        <v>MEP 002</v>
      </c>
      <c r="B63" s="31" t="str">
        <f ca="1">IF(ISERROR(F50),"",VLOOKUP(D50,INDIRECT($F$8),6+(O63-1)*3-Z63,0))</f>
        <v>Engineering Graphics &amp; Design Lab</v>
      </c>
      <c r="C63" s="31"/>
      <c r="D63" s="31"/>
      <c r="E63" s="31"/>
      <c r="F63" s="7">
        <f ca="1">IF(ISERROR(F50),"",VLOOKUP(E50,INDIRECT($F$8),6+(O63-1)*3,0))</f>
        <v>2</v>
      </c>
      <c r="G63" s="29" t="str">
        <f ca="1">IF(ISERROR(F50),"",_xlfn.TEXTJOIN("/",FALSE,P63,S63))</f>
        <v>42/50</v>
      </c>
      <c r="H63" s="29"/>
      <c r="I63" s="29" t="str">
        <f ca="1">IF(ISERROR(F50),"",_xlfn.TEXTJOIN("/",FALSE,Q63,T63))</f>
        <v>37/50</v>
      </c>
      <c r="J63" s="29"/>
      <c r="K63" s="29" t="str">
        <f ca="1">IF(ISERROR(F50),"",_xlfn.TEXTJOIN("/",FALSE,R63,U63))</f>
        <v>79/100</v>
      </c>
      <c r="L63" s="29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B</v>
      </c>
      <c r="N63" s="8">
        <f t="shared" ca="1" si="5"/>
        <v>8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42</v>
      </c>
      <c r="Q63" s="1">
        <f ca="1">IF(ISERROR(F50),"",VLOOKUP(B50,INDIRECT($F$8),7+(O63-1)*3))</f>
        <v>37</v>
      </c>
      <c r="R63" s="1">
        <f ca="1">IF(ISERROR(F50),"",SUM(P63:Q63))</f>
        <v>79</v>
      </c>
      <c r="S63" s="1">
        <f ca="1">IF(ISERROR(F50),"",VLOOKUP(A50,INDIRECT($F$8),6+(O63-1)*3))</f>
        <v>50</v>
      </c>
      <c r="T63" s="1">
        <f ca="1">IF(ISERROR(F50),"",VLOOKUP(A50,INDIRECT($F$8),7+(O63-1)*3))</f>
        <v>50</v>
      </c>
      <c r="U63" s="1">
        <f ca="1">IF(ISERROR(F50),"",VLOOKUP(A50,INDIRECT($F$8),8+(O63-1)*3))</f>
        <v>100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AHP 003</v>
      </c>
      <c r="B64" s="31" t="str">
        <f ca="1">IF(ISERROR(F50),"",VLOOKUP(D50,INDIRECT($F$8),6+(O64-1)*3,0))</f>
        <v>Introduction to Digital Marketing Lab</v>
      </c>
      <c r="C64" s="31"/>
      <c r="D64" s="31"/>
      <c r="E64" s="31"/>
      <c r="F64" s="7">
        <f ca="1">IF(ISERROR(F50),"",VLOOKUP(E50,INDIRECT($F$8),6+(O64-1)*3,0))</f>
        <v>1</v>
      </c>
      <c r="G64" s="29" t="str">
        <f ca="1">IF(ISERROR(F50),"",_xlfn.TEXTJOIN("/",FALSE,P64,S64))</f>
        <v>20/25</v>
      </c>
      <c r="H64" s="29"/>
      <c r="I64" s="29" t="str">
        <f ca="1">IF(ISERROR(F50),"",_xlfn.TEXTJOIN("/",FALSE,Q64,T64))</f>
        <v>23/25</v>
      </c>
      <c r="J64" s="29"/>
      <c r="K64" s="29" t="str">
        <f ca="1">IF(ISERROR(F50),"",_xlfn.TEXTJOIN("/",FALSE,R64,U64))</f>
        <v>43/50</v>
      </c>
      <c r="L64" s="29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A</v>
      </c>
      <c r="N64" s="8">
        <f t="shared" ca="1" si="5"/>
        <v>9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20</v>
      </c>
      <c r="Q64" s="1">
        <f ca="1">IF(ISERROR(F50),"",VLOOKUP(B50,INDIRECT($F$8),7+(O64-1)*3))</f>
        <v>23</v>
      </c>
      <c r="R64" s="1">
        <f ca="1">IF(ISERROR(F50),"",SUM(P64:Q64))</f>
        <v>43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">
      <c r="A65" s="7" t="str">
        <f ca="1">IF(ISERROR(F50),"",VLOOKUP(C50,INDIRECT($F$8),6+(O65-1)*3,0))</f>
        <v>AHP 005</v>
      </c>
      <c r="B65" s="31" t="str">
        <f ca="1">IF(ISERROR(F50),"",VLOOKUP(D50,INDIRECT($F$8),6+(O65-1)*3,0))</f>
        <v>Self Employment &amp; Entrepreneurship Development</v>
      </c>
      <c r="C65" s="31"/>
      <c r="D65" s="31"/>
      <c r="E65" s="31"/>
      <c r="F65" s="7">
        <f ca="1">IF(ISERROR(F50),"",VLOOKUP(E50,INDIRECT($F$8),6+(O65-1)*3,0))</f>
        <v>1</v>
      </c>
      <c r="G65" s="29" t="str">
        <f ca="1">IF(ISERROR(F50),"",_xlfn.TEXTJOIN("/",FALSE,P65,S65))</f>
        <v>20/25</v>
      </c>
      <c r="H65" s="29"/>
      <c r="I65" s="29" t="str">
        <f ca="1">IF(ISERROR(F50),"",_xlfn.TEXTJOIN("/",FALSE,Q65,T65))</f>
        <v>22/25</v>
      </c>
      <c r="J65" s="29"/>
      <c r="K65" s="29" t="str">
        <f ca="1">IF(ISERROR(F50),"",_xlfn.TEXTJOIN("/",FALSE,R65,U65))</f>
        <v>42/50</v>
      </c>
      <c r="L65" s="29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B+</v>
      </c>
      <c r="N65" s="8">
        <f t="shared" ca="1" si="5"/>
        <v>8.5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20</v>
      </c>
      <c r="Q65" s="1">
        <f ca="1">IF(ISERROR(F50),"",VLOOKUP(B50,INDIRECT($F$8),7+(O65-1)*3))</f>
        <v>22</v>
      </c>
      <c r="R65" s="1">
        <f ca="1">IF(ISERROR(F50),"",SUM(P65:Q65))</f>
        <v>42</v>
      </c>
      <c r="S65" s="1">
        <f ca="1">IF(ISERROR(F50),"",VLOOKUP(A50,INDIRECT($F$8),6+(O65-1)*3))</f>
        <v>25</v>
      </c>
      <c r="T65" s="1">
        <f ca="1">IF(ISERROR(F50),"",VLOOKUP(A50,INDIRECT($F$8),7+(O65-1)*3))</f>
        <v>25</v>
      </c>
      <c r="U65" s="1">
        <f ca="1">IF(ISERROR(F50),"",VLOOKUP(A50,INDIRECT($F$8),8+(O65-1)*3))</f>
        <v>50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">
      <c r="A66" s="7" t="str">
        <f ca="1">IF(ISERROR(F50),"",VLOOKUP(C50,INDIRECT($F$8),6+(O66-1)*3-Y66,0))</f>
        <v>GP 01</v>
      </c>
      <c r="B66" s="31" t="str">
        <f ca="1">IF(ISERROR(F50),"",VLOOKUP(D50,INDIRECT($F$8),6+(O66-1)*3-Z66,0))</f>
        <v>General Proficiency ($)</v>
      </c>
      <c r="C66" s="31"/>
      <c r="D66" s="31"/>
      <c r="E66" s="31"/>
      <c r="F66" s="7">
        <f ca="1">IF(ISERROR(F50),"",VLOOKUP(E50,INDIRECT($F$8),6+(O66-1)*3-AA66,0))</f>
        <v>0</v>
      </c>
      <c r="G66" s="29" t="str">
        <f ca="1">IF(ISERROR(F50),"","-")</f>
        <v>-</v>
      </c>
      <c r="H66" s="29"/>
      <c r="I66" s="29" t="str">
        <f ca="1">IF(ISERROR(F50),"",_xlfn.TEXTJOIN("/",FALSE,Q66,T66))</f>
        <v>48/50</v>
      </c>
      <c r="J66" s="29"/>
      <c r="K66" s="29" t="str">
        <f ca="1">IF(ISERROR(F50),"",_xlfn.TEXTJOIN("/",FALSE,R66,U66))</f>
        <v>48/50</v>
      </c>
      <c r="L66" s="29"/>
      <c r="M66" s="29" t="str">
        <f ca="1">IF(ISBLANK(R66),"",IF(ISTEXT(R66),R66,IF(R66&gt;=0.8*U66,"Excellent",IF(R66&gt;=0.6*U66,"Very Good",IF(R66&gt;=0.4*U66,"Good",IF(R66&gt;=0.2*U66,"Satisfactory","Average"))))))</f>
        <v>Excellent</v>
      </c>
      <c r="N66" s="29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48</v>
      </c>
      <c r="R66" s="1">
        <f ca="1">IF(ISERROR(F50),"",SUM(P66:Q66))</f>
        <v>48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7" t="str">
        <f ca="1">IF(ISERROR(F50),"",A46)</f>
        <v>Total Credits/ Marks/ Total Grade Points</v>
      </c>
      <c r="B67" s="27"/>
      <c r="C67" s="27"/>
      <c r="D67" s="27"/>
      <c r="E67" s="27"/>
      <c r="F67" s="10">
        <f ca="1">IF(ISERROR(F50),"",SUM(F55:F65))</f>
        <v>23</v>
      </c>
      <c r="G67" s="30" t="str">
        <f ca="1">IF(ISERROR(F50),"",_xlfn.TEXTJOIN("/",TRUE,SUMIF(F55:F66,"&gt;0",P55:P66),SUMIF(F55:F66,"&gt;0",S55:S66)))</f>
        <v>263/575</v>
      </c>
      <c r="H67" s="30"/>
      <c r="I67" s="30" t="str">
        <f ca="1">IF(ISERROR(F50),"",_xlfn.TEXTJOIN("/",TRUE,SUMIF(F55:F66,"&gt;0",Q55:Q66),SUMIF(F55:F66,"&gt;0",T55:T66)))</f>
        <v>241/375</v>
      </c>
      <c r="J67" s="30"/>
      <c r="K67" s="30" t="str">
        <f ca="1">IF(ISERROR(F50),"",_xlfn.TEXTJOIN("/",TRUE,SUMIF(F55:F66,"&gt;0",R55:R66),SUMIF(F55:F66,"&gt;0",U55:U66)))</f>
        <v>504/950</v>
      </c>
      <c r="L67" s="30"/>
      <c r="M67" s="27">
        <f ca="1">IF(ISERROR(F50),"",SUMPRODUCT(N55:N65,F55:F65))</f>
        <v>113.5</v>
      </c>
      <c r="N67" s="27"/>
      <c r="V67" s="1" t="str">
        <f ca="1">IF(ISERROR(F50),"",_xlfn.TEXTJOIN(", ",TRUE,V55:V66))</f>
        <v>AHT 003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AHT 003</v>
      </c>
    </row>
    <row r="68" spans="1:24" ht="12" customHeight="1" x14ac:dyDescent="0.2">
      <c r="A68" s="27" t="str">
        <f ca="1">IF(ISERROR(F50),"",A47)</f>
        <v>Result:</v>
      </c>
      <c r="B68" s="26" t="str" cm="1">
        <f t="array" aca="1" ref="B68" ca="1">IF(SUM(COUNTIF(M55:M65,{"Ab","Dt"}))=11, "Not Promoted to IInd Semester", IF(V67="", "PASS", "CARRY OVER"))</f>
        <v>CARRY OVER</v>
      </c>
      <c r="C68" s="26"/>
      <c r="D68" s="27" t="str">
        <f ca="1">IF(ISERROR(F50),"",D47)</f>
        <v>Remark:</v>
      </c>
      <c r="E68" s="26" t="str">
        <f ca="1">IF(ISERROR(F50),"",IF(V67="",IF(X67="","",X67),_xlfn.TEXTJOIN(" ",TRUE,"BACK IN",V67)))</f>
        <v>BACK IN AHT 003</v>
      </c>
      <c r="F68" s="26"/>
      <c r="G68" s="27" t="str">
        <f ca="1">IF(ISERROR(F50),"",G47)</f>
        <v>SGPA:</v>
      </c>
      <c r="H68" s="28">
        <f ca="1">IF(ISERROR(F50),"",M67/F67)</f>
        <v>4.9347826086956523</v>
      </c>
      <c r="I68" s="27" t="str">
        <f ca="1">IF(ISERROR(F50),"",I47)</f>
        <v>CGPA:</v>
      </c>
      <c r="J68" s="28">
        <f ca="1">IF(ISERROR(F50),"",VLOOKUP(B50,INDIRECT($F$8),12+(O66-1)*3,0))</f>
        <v>4.9347826086956523</v>
      </c>
      <c r="K68" s="26" t="str">
        <f ca="1">IF(ISERROR(F50),"",K47)</f>
        <v>Earned Credits:</v>
      </c>
      <c r="L68" s="27">
        <f ca="1">IF(ISERROR(F50),"",SUMIF(N55:N65,"&gt;0",F55:F65))</f>
        <v>19</v>
      </c>
      <c r="M68" s="26" t="str">
        <f ca="1">IF(ISERROR(F50),"",M47)</f>
        <v>Cuml. Earned Credits:</v>
      </c>
      <c r="N68" s="27">
        <f ca="1">IF(ISERROR(F50),"",VLOOKUP(B50,INDIRECT($F$8),10+(O66-1)*3,0))</f>
        <v>19</v>
      </c>
    </row>
    <row r="69" spans="1:24" ht="12" customHeight="1" x14ac:dyDescent="0.2">
      <c r="A69" s="27"/>
      <c r="B69" s="26"/>
      <c r="C69" s="26"/>
      <c r="D69" s="27"/>
      <c r="E69" s="26"/>
      <c r="F69" s="26"/>
      <c r="G69" s="27"/>
      <c r="H69" s="28"/>
      <c r="I69" s="27"/>
      <c r="J69" s="28"/>
      <c r="K69" s="26"/>
      <c r="L69" s="27"/>
      <c r="M69" s="26"/>
      <c r="N69" s="27"/>
    </row>
    <row r="70" spans="1:24" ht="12" customHeight="1" x14ac:dyDescent="0.2">
      <c r="A70" s="27"/>
      <c r="B70" s="26"/>
      <c r="C70" s="26"/>
      <c r="D70" s="27"/>
      <c r="E70" s="26"/>
      <c r="F70" s="26"/>
      <c r="G70" s="27"/>
      <c r="H70" s="28"/>
      <c r="I70" s="27"/>
      <c r="J70" s="28"/>
      <c r="K70" s="26"/>
      <c r="L70" s="27"/>
      <c r="M70" s="26"/>
      <c r="N70" s="27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ARNAV KUMAR</v>
      </c>
    </row>
    <row r="72" spans="1:24" ht="12" customHeight="1" x14ac:dyDescent="0.2">
      <c r="A72" s="24" t="str">
        <f ca="1">IF(ISERROR(F71),"",A51)</f>
        <v>Name:</v>
      </c>
      <c r="B72" s="24" t="str">
        <f ca="1">IFERROR(VLOOKUP(B71,INDIRECT($F$8),4,0),"")</f>
        <v>ARNAV KUMAR</v>
      </c>
      <c r="C72" s="24"/>
      <c r="D72" s="24" t="str">
        <f ca="1">IF(ISERROR(F71),"",D51)</f>
        <v>Father's Name:</v>
      </c>
      <c r="E72" s="24" t="str">
        <f ca="1">IFERROR(VLOOKUP(B71,INDIRECT($F$8),5,0),"")</f>
        <v>SATISH KUMAR</v>
      </c>
      <c r="F72" s="24"/>
      <c r="G72" s="24" t="str">
        <f ca="1">IF(ISERROR(F71),"",G51)</f>
        <v>University Roll No:</v>
      </c>
      <c r="H72" s="24"/>
      <c r="I72" s="25">
        <f ca="1">IFERROR(VLOOKUP(B71,INDIRECT($F$8),2,0),"")</f>
        <v>250090111004</v>
      </c>
      <c r="J72" s="25"/>
      <c r="K72" s="24" t="str">
        <f ca="1">IF(ISERROR(F71),"",K51)</f>
        <v>University Enrol. No:</v>
      </c>
      <c r="L72" s="24"/>
      <c r="M72" s="25" t="str">
        <f ca="1">IFERROR(VLOOKUP(B71,INDIRECT($F$8),3,0),"")</f>
        <v>UTU/2501104325</v>
      </c>
      <c r="N72" s="25"/>
    </row>
    <row r="73" spans="1:24" ht="12" customHeight="1" x14ac:dyDescent="0.2">
      <c r="A73" s="24"/>
      <c r="B73" s="24"/>
      <c r="C73" s="24"/>
      <c r="D73" s="24"/>
      <c r="E73" s="24"/>
      <c r="F73" s="24"/>
      <c r="G73" s="24"/>
      <c r="H73" s="24"/>
      <c r="I73" s="25"/>
      <c r="J73" s="25"/>
      <c r="K73" s="24"/>
      <c r="L73" s="24"/>
      <c r="M73" s="25"/>
      <c r="N73" s="25"/>
    </row>
    <row r="74" spans="1:24" ht="12" customHeight="1" x14ac:dyDescent="0.2">
      <c r="A74" s="26" t="str">
        <f ca="1">IF(ISERROR(F71),"",A53)</f>
        <v>Subject Code</v>
      </c>
      <c r="B74" s="26" t="str">
        <f ca="1">IF(ISERROR(F71),"",B53)</f>
        <v>Subject Name</v>
      </c>
      <c r="C74" s="26"/>
      <c r="D74" s="26"/>
      <c r="E74" s="26"/>
      <c r="F74" s="26" t="str">
        <f ca="1">IF(ISERROR(F71),"",F53)</f>
        <v>Credits</v>
      </c>
      <c r="G74" s="26" t="str">
        <f ca="1">IF(ISERROR(F71),"",G53)</f>
        <v>External Marks</v>
      </c>
      <c r="H74" s="26"/>
      <c r="I74" s="26" t="str">
        <f ca="1">IF(ISERROR(F71),"",I53)</f>
        <v>Sessional Marks</v>
      </c>
      <c r="J74" s="26"/>
      <c r="K74" s="26" t="str">
        <f ca="1">IF(ISERROR(F71),"",K53)</f>
        <v>Total Marks</v>
      </c>
      <c r="L74" s="26"/>
      <c r="M74" s="26" t="str">
        <f ca="1">IF(ISERROR(F71),"",M53)</f>
        <v>Grade</v>
      </c>
      <c r="N74" s="26" t="str">
        <f ca="1">IF(ISERROR(F71),"",N53)</f>
        <v>Grade Points</v>
      </c>
    </row>
    <row r="75" spans="1:24" ht="12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001</v>
      </c>
      <c r="B76" s="31" t="str">
        <f ca="1">IF(ISERROR(F71),"",VLOOKUP(D71,INDIRECT($F$8),6+(O76-1)*3,0))</f>
        <v>Engineering Physics</v>
      </c>
      <c r="C76" s="31"/>
      <c r="D76" s="31"/>
      <c r="E76" s="31"/>
      <c r="F76" s="7">
        <f ca="1">IF(ISERROR(F71),"",VLOOKUP(E71,INDIRECT($F$8),6+(O76-1)*3,0))</f>
        <v>4</v>
      </c>
      <c r="G76" s="29" t="str">
        <f ca="1">IF(ISERROR(F71),"",_xlfn.TEXTJOIN("/",FALSE,P76,S76))</f>
        <v>24/100</v>
      </c>
      <c r="H76" s="29"/>
      <c r="I76" s="29" t="str">
        <f ca="1">IF(ISERROR(F71),"",_xlfn.TEXTJOIN("/",FALSE,Q76,T76))</f>
        <v>23/50</v>
      </c>
      <c r="J76" s="29"/>
      <c r="K76" s="29" t="str">
        <f ca="1">IF(ISERROR(F71),"",_xlfn.TEXTJOIN("/",FALSE,R76,U76))</f>
        <v>47/150</v>
      </c>
      <c r="L76" s="29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F</v>
      </c>
      <c r="N76" s="8">
        <f ca="1">INDEX($Z$2:$Z$17,MATCH(M76,$Y$2:$Y$17,0))</f>
        <v>0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24</v>
      </c>
      <c r="Q76" s="1">
        <f ca="1">IF(ISERROR(F71),"",VLOOKUP(B71,INDIRECT($F$8),7+(O76-1)*3))</f>
        <v>23</v>
      </c>
      <c r="R76" s="1">
        <f ca="1">IF(ISERROR(F71),"",SUM(P76:Q76))</f>
        <v>47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>AHT 001</v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11</v>
      </c>
      <c r="X76" s="1" t="str">
        <f ca="1">IF(ISERROR(F71),"",IF(W76=0,"",_xlfn.TEXTJOIN("",FALSE," G+",W76," in ",A76)))</f>
        <v xml:space="preserve"> G+11 in AHT 001</v>
      </c>
    </row>
    <row r="77" spans="1:24" ht="12" customHeight="1" x14ac:dyDescent="0.2">
      <c r="A77" s="7" t="str">
        <f ca="1">IF(ISERROR(F71),"",VLOOKUP(C71,INDIRECT($F$8),6+(O77-1)*3,0))</f>
        <v>AHT 003</v>
      </c>
      <c r="B77" s="31" t="str">
        <f ca="1">IF(ISERROR(F71),"",VLOOKUP(D71,INDIRECT($F$8),6+(O77-1)*3,0))</f>
        <v>Introduction to Engineering Mathematics</v>
      </c>
      <c r="C77" s="31"/>
      <c r="D77" s="31"/>
      <c r="E77" s="31"/>
      <c r="F77" s="7">
        <f ca="1">IF(ISERROR(F71),"",VLOOKUP(E71,INDIRECT($F$8),6+(O77-1)*3,0))</f>
        <v>4</v>
      </c>
      <c r="G77" s="29" t="str">
        <f ca="1">IF(ISERROR(F71),"",_xlfn.TEXTJOIN("/",FALSE,P77,S77))</f>
        <v>14/100</v>
      </c>
      <c r="H77" s="29"/>
      <c r="I77" s="29" t="str">
        <f ca="1">IF(ISERROR(F71),"",_xlfn.TEXTJOIN("/",FALSE,Q77,T77))</f>
        <v>18/50</v>
      </c>
      <c r="J77" s="29"/>
      <c r="K77" s="29" t="str">
        <f ca="1">IF(ISERROR(F71),"",_xlfn.TEXTJOIN("/",FALSE,R77,U77))</f>
        <v>32/150</v>
      </c>
      <c r="L77" s="29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F</v>
      </c>
      <c r="N77" s="8">
        <f t="shared" ref="N77:N86" ca="1" si="7">INDEX($Z$2:$Z$17,MATCH(M77,$Y$2:$Y$17,0))</f>
        <v>0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14</v>
      </c>
      <c r="Q77" s="1">
        <f ca="1">IF(ISERROR(F71),"",VLOOKUP(B71,INDIRECT($F$8),7+(O77-1)*3))</f>
        <v>18</v>
      </c>
      <c r="R77" s="1">
        <f ca="1">IF(ISERROR(F71),"",SUM(P77:Q77))</f>
        <v>32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>AHT 003</v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11</v>
      </c>
      <c r="X77" s="1" t="str">
        <f ca="1">IF(ISERROR(F71),"",IF(W77=0,"",_xlfn.TEXTJOIN("",FALSE," G+",W77," in ",A77)))</f>
        <v xml:space="preserve"> G+11 in AHT 003</v>
      </c>
    </row>
    <row r="78" spans="1:24" ht="12" customHeight="1" x14ac:dyDescent="0.2">
      <c r="A78" s="7" t="str">
        <f ca="1">IF(ISERROR(F71),"",VLOOKUP(C71,INDIRECT($F$8),6+(O78-1)*3,0))</f>
        <v>EET 001</v>
      </c>
      <c r="B78" s="31" t="str">
        <f ca="1">IF(ISERROR(F71),"",VLOOKUP(D71,INDIRECT($F$8),6+(O78-1)*3,0))</f>
        <v>Basic Electrical Engineering</v>
      </c>
      <c r="C78" s="31"/>
      <c r="D78" s="31"/>
      <c r="E78" s="31"/>
      <c r="F78" s="7">
        <f ca="1">IF(ISERROR(F71),"",VLOOKUP(E71,INDIRECT($F$8),6+(O78-1)*3,0))</f>
        <v>4</v>
      </c>
      <c r="G78" s="29" t="str">
        <f ca="1">IF(ISERROR(F71),"",_xlfn.TEXTJOIN("/",FALSE,P78,S78))</f>
        <v>22/100</v>
      </c>
      <c r="H78" s="29"/>
      <c r="I78" s="29" t="str">
        <f ca="1">IF(ISERROR(F71),"",_xlfn.TEXTJOIN("/",FALSE,Q78,T78))</f>
        <v>24/50</v>
      </c>
      <c r="J78" s="29"/>
      <c r="K78" s="29" t="str">
        <f ca="1">IF(ISERROR(F71),"",_xlfn.TEXTJOIN("/",FALSE,R78,U78))</f>
        <v>46/150</v>
      </c>
      <c r="L78" s="29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F</v>
      </c>
      <c r="N78" s="8">
        <f t="shared" ca="1" si="7"/>
        <v>0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22</v>
      </c>
      <c r="Q78" s="1">
        <f ca="1">IF(ISERROR(F71),"",VLOOKUP(B71,INDIRECT($F$8),7+(O78-1)*3))</f>
        <v>24</v>
      </c>
      <c r="R78" s="1">
        <f ca="1">IF(ISERROR(F71),"",SUM(P78:Q78))</f>
        <v>46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>EET 001</v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11</v>
      </c>
      <c r="X78" s="1" t="str">
        <f ca="1">IF(ISERROR(F71),"",IF(W78=0,"",_xlfn.TEXTJOIN("",FALSE," G+",W78," in ",A78)))</f>
        <v xml:space="preserve"> G+11 in EET 001</v>
      </c>
    </row>
    <row r="79" spans="1:24" ht="12" customHeight="1" x14ac:dyDescent="0.2">
      <c r="A79" s="7" t="str">
        <f ca="1">IF(ISERROR(F71),"",VLOOKUP(C71,INDIRECT($F$8),6+(O79-1)*3,0))</f>
        <v>CST 001</v>
      </c>
      <c r="B79" s="31" t="str">
        <f ca="1">IF(ISERROR(F71),"",VLOOKUP(D71,INDIRECT($F$8),6+(O79-1)*3,0))</f>
        <v>Programming for Problem Solving</v>
      </c>
      <c r="C79" s="31"/>
      <c r="D79" s="31"/>
      <c r="E79" s="31"/>
      <c r="F79" s="7">
        <f ca="1">IF(ISERROR(F71),"",VLOOKUP(E71,INDIRECT($F$8),6+(O79-1)*3,0))</f>
        <v>4</v>
      </c>
      <c r="G79" s="29" t="str">
        <f ca="1">IF(ISERROR(F71),"",_xlfn.TEXTJOIN("/",FALSE,P79,S79))</f>
        <v>17/100</v>
      </c>
      <c r="H79" s="29"/>
      <c r="I79" s="29" t="str">
        <f ca="1">IF(ISERROR(F71),"",_xlfn.TEXTJOIN("/",FALSE,Q79,T79))</f>
        <v>24/50</v>
      </c>
      <c r="J79" s="29"/>
      <c r="K79" s="29" t="str">
        <f ca="1">IF(ISERROR(F71),"",_xlfn.TEXTJOIN("/",FALSE,R79,U79))</f>
        <v>41/150</v>
      </c>
      <c r="L79" s="29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F</v>
      </c>
      <c r="N79" s="8">
        <f t="shared" ca="1" si="7"/>
        <v>0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17</v>
      </c>
      <c r="Q79" s="1">
        <f ca="1">IF(ISERROR(F71),"",VLOOKUP(B71,INDIRECT($F$8),7+(O79-1)*3))</f>
        <v>24</v>
      </c>
      <c r="R79" s="1">
        <f ca="1">IF(ISERROR(F71),"",SUM(P79:Q79))</f>
        <v>41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>CST 001</v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11</v>
      </c>
      <c r="X79" s="1" t="str">
        <f ca="1">IF(ISERROR(F71),"",IF(W79=0,"",_xlfn.TEXTJOIN("",FALSE," G+",W79," in ",A79)))</f>
        <v xml:space="preserve"> G+11 in CST 001</v>
      </c>
    </row>
    <row r="80" spans="1:24" ht="12" customHeight="1" x14ac:dyDescent="0.2">
      <c r="A80" s="7" t="str">
        <f ca="1">IF(ISERROR(F71),"",VLOOKUP(C71,INDIRECT($F$8),6+(O80-1)*3,0))</f>
        <v>AHT 004</v>
      </c>
      <c r="B80" s="31" t="str">
        <f ca="1">IF(ISERROR(F71),"",VLOOKUP(D71,INDIRECT($F$8),6+(O80-1)*3,0))</f>
        <v>Environmental Studies ($)</v>
      </c>
      <c r="C80" s="31"/>
      <c r="D80" s="31"/>
      <c r="E80" s="31"/>
      <c r="F80" s="7">
        <f ca="1">IF(ISERROR(F71),"",VLOOKUP(E71,INDIRECT($F$8),6+(O80-1)*3,0))</f>
        <v>0</v>
      </c>
      <c r="G80" s="29" t="str">
        <f ca="1">IF(ISERROR(F71),"",_xlfn.TEXTJOIN("/",FALSE,P80,S80))</f>
        <v>23/50</v>
      </c>
      <c r="H80" s="29"/>
      <c r="I80" s="29" t="str">
        <f ca="1">IF(ISERROR(F71),"",_xlfn.TEXTJOIN("/",FALSE,Q80,T80))</f>
        <v>14/25</v>
      </c>
      <c r="J80" s="29"/>
      <c r="K80" s="29" t="str">
        <f ca="1">IF(ISERROR(F71),"",_xlfn.TEXTJOIN("/",FALSE,R80,U80))</f>
        <v>37/75</v>
      </c>
      <c r="L80" s="29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E</v>
      </c>
      <c r="N80" s="8">
        <f t="shared" ca="1" si="7"/>
        <v>5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23</v>
      </c>
      <c r="Q80" s="1">
        <f ca="1">IF(ISERROR(F71),"",VLOOKUP(B71,INDIRECT($F$8),7+(O80-1)*3))</f>
        <v>14</v>
      </c>
      <c r="R80" s="1">
        <f ca="1">IF(ISERROR(F71),"",SUM(P80:Q80))</f>
        <v>37</v>
      </c>
      <c r="S80" s="1">
        <f ca="1">IF(ISERROR(F71),"",VLOOKUP(A71,INDIRECT($F$8),6+(O80-1)*3))</f>
        <v>50</v>
      </c>
      <c r="T80" s="1">
        <f ca="1">IF(ISERROR(F71),"",VLOOKUP(A71,INDIRECT($F$8),7+(O80-1)*3))</f>
        <v>25</v>
      </c>
      <c r="U80" s="1">
        <f ca="1">IF(ISERROR(F71),"",VLOOKUP(A71,INDIRECT($F$8),8+(O80-1)*3))</f>
        <v>75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AHP 001</v>
      </c>
      <c r="B81" s="31" t="str">
        <f ca="1">IF(ISERROR(F71),"",VLOOKUP(D71,INDIRECT($F$8),6+(O81-1)*3,0))</f>
        <v>Engineering Physics Lab</v>
      </c>
      <c r="C81" s="31"/>
      <c r="D81" s="31"/>
      <c r="E81" s="31"/>
      <c r="F81" s="7">
        <f ca="1">IF(ISERROR(F71),"",VLOOKUP(E71,INDIRECT($F$8),6+(O81-1)*3,0))</f>
        <v>1</v>
      </c>
      <c r="G81" s="29" t="str">
        <f ca="1">IF(ISERROR(F71),"",_xlfn.TEXTJOIN("/",FALSE,P81,S81))</f>
        <v>20/25</v>
      </c>
      <c r="H81" s="29"/>
      <c r="I81" s="29" t="str">
        <f ca="1">IF(ISERROR(F71),"",_xlfn.TEXTJOIN("/",FALSE,Q81,T81))</f>
        <v>21/25</v>
      </c>
      <c r="J81" s="29"/>
      <c r="K81" s="29" t="str">
        <f ca="1">IF(ISERROR(F71),"",_xlfn.TEXTJOIN("/",FALSE,R81,U81))</f>
        <v>41/50</v>
      </c>
      <c r="L81" s="29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B+</v>
      </c>
      <c r="N81" s="8">
        <f t="shared" ca="1" si="7"/>
        <v>8.5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20</v>
      </c>
      <c r="Q81" s="1">
        <f ca="1">IF(ISERROR(F71),"",VLOOKUP(B71,INDIRECT($F$8),7+(O81-1)*3))</f>
        <v>21</v>
      </c>
      <c r="R81" s="1">
        <f ca="1">IF(ISERROR(F71),"",SUM(P81:Q81))</f>
        <v>41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EEP 001</v>
      </c>
      <c r="B82" s="31" t="str">
        <f ca="1">IF(ISERROR(F71),"",VLOOKUP(D71,INDIRECT($F$8),6+(O82-1)*3,0))</f>
        <v>Basic Electrical Engineering Lab</v>
      </c>
      <c r="C82" s="31"/>
      <c r="D82" s="31"/>
      <c r="E82" s="31"/>
      <c r="F82" s="7">
        <f ca="1">IF(ISERROR(F71),"",VLOOKUP(E71,INDIRECT($F$8),6+(O82-1)*3,0))</f>
        <v>1</v>
      </c>
      <c r="G82" s="29" t="str">
        <f ca="1">IF(ISERROR(F71),"",_xlfn.TEXTJOIN("/",FALSE,P82,S82))</f>
        <v>18/25</v>
      </c>
      <c r="H82" s="29"/>
      <c r="I82" s="29" t="str">
        <f ca="1">IF(ISERROR(F71),"",_xlfn.TEXTJOIN("/",FALSE,Q82,T82))</f>
        <v>16/25</v>
      </c>
      <c r="J82" s="29"/>
      <c r="K82" s="29" t="str">
        <f ca="1">IF(ISERROR(F71),"",_xlfn.TEXTJOIN("/",FALSE,R82,U82))</f>
        <v>34/50</v>
      </c>
      <c r="L82" s="29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C</v>
      </c>
      <c r="N82" s="8">
        <f t="shared" ca="1" si="7"/>
        <v>7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18</v>
      </c>
      <c r="Q82" s="1">
        <f ca="1">IF(ISERROR(F71),"",VLOOKUP(B71,INDIRECT($F$8),7+(O82-1)*3))</f>
        <v>16</v>
      </c>
      <c r="R82" s="1">
        <f ca="1">IF(ISERROR(F71),"",SUM(P82:Q82))</f>
        <v>34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CSP 001</v>
      </c>
      <c r="B83" s="31" t="str">
        <f ca="1">IF(ISERROR(F71),"",VLOOKUP(D71,INDIRECT($F$8),6+(O83-1)*3,0))</f>
        <v>Programming for Problem Solving Lab</v>
      </c>
      <c r="C83" s="31"/>
      <c r="D83" s="31"/>
      <c r="E83" s="31"/>
      <c r="F83" s="7">
        <f ca="1">IF(ISERROR(F71),"",VLOOKUP(E71,INDIRECT($F$8),6+(O83-1)*3,0))</f>
        <v>1</v>
      </c>
      <c r="G83" s="29" t="str">
        <f ca="1">IF(ISERROR(F71),"",_xlfn.TEXTJOIN("/",FALSE,P83,S83))</f>
        <v>21/25</v>
      </c>
      <c r="H83" s="29"/>
      <c r="I83" s="29" t="str">
        <f ca="1">IF(ISERROR(F71),"",_xlfn.TEXTJOIN("/",FALSE,Q83,T83))</f>
        <v>21/25</v>
      </c>
      <c r="J83" s="29"/>
      <c r="K83" s="29" t="str">
        <f ca="1">IF(ISERROR(F71),"",_xlfn.TEXTJOIN("/",FALSE,R83,U83))</f>
        <v>42/50</v>
      </c>
      <c r="L83" s="29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B+</v>
      </c>
      <c r="N83" s="8">
        <f t="shared" ca="1" si="7"/>
        <v>8.5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21</v>
      </c>
      <c r="Q83" s="1">
        <f ca="1">IF(ISERROR(F71),"",VLOOKUP(B71,INDIRECT($F$8),7+(O83-1)*3))</f>
        <v>21</v>
      </c>
      <c r="R83" s="1">
        <f ca="1">IF(ISERROR(F71),"",SUM(P83:Q83))</f>
        <v>42</v>
      </c>
      <c r="S83" s="1">
        <f ca="1">IF(ISERROR(F71),"",VLOOKUP(A71,INDIRECT($F$8),6+(O83-1)*3))</f>
        <v>25</v>
      </c>
      <c r="T83" s="1">
        <f ca="1">IF(ISERROR(F71),"",VLOOKUP(A71,INDIRECT($F$8),7+(O83-1)*3))</f>
        <v>25</v>
      </c>
      <c r="U83" s="1">
        <f ca="1">IF(ISERROR(F71),"",VLOOKUP(A71,INDIRECT($F$8),8+(O83-1)*3))</f>
        <v>50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MEP 002</v>
      </c>
      <c r="B84" s="31" t="str">
        <f ca="1">IF(ISERROR(F71),"",VLOOKUP(D71,INDIRECT($F$8),6+(O84-1)*3-Z84,0))</f>
        <v>Engineering Graphics &amp; Design Lab</v>
      </c>
      <c r="C84" s="31"/>
      <c r="D84" s="31"/>
      <c r="E84" s="31"/>
      <c r="F84" s="7">
        <f ca="1">IF(ISERROR(F71),"",VLOOKUP(E71,INDIRECT($F$8),6+(O84-1)*3,0))</f>
        <v>2</v>
      </c>
      <c r="G84" s="29" t="str">
        <f ca="1">IF(ISERROR(F71),"",_xlfn.TEXTJOIN("/",FALSE,P84,S84))</f>
        <v>40/50</v>
      </c>
      <c r="H84" s="29"/>
      <c r="I84" s="29" t="str">
        <f ca="1">IF(ISERROR(F71),"",_xlfn.TEXTJOIN("/",FALSE,Q84,T84))</f>
        <v>36/50</v>
      </c>
      <c r="J84" s="29"/>
      <c r="K84" s="29" t="str">
        <f ca="1">IF(ISERROR(F71),"",_xlfn.TEXTJOIN("/",FALSE,R84,U84))</f>
        <v>76/100</v>
      </c>
      <c r="L84" s="29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B</v>
      </c>
      <c r="N84" s="8">
        <f t="shared" ca="1" si="7"/>
        <v>8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40</v>
      </c>
      <c r="Q84" s="1">
        <f ca="1">IF(ISERROR(F71),"",VLOOKUP(B71,INDIRECT($F$8),7+(O84-1)*3))</f>
        <v>36</v>
      </c>
      <c r="R84" s="1">
        <f ca="1">IF(ISERROR(F71),"",SUM(P84:Q84))</f>
        <v>76</v>
      </c>
      <c r="S84" s="1">
        <f ca="1">IF(ISERROR(F71),"",VLOOKUP(A71,INDIRECT($F$8),6+(O84-1)*3))</f>
        <v>50</v>
      </c>
      <c r="T84" s="1">
        <f ca="1">IF(ISERROR(F71),"",VLOOKUP(A71,INDIRECT($F$8),7+(O84-1)*3))</f>
        <v>50</v>
      </c>
      <c r="U84" s="1">
        <f ca="1">IF(ISERROR(F71),"",VLOOKUP(A71,INDIRECT($F$8),8+(O84-1)*3))</f>
        <v>100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AHP 003</v>
      </c>
      <c r="B85" s="31" t="str">
        <f ca="1">IF(ISERROR(F71),"",VLOOKUP(D71,INDIRECT($F$8),6+(O85-1)*3-Z85,0))</f>
        <v>Introduction to Digital Marketing Lab</v>
      </c>
      <c r="C85" s="31"/>
      <c r="D85" s="31"/>
      <c r="E85" s="31"/>
      <c r="F85" s="7">
        <f ca="1">IF(ISERROR(F71),"",VLOOKUP(E71,INDIRECT($F$8),6+(O85-1)*3,0))</f>
        <v>1</v>
      </c>
      <c r="G85" s="29" t="str">
        <f ca="1">IF(ISERROR(F71),"",_xlfn.TEXTJOIN("/",FALSE,P85,S85))</f>
        <v>20/25</v>
      </c>
      <c r="H85" s="29"/>
      <c r="I85" s="29" t="str">
        <f ca="1">IF(ISERROR(F71),"",_xlfn.TEXTJOIN("/",FALSE,Q85,T85))</f>
        <v>19/25</v>
      </c>
      <c r="J85" s="29"/>
      <c r="K85" s="29" t="str">
        <f ca="1">IF(ISERROR(F71),"",_xlfn.TEXTJOIN("/",FALSE,R85,U85))</f>
        <v>39/50</v>
      </c>
      <c r="L85" s="29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B</v>
      </c>
      <c r="N85" s="8">
        <f t="shared" ca="1" si="7"/>
        <v>8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20</v>
      </c>
      <c r="Q85" s="1">
        <f ca="1">IF(ISERROR(F71),"",VLOOKUP(B71,INDIRECT($F$8),7+(O85-1)*3))</f>
        <v>19</v>
      </c>
      <c r="R85" s="1">
        <f ca="1">IF(ISERROR(F71),"",SUM(P85:Q85))</f>
        <v>39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005</v>
      </c>
      <c r="B86" s="31" t="str">
        <f ca="1">IF(ISERROR(F71),"",VLOOKUP(D71,INDIRECT($F$8),6+(O86-1)*3,0))</f>
        <v>Self Employment &amp; Entrepreneurship Development</v>
      </c>
      <c r="C86" s="31"/>
      <c r="D86" s="31"/>
      <c r="E86" s="31"/>
      <c r="F86" s="7">
        <f ca="1">IF(ISERROR(F71),"",VLOOKUP(E71,INDIRECT($F$8),6+(O86-1)*3,0))</f>
        <v>1</v>
      </c>
      <c r="G86" s="29" t="str">
        <f ca="1">IF(ISERROR(F71),"",_xlfn.TEXTJOIN("/",FALSE,P86,S86))</f>
        <v>21/25</v>
      </c>
      <c r="H86" s="29"/>
      <c r="I86" s="29" t="str">
        <f ca="1">IF(ISERROR(F71),"",_xlfn.TEXTJOIN("/",FALSE,Q86,T86))</f>
        <v>22/25</v>
      </c>
      <c r="J86" s="29"/>
      <c r="K86" s="29" t="str">
        <f ca="1">IF(ISERROR(F71),"",_xlfn.TEXTJOIN("/",FALSE,R86,U86))</f>
        <v>43/50</v>
      </c>
      <c r="L86" s="29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A</v>
      </c>
      <c r="N86" s="8">
        <f t="shared" ca="1" si="7"/>
        <v>9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21</v>
      </c>
      <c r="Q86" s="1">
        <f ca="1">IF(ISERROR(F71),"",VLOOKUP(B71,INDIRECT($F$8),7+(O86-1)*3))</f>
        <v>22</v>
      </c>
      <c r="R86" s="1">
        <f ca="1">IF(ISERROR(F71),"",SUM(P86:Q86))</f>
        <v>43</v>
      </c>
      <c r="S86" s="1">
        <f ca="1">IF(ISERROR(F71),"",VLOOKUP(A71,INDIRECT($F$8),6+(O86-1)*3))</f>
        <v>25</v>
      </c>
      <c r="T86" s="1">
        <f ca="1">IF(ISERROR(F71),"",VLOOKUP(A71,INDIRECT($F$8),7+(O86-1)*3))</f>
        <v>25</v>
      </c>
      <c r="U86" s="1">
        <f ca="1">IF(ISERROR(F71),"",VLOOKUP(A71,INDIRECT($F$8),8+(O86-1)*3))</f>
        <v>50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31" t="str">
        <f ca="1">IF(ISERROR(F71),"",VLOOKUP(D71,INDIRECT($F$8),6+(O87-1)*3-Z87,0))</f>
        <v>General Proficiency ($)</v>
      </c>
      <c r="C87" s="31"/>
      <c r="D87" s="31"/>
      <c r="E87" s="31"/>
      <c r="F87" s="7">
        <f ca="1">IF(ISERROR(F71),"",VLOOKUP(E71,INDIRECT($F$8),6+(O87-1)*3-AA87,0))</f>
        <v>0</v>
      </c>
      <c r="G87" s="29" t="str">
        <f ca="1">IF(ISERROR(F71),"","-")</f>
        <v>-</v>
      </c>
      <c r="H87" s="29"/>
      <c r="I87" s="29" t="str">
        <f ca="1">IF(ISERROR(F71),"",_xlfn.TEXTJOIN("/",FALSE,Q87,T87))</f>
        <v>47/50</v>
      </c>
      <c r="J87" s="29"/>
      <c r="K87" s="29" t="str">
        <f ca="1">IF(ISERROR(F71),"",_xlfn.TEXTJOIN("/",FALSE,R87,U87))</f>
        <v>47/50</v>
      </c>
      <c r="L87" s="29"/>
      <c r="M87" s="29" t="str">
        <f ca="1">IF(ISBLANK(R87),"",IF(ISTEXT(R87),R87,IF(R87&gt;=0.8*U87,"Excellent",IF(R87&gt;=0.6*U87,"Very Good",IF(R87&gt;=0.4*U87,"Good",IF(R87&gt;=0.2*U87,"Satisfactory","Average"))))))</f>
        <v>Excellent</v>
      </c>
      <c r="N87" s="29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7" t="str">
        <f ca="1">IF(ISERROR(F71),"",A67)</f>
        <v>Total Credits/ Marks/ Total Grade Points</v>
      </c>
      <c r="B88" s="27"/>
      <c r="C88" s="27"/>
      <c r="D88" s="27"/>
      <c r="E88" s="27"/>
      <c r="F88" s="10">
        <f ca="1">IF(ISERROR(F71),"",SUM(F76:F86))</f>
        <v>23</v>
      </c>
      <c r="G88" s="30" t="str">
        <f ca="1">IF(ISERROR(F71),"",_xlfn.TEXTJOIN("/",TRUE,SUMIF(F76:F87,"&gt;0",P76:P87),SUMIF(F76:F87,"&gt;0",S76:S87)))</f>
        <v>217/575</v>
      </c>
      <c r="H88" s="30"/>
      <c r="I88" s="30" t="str">
        <f ca="1">IF(ISERROR(F71),"",_xlfn.TEXTJOIN("/",TRUE,SUMIF(F76:F87,"&gt;0",Q76:Q87),SUMIF(F76:F87,"&gt;0",T76:T87)))</f>
        <v>224/375</v>
      </c>
      <c r="J88" s="30"/>
      <c r="K88" s="30" t="str">
        <f ca="1">IF(ISERROR(F71),"",_xlfn.TEXTJOIN("/",TRUE,SUMIF(F76:F87,"&gt;0",R76:R87),SUMIF(F76:F87,"&gt;0",U76:U87)))</f>
        <v>441/950</v>
      </c>
      <c r="L88" s="30"/>
      <c r="M88" s="27">
        <f ca="1">IF(ISERROR(F71),"",SUMPRODUCT(N76:N86,F76:F86))</f>
        <v>57</v>
      </c>
      <c r="N88" s="27"/>
      <c r="V88" s="1" t="str">
        <f ca="1">IF(ISERROR(F71),"",_xlfn.TEXTJOIN(", ",TRUE,V76:V87))</f>
        <v>AHT 001, AHT 003, EET 001, CST 001</v>
      </c>
      <c r="W88" t="b">
        <f ca="1">IF(ISERROR(F71),"",IF(SUM(W76:W87)&lt;=W75,TRUE,FALSE))</f>
        <v>0</v>
      </c>
      <c r="X88" s="1" t="str">
        <f ca="1">IF(ISERROR(F71),"",_xlfn.TEXTJOIN(",",TRUE,X76:X87))</f>
        <v xml:space="preserve"> G+11 in AHT 001, G+11 in AHT 003, G+11 in EET 001, G+11 in CST 001</v>
      </c>
    </row>
    <row r="89" spans="1:24" ht="12" customHeight="1" x14ac:dyDescent="0.2">
      <c r="A89" s="27" t="str">
        <f ca="1">IF(ISERROR(F71),"",A68)</f>
        <v>Result:</v>
      </c>
      <c r="B89" s="26" t="str" cm="1">
        <f t="array" aca="1" ref="B89" ca="1">IF(SUM(COUNTIF(M76:M86,{"Ab","Dt"}))=11, "Not Promoted to IInd Semester", IF(V88="", "PASS", "CARRY OVER"))</f>
        <v>CARRY OVER</v>
      </c>
      <c r="C89" s="26"/>
      <c r="D89" s="27" t="str">
        <f ca="1">IF(ISERROR(F71),"",D68)</f>
        <v>Remark:</v>
      </c>
      <c r="E89" s="26" t="str">
        <f ca="1">IF(ISERROR(F71),"",IF(V88="",IF(X88="","",X88),_xlfn.TEXTJOIN(" ",TRUE,"BACK IN",V88)))</f>
        <v>BACK IN AHT 001, AHT 003, EET 001, CST 001</v>
      </c>
      <c r="F89" s="26"/>
      <c r="G89" s="27" t="str">
        <f ca="1">IF(ISERROR(F71),"",G68)</f>
        <v>SGPA:</v>
      </c>
      <c r="H89" s="28">
        <f ca="1">IF(ISERROR(F71),"",M88/F88)</f>
        <v>2.4782608695652173</v>
      </c>
      <c r="I89" s="27" t="str">
        <f ca="1">IF(ISERROR(F71),"",I68)</f>
        <v>CGPA:</v>
      </c>
      <c r="J89" s="28">
        <f ca="1">IF(ISERROR(F71),"",VLOOKUP(B71,INDIRECT($F$8),12+(O87-1)*3,0))</f>
        <v>2.4782608695652173</v>
      </c>
      <c r="K89" s="26" t="str">
        <f ca="1">IF(ISERROR(F71),"",K68)</f>
        <v>Earned Credits:</v>
      </c>
      <c r="L89" s="27">
        <f ca="1">IF(ISERROR(F71),"",SUMIF(N76:N86,"&gt;0",F76:F86))</f>
        <v>7</v>
      </c>
      <c r="M89" s="26" t="str">
        <f ca="1">IF(ISERROR(F71),"",M68)</f>
        <v>Cuml. Earned Credits:</v>
      </c>
      <c r="N89" s="27">
        <f ca="1">IF(ISERROR(F71),"",VLOOKUP(B71,INDIRECT($F$8),10+(O87-1)*3,0))</f>
        <v>7</v>
      </c>
    </row>
    <row r="90" spans="1:24" ht="12" customHeight="1" x14ac:dyDescent="0.2">
      <c r="A90" s="27"/>
      <c r="B90" s="26"/>
      <c r="C90" s="26"/>
      <c r="D90" s="27"/>
      <c r="E90" s="26"/>
      <c r="F90" s="26"/>
      <c r="G90" s="27"/>
      <c r="H90" s="28"/>
      <c r="I90" s="27"/>
      <c r="J90" s="28"/>
      <c r="K90" s="26"/>
      <c r="L90" s="27"/>
      <c r="M90" s="26"/>
      <c r="N90" s="27"/>
    </row>
    <row r="91" spans="1:24" ht="12" customHeight="1" x14ac:dyDescent="0.2">
      <c r="A91" s="27"/>
      <c r="B91" s="26"/>
      <c r="C91" s="26"/>
      <c r="D91" s="27"/>
      <c r="E91" s="26"/>
      <c r="F91" s="26"/>
      <c r="G91" s="27"/>
      <c r="H91" s="28"/>
      <c r="I91" s="27"/>
      <c r="J91" s="28"/>
      <c r="K91" s="26"/>
      <c r="L91" s="27"/>
      <c r="M91" s="26"/>
      <c r="N91" s="27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AYUSH CHANDRA</v>
      </c>
    </row>
    <row r="93" spans="1:24" ht="12" customHeight="1" x14ac:dyDescent="0.2">
      <c r="A93" s="24" t="str">
        <f ca="1">IF(ISERROR(F92),"",A72)</f>
        <v>Name:</v>
      </c>
      <c r="B93" s="24" t="str">
        <f ca="1">IFERROR(VLOOKUP(B92,INDIRECT($F$8),4,0),"")</f>
        <v>AYUSH CHANDRA</v>
      </c>
      <c r="C93" s="24"/>
      <c r="D93" s="24" t="str">
        <f ca="1">IF(ISERROR(F92),"",D72)</f>
        <v>Father's Name:</v>
      </c>
      <c r="E93" s="24" t="str">
        <f ca="1">IFERROR(VLOOKUP(B92,INDIRECT($F$8),5,0),"")</f>
        <v>ANIL DUTT KANSWAL</v>
      </c>
      <c r="F93" s="24"/>
      <c r="G93" s="24" t="str">
        <f ca="1">IF(ISERROR(F92),"",G72)</f>
        <v>University Roll No:</v>
      </c>
      <c r="H93" s="24"/>
      <c r="I93" s="25">
        <f ca="1">IFERROR(VLOOKUP(B92,INDIRECT($F$8),2,0),"")</f>
        <v>250090111005</v>
      </c>
      <c r="J93" s="25"/>
      <c r="K93" s="24" t="str">
        <f ca="1">IF(ISERROR(F92),"",K72)</f>
        <v>University Enrol. No:</v>
      </c>
      <c r="L93" s="24"/>
      <c r="M93" s="25" t="str">
        <f ca="1">IFERROR(VLOOKUP(B92,INDIRECT($F$8),3,0),"")</f>
        <v>UTU/2501103843</v>
      </c>
      <c r="N93" s="25"/>
    </row>
    <row r="94" spans="1:24" ht="12" customHeight="1" x14ac:dyDescent="0.2">
      <c r="A94" s="24"/>
      <c r="B94" s="24"/>
      <c r="C94" s="24"/>
      <c r="D94" s="24"/>
      <c r="E94" s="24"/>
      <c r="F94" s="24"/>
      <c r="G94" s="24"/>
      <c r="H94" s="24"/>
      <c r="I94" s="25"/>
      <c r="J94" s="25"/>
      <c r="K94" s="24"/>
      <c r="L94" s="24"/>
      <c r="M94" s="25"/>
      <c r="N94" s="25"/>
    </row>
    <row r="95" spans="1:24" ht="12" customHeight="1" x14ac:dyDescent="0.2">
      <c r="A95" s="26" t="str">
        <f ca="1">IF(ISERROR(F92),"",A74)</f>
        <v>Subject Code</v>
      </c>
      <c r="B95" s="26" t="str">
        <f ca="1">IF(ISERROR(F92),"",B74)</f>
        <v>Subject Name</v>
      </c>
      <c r="C95" s="26"/>
      <c r="D95" s="26"/>
      <c r="E95" s="26"/>
      <c r="F95" s="26" t="str">
        <f ca="1">IF(ISERROR(F92),"",F74)</f>
        <v>Credits</v>
      </c>
      <c r="G95" s="26" t="str">
        <f ca="1">IF(ISERROR(F92),"",G74)</f>
        <v>External Marks</v>
      </c>
      <c r="H95" s="26"/>
      <c r="I95" s="26" t="str">
        <f ca="1">IF(ISERROR(F92),"",I74)</f>
        <v>Sessional Marks</v>
      </c>
      <c r="J95" s="26"/>
      <c r="K95" s="26" t="str">
        <f ca="1">IF(ISERROR(F92),"",K74)</f>
        <v>Total Marks</v>
      </c>
      <c r="L95" s="26"/>
      <c r="M95" s="26" t="str">
        <f ca="1">IF(ISERROR(F92),"",M74)</f>
        <v>Grade</v>
      </c>
      <c r="N95" s="26" t="str">
        <f ca="1">IF(ISERROR(F92),"",N74)</f>
        <v>Grade Points</v>
      </c>
    </row>
    <row r="96" spans="1:24" ht="12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001</v>
      </c>
      <c r="B97" s="31" t="str">
        <f ca="1">IF(ISERROR(F92),"",VLOOKUP(D92,INDIRECT($F$8),6+(O97-1)*3,0))</f>
        <v>Engineering Physics</v>
      </c>
      <c r="C97" s="31"/>
      <c r="D97" s="31"/>
      <c r="E97" s="31"/>
      <c r="F97" s="7">
        <f ca="1">IF(ISERROR(F92),"",VLOOKUP(E92,INDIRECT($F$8),6+(O97-1)*3,0))</f>
        <v>4</v>
      </c>
      <c r="G97" s="29" t="str">
        <f ca="1">IF(ISERROR(F92),"",_xlfn.TEXTJOIN("/",FALSE,P97,S97))</f>
        <v>47/100</v>
      </c>
      <c r="H97" s="29"/>
      <c r="I97" s="29" t="str">
        <f ca="1">IF(ISERROR(F92),"",_xlfn.TEXTJOIN("/",FALSE,Q97,T97))</f>
        <v>25/50</v>
      </c>
      <c r="J97" s="29"/>
      <c r="K97" s="29" t="str">
        <f ca="1">IF(ISERROR(F92),"",_xlfn.TEXTJOIN("/",FALSE,R97,U97))</f>
        <v>72/150</v>
      </c>
      <c r="L97" s="29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E</v>
      </c>
      <c r="N97" s="8">
        <f ca="1">INDEX($Z$2:$Z$17,MATCH(M97,$Y$2:$Y$17,0))</f>
        <v>5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47</v>
      </c>
      <c r="Q97" s="1">
        <f ca="1">IF(ISERROR(F92),"",VLOOKUP(B92,INDIRECT($F$8),7+(O97-1)*3))</f>
        <v>25</v>
      </c>
      <c r="R97" s="1">
        <f ca="1">IF(ISERROR(F92),"",SUM(P97:Q97))</f>
        <v>72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31" t="str">
        <f ca="1">IF(ISERROR(F92),"",VLOOKUP(D92,INDIRECT($F$8),6+(O98-1)*3,0))</f>
        <v>Introduction to Engineering Mathematics</v>
      </c>
      <c r="C98" s="31"/>
      <c r="D98" s="31"/>
      <c r="E98" s="31"/>
      <c r="F98" s="7">
        <f ca="1">IF(ISERROR(F92),"",VLOOKUP(E92,INDIRECT($F$8),6+(O98-1)*3,0))</f>
        <v>4</v>
      </c>
      <c r="G98" s="29" t="str">
        <f ca="1">IF(ISERROR(F92),"",_xlfn.TEXTJOIN("/",FALSE,P98,S98))</f>
        <v>52/100</v>
      </c>
      <c r="H98" s="29"/>
      <c r="I98" s="29" t="str">
        <f ca="1">IF(ISERROR(F92),"",_xlfn.TEXTJOIN("/",FALSE,Q98,T98))</f>
        <v>18/50</v>
      </c>
      <c r="J98" s="29"/>
      <c r="K98" s="29" t="str">
        <f ca="1">IF(ISERROR(F92),"",_xlfn.TEXTJOIN("/",FALSE,R98,U98))</f>
        <v>70/150</v>
      </c>
      <c r="L98" s="29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E</v>
      </c>
      <c r="N98" s="8">
        <f t="shared" ref="N98:N107" ca="1" si="9">INDEX($Z$2:$Z$17,MATCH(M98,$Y$2:$Y$17,0))</f>
        <v>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52</v>
      </c>
      <c r="Q98" s="1">
        <f ca="1">IF(ISERROR(F92),"",VLOOKUP(B92,INDIRECT($F$8),7+(O98-1)*3))</f>
        <v>18</v>
      </c>
      <c r="R98" s="1">
        <f ca="1">IF(ISERROR(F92),"",SUM(P98:Q98))</f>
        <v>70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EET 001</v>
      </c>
      <c r="B99" s="31" t="str">
        <f ca="1">IF(ISERROR(F92),"",VLOOKUP(D92,INDIRECT($F$8),6+(O99-1)*3,0))</f>
        <v>Basic Electrical Engineering</v>
      </c>
      <c r="C99" s="31"/>
      <c r="D99" s="31"/>
      <c r="E99" s="31"/>
      <c r="F99" s="7">
        <f ca="1">IF(ISERROR(F92),"",VLOOKUP(E92,INDIRECT($F$8),6+(O99-1)*3,0))</f>
        <v>4</v>
      </c>
      <c r="G99" s="29" t="str">
        <f ca="1">IF(ISERROR(F92),"",_xlfn.TEXTJOIN("/",FALSE,P99,S99))</f>
        <v>35/100</v>
      </c>
      <c r="H99" s="29"/>
      <c r="I99" s="29" t="str">
        <f ca="1">IF(ISERROR(F92),"",_xlfn.TEXTJOIN("/",FALSE,Q99,T99))</f>
        <v>30/50</v>
      </c>
      <c r="J99" s="29"/>
      <c r="K99" s="29" t="str">
        <f ca="1">IF(ISERROR(F92),"",_xlfn.TEXTJOIN("/",FALSE,R99,U99))</f>
        <v>65/150</v>
      </c>
      <c r="L99" s="29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P</v>
      </c>
      <c r="N99" s="8">
        <f t="shared" ca="1" si="9"/>
        <v>4.5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35</v>
      </c>
      <c r="Q99" s="1">
        <f ca="1">IF(ISERROR(F92),"",VLOOKUP(B92,INDIRECT($F$8),7+(O99-1)*3))</f>
        <v>30</v>
      </c>
      <c r="R99" s="1">
        <f ca="1">IF(ISERROR(F92),"",SUM(P99:Q99))</f>
        <v>65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">
      <c r="A100" s="7" t="str">
        <f ca="1">IF(ISERROR(F92),"",VLOOKUP(C92,INDIRECT($F$8),6+(O100-1)*3,0))</f>
        <v>CST 001</v>
      </c>
      <c r="B100" s="31" t="str">
        <f ca="1">IF(ISERROR(F92),"",VLOOKUP(D92,INDIRECT($F$8),6+(O100-1)*3,0))</f>
        <v>Programming for Problem Solving</v>
      </c>
      <c r="C100" s="31"/>
      <c r="D100" s="31"/>
      <c r="E100" s="31"/>
      <c r="F100" s="7">
        <f ca="1">IF(ISERROR(F92),"",VLOOKUP(E92,INDIRECT($F$8),6+(O100-1)*3,0))</f>
        <v>4</v>
      </c>
      <c r="G100" s="29" t="str">
        <f ca="1">IF(ISERROR(F92),"",_xlfn.TEXTJOIN("/",FALSE,P100,S100))</f>
        <v>60/100</v>
      </c>
      <c r="H100" s="29"/>
      <c r="I100" s="29" t="str">
        <f ca="1">IF(ISERROR(F92),"",_xlfn.TEXTJOIN("/",FALSE,Q100,T100))</f>
        <v>30/50</v>
      </c>
      <c r="J100" s="29"/>
      <c r="K100" s="29" t="str">
        <f ca="1">IF(ISERROR(F92),"",_xlfn.TEXTJOIN("/",FALSE,R100,U100))</f>
        <v>90/150</v>
      </c>
      <c r="L100" s="29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D+</v>
      </c>
      <c r="N100" s="8">
        <f t="shared" ca="1" si="9"/>
        <v>6.5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60</v>
      </c>
      <c r="Q100" s="1">
        <f ca="1">IF(ISERROR(F92),"",VLOOKUP(B92,INDIRECT($F$8),7+(O100-1)*3))</f>
        <v>30</v>
      </c>
      <c r="R100" s="1">
        <f ca="1">IF(ISERROR(F92),"",SUM(P100:Q100))</f>
        <v>90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AHT 004</v>
      </c>
      <c r="B101" s="31" t="str">
        <f ca="1">IF(ISERROR(F92),"",VLOOKUP(D92,INDIRECT($F$8),6+(O101-1)*3,0))</f>
        <v>Environmental Studies ($)</v>
      </c>
      <c r="C101" s="31"/>
      <c r="D101" s="31"/>
      <c r="E101" s="31"/>
      <c r="F101" s="7">
        <f ca="1">IF(ISERROR(F92),"",VLOOKUP(E92,INDIRECT($F$8),6+(O101-1)*3,0))</f>
        <v>0</v>
      </c>
      <c r="G101" s="29" t="str">
        <f ca="1">IF(ISERROR(F92),"",_xlfn.TEXTJOIN("/",FALSE,P101,S101))</f>
        <v>38/50</v>
      </c>
      <c r="H101" s="29"/>
      <c r="I101" s="29" t="str">
        <f ca="1">IF(ISERROR(F92),"",_xlfn.TEXTJOIN("/",FALSE,Q101,T101))</f>
        <v>20/25</v>
      </c>
      <c r="J101" s="29"/>
      <c r="K101" s="29" t="str">
        <f ca="1">IF(ISERROR(F92),"",_xlfn.TEXTJOIN("/",FALSE,R101,U101))</f>
        <v>58/75</v>
      </c>
      <c r="L101" s="29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B</v>
      </c>
      <c r="N101" s="8">
        <f t="shared" ca="1" si="9"/>
        <v>8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38</v>
      </c>
      <c r="Q101" s="1">
        <f ca="1">IF(ISERROR(F92),"",VLOOKUP(B92,INDIRECT($F$8),7+(O101-1)*3))</f>
        <v>20</v>
      </c>
      <c r="R101" s="1">
        <f ca="1">IF(ISERROR(F92),"",SUM(P101:Q101))</f>
        <v>58</v>
      </c>
      <c r="S101" s="1">
        <f ca="1">IF(ISERROR(F92),"",VLOOKUP(A92,INDIRECT($F$8),6+(O101-1)*3))</f>
        <v>50</v>
      </c>
      <c r="T101" s="1">
        <f ca="1">IF(ISERROR(F92),"",VLOOKUP(A92,INDIRECT($F$8),7+(O101-1)*3))</f>
        <v>25</v>
      </c>
      <c r="U101" s="1">
        <f ca="1">IF(ISERROR(F92),"",VLOOKUP(A92,INDIRECT($F$8),8+(O101-1)*3))</f>
        <v>75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AHP 001</v>
      </c>
      <c r="B102" s="31" t="str">
        <f ca="1">IF(ISERROR(F92),"",VLOOKUP(D92,INDIRECT($F$8),6+(O102-1)*3,0))</f>
        <v>Engineering Physics Lab</v>
      </c>
      <c r="C102" s="31"/>
      <c r="D102" s="31"/>
      <c r="E102" s="31"/>
      <c r="F102" s="7">
        <f ca="1">IF(ISERROR(F92),"",VLOOKUP(E92,INDIRECT($F$8),6+(O102-1)*3,0))</f>
        <v>1</v>
      </c>
      <c r="G102" s="29" t="str">
        <f ca="1">IF(ISERROR(F92),"",_xlfn.TEXTJOIN("/",FALSE,P102,S102))</f>
        <v>21/25</v>
      </c>
      <c r="H102" s="29"/>
      <c r="I102" s="29" t="str">
        <f ca="1">IF(ISERROR(F92),"",_xlfn.TEXTJOIN("/",FALSE,Q102,T102))</f>
        <v>22/25</v>
      </c>
      <c r="J102" s="29"/>
      <c r="K102" s="29" t="str">
        <f ca="1">IF(ISERROR(F92),"",_xlfn.TEXTJOIN("/",FALSE,R102,U102))</f>
        <v>43/50</v>
      </c>
      <c r="L102" s="29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A</v>
      </c>
      <c r="N102" s="8">
        <f t="shared" ca="1" si="9"/>
        <v>9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21</v>
      </c>
      <c r="Q102" s="1">
        <f ca="1">IF(ISERROR(F92),"",VLOOKUP(B92,INDIRECT($F$8),7+(O102-1)*3))</f>
        <v>22</v>
      </c>
      <c r="R102" s="1">
        <f ca="1">IF(ISERROR(F92),"",SUM(P102:Q102))</f>
        <v>43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EEP 001</v>
      </c>
      <c r="B103" s="31" t="str">
        <f ca="1">IF(ISERROR(F92),"",VLOOKUP(D92,INDIRECT($F$8),6+(O103-1)*3,0))</f>
        <v>Basic Electrical Engineering Lab</v>
      </c>
      <c r="C103" s="31"/>
      <c r="D103" s="31"/>
      <c r="E103" s="31"/>
      <c r="F103" s="7">
        <f ca="1">IF(ISERROR(F92),"",VLOOKUP(E92,INDIRECT($F$8),6+(O103-1)*3,0))</f>
        <v>1</v>
      </c>
      <c r="G103" s="29" t="str">
        <f ca="1">IF(ISERROR(F92),"",_xlfn.TEXTJOIN("/",FALSE,P103,S103))</f>
        <v>23/25</v>
      </c>
      <c r="H103" s="29"/>
      <c r="I103" s="29" t="str">
        <f ca="1">IF(ISERROR(F92),"",_xlfn.TEXTJOIN("/",FALSE,Q103,T103))</f>
        <v>17/25</v>
      </c>
      <c r="J103" s="29"/>
      <c r="K103" s="29" t="str">
        <f ca="1">IF(ISERROR(F92),"",_xlfn.TEXTJOIN("/",FALSE,R103,U103))</f>
        <v>40/50</v>
      </c>
      <c r="L103" s="29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B+</v>
      </c>
      <c r="N103" s="8">
        <f t="shared" ca="1" si="9"/>
        <v>8.5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23</v>
      </c>
      <c r="Q103" s="1">
        <f ca="1">IF(ISERROR(F92),"",VLOOKUP(B92,INDIRECT($F$8),7+(O103-1)*3))</f>
        <v>17</v>
      </c>
      <c r="R103" s="1">
        <f ca="1">IF(ISERROR(F92),"",SUM(P103:Q103))</f>
        <v>40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CSP 001</v>
      </c>
      <c r="B104" s="31" t="str">
        <f ca="1">IF(ISERROR(F92),"",VLOOKUP(D92,INDIRECT($F$8),6+(O104-1)*3-Z104,0))</f>
        <v>Programming for Problem Solving Lab</v>
      </c>
      <c r="C104" s="31"/>
      <c r="D104" s="31"/>
      <c r="E104" s="31"/>
      <c r="F104" s="7">
        <f ca="1">IF(ISERROR(F92),"",VLOOKUP(E92,INDIRECT($F$8),6+(O104-1)*3,0))</f>
        <v>1</v>
      </c>
      <c r="G104" s="29" t="str">
        <f ca="1">IF(ISERROR(F92),"",_xlfn.TEXTJOIN("/",FALSE,P104,S104))</f>
        <v>22/25</v>
      </c>
      <c r="H104" s="29"/>
      <c r="I104" s="29" t="str">
        <f ca="1">IF(ISERROR(F92),"",_xlfn.TEXTJOIN("/",FALSE,Q104,T104))</f>
        <v>22/25</v>
      </c>
      <c r="J104" s="29"/>
      <c r="K104" s="29" t="str">
        <f ca="1">IF(ISERROR(F92),"",_xlfn.TEXTJOIN("/",FALSE,R104,U104))</f>
        <v>44/50</v>
      </c>
      <c r="L104" s="29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A</v>
      </c>
      <c r="N104" s="8">
        <f t="shared" ca="1" si="9"/>
        <v>9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22</v>
      </c>
      <c r="Q104" s="1">
        <f ca="1">IF(ISERROR(F92),"",VLOOKUP(B92,INDIRECT($F$8),7+(O104-1)*3))</f>
        <v>22</v>
      </c>
      <c r="R104" s="1">
        <f ca="1">IF(ISERROR(F92),"",SUM(P104:Q104))</f>
        <v>44</v>
      </c>
      <c r="S104" s="1">
        <f ca="1">IF(ISERROR(F92),"",VLOOKUP(A92,INDIRECT($F$8),6+(O104-1)*3))</f>
        <v>25</v>
      </c>
      <c r="T104" s="1">
        <f ca="1">IF(ISERROR(F92),"",VLOOKUP(A92,INDIRECT($F$8),7+(O104-1)*3))</f>
        <v>25</v>
      </c>
      <c r="U104" s="1">
        <f ca="1">IF(ISERROR(F92),"",VLOOKUP(A92,INDIRECT($F$8),8+(O104-1)*3))</f>
        <v>50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MEP 002</v>
      </c>
      <c r="B105" s="31" t="str">
        <f ca="1">IF(ISERROR(F92),"",VLOOKUP(D92,INDIRECT($F$8),6+(O105-1)*3-Z105,0))</f>
        <v>Engineering Graphics &amp; Design Lab</v>
      </c>
      <c r="C105" s="31"/>
      <c r="D105" s="31"/>
      <c r="E105" s="31"/>
      <c r="F105" s="7">
        <f ca="1">IF(ISERROR(F92),"",VLOOKUP(E92,INDIRECT($F$8),6+(O105-1)*3,0))</f>
        <v>2</v>
      </c>
      <c r="G105" s="29" t="str">
        <f ca="1">IF(ISERROR(F92),"",_xlfn.TEXTJOIN("/",FALSE,P105,S105))</f>
        <v>40/50</v>
      </c>
      <c r="H105" s="29"/>
      <c r="I105" s="29" t="str">
        <f ca="1">IF(ISERROR(F92),"",_xlfn.TEXTJOIN("/",FALSE,Q105,T105))</f>
        <v>43/50</v>
      </c>
      <c r="J105" s="29"/>
      <c r="K105" s="29" t="str">
        <f ca="1">IF(ISERROR(F92),"",_xlfn.TEXTJOIN("/",FALSE,R105,U105))</f>
        <v>83/100</v>
      </c>
      <c r="L105" s="29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B+</v>
      </c>
      <c r="N105" s="8">
        <f t="shared" ca="1" si="9"/>
        <v>8.5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40</v>
      </c>
      <c r="Q105" s="1">
        <f ca="1">IF(ISERROR(F92),"",VLOOKUP(B92,INDIRECT($F$8),7+(O105-1)*3))</f>
        <v>43</v>
      </c>
      <c r="R105" s="1">
        <f ca="1">IF(ISERROR(F92),"",SUM(P105:Q105))</f>
        <v>83</v>
      </c>
      <c r="S105" s="1">
        <f ca="1">IF(ISERROR(F92),"",VLOOKUP(A92,INDIRECT($F$8),6+(O105-1)*3))</f>
        <v>50</v>
      </c>
      <c r="T105" s="1">
        <f ca="1">IF(ISERROR(F92),"",VLOOKUP(A92,INDIRECT($F$8),7+(O105-1)*3))</f>
        <v>50</v>
      </c>
      <c r="U105" s="1">
        <f ca="1">IF(ISERROR(F92),"",VLOOKUP(A92,INDIRECT($F$8),8+(O105-1)*3))</f>
        <v>100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AHP 003</v>
      </c>
      <c r="B106" s="31" t="str">
        <f ca="1">IF(ISERROR(F92),"",VLOOKUP(D92,INDIRECT($F$8),6+(O106-1)*3,0))</f>
        <v>Introduction to Digital Marketing Lab</v>
      </c>
      <c r="C106" s="31"/>
      <c r="D106" s="31"/>
      <c r="E106" s="31"/>
      <c r="F106" s="7">
        <f ca="1">IF(ISERROR(F92),"",VLOOKUP(E92,INDIRECT($F$8),6+(O106-1)*3,0))</f>
        <v>1</v>
      </c>
      <c r="G106" s="29" t="str">
        <f ca="1">IF(ISERROR(F92),"",_xlfn.TEXTJOIN("/",FALSE,P106,S106))</f>
        <v>21/25</v>
      </c>
      <c r="H106" s="29"/>
      <c r="I106" s="29" t="str">
        <f ca="1">IF(ISERROR(F92),"",_xlfn.TEXTJOIN("/",FALSE,Q106,T106))</f>
        <v>15/25</v>
      </c>
      <c r="J106" s="29"/>
      <c r="K106" s="29" t="str">
        <f ca="1">IF(ISERROR(F92),"",_xlfn.TEXTJOIN("/",FALSE,R106,U106))</f>
        <v>36/50</v>
      </c>
      <c r="L106" s="29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C+</v>
      </c>
      <c r="N106" s="8">
        <f t="shared" ca="1" si="9"/>
        <v>7.5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21</v>
      </c>
      <c r="Q106" s="1">
        <f ca="1">IF(ISERROR(F92),"",VLOOKUP(B92,INDIRECT($F$8),7+(O106-1)*3))</f>
        <v>15</v>
      </c>
      <c r="R106" s="1">
        <f ca="1">IF(ISERROR(F92),"",SUM(P106:Q106))</f>
        <v>36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005</v>
      </c>
      <c r="B107" s="31" t="str">
        <f ca="1">IF(ISERROR(F92),"",VLOOKUP(D92,INDIRECT($F$8),6+(O107-1)*3,0))</f>
        <v>Self Employment &amp; Entrepreneurship Development</v>
      </c>
      <c r="C107" s="31"/>
      <c r="D107" s="31"/>
      <c r="E107" s="31"/>
      <c r="F107" s="7">
        <f ca="1">IF(ISERROR(F92),"",VLOOKUP(E92,INDIRECT($F$8),6+(O107-1)*3,0))</f>
        <v>1</v>
      </c>
      <c r="G107" s="29" t="str">
        <f ca="1">IF(ISERROR(F92),"",_xlfn.TEXTJOIN("/",FALSE,P107,S107))</f>
        <v>21/25</v>
      </c>
      <c r="H107" s="29"/>
      <c r="I107" s="29" t="str">
        <f ca="1">IF(ISERROR(F92),"",_xlfn.TEXTJOIN("/",FALSE,Q107,T107))</f>
        <v>24/25</v>
      </c>
      <c r="J107" s="29"/>
      <c r="K107" s="29" t="str">
        <f ca="1">IF(ISERROR(F92),"",_xlfn.TEXTJOIN("/",FALSE,R107,U107))</f>
        <v>45/50</v>
      </c>
      <c r="L107" s="29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A+</v>
      </c>
      <c r="N107" s="8">
        <f t="shared" ca="1" si="9"/>
        <v>9.5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21</v>
      </c>
      <c r="Q107" s="1">
        <f ca="1">IF(ISERROR(F92),"",VLOOKUP(B92,INDIRECT($F$8),7+(O107-1)*3))</f>
        <v>24</v>
      </c>
      <c r="R107" s="1">
        <f ca="1">IF(ISERROR(F92),"",SUM(P107:Q107))</f>
        <v>45</v>
      </c>
      <c r="S107" s="1">
        <f ca="1">IF(ISERROR(F92),"",VLOOKUP(A92,INDIRECT($F$8),6+(O107-1)*3))</f>
        <v>25</v>
      </c>
      <c r="T107" s="1">
        <f ca="1">IF(ISERROR(F92),"",VLOOKUP(A92,INDIRECT($F$8),7+(O107-1)*3))</f>
        <v>25</v>
      </c>
      <c r="U107" s="1">
        <f ca="1">IF(ISERROR(F92),"",VLOOKUP(A92,INDIRECT($F$8),8+(O107-1)*3))</f>
        <v>50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31" t="str">
        <f ca="1">IF(ISERROR(F92),"",VLOOKUP(D92,INDIRECT($F$8),6+(O108-1)*3-Z108,0))</f>
        <v>General Proficiency ($)</v>
      </c>
      <c r="C108" s="31"/>
      <c r="D108" s="31"/>
      <c r="E108" s="31"/>
      <c r="F108" s="7">
        <f ca="1">IF(ISERROR(F92),"",VLOOKUP(E92,INDIRECT($F$8),6+(O108-1)*3-AA108,0))</f>
        <v>0</v>
      </c>
      <c r="G108" s="29" t="str">
        <f ca="1">IF(ISERROR(F92),"","-")</f>
        <v>-</v>
      </c>
      <c r="H108" s="29"/>
      <c r="I108" s="29" t="str">
        <f ca="1">IF(ISERROR(F92),"",_xlfn.TEXTJOIN("/",FALSE,Q108,T108))</f>
        <v>47/50</v>
      </c>
      <c r="J108" s="29"/>
      <c r="K108" s="29" t="str">
        <f ca="1">IF(ISERROR(F92),"",_xlfn.TEXTJOIN("/",FALSE,R108,U108))</f>
        <v>47/50</v>
      </c>
      <c r="L108" s="29"/>
      <c r="M108" s="29" t="str">
        <f ca="1">IF(ISBLANK(R108),"",IF(ISTEXT(R108),R108,IF(R108&gt;=0.8*U108,"Excellent",IF(R108&gt;=0.6*U108,"Very Good",IF(R108&gt;=0.4*U108,"Good",IF(R108&gt;=0.2*U108,"Satisfactory","Average"))))))</f>
        <v>Excellent</v>
      </c>
      <c r="N108" s="29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7" t="str">
        <f ca="1">IF(ISERROR(F92),"",A88)</f>
        <v>Total Credits/ Marks/ Total Grade Points</v>
      </c>
      <c r="B109" s="27"/>
      <c r="C109" s="27"/>
      <c r="D109" s="27"/>
      <c r="E109" s="27"/>
      <c r="F109" s="10">
        <f ca="1">IF(ISERROR(F92),"",SUM(F97:F107))</f>
        <v>23</v>
      </c>
      <c r="G109" s="30" t="str">
        <f ca="1">IF(ISERROR(F92),"",_xlfn.TEXTJOIN("/",TRUE,SUMIF(F97:F108,"&gt;0",P97:P108),SUMIF(F97:F108,"&gt;0",S97:S108)))</f>
        <v>342/575</v>
      </c>
      <c r="H109" s="30"/>
      <c r="I109" s="30" t="str">
        <f ca="1">IF(ISERROR(F92),"",_xlfn.TEXTJOIN("/",TRUE,SUMIF(F97:F108,"&gt;0",Q97:Q108),SUMIF(F97:F108,"&gt;0",T97:T108)))</f>
        <v>246/375</v>
      </c>
      <c r="J109" s="30"/>
      <c r="K109" s="30" t="str">
        <f ca="1">IF(ISERROR(F92),"",_xlfn.TEXTJOIN("/",TRUE,SUMIF(F97:F108,"&gt;0",R97:R108),SUMIF(F97:F108,"&gt;0",U97:U108)))</f>
        <v>588/950</v>
      </c>
      <c r="L109" s="30"/>
      <c r="M109" s="27">
        <f ca="1">IF(ISERROR(F92),"",SUMPRODUCT(N97:N107,F97:F107))</f>
        <v>144.5</v>
      </c>
      <c r="N109" s="27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/>
      </c>
    </row>
    <row r="110" spans="1:24" ht="12" customHeight="1" x14ac:dyDescent="0.2">
      <c r="A110" s="27" t="str">
        <f ca="1">IF(ISERROR(F92),"",A89)</f>
        <v>Result:</v>
      </c>
      <c r="B110" s="26" t="str" cm="1">
        <f t="array" aca="1" ref="B110" ca="1">IF(SUM(COUNTIF(M97:M107,{"Ab","Dt"}))=11, "Not Promoted to IInd Semester", IF(V109="", "PASS", "CARRY OVER"))</f>
        <v>PASS</v>
      </c>
      <c r="C110" s="26"/>
      <c r="D110" s="27" t="str">
        <f ca="1">IF(ISERROR(F92),"",D89)</f>
        <v>Remark:</v>
      </c>
      <c r="E110" s="26" t="str">
        <f ca="1">IF(ISERROR(F92),"",IF(V109="",IF(X109="","",X109),_xlfn.TEXTJOIN(" ",TRUE,"BACK IN",V109)))</f>
        <v/>
      </c>
      <c r="F110" s="26"/>
      <c r="G110" s="27" t="str">
        <f ca="1">IF(ISERROR(F92),"",G89)</f>
        <v>SGPA:</v>
      </c>
      <c r="H110" s="28">
        <f ca="1">IF(ISERROR(F92),"",M109/F109)</f>
        <v>6.2826086956521738</v>
      </c>
      <c r="I110" s="27" t="str">
        <f ca="1">IF(ISERROR(F92),"",I89)</f>
        <v>CGPA:</v>
      </c>
      <c r="J110" s="28">
        <f ca="1">IF(ISERROR(F92),"",VLOOKUP(B92,INDIRECT($F$8),12+(O108-1)*3,0))</f>
        <v>6.2826086956521738</v>
      </c>
      <c r="K110" s="26" t="str">
        <f ca="1">IF(ISERROR(F92),"",K89)</f>
        <v>Earned Credits:</v>
      </c>
      <c r="L110" s="27">
        <f ca="1">IF(ISERROR(F92),"",SUMIF(N97:N107,"&gt;0",F97:F107))</f>
        <v>23</v>
      </c>
      <c r="M110" s="26" t="str">
        <f ca="1">IF(ISERROR(F92),"",M89)</f>
        <v>Cuml. Earned Credits:</v>
      </c>
      <c r="N110" s="27">
        <f ca="1">IF(ISERROR(F92),"",VLOOKUP(B92,INDIRECT($F$8),10+(O108-1)*3,0))</f>
        <v>23</v>
      </c>
    </row>
    <row r="111" spans="1:24" ht="12" customHeight="1" x14ac:dyDescent="0.2">
      <c r="A111" s="27"/>
      <c r="B111" s="26"/>
      <c r="C111" s="26"/>
      <c r="D111" s="27"/>
      <c r="E111" s="26"/>
      <c r="F111" s="26"/>
      <c r="G111" s="27"/>
      <c r="H111" s="28"/>
      <c r="I111" s="27"/>
      <c r="J111" s="28"/>
      <c r="K111" s="26"/>
      <c r="L111" s="27"/>
      <c r="M111" s="26"/>
      <c r="N111" s="27"/>
    </row>
    <row r="112" spans="1:24" ht="12" customHeight="1" x14ac:dyDescent="0.2">
      <c r="A112" s="27"/>
      <c r="B112" s="26"/>
      <c r="C112" s="26"/>
      <c r="D112" s="27"/>
      <c r="E112" s="26"/>
      <c r="F112" s="26"/>
      <c r="G112" s="27"/>
      <c r="H112" s="28"/>
      <c r="I112" s="27"/>
      <c r="J112" s="28"/>
      <c r="K112" s="26"/>
      <c r="L112" s="27"/>
      <c r="M112" s="26"/>
      <c r="N112" s="27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HARSHIT GOSWAMI</v>
      </c>
    </row>
    <row r="114" spans="1:24" ht="12" customHeight="1" x14ac:dyDescent="0.2">
      <c r="A114" s="24" t="str">
        <f ca="1">IF(ISERROR(F113),"",A93)</f>
        <v>Name:</v>
      </c>
      <c r="B114" s="24" t="str">
        <f ca="1">IFERROR(VLOOKUP(B113,INDIRECT($F$8),4,0),"")</f>
        <v>HARSHIT GOSWAMI</v>
      </c>
      <c r="C114" s="24"/>
      <c r="D114" s="24" t="str">
        <f ca="1">IF(ISERROR(F113),"",D93)</f>
        <v>Father's Name:</v>
      </c>
      <c r="E114" s="24" t="str">
        <f ca="1">IFERROR(VLOOKUP(B113,INDIRECT($F$8),5,0),"")</f>
        <v>RAJENDRA NATH GOSWAMI</v>
      </c>
      <c r="F114" s="24"/>
      <c r="G114" s="24" t="str">
        <f ca="1">IF(ISERROR(F113),"",G93)</f>
        <v>University Roll No:</v>
      </c>
      <c r="H114" s="24"/>
      <c r="I114" s="25">
        <f ca="1">IFERROR(VLOOKUP(B113,INDIRECT($F$8),2,0),"")</f>
        <v>250090111006</v>
      </c>
      <c r="J114" s="25"/>
      <c r="K114" s="24" t="str">
        <f ca="1">IF(ISERROR(F113),"",K93)</f>
        <v>University Enrol. No:</v>
      </c>
      <c r="L114" s="24"/>
      <c r="M114" s="25" t="str">
        <f ca="1">IFERROR(VLOOKUP(B113,INDIRECT($F$8),3,0),"")</f>
        <v>UTU/2501104079</v>
      </c>
      <c r="N114" s="25"/>
    </row>
    <row r="115" spans="1:24" ht="12" customHeight="1" x14ac:dyDescent="0.2">
      <c r="A115" s="24"/>
      <c r="B115" s="24"/>
      <c r="C115" s="24"/>
      <c r="D115" s="24"/>
      <c r="E115" s="24"/>
      <c r="F115" s="24"/>
      <c r="G115" s="24"/>
      <c r="H115" s="24"/>
      <c r="I115" s="25"/>
      <c r="J115" s="25"/>
      <c r="K115" s="24"/>
      <c r="L115" s="24"/>
      <c r="M115" s="25"/>
      <c r="N115" s="25"/>
    </row>
    <row r="116" spans="1:24" ht="12" customHeight="1" x14ac:dyDescent="0.2">
      <c r="A116" s="26" t="str">
        <f ca="1">IF(ISERROR(F113),"",A95)</f>
        <v>Subject Code</v>
      </c>
      <c r="B116" s="26" t="str">
        <f ca="1">IF(ISERROR(F113),"",B95)</f>
        <v>Subject Name</v>
      </c>
      <c r="C116" s="26"/>
      <c r="D116" s="26"/>
      <c r="E116" s="26"/>
      <c r="F116" s="26" t="str">
        <f ca="1">IF(ISERROR(F113),"",F95)</f>
        <v>Credits</v>
      </c>
      <c r="G116" s="26" t="str">
        <f ca="1">IF(ISERROR(F113),"",G95)</f>
        <v>External Marks</v>
      </c>
      <c r="H116" s="26"/>
      <c r="I116" s="26" t="str">
        <f ca="1">IF(ISERROR(F113),"",I95)</f>
        <v>Sessional Marks</v>
      </c>
      <c r="J116" s="26"/>
      <c r="K116" s="26" t="str">
        <f ca="1">IF(ISERROR(F113),"",K95)</f>
        <v>Total Marks</v>
      </c>
      <c r="L116" s="26"/>
      <c r="M116" s="26" t="str">
        <f ca="1">IF(ISERROR(F113),"",M95)</f>
        <v>Grade</v>
      </c>
      <c r="N116" s="26" t="str">
        <f ca="1">IF(ISERROR(F113),"",N95)</f>
        <v>Grade Points</v>
      </c>
    </row>
    <row r="117" spans="1:24" ht="12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001</v>
      </c>
      <c r="B118" s="31" t="str">
        <f ca="1">IF(ISERROR(F113),"",VLOOKUP(D113,INDIRECT($F$8),6+(O118-1)*3,0))</f>
        <v>Engineering Physics</v>
      </c>
      <c r="C118" s="31"/>
      <c r="D118" s="31"/>
      <c r="E118" s="31"/>
      <c r="F118" s="7">
        <f ca="1">IF(ISERROR(F113),"",VLOOKUP(E113,INDIRECT($F$8),6+(O118-1)*3,0))</f>
        <v>4</v>
      </c>
      <c r="G118" s="29" t="str">
        <f ca="1">IF(ISERROR(F113),"",_xlfn.TEXTJOIN("/",FALSE,P118,S118))</f>
        <v>6/100</v>
      </c>
      <c r="H118" s="29"/>
      <c r="I118" s="29" t="str">
        <f ca="1">IF(ISERROR(F113),"",_xlfn.TEXTJOIN("/",FALSE,Q118,T118))</f>
        <v>14/50</v>
      </c>
      <c r="J118" s="29"/>
      <c r="K118" s="29" t="str">
        <f ca="1">IF(ISERROR(F113),"",_xlfn.TEXTJOIN("/",FALSE,R118,U118))</f>
        <v>20/150</v>
      </c>
      <c r="L118" s="29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F</v>
      </c>
      <c r="N118" s="8">
        <f ca="1">INDEX($Z$2:$Z$17,MATCH(M118,$Y$2:$Y$17,0))</f>
        <v>0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6</v>
      </c>
      <c r="Q118" s="1">
        <f ca="1">IF(ISERROR(F113),"",VLOOKUP(B113,INDIRECT($F$8),7+(O118-1)*3))</f>
        <v>14</v>
      </c>
      <c r="R118" s="1">
        <f ca="1">IF(ISERROR(F113),"",SUM(P118:Q118))</f>
        <v>20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>AHT 001</v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11</v>
      </c>
      <c r="X118" s="1" t="str">
        <f ca="1">IF(ISERROR(F113),"",IF(W118=0,"",_xlfn.TEXTJOIN("",FALSE," G+",W118," in ",A118)))</f>
        <v xml:space="preserve"> G+11 in AHT 001</v>
      </c>
    </row>
    <row r="119" spans="1:24" ht="12" customHeight="1" x14ac:dyDescent="0.2">
      <c r="A119" s="7" t="str">
        <f ca="1">IF(ISERROR(F113),"",VLOOKUP(C113,INDIRECT($F$8),6+(O119-1)*3,0))</f>
        <v>AHT 003</v>
      </c>
      <c r="B119" s="31" t="str">
        <f ca="1">IF(ISERROR(F113),"",VLOOKUP(D113,INDIRECT($F$8),6+(O119-1)*3,0))</f>
        <v>Introduction to Engineering Mathematics</v>
      </c>
      <c r="C119" s="31"/>
      <c r="D119" s="31"/>
      <c r="E119" s="31"/>
      <c r="F119" s="7">
        <f ca="1">IF(ISERROR(F113),"",VLOOKUP(E113,INDIRECT($F$8),6+(O119-1)*3,0))</f>
        <v>4</v>
      </c>
      <c r="G119" s="29" t="str">
        <f ca="1">IF(ISERROR(F113),"",_xlfn.TEXTJOIN("/",FALSE,P119,S119))</f>
        <v>D/100</v>
      </c>
      <c r="H119" s="29"/>
      <c r="I119" s="29" t="str">
        <f ca="1">IF(ISERROR(F113),"",_xlfn.TEXTJOIN("/",FALSE,Q119,T119))</f>
        <v>D/50</v>
      </c>
      <c r="J119" s="29"/>
      <c r="K119" s="29" t="str">
        <f ca="1">IF(ISERROR(F113),"",_xlfn.TEXTJOIN("/",FALSE,R119,U119))</f>
        <v>0/150</v>
      </c>
      <c r="L119" s="29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Dt</v>
      </c>
      <c r="N119" s="8">
        <f t="shared" ref="N119:N128" ca="1" si="11">INDEX($Z$2:$Z$17,MATCH(M119,$Y$2:$Y$17,0))</f>
        <v>0</v>
      </c>
      <c r="O119">
        <f>O118+1</f>
        <v>2</v>
      </c>
      <c r="P119" s="1" t="str">
        <f ca="1">IF(ISERROR(F113),"",IF(ISTEXT(VLOOKUP(B113,INDIRECT($F$8),6+(O119-1)*3)),(VLOOKUP(B113,INDIRECT($F$8),6+(O119-1)*3)),SUM(VLOOKUP(B113,INDIRECT($F$8),6+(O119-1)*3),IF(W130,W119,0))))</f>
        <v>D</v>
      </c>
      <c r="Q119" s="1" t="str">
        <f ca="1">IF(ISERROR(F113),"",VLOOKUP(B113,INDIRECT($F$8),7+(O119-1)*3))</f>
        <v>D</v>
      </c>
      <c r="R119" s="1">
        <f ca="1">IF(ISERROR(F113),"",SUM(P119:Q119))</f>
        <v>0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>AHT 003</v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11</v>
      </c>
      <c r="X119" s="1" t="str">
        <f ca="1">IF(ISERROR(F113),"",IF(W119=0,"",_xlfn.TEXTJOIN("",FALSE," G+",W119," in ",A119)))</f>
        <v xml:space="preserve"> G+11 in AHT 003</v>
      </c>
    </row>
    <row r="120" spans="1:24" ht="12" customHeight="1" x14ac:dyDescent="0.2">
      <c r="A120" s="7" t="str">
        <f ca="1">IF(ISERROR(F113),"",VLOOKUP(C113,INDIRECT($F$8),6+(O120-1)*3,0))</f>
        <v>EET 001</v>
      </c>
      <c r="B120" s="31" t="str">
        <f ca="1">IF(ISERROR(F113),"",VLOOKUP(D113,INDIRECT($F$8),6+(O120-1)*3,0))</f>
        <v>Basic Electrical Engineering</v>
      </c>
      <c r="C120" s="31"/>
      <c r="D120" s="31"/>
      <c r="E120" s="31"/>
      <c r="F120" s="7">
        <f ca="1">IF(ISERROR(F113),"",VLOOKUP(E113,INDIRECT($F$8),6+(O120-1)*3,0))</f>
        <v>4</v>
      </c>
      <c r="G120" s="29" t="str">
        <f ca="1">IF(ISERROR(F113),"",_xlfn.TEXTJOIN("/",FALSE,P120,S120))</f>
        <v>17/100</v>
      </c>
      <c r="H120" s="29"/>
      <c r="I120" s="29" t="str">
        <f ca="1">IF(ISERROR(F113),"",_xlfn.TEXTJOIN("/",FALSE,Q120,T120))</f>
        <v>25/50</v>
      </c>
      <c r="J120" s="29"/>
      <c r="K120" s="29" t="str">
        <f ca="1">IF(ISERROR(F113),"",_xlfn.TEXTJOIN("/",FALSE,R120,U120))</f>
        <v>42/150</v>
      </c>
      <c r="L120" s="29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F</v>
      </c>
      <c r="N120" s="8">
        <f t="shared" ca="1" si="11"/>
        <v>0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17</v>
      </c>
      <c r="Q120" s="1">
        <f ca="1">IF(ISERROR(F113),"",VLOOKUP(B113,INDIRECT($F$8),7+(O120-1)*3))</f>
        <v>25</v>
      </c>
      <c r="R120" s="1">
        <f ca="1">IF(ISERROR(F113),"",SUM(P120:Q120))</f>
        <v>42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>EET 001</v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11</v>
      </c>
      <c r="X120" s="1" t="str">
        <f ca="1">IF(ISERROR(F113),"",IF(W120=0,"",_xlfn.TEXTJOIN("",FALSE," G+",W120," in ",A120)))</f>
        <v xml:space="preserve"> G+11 in EET 001</v>
      </c>
    </row>
    <row r="121" spans="1:24" ht="12" customHeight="1" x14ac:dyDescent="0.2">
      <c r="A121" s="7" t="str">
        <f ca="1">IF(ISERROR(F113),"",VLOOKUP(C113,INDIRECT($F$8),6+(O121-1)*3,0))</f>
        <v>CST 001</v>
      </c>
      <c r="B121" s="31" t="str">
        <f ca="1">IF(ISERROR(F113),"",VLOOKUP(D113,INDIRECT($F$8),6+(O121-1)*3,0))</f>
        <v>Programming for Problem Solving</v>
      </c>
      <c r="C121" s="31"/>
      <c r="D121" s="31"/>
      <c r="E121" s="31"/>
      <c r="F121" s="7">
        <f ca="1">IF(ISERROR(F113),"",VLOOKUP(E113,INDIRECT($F$8),6+(O121-1)*3,0))</f>
        <v>4</v>
      </c>
      <c r="G121" s="29" t="str">
        <f ca="1">IF(ISERROR(F113),"",_xlfn.TEXTJOIN("/",FALSE,P121,S121))</f>
        <v>4/100</v>
      </c>
      <c r="H121" s="29"/>
      <c r="I121" s="29" t="str">
        <f ca="1">IF(ISERROR(F113),"",_xlfn.TEXTJOIN("/",FALSE,Q121,T121))</f>
        <v>18/50</v>
      </c>
      <c r="J121" s="29"/>
      <c r="K121" s="29" t="str">
        <f ca="1">IF(ISERROR(F113),"",_xlfn.TEXTJOIN("/",FALSE,R121,U121))</f>
        <v>22/150</v>
      </c>
      <c r="L121" s="29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F</v>
      </c>
      <c r="N121" s="8">
        <f t="shared" ca="1" si="11"/>
        <v>0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4</v>
      </c>
      <c r="Q121" s="1">
        <f ca="1">IF(ISERROR(F113),"",VLOOKUP(B113,INDIRECT($F$8),7+(O121-1)*3))</f>
        <v>18</v>
      </c>
      <c r="R121" s="1">
        <f ca="1">IF(ISERROR(F113),"",SUM(P121:Q121))</f>
        <v>22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>CST 001</v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11</v>
      </c>
      <c r="X121" s="1" t="str">
        <f ca="1">IF(ISERROR(F113),"",IF(W121=0,"",_xlfn.TEXTJOIN("",FALSE," G+",W121," in ",A121)))</f>
        <v xml:space="preserve"> G+11 in CST 001</v>
      </c>
    </row>
    <row r="122" spans="1:24" ht="12" customHeight="1" x14ac:dyDescent="0.2">
      <c r="A122" s="7" t="str">
        <f ca="1">IF(ISERROR(F113),"",VLOOKUP(C113,INDIRECT($F$8),6+(O122-1)*3,0))</f>
        <v>AHT 004</v>
      </c>
      <c r="B122" s="31" t="str">
        <f ca="1">IF(ISERROR(F113),"",VLOOKUP(D113,INDIRECT($F$8),6+(O122-1)*3,0))</f>
        <v>Environmental Studies ($)</v>
      </c>
      <c r="C122" s="31"/>
      <c r="D122" s="31"/>
      <c r="E122" s="31"/>
      <c r="F122" s="7">
        <f ca="1">IF(ISERROR(F113),"",VLOOKUP(E113,INDIRECT($F$8),6+(O122-1)*3,0))</f>
        <v>0</v>
      </c>
      <c r="G122" s="29" t="str">
        <f ca="1">IF(ISERROR(F113),"",_xlfn.TEXTJOIN("/",FALSE,P122,S122))</f>
        <v>19/50</v>
      </c>
      <c r="H122" s="29"/>
      <c r="I122" s="29" t="str">
        <f ca="1">IF(ISERROR(F113),"",_xlfn.TEXTJOIN("/",FALSE,Q122,T122))</f>
        <v>10/25</v>
      </c>
      <c r="J122" s="29"/>
      <c r="K122" s="29" t="str">
        <f ca="1">IF(ISERROR(F113),"",_xlfn.TEXTJOIN("/",FALSE,R122,U122))</f>
        <v>29/75</v>
      </c>
      <c r="L122" s="29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F</v>
      </c>
      <c r="N122" s="8">
        <f t="shared" ca="1" si="11"/>
        <v>0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19</v>
      </c>
      <c r="Q122" s="1">
        <f ca="1">IF(ISERROR(F113),"",VLOOKUP(B113,INDIRECT($F$8),7+(O122-1)*3))</f>
        <v>10</v>
      </c>
      <c r="R122" s="1">
        <f ca="1">IF(ISERROR(F113),"",SUM(P122:Q122))</f>
        <v>29</v>
      </c>
      <c r="S122" s="1">
        <f ca="1">IF(ISERROR(F113),"",VLOOKUP(A113,INDIRECT($F$8),6+(O122-1)*3))</f>
        <v>50</v>
      </c>
      <c r="T122" s="1">
        <f ca="1">IF(ISERROR(F113),"",VLOOKUP(A113,INDIRECT($F$8),7+(O122-1)*3))</f>
        <v>25</v>
      </c>
      <c r="U122" s="1">
        <f ca="1">IF(ISERROR(F113),"",VLOOKUP(A113,INDIRECT($F$8),8+(O122-1)*3))</f>
        <v>75</v>
      </c>
      <c r="V122" s="1" t="str">
        <f ca="1">IF(ISERROR(F113),"",IF(N122=0,A122,""))</f>
        <v>AHT 004</v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1</v>
      </c>
      <c r="X122" s="1" t="str">
        <f ca="1">IF(ISERROR(F113),"",IF(W122=0,"",_xlfn.TEXTJOIN("",FALSE," G+",W122," in ",A122)))</f>
        <v xml:space="preserve"> G+1 in AHT 004</v>
      </c>
    </row>
    <row r="123" spans="1:24" ht="12" customHeight="1" x14ac:dyDescent="0.2">
      <c r="A123" s="7" t="str">
        <f ca="1">IF(ISERROR(F113),"",VLOOKUP(C113,INDIRECT($F$8),6+(O123-1)*3,0))</f>
        <v>AHP 001</v>
      </c>
      <c r="B123" s="31" t="str">
        <f ca="1">IF(ISERROR(F113),"",VLOOKUP(D113,INDIRECT($F$8),6+(O123-1)*3,0))</f>
        <v>Engineering Physics Lab</v>
      </c>
      <c r="C123" s="31"/>
      <c r="D123" s="31"/>
      <c r="E123" s="31"/>
      <c r="F123" s="7">
        <f ca="1">IF(ISERROR(F113),"",VLOOKUP(E113,INDIRECT($F$8),6+(O123-1)*3,0))</f>
        <v>1</v>
      </c>
      <c r="G123" s="29" t="str">
        <f ca="1">IF(ISERROR(F113),"",_xlfn.TEXTJOIN("/",FALSE,P123,S123))</f>
        <v>16/25</v>
      </c>
      <c r="H123" s="29"/>
      <c r="I123" s="29" t="str">
        <f ca="1">IF(ISERROR(F113),"",_xlfn.TEXTJOIN("/",FALSE,Q123,T123))</f>
        <v>18/25</v>
      </c>
      <c r="J123" s="29"/>
      <c r="K123" s="29" t="str">
        <f ca="1">IF(ISERROR(F113),"",_xlfn.TEXTJOIN("/",FALSE,R123,U123))</f>
        <v>34/50</v>
      </c>
      <c r="L123" s="29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C</v>
      </c>
      <c r="N123" s="8">
        <f t="shared" ca="1" si="11"/>
        <v>7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16</v>
      </c>
      <c r="Q123" s="1">
        <f ca="1">IF(ISERROR(F113),"",VLOOKUP(B113,INDIRECT($F$8),7+(O123-1)*3))</f>
        <v>18</v>
      </c>
      <c r="R123" s="1">
        <f ca="1">IF(ISERROR(F113),"",SUM(P123:Q123))</f>
        <v>34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EEP 001</v>
      </c>
      <c r="B124" s="31" t="str">
        <f ca="1">IF(ISERROR(F113),"",VLOOKUP(D113,INDIRECT($F$8),6+(O124-1)*3,0))</f>
        <v>Basic Electrical Engineering Lab</v>
      </c>
      <c r="C124" s="31"/>
      <c r="D124" s="31"/>
      <c r="E124" s="31"/>
      <c r="F124" s="7">
        <f ca="1">IF(ISERROR(F113),"",VLOOKUP(E113,INDIRECT($F$8),6+(O124-1)*3,0))</f>
        <v>1</v>
      </c>
      <c r="G124" s="29" t="str">
        <f ca="1">IF(ISERROR(F113),"",_xlfn.TEXTJOIN("/",FALSE,P124,S124))</f>
        <v>21/25</v>
      </c>
      <c r="H124" s="29"/>
      <c r="I124" s="29" t="str">
        <f ca="1">IF(ISERROR(F113),"",_xlfn.TEXTJOIN("/",FALSE,Q124,T124))</f>
        <v>8/25</v>
      </c>
      <c r="J124" s="29"/>
      <c r="K124" s="29" t="str">
        <f ca="1">IF(ISERROR(F113),"",_xlfn.TEXTJOIN("/",FALSE,R124,U124))</f>
        <v>29/50</v>
      </c>
      <c r="L124" s="29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D</v>
      </c>
      <c r="N124" s="8">
        <f t="shared" ca="1" si="11"/>
        <v>6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21</v>
      </c>
      <c r="Q124" s="1">
        <f ca="1">IF(ISERROR(F113),"",VLOOKUP(B113,INDIRECT($F$8),7+(O124-1)*3))</f>
        <v>8</v>
      </c>
      <c r="R124" s="1">
        <f ca="1">IF(ISERROR(F113),"",SUM(P124:Q124))</f>
        <v>29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CSP 001</v>
      </c>
      <c r="B125" s="31" t="str">
        <f ca="1">IF(ISERROR(F113),"",VLOOKUP(D113,INDIRECT($F$8),6+(O125-1)*3-Z125,0))</f>
        <v>Programming for Problem Solving Lab</v>
      </c>
      <c r="C125" s="31"/>
      <c r="D125" s="31"/>
      <c r="E125" s="31"/>
      <c r="F125" s="7">
        <f ca="1">IF(ISERROR(F113),"",VLOOKUP(E113,INDIRECT($F$8),6+(O125-1)*3,0))</f>
        <v>1</v>
      </c>
      <c r="G125" s="29" t="str">
        <f ca="1">IF(ISERROR(F113),"",_xlfn.TEXTJOIN("/",FALSE,P125,S125))</f>
        <v>17/25</v>
      </c>
      <c r="H125" s="29"/>
      <c r="I125" s="29" t="str">
        <f ca="1">IF(ISERROR(F113),"",_xlfn.TEXTJOIN("/",FALSE,Q125,T125))</f>
        <v>19/25</v>
      </c>
      <c r="J125" s="29"/>
      <c r="K125" s="29" t="str">
        <f ca="1">IF(ISERROR(F113),"",_xlfn.TEXTJOIN("/",FALSE,R125,U125))</f>
        <v>36/50</v>
      </c>
      <c r="L125" s="29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C+</v>
      </c>
      <c r="N125" s="8">
        <f t="shared" ca="1" si="11"/>
        <v>7.5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17</v>
      </c>
      <c r="Q125" s="1">
        <f ca="1">IF(ISERROR(F113),"",VLOOKUP(B113,INDIRECT($F$8),7+(O125-1)*3))</f>
        <v>19</v>
      </c>
      <c r="R125" s="1">
        <f ca="1">IF(ISERROR(F113),"",SUM(P125:Q125))</f>
        <v>36</v>
      </c>
      <c r="S125" s="1">
        <f ca="1">IF(ISERROR(F113),"",VLOOKUP(A113,INDIRECT($F$8),6+(O125-1)*3))</f>
        <v>25</v>
      </c>
      <c r="T125" s="1">
        <f ca="1">IF(ISERROR(F113),"",VLOOKUP(A113,INDIRECT($F$8),7+(O125-1)*3))</f>
        <v>25</v>
      </c>
      <c r="U125" s="1">
        <f ca="1">IF(ISERROR(F113),"",VLOOKUP(A113,INDIRECT($F$8),8+(O125-1)*3))</f>
        <v>50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MEP 002</v>
      </c>
      <c r="B126" s="31" t="str">
        <f ca="1">IF(ISERROR(F113),"",VLOOKUP(D113,INDIRECT($F$8),6+(O126-1)*3-Z126,0))</f>
        <v>Engineering Graphics &amp; Design Lab</v>
      </c>
      <c r="C126" s="31"/>
      <c r="D126" s="31"/>
      <c r="E126" s="31"/>
      <c r="F126" s="7">
        <f ca="1">IF(ISERROR(F113),"",VLOOKUP(E113,INDIRECT($F$8),6+(O126-1)*3,0))</f>
        <v>2</v>
      </c>
      <c r="G126" s="29" t="str">
        <f ca="1">IF(ISERROR(F113),"",_xlfn.TEXTJOIN("/",FALSE,P126,S126))</f>
        <v>42/50</v>
      </c>
      <c r="H126" s="29"/>
      <c r="I126" s="29" t="str">
        <f ca="1">IF(ISERROR(F113),"",_xlfn.TEXTJOIN("/",FALSE,Q126,T126))</f>
        <v>35/50</v>
      </c>
      <c r="J126" s="29"/>
      <c r="K126" s="29" t="str">
        <f ca="1">IF(ISERROR(F113),"",_xlfn.TEXTJOIN("/",FALSE,R126,U126))</f>
        <v>77/100</v>
      </c>
      <c r="L126" s="29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B</v>
      </c>
      <c r="N126" s="8">
        <f t="shared" ca="1" si="11"/>
        <v>8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42</v>
      </c>
      <c r="Q126" s="1">
        <f ca="1">IF(ISERROR(F113),"",VLOOKUP(B113,INDIRECT($F$8),7+(O126-1)*3))</f>
        <v>35</v>
      </c>
      <c r="R126" s="1">
        <f ca="1">IF(ISERROR(F113),"",SUM(P126:Q126))</f>
        <v>77</v>
      </c>
      <c r="S126" s="1">
        <f ca="1">IF(ISERROR(F113),"",VLOOKUP(A113,INDIRECT($F$8),6+(O126-1)*3))</f>
        <v>50</v>
      </c>
      <c r="T126" s="1">
        <f ca="1">IF(ISERROR(F113),"",VLOOKUP(A113,INDIRECT($F$8),7+(O126-1)*3))</f>
        <v>50</v>
      </c>
      <c r="U126" s="1">
        <f ca="1">IF(ISERROR(F113),"",VLOOKUP(A113,INDIRECT($F$8),8+(O126-1)*3))</f>
        <v>100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AHP 003</v>
      </c>
      <c r="B127" s="31" t="str">
        <f ca="1">IF(ISERROR(F113),"",VLOOKUP(D113,INDIRECT($F$8),6+(O127-1)*3,0))</f>
        <v>Introduction to Digital Marketing Lab</v>
      </c>
      <c r="C127" s="31"/>
      <c r="D127" s="31"/>
      <c r="E127" s="31"/>
      <c r="F127" s="7">
        <f ca="1">IF(ISERROR(F113),"",VLOOKUP(E113,INDIRECT($F$8),6+(O127-1)*3,0))</f>
        <v>1</v>
      </c>
      <c r="G127" s="29" t="str">
        <f ca="1">IF(ISERROR(F113),"",_xlfn.TEXTJOIN("/",FALSE,P127,S127))</f>
        <v>A/25</v>
      </c>
      <c r="H127" s="29"/>
      <c r="I127" s="29" t="str">
        <f ca="1">IF(ISERROR(F113),"",_xlfn.TEXTJOIN("/",FALSE,Q127,T127))</f>
        <v>5/25</v>
      </c>
      <c r="J127" s="29"/>
      <c r="K127" s="29" t="str">
        <f ca="1">IF(ISERROR(F113),"",_xlfn.TEXTJOIN("/",FALSE,R127,U127))</f>
        <v>5/50</v>
      </c>
      <c r="L127" s="29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Ab</v>
      </c>
      <c r="N127" s="8">
        <f t="shared" ca="1" si="11"/>
        <v>0</v>
      </c>
      <c r="O127">
        <f t="shared" si="12"/>
        <v>10</v>
      </c>
      <c r="P127" s="1" t="str">
        <f ca="1">IF(ISERROR(F113),"",IF(ISTEXT(VLOOKUP(B113,INDIRECT($F$8),6+(O127-1)*3)),(VLOOKUP(B113,INDIRECT($F$8),6+(O127-1)*3)),SUM(VLOOKUP(B113,INDIRECT($F$8),6+(O127-1)*3),IF(W130,W127,0))))</f>
        <v>A</v>
      </c>
      <c r="Q127" s="1">
        <f ca="1">IF(ISERROR(F113),"",VLOOKUP(B113,INDIRECT($F$8),7+(O127-1)*3))</f>
        <v>5</v>
      </c>
      <c r="R127" s="1">
        <f ca="1">IF(ISERROR(F113),"",SUM(P127:Q127))</f>
        <v>5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>AHP 003</v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11</v>
      </c>
      <c r="X127" s="1" t="str">
        <f ca="1">IF(ISERROR(F113),"",IF(W127=0,"",_xlfn.TEXTJOIN("",FALSE," G+",W127," in ",A127)))</f>
        <v xml:space="preserve"> G+11 in AHP 003</v>
      </c>
    </row>
    <row r="128" spans="1:24" ht="12" customHeight="1" x14ac:dyDescent="0.2">
      <c r="A128" s="7" t="str">
        <f ca="1">IF(ISERROR(F113),"",VLOOKUP(C113,INDIRECT($F$8),6+(O128-1)*3,0))</f>
        <v>AHP 005</v>
      </c>
      <c r="B128" s="31" t="str">
        <f ca="1">IF(ISERROR(F113),"",VLOOKUP(D113,INDIRECT($F$8),6+(O128-1)*3,0))</f>
        <v>Self Employment &amp; Entrepreneurship Development</v>
      </c>
      <c r="C128" s="31"/>
      <c r="D128" s="31"/>
      <c r="E128" s="31"/>
      <c r="F128" s="7">
        <f ca="1">IF(ISERROR(F113),"",VLOOKUP(E113,INDIRECT($F$8),6+(O128-1)*3,0))</f>
        <v>1</v>
      </c>
      <c r="G128" s="29" t="str">
        <f ca="1">IF(ISERROR(F113),"",_xlfn.TEXTJOIN("/",FALSE,P128,S128))</f>
        <v>18/25</v>
      </c>
      <c r="H128" s="29"/>
      <c r="I128" s="29" t="str">
        <f ca="1">IF(ISERROR(F113),"",_xlfn.TEXTJOIN("/",FALSE,Q128,T128))</f>
        <v>22/25</v>
      </c>
      <c r="J128" s="29"/>
      <c r="K128" s="29" t="str">
        <f ca="1">IF(ISERROR(F113),"",_xlfn.TEXTJOIN("/",FALSE,R128,U128))</f>
        <v>40/50</v>
      </c>
      <c r="L128" s="29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B+</v>
      </c>
      <c r="N128" s="8">
        <f t="shared" ca="1" si="11"/>
        <v>8.5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18</v>
      </c>
      <c r="Q128" s="1">
        <f ca="1">IF(ISERROR(F113),"",VLOOKUP(B113,INDIRECT($F$8),7+(O128-1)*3))</f>
        <v>22</v>
      </c>
      <c r="R128" s="1">
        <f ca="1">IF(ISERROR(F113),"",SUM(P128:Q128))</f>
        <v>40</v>
      </c>
      <c r="S128" s="1">
        <f ca="1">IF(ISERROR(F113),"",VLOOKUP(A113,INDIRECT($F$8),6+(O128-1)*3))</f>
        <v>25</v>
      </c>
      <c r="T128" s="1">
        <f ca="1">IF(ISERROR(F113),"",VLOOKUP(A113,INDIRECT($F$8),7+(O128-1)*3))</f>
        <v>25</v>
      </c>
      <c r="U128" s="1">
        <f ca="1">IF(ISERROR(F113),"",VLOOKUP(A113,INDIRECT($F$8),8+(O128-1)*3))</f>
        <v>50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31" t="str">
        <f ca="1">IF(ISERROR(F113),"",VLOOKUP(D113,INDIRECT($F$8),6+(O129-1)*3-Z129,0))</f>
        <v>General Proficiency ($)</v>
      </c>
      <c r="C129" s="31"/>
      <c r="D129" s="31"/>
      <c r="E129" s="31"/>
      <c r="F129" s="7">
        <f ca="1">IF(ISERROR(F113),"",VLOOKUP(E113,INDIRECT($F$8),6+(O129-1)*3-AA129,0))</f>
        <v>0</v>
      </c>
      <c r="G129" s="29" t="str">
        <f ca="1">IF(ISERROR(F113),"","-")</f>
        <v>-</v>
      </c>
      <c r="H129" s="29"/>
      <c r="I129" s="29" t="str">
        <f ca="1">IF(ISERROR(F113),"",_xlfn.TEXTJOIN("/",FALSE,Q129,T129))</f>
        <v>48/50</v>
      </c>
      <c r="J129" s="29"/>
      <c r="K129" s="29" t="str">
        <f ca="1">IF(ISERROR(F113),"",_xlfn.TEXTJOIN("/",FALSE,R129,U129))</f>
        <v>48/50</v>
      </c>
      <c r="L129" s="29"/>
      <c r="M129" s="29" t="str">
        <f ca="1">IF(ISBLANK(R129),"",IF(ISTEXT(R129),R129,IF(R129&gt;=0.8*U129,"Excellent",IF(R129&gt;=0.6*U129,"Very Good",IF(R129&gt;=0.4*U129,"Good",IF(R129&gt;=0.2*U129,"Satisfactory","Average"))))))</f>
        <v>Excellent</v>
      </c>
      <c r="N129" s="29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48</v>
      </c>
      <c r="R129" s="1">
        <f ca="1">IF(ISERROR(F113),"",SUM(P129:Q129))</f>
        <v>48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7" t="str">
        <f ca="1">IF(ISERROR(F113),"",A109)</f>
        <v>Total Credits/ Marks/ Total Grade Points</v>
      </c>
      <c r="B130" s="27"/>
      <c r="C130" s="27"/>
      <c r="D130" s="27"/>
      <c r="E130" s="27"/>
      <c r="F130" s="10">
        <f ca="1">IF(ISERROR(F113),"",SUM(F118:F128))</f>
        <v>23</v>
      </c>
      <c r="G130" s="30" t="str">
        <f ca="1">IF(ISERROR(F113),"",_xlfn.TEXTJOIN("/",TRUE,SUMIF(F118:F129,"&gt;0",P118:P129),SUMIF(F118:F129,"&gt;0",S118:S129)))</f>
        <v>141/575</v>
      </c>
      <c r="H130" s="30"/>
      <c r="I130" s="30" t="str">
        <f ca="1">IF(ISERROR(F113),"",_xlfn.TEXTJOIN("/",TRUE,SUMIF(F118:F129,"&gt;0",Q118:Q129),SUMIF(F118:F129,"&gt;0",T118:T129)))</f>
        <v>164/375</v>
      </c>
      <c r="J130" s="30"/>
      <c r="K130" s="30" t="str">
        <f ca="1">IF(ISERROR(F113),"",_xlfn.TEXTJOIN("/",TRUE,SUMIF(F118:F129,"&gt;0",R118:R129),SUMIF(F118:F129,"&gt;0",U118:U129)))</f>
        <v>305/950</v>
      </c>
      <c r="L130" s="30"/>
      <c r="M130" s="27">
        <f ca="1">IF(ISERROR(F113),"",SUMPRODUCT(N118:N128,F118:F128))</f>
        <v>45</v>
      </c>
      <c r="N130" s="27"/>
      <c r="V130" s="1" t="str">
        <f ca="1">IF(ISERROR(F113),"",_xlfn.TEXTJOIN(", ",TRUE,V118:V129))</f>
        <v>AHT 001, AHT 003, EET 001, CST 001, AHT 004, AHP 003</v>
      </c>
      <c r="W130" t="b">
        <f ca="1">IF(ISERROR(F113),"",IF(SUM(W118:W129)&lt;=W117,TRUE,FALSE))</f>
        <v>0</v>
      </c>
      <c r="X130" s="1" t="str">
        <f ca="1">IF(ISERROR(F113),"",_xlfn.TEXTJOIN(",",TRUE,X118:X129))</f>
        <v xml:space="preserve"> G+11 in AHT 001, G+11 in AHT 003, G+11 in EET 001, G+11 in CST 001, G+1 in AHT 004, G+11 in AHP 003</v>
      </c>
    </row>
    <row r="131" spans="1:24" ht="12" customHeight="1" x14ac:dyDescent="0.2">
      <c r="A131" s="27" t="str">
        <f ca="1">IF(ISERROR(F113),"",A110)</f>
        <v>Result:</v>
      </c>
      <c r="B131" s="26" t="str" cm="1">
        <f t="array" aca="1" ref="B131" ca="1">IF(SUM(COUNTIF(M118:M128,{"Ab","Dt"}))=11, "Not Promoted to IInd Semester", IF(V130="", "PASS", "CARRY OVER"))</f>
        <v>CARRY OVER</v>
      </c>
      <c r="C131" s="26"/>
      <c r="D131" s="27" t="str">
        <f ca="1">IF(ISERROR(F113),"",D110)</f>
        <v>Remark:</v>
      </c>
      <c r="E131" s="26" t="str">
        <f ca="1">IF(ISERROR(F113),"",IF(V130="",IF(X130="","",X130),_xlfn.TEXTJOIN(" ",TRUE,"BACK IN",V130)))</f>
        <v>BACK IN AHT 001, AHT 003, EET 001, CST 001, AHT 004, AHP 003</v>
      </c>
      <c r="F131" s="26"/>
      <c r="G131" s="27" t="str">
        <f ca="1">IF(ISERROR(F113),"",G110)</f>
        <v>SGPA:</v>
      </c>
      <c r="H131" s="28">
        <f ca="1">IF(ISERROR(F113),"",M130/F130)</f>
        <v>1.9565217391304348</v>
      </c>
      <c r="I131" s="27" t="str">
        <f ca="1">IF(ISERROR(F113),"",I110)</f>
        <v>CGPA:</v>
      </c>
      <c r="J131" s="28">
        <f ca="1">IF(ISERROR(F113),"",VLOOKUP(B113,INDIRECT($F$8),12+(O129-1)*3,0))</f>
        <v>1.9565217391304348</v>
      </c>
      <c r="K131" s="26" t="str">
        <f ca="1">IF(ISERROR(F113),"",K110)</f>
        <v>Earned Credits:</v>
      </c>
      <c r="L131" s="27">
        <f ca="1">IF(ISERROR(F113),"",SUMIF(N118:N128,"&gt;0",F118:F128))</f>
        <v>6</v>
      </c>
      <c r="M131" s="26" t="str">
        <f ca="1">IF(ISERROR(F113),"",M110)</f>
        <v>Cuml. Earned Credits:</v>
      </c>
      <c r="N131" s="27">
        <f ca="1">IF(ISERROR(F113),"",VLOOKUP(B113,INDIRECT($F$8),10+(O129-1)*3,0))</f>
        <v>6</v>
      </c>
    </row>
    <row r="132" spans="1:24" ht="12" customHeight="1" x14ac:dyDescent="0.2">
      <c r="A132" s="27"/>
      <c r="B132" s="26"/>
      <c r="C132" s="26"/>
      <c r="D132" s="27"/>
      <c r="E132" s="26"/>
      <c r="F132" s="26"/>
      <c r="G132" s="27"/>
      <c r="H132" s="28"/>
      <c r="I132" s="27"/>
      <c r="J132" s="28"/>
      <c r="K132" s="26"/>
      <c r="L132" s="27"/>
      <c r="M132" s="26"/>
      <c r="N132" s="27"/>
    </row>
    <row r="133" spans="1:24" ht="12" customHeight="1" x14ac:dyDescent="0.2">
      <c r="A133" s="27"/>
      <c r="B133" s="26"/>
      <c r="C133" s="26"/>
      <c r="D133" s="27"/>
      <c r="E133" s="26"/>
      <c r="F133" s="26"/>
      <c r="G133" s="27"/>
      <c r="H133" s="28"/>
      <c r="I133" s="27"/>
      <c r="J133" s="28"/>
      <c r="K133" s="26"/>
      <c r="L133" s="27"/>
      <c r="M133" s="26"/>
      <c r="N133" s="27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KANIKA BHATT</v>
      </c>
    </row>
    <row r="135" spans="1:24" ht="12" customHeight="1" x14ac:dyDescent="0.2">
      <c r="A135" s="24" t="str">
        <f ca="1">IF(ISERROR(F134),"",A114)</f>
        <v>Name:</v>
      </c>
      <c r="B135" s="24" t="str">
        <f ca="1">IFERROR(VLOOKUP(B134,INDIRECT($F$8),4,0),"")</f>
        <v>KANIKA BHATT</v>
      </c>
      <c r="C135" s="24"/>
      <c r="D135" s="24" t="str">
        <f ca="1">IF(ISERROR(F134),"",D114)</f>
        <v>Father's Name:</v>
      </c>
      <c r="E135" s="24" t="str">
        <f ca="1">IFERROR(VLOOKUP(B134,INDIRECT($F$8),5,0),"")</f>
        <v>SHAMBHU PRASAD BHATT</v>
      </c>
      <c r="F135" s="24"/>
      <c r="G135" s="24" t="str">
        <f ca="1">IF(ISERROR(F134),"",G114)</f>
        <v>University Roll No:</v>
      </c>
      <c r="H135" s="24"/>
      <c r="I135" s="25">
        <f ca="1">IFERROR(VLOOKUP(B134,INDIRECT($F$8),2,0),"")</f>
        <v>250090111007</v>
      </c>
      <c r="J135" s="25"/>
      <c r="K135" s="24" t="str">
        <f ca="1">IF(ISERROR(F134),"",K114)</f>
        <v>University Enrol. No:</v>
      </c>
      <c r="L135" s="24"/>
      <c r="M135" s="25" t="str">
        <f ca="1">IFERROR(VLOOKUP(B134,INDIRECT($F$8),3,0),"")</f>
        <v>UTU/2501103847</v>
      </c>
      <c r="N135" s="25"/>
    </row>
    <row r="136" spans="1:24" ht="12" customHeight="1" x14ac:dyDescent="0.2">
      <c r="A136" s="24"/>
      <c r="B136" s="24"/>
      <c r="C136" s="24"/>
      <c r="D136" s="24"/>
      <c r="E136" s="24"/>
      <c r="F136" s="24"/>
      <c r="G136" s="24"/>
      <c r="H136" s="24"/>
      <c r="I136" s="25"/>
      <c r="J136" s="25"/>
      <c r="K136" s="24"/>
      <c r="L136" s="24"/>
      <c r="M136" s="25"/>
      <c r="N136" s="25"/>
    </row>
    <row r="137" spans="1:24" ht="12" customHeight="1" x14ac:dyDescent="0.2">
      <c r="A137" s="26" t="str">
        <f ca="1">IF(ISERROR(F134),"",A116)</f>
        <v>Subject Code</v>
      </c>
      <c r="B137" s="26" t="str">
        <f ca="1">IF(ISERROR(F134),"",B116)</f>
        <v>Subject Name</v>
      </c>
      <c r="C137" s="26"/>
      <c r="D137" s="26"/>
      <c r="E137" s="26"/>
      <c r="F137" s="26" t="str">
        <f ca="1">IF(ISERROR(F134),"",F116)</f>
        <v>Credits</v>
      </c>
      <c r="G137" s="26" t="str">
        <f ca="1">IF(ISERROR(F134),"",G116)</f>
        <v>External Marks</v>
      </c>
      <c r="H137" s="26"/>
      <c r="I137" s="26" t="str">
        <f ca="1">IF(ISERROR(F134),"",I116)</f>
        <v>Sessional Marks</v>
      </c>
      <c r="J137" s="26"/>
      <c r="K137" s="26" t="str">
        <f ca="1">IF(ISERROR(F134),"",K116)</f>
        <v>Total Marks</v>
      </c>
      <c r="L137" s="26"/>
      <c r="M137" s="26" t="str">
        <f ca="1">IF(ISERROR(F134),"",M116)</f>
        <v>Grade</v>
      </c>
      <c r="N137" s="26" t="str">
        <f ca="1">IF(ISERROR(F134),"",N116)</f>
        <v>Grade Points</v>
      </c>
    </row>
    <row r="138" spans="1:24" ht="12" customHeight="1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001</v>
      </c>
      <c r="B139" s="31" t="str">
        <f ca="1">IF(ISERROR(F134),"",VLOOKUP(D134,INDIRECT($F$8),6+(O139-1)*3,0))</f>
        <v>Engineering Physics</v>
      </c>
      <c r="C139" s="31"/>
      <c r="D139" s="31"/>
      <c r="E139" s="31"/>
      <c r="F139" s="7">
        <f ca="1">IF(ISERROR(F134),"",VLOOKUP(E134,INDIRECT($F$8),6+(O139-1)*3,0))</f>
        <v>4</v>
      </c>
      <c r="G139" s="29" t="str">
        <f ca="1">IF(ISERROR(F134),"",_xlfn.TEXTJOIN("/",FALSE,P139,S139))</f>
        <v>41/100</v>
      </c>
      <c r="H139" s="29"/>
      <c r="I139" s="29" t="str">
        <f ca="1">IF(ISERROR(F134),"",_xlfn.TEXTJOIN("/",FALSE,Q139,T139))</f>
        <v>31/50</v>
      </c>
      <c r="J139" s="29"/>
      <c r="K139" s="29" t="str">
        <f ca="1">IF(ISERROR(F134),"",_xlfn.TEXTJOIN("/",FALSE,R139,U139))</f>
        <v>72/150</v>
      </c>
      <c r="L139" s="29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E</v>
      </c>
      <c r="N139" s="8">
        <f ca="1">INDEX($Z$2:$Z$17,MATCH(M139,$Y$2:$Y$17,0))</f>
        <v>5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41</v>
      </c>
      <c r="Q139" s="1">
        <f ca="1">IF(ISERROR(F134),"",VLOOKUP(B134,INDIRECT($F$8),7+(O139-1)*3))</f>
        <v>31</v>
      </c>
      <c r="R139" s="1">
        <f ca="1">IF(ISERROR(F134),"",SUM(P139:Q139))</f>
        <v>72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31" t="str">
        <f ca="1">IF(ISERROR(F134),"",VLOOKUP(D134,INDIRECT($F$8),6+(O140-1)*3,0))</f>
        <v>Introduction to Engineering Mathematics</v>
      </c>
      <c r="C140" s="31"/>
      <c r="D140" s="31"/>
      <c r="E140" s="31"/>
      <c r="F140" s="7">
        <f ca="1">IF(ISERROR(F134),"",VLOOKUP(E134,INDIRECT($F$8),6+(O140-1)*3,0))</f>
        <v>4</v>
      </c>
      <c r="G140" s="29" t="str">
        <f ca="1">IF(ISERROR(F134),"",_xlfn.TEXTJOIN("/",FALSE,P140,S140))</f>
        <v>40/100</v>
      </c>
      <c r="H140" s="29"/>
      <c r="I140" s="29" t="str">
        <f ca="1">IF(ISERROR(F134),"",_xlfn.TEXTJOIN("/",FALSE,Q140,T140))</f>
        <v>21/50</v>
      </c>
      <c r="J140" s="29"/>
      <c r="K140" s="29" t="str">
        <f ca="1">IF(ISERROR(F134),"",_xlfn.TEXTJOIN("/",FALSE,R140,U140))</f>
        <v>61/150</v>
      </c>
      <c r="L140" s="29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P</v>
      </c>
      <c r="N140" s="8">
        <f t="shared" ref="N140:N149" ca="1" si="13">INDEX($Z$2:$Z$17,MATCH(M140,$Y$2:$Y$17,0))</f>
        <v>4.5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40</v>
      </c>
      <c r="Q140" s="1">
        <f ca="1">IF(ISERROR(F134),"",VLOOKUP(B134,INDIRECT($F$8),7+(O140-1)*3))</f>
        <v>21</v>
      </c>
      <c r="R140" s="1">
        <f ca="1">IF(ISERROR(F134),"",SUM(P140:Q140))</f>
        <v>61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EET 001</v>
      </c>
      <c r="B141" s="31" t="str">
        <f ca="1">IF(ISERROR(F134),"",VLOOKUP(D134,INDIRECT($F$8),6+(O141-1)*3,0))</f>
        <v>Basic Electrical Engineering</v>
      </c>
      <c r="C141" s="31"/>
      <c r="D141" s="31"/>
      <c r="E141" s="31"/>
      <c r="F141" s="7">
        <f ca="1">IF(ISERROR(F134),"",VLOOKUP(E134,INDIRECT($F$8),6+(O141-1)*3,0))</f>
        <v>4</v>
      </c>
      <c r="G141" s="29" t="str">
        <f ca="1">IF(ISERROR(F134),"",_xlfn.TEXTJOIN("/",FALSE,P141,S141))</f>
        <v>41/100</v>
      </c>
      <c r="H141" s="29"/>
      <c r="I141" s="29" t="str">
        <f ca="1">IF(ISERROR(F134),"",_xlfn.TEXTJOIN("/",FALSE,Q141,T141))</f>
        <v>32/50</v>
      </c>
      <c r="J141" s="29"/>
      <c r="K141" s="29" t="str">
        <f ca="1">IF(ISERROR(F134),"",_xlfn.TEXTJOIN("/",FALSE,R141,U141))</f>
        <v>73/150</v>
      </c>
      <c r="L141" s="29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E</v>
      </c>
      <c r="N141" s="8">
        <f t="shared" ca="1" si="13"/>
        <v>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41</v>
      </c>
      <c r="Q141" s="1">
        <f ca="1">IF(ISERROR(F134),"",VLOOKUP(B134,INDIRECT($F$8),7+(O141-1)*3))</f>
        <v>32</v>
      </c>
      <c r="R141" s="1">
        <f ca="1">IF(ISERROR(F134),"",SUM(P141:Q141))</f>
        <v>73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CST 001</v>
      </c>
      <c r="B142" s="31" t="str">
        <f ca="1">IF(ISERROR(F134),"",VLOOKUP(D134,INDIRECT($F$8),6+(O142-1)*3,0))</f>
        <v>Programming for Problem Solving</v>
      </c>
      <c r="C142" s="31"/>
      <c r="D142" s="31"/>
      <c r="E142" s="31"/>
      <c r="F142" s="7">
        <f ca="1">IF(ISERROR(F134),"",VLOOKUP(E134,INDIRECT($F$8),6+(O142-1)*3,0))</f>
        <v>4</v>
      </c>
      <c r="G142" s="29" t="str">
        <f ca="1">IF(ISERROR(F134),"",_xlfn.TEXTJOIN("/",FALSE,P142,S142))</f>
        <v>51/100</v>
      </c>
      <c r="H142" s="29"/>
      <c r="I142" s="29" t="str">
        <f ca="1">IF(ISERROR(F134),"",_xlfn.TEXTJOIN("/",FALSE,Q142,T142))</f>
        <v>35/50</v>
      </c>
      <c r="J142" s="29"/>
      <c r="K142" s="29" t="str">
        <f ca="1">IF(ISERROR(F134),"",_xlfn.TEXTJOIN("/",FALSE,R142,U142))</f>
        <v>86/150</v>
      </c>
      <c r="L142" s="29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D</v>
      </c>
      <c r="N142" s="8">
        <f t="shared" ca="1" si="13"/>
        <v>6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51</v>
      </c>
      <c r="Q142" s="1">
        <f ca="1">IF(ISERROR(F134),"",VLOOKUP(B134,INDIRECT($F$8),7+(O142-1)*3))</f>
        <v>35</v>
      </c>
      <c r="R142" s="1">
        <f ca="1">IF(ISERROR(F134),"",SUM(P142:Q142))</f>
        <v>86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AHT 004</v>
      </c>
      <c r="B143" s="31" t="str">
        <f ca="1">IF(ISERROR(F134),"",VLOOKUP(D134,INDIRECT($F$8),6+(O143-1)*3,0))</f>
        <v>Environmental Studies ($)</v>
      </c>
      <c r="C143" s="31"/>
      <c r="D143" s="31"/>
      <c r="E143" s="31"/>
      <c r="F143" s="7">
        <f ca="1">IF(ISERROR(F134),"",VLOOKUP(E134,INDIRECT($F$8),6+(O143-1)*3,0))</f>
        <v>0</v>
      </c>
      <c r="G143" s="29" t="str">
        <f ca="1">IF(ISERROR(F134),"",_xlfn.TEXTJOIN("/",FALSE,P143,S143))</f>
        <v>22/50</v>
      </c>
      <c r="H143" s="29"/>
      <c r="I143" s="29" t="str">
        <f ca="1">IF(ISERROR(F134),"",_xlfn.TEXTJOIN("/",FALSE,Q143,T143))</f>
        <v>21/25</v>
      </c>
      <c r="J143" s="29"/>
      <c r="K143" s="29" t="str">
        <f ca="1">IF(ISERROR(F134),"",_xlfn.TEXTJOIN("/",FALSE,R143,U143))</f>
        <v>43/75</v>
      </c>
      <c r="L143" s="29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D</v>
      </c>
      <c r="N143" s="8">
        <f t="shared" ca="1" si="13"/>
        <v>6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22</v>
      </c>
      <c r="Q143" s="1">
        <f ca="1">IF(ISERROR(F134),"",VLOOKUP(B134,INDIRECT($F$8),7+(O143-1)*3))</f>
        <v>21</v>
      </c>
      <c r="R143" s="1">
        <f ca="1">IF(ISERROR(F134),"",SUM(P143:Q143))</f>
        <v>43</v>
      </c>
      <c r="S143" s="1">
        <f ca="1">IF(ISERROR(F134),"",VLOOKUP(A134,INDIRECT($F$8),6+(O143-1)*3))</f>
        <v>50</v>
      </c>
      <c r="T143" s="1">
        <f ca="1">IF(ISERROR(F134),"",VLOOKUP(A134,INDIRECT($F$8),7+(O143-1)*3))</f>
        <v>25</v>
      </c>
      <c r="U143" s="1">
        <f ca="1">IF(ISERROR(F134),"",VLOOKUP(A134,INDIRECT($F$8),8+(O143-1)*3))</f>
        <v>75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AHP 001</v>
      </c>
      <c r="B144" s="31" t="str">
        <f ca="1">IF(ISERROR(F134),"",VLOOKUP(D134,INDIRECT($F$8),6+(O144-1)*3,0))</f>
        <v>Engineering Physics Lab</v>
      </c>
      <c r="C144" s="31"/>
      <c r="D144" s="31"/>
      <c r="E144" s="31"/>
      <c r="F144" s="7">
        <f ca="1">IF(ISERROR(F134),"",VLOOKUP(E134,INDIRECT($F$8),6+(O144-1)*3,0))</f>
        <v>1</v>
      </c>
      <c r="G144" s="29" t="str">
        <f ca="1">IF(ISERROR(F134),"",_xlfn.TEXTJOIN("/",FALSE,P144,S144))</f>
        <v>23/25</v>
      </c>
      <c r="H144" s="29"/>
      <c r="I144" s="29" t="str">
        <f ca="1">IF(ISERROR(F134),"",_xlfn.TEXTJOIN("/",FALSE,Q144,T144))</f>
        <v>22/25</v>
      </c>
      <c r="J144" s="29"/>
      <c r="K144" s="29" t="str">
        <f ca="1">IF(ISERROR(F134),"",_xlfn.TEXTJOIN("/",FALSE,R144,U144))</f>
        <v>45/50</v>
      </c>
      <c r="L144" s="29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A+</v>
      </c>
      <c r="N144" s="8">
        <f t="shared" ca="1" si="13"/>
        <v>9.5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23</v>
      </c>
      <c r="Q144" s="1">
        <f ca="1">IF(ISERROR(F134),"",VLOOKUP(B134,INDIRECT($F$8),7+(O144-1)*3))</f>
        <v>22</v>
      </c>
      <c r="R144" s="1">
        <f ca="1">IF(ISERROR(F134),"",SUM(P144:Q144))</f>
        <v>45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EEP 001</v>
      </c>
      <c r="B145" s="31" t="str">
        <f ca="1">IF(ISERROR(F134),"",VLOOKUP(D134,INDIRECT($F$8),6+(O145-1)*3,0))</f>
        <v>Basic Electrical Engineering Lab</v>
      </c>
      <c r="C145" s="31"/>
      <c r="D145" s="31"/>
      <c r="E145" s="31"/>
      <c r="F145" s="7">
        <f ca="1">IF(ISERROR(F134),"",VLOOKUP(E134,INDIRECT($F$8),6+(O145-1)*3,0))</f>
        <v>1</v>
      </c>
      <c r="G145" s="29" t="str">
        <f ca="1">IF(ISERROR(F134),"",_xlfn.TEXTJOIN("/",FALSE,P145,S145))</f>
        <v>23/25</v>
      </c>
      <c r="H145" s="29"/>
      <c r="I145" s="29" t="str">
        <f ca="1">IF(ISERROR(F134),"",_xlfn.TEXTJOIN("/",FALSE,Q145,T145))</f>
        <v>21/25</v>
      </c>
      <c r="J145" s="29"/>
      <c r="K145" s="29" t="str">
        <f ca="1">IF(ISERROR(F134),"",_xlfn.TEXTJOIN("/",FALSE,R145,U145))</f>
        <v>44/50</v>
      </c>
      <c r="L145" s="29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A</v>
      </c>
      <c r="N145" s="8">
        <f t="shared" ca="1" si="13"/>
        <v>9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23</v>
      </c>
      <c r="Q145" s="1">
        <f ca="1">IF(ISERROR(F134),"",VLOOKUP(B134,INDIRECT($F$8),7+(O145-1)*3))</f>
        <v>21</v>
      </c>
      <c r="R145" s="1">
        <f ca="1">IF(ISERROR(F134),"",SUM(P145:Q145))</f>
        <v>44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CSP 001</v>
      </c>
      <c r="B146" s="31" t="str">
        <f ca="1">IF(ISERROR(F134),"",VLOOKUP(D134,INDIRECT($F$8),6+(O146-1)*3-Z146,0))</f>
        <v>Programming for Problem Solving Lab</v>
      </c>
      <c r="C146" s="31"/>
      <c r="D146" s="31"/>
      <c r="E146" s="31"/>
      <c r="F146" s="7">
        <f ca="1">IF(ISERROR(F134),"",VLOOKUP(E134,INDIRECT($F$8),6+(O146-1)*3,0))</f>
        <v>1</v>
      </c>
      <c r="G146" s="29" t="str">
        <f ca="1">IF(ISERROR(F134),"",_xlfn.TEXTJOIN("/",FALSE,P146,S146))</f>
        <v>22/25</v>
      </c>
      <c r="H146" s="29"/>
      <c r="I146" s="29" t="str">
        <f ca="1">IF(ISERROR(F134),"",_xlfn.TEXTJOIN("/",FALSE,Q146,T146))</f>
        <v>23/25</v>
      </c>
      <c r="J146" s="29"/>
      <c r="K146" s="29" t="str">
        <f ca="1">IF(ISERROR(F134),"",_xlfn.TEXTJOIN("/",FALSE,R146,U146))</f>
        <v>45/50</v>
      </c>
      <c r="L146" s="29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A+</v>
      </c>
      <c r="N146" s="8">
        <f t="shared" ca="1" si="13"/>
        <v>9.5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22</v>
      </c>
      <c r="Q146" s="1">
        <f ca="1">IF(ISERROR(F134),"",VLOOKUP(B134,INDIRECT($F$8),7+(O146-1)*3))</f>
        <v>23</v>
      </c>
      <c r="R146" s="1">
        <f ca="1">IF(ISERROR(F134),"",SUM(P146:Q146))</f>
        <v>45</v>
      </c>
      <c r="S146" s="1">
        <f ca="1">IF(ISERROR(F134),"",VLOOKUP(A134,INDIRECT($F$8),6+(O146-1)*3))</f>
        <v>25</v>
      </c>
      <c r="T146" s="1">
        <f ca="1">IF(ISERROR(F134),"",VLOOKUP(A134,INDIRECT($F$8),7+(O146-1)*3))</f>
        <v>25</v>
      </c>
      <c r="U146" s="1">
        <f ca="1">IF(ISERROR(F134),"",VLOOKUP(A134,INDIRECT($F$8),8+(O146-1)*3))</f>
        <v>50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MEP 002</v>
      </c>
      <c r="B147" s="31" t="str">
        <f ca="1">IF(ISERROR(F134),"",VLOOKUP(D134,INDIRECT($F$8),6+(O147-1)*3-Z147,0))</f>
        <v>Engineering Graphics &amp; Design Lab</v>
      </c>
      <c r="C147" s="31"/>
      <c r="D147" s="31"/>
      <c r="E147" s="31"/>
      <c r="F147" s="7">
        <f ca="1">IF(ISERROR(F134),"",VLOOKUP(E134,INDIRECT($F$8),6+(O147-1)*3,0))</f>
        <v>2</v>
      </c>
      <c r="G147" s="29" t="str">
        <f ca="1">IF(ISERROR(F134),"",_xlfn.TEXTJOIN("/",FALSE,P147,S147))</f>
        <v>46/50</v>
      </c>
      <c r="H147" s="29"/>
      <c r="I147" s="29" t="str">
        <f ca="1">IF(ISERROR(F134),"",_xlfn.TEXTJOIN("/",FALSE,Q147,T147))</f>
        <v>48/50</v>
      </c>
      <c r="J147" s="29"/>
      <c r="K147" s="29" t="str">
        <f ca="1">IF(ISERROR(F134),"",_xlfn.TEXTJOIN("/",FALSE,R147,U147))</f>
        <v>94/100</v>
      </c>
      <c r="L147" s="29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A+</v>
      </c>
      <c r="N147" s="8">
        <f t="shared" ca="1" si="13"/>
        <v>9.5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46</v>
      </c>
      <c r="Q147" s="1">
        <f ca="1">IF(ISERROR(F134),"",VLOOKUP(B134,INDIRECT($F$8),7+(O147-1)*3))</f>
        <v>48</v>
      </c>
      <c r="R147" s="1">
        <f ca="1">IF(ISERROR(F134),"",SUM(P147:Q147))</f>
        <v>94</v>
      </c>
      <c r="S147" s="1">
        <f ca="1">IF(ISERROR(F134),"",VLOOKUP(A134,INDIRECT($F$8),6+(O147-1)*3))</f>
        <v>50</v>
      </c>
      <c r="T147" s="1">
        <f ca="1">IF(ISERROR(F134),"",VLOOKUP(A134,INDIRECT($F$8),7+(O147-1)*3))</f>
        <v>50</v>
      </c>
      <c r="U147" s="1">
        <f ca="1">IF(ISERROR(F134),"",VLOOKUP(A134,INDIRECT($F$8),8+(O147-1)*3))</f>
        <v>100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AHP 003</v>
      </c>
      <c r="B148" s="31" t="str">
        <f ca="1">IF(ISERROR(F134),"",VLOOKUP(D134,INDIRECT($F$8),6+(O148-1)*3,0))</f>
        <v>Introduction to Digital Marketing Lab</v>
      </c>
      <c r="C148" s="31"/>
      <c r="D148" s="31"/>
      <c r="E148" s="31"/>
      <c r="F148" s="7">
        <f ca="1">IF(ISERROR(F134),"",VLOOKUP(E134,INDIRECT($F$8),6+(O148-1)*3,0))</f>
        <v>1</v>
      </c>
      <c r="G148" s="29" t="str">
        <f ca="1">IF(ISERROR(F134),"",_xlfn.TEXTJOIN("/",FALSE,P148,S148))</f>
        <v>18/25</v>
      </c>
      <c r="H148" s="29"/>
      <c r="I148" s="29" t="str">
        <f ca="1">IF(ISERROR(F134),"",_xlfn.TEXTJOIN("/",FALSE,Q148,T148))</f>
        <v>19/25</v>
      </c>
      <c r="J148" s="29"/>
      <c r="K148" s="29" t="str">
        <f ca="1">IF(ISERROR(F134),"",_xlfn.TEXTJOIN("/",FALSE,R148,U148))</f>
        <v>37/50</v>
      </c>
      <c r="L148" s="29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C+</v>
      </c>
      <c r="N148" s="8">
        <f t="shared" ca="1" si="13"/>
        <v>7.5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18</v>
      </c>
      <c r="Q148" s="1">
        <f ca="1">IF(ISERROR(F134),"",VLOOKUP(B134,INDIRECT($F$8),7+(O148-1)*3))</f>
        <v>19</v>
      </c>
      <c r="R148" s="1">
        <f ca="1">IF(ISERROR(F134),"",SUM(P148:Q148))</f>
        <v>37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005</v>
      </c>
      <c r="B149" s="31" t="str">
        <f ca="1">IF(ISERROR(F134),"",VLOOKUP(D134,INDIRECT($F$8),6+(O149-1)*3,0))</f>
        <v>Self Employment &amp; Entrepreneurship Development</v>
      </c>
      <c r="C149" s="31"/>
      <c r="D149" s="31"/>
      <c r="E149" s="31"/>
      <c r="F149" s="7">
        <f ca="1">IF(ISERROR(F134),"",VLOOKUP(E134,INDIRECT($F$8),6+(O149-1)*3,0))</f>
        <v>1</v>
      </c>
      <c r="G149" s="29" t="str">
        <f ca="1">IF(ISERROR(F134),"",_xlfn.TEXTJOIN("/",FALSE,P149,S149))</f>
        <v>23/25</v>
      </c>
      <c r="H149" s="29"/>
      <c r="I149" s="29" t="str">
        <f ca="1">IF(ISERROR(F134),"",_xlfn.TEXTJOIN("/",FALSE,Q149,T149))</f>
        <v>24/25</v>
      </c>
      <c r="J149" s="29"/>
      <c r="K149" s="29" t="str">
        <f ca="1">IF(ISERROR(F134),"",_xlfn.TEXTJOIN("/",FALSE,R149,U149))</f>
        <v>47/50</v>
      </c>
      <c r="L149" s="29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A+</v>
      </c>
      <c r="N149" s="8">
        <f t="shared" ca="1" si="13"/>
        <v>9.5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23</v>
      </c>
      <c r="Q149" s="1">
        <f ca="1">IF(ISERROR(F134),"",VLOOKUP(B134,INDIRECT($F$8),7+(O149-1)*3))</f>
        <v>24</v>
      </c>
      <c r="R149" s="1">
        <f ca="1">IF(ISERROR(F134),"",SUM(P149:Q149))</f>
        <v>47</v>
      </c>
      <c r="S149" s="1">
        <f ca="1">IF(ISERROR(F134),"",VLOOKUP(A134,INDIRECT($F$8),6+(O149-1)*3))</f>
        <v>25</v>
      </c>
      <c r="T149" s="1">
        <f ca="1">IF(ISERROR(F134),"",VLOOKUP(A134,INDIRECT($F$8),7+(O149-1)*3))</f>
        <v>25</v>
      </c>
      <c r="U149" s="1">
        <f ca="1">IF(ISERROR(F134),"",VLOOKUP(A134,INDIRECT($F$8),8+(O149-1)*3))</f>
        <v>50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31" t="str">
        <f ca="1">IF(ISERROR(F134),"",VLOOKUP(D134,INDIRECT($F$8),6+(O150-1)*3-Z150,0))</f>
        <v>General Proficiency ($)</v>
      </c>
      <c r="C150" s="31"/>
      <c r="D150" s="31"/>
      <c r="E150" s="31"/>
      <c r="F150" s="7">
        <f ca="1">IF(ISERROR(F134),"",VLOOKUP(E134,INDIRECT($F$8),6+(O150-1)*3-AA150,0))</f>
        <v>0</v>
      </c>
      <c r="G150" s="29" t="str">
        <f ca="1">IF(ISERROR(F134),"","-")</f>
        <v>-</v>
      </c>
      <c r="H150" s="29"/>
      <c r="I150" s="29" t="str">
        <f ca="1">IF(ISERROR(F134),"",_xlfn.TEXTJOIN("/",FALSE,Q150,T150))</f>
        <v>47/50</v>
      </c>
      <c r="J150" s="29"/>
      <c r="K150" s="29" t="str">
        <f ca="1">IF(ISERROR(F134),"",_xlfn.TEXTJOIN("/",FALSE,R150,U150))</f>
        <v>47/50</v>
      </c>
      <c r="L150" s="29"/>
      <c r="M150" s="29" t="str">
        <f ca="1">IF(ISBLANK(R150),"",IF(ISTEXT(R150),R150,IF(R150&gt;=0.8*U150,"Excellent",IF(R150&gt;=0.6*U150,"Very Good",IF(R150&gt;=0.4*U150,"Good",IF(R150&gt;=0.2*U150,"Satisfactory","Average"))))))</f>
        <v>Excellent</v>
      </c>
      <c r="N150" s="29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7" t="str">
        <f ca="1">IF(ISERROR(F134),"",A130)</f>
        <v>Total Credits/ Marks/ Total Grade Points</v>
      </c>
      <c r="B151" s="27"/>
      <c r="C151" s="27"/>
      <c r="D151" s="27"/>
      <c r="E151" s="27"/>
      <c r="F151" s="10">
        <f ca="1">IF(ISERROR(F134),"",SUM(F139:F149))</f>
        <v>23</v>
      </c>
      <c r="G151" s="30" t="str">
        <f ca="1">IF(ISERROR(F134),"",_xlfn.TEXTJOIN("/",TRUE,SUMIF(F139:F150,"&gt;0",P139:P150),SUMIF(F139:F150,"&gt;0",S139:S150)))</f>
        <v>328/575</v>
      </c>
      <c r="H151" s="30"/>
      <c r="I151" s="30" t="str">
        <f ca="1">IF(ISERROR(F134),"",_xlfn.TEXTJOIN("/",TRUE,SUMIF(F139:F150,"&gt;0",Q139:Q150),SUMIF(F139:F150,"&gt;0",T139:T150)))</f>
        <v>276/375</v>
      </c>
      <c r="J151" s="30"/>
      <c r="K151" s="30" t="str">
        <f ca="1">IF(ISERROR(F134),"",_xlfn.TEXTJOIN("/",TRUE,SUMIF(F139:F150,"&gt;0",R139:R150),SUMIF(F139:F150,"&gt;0",U139:U150)))</f>
        <v>604/950</v>
      </c>
      <c r="L151" s="30"/>
      <c r="M151" s="27">
        <f ca="1">IF(ISERROR(F134),"",SUMPRODUCT(N139:N149,F139:F149))</f>
        <v>146</v>
      </c>
      <c r="N151" s="27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27" t="str">
        <f ca="1">IF(ISERROR(F134),"",A131)</f>
        <v>Result:</v>
      </c>
      <c r="B152" s="26" t="str" cm="1">
        <f t="array" aca="1" ref="B152" ca="1">IF(SUM(COUNTIF(M139:M149,{"Ab","Dt"}))=11, "Not Promoted to IInd Semester", IF(V151="", "PASS", "CARRY OVER"))</f>
        <v>PASS</v>
      </c>
      <c r="C152" s="26"/>
      <c r="D152" s="27" t="str">
        <f ca="1">IF(ISERROR(F134),"",D131)</f>
        <v>Remark:</v>
      </c>
      <c r="E152" s="26" t="str">
        <f ca="1">IF(ISERROR(F134),"",IF(V151="",IF(X151="","",X151),_xlfn.TEXTJOIN(" ",TRUE,"BACK IN",V151)))</f>
        <v/>
      </c>
      <c r="F152" s="26"/>
      <c r="G152" s="27" t="str">
        <f ca="1">IF(ISERROR(F134),"",G131)</f>
        <v>SGPA:</v>
      </c>
      <c r="H152" s="28">
        <f ca="1">IF(ISERROR(F134),"",M151/F151)</f>
        <v>6.3478260869565215</v>
      </c>
      <c r="I152" s="27" t="str">
        <f ca="1">IF(ISERROR(F134),"",I131)</f>
        <v>CGPA:</v>
      </c>
      <c r="J152" s="28">
        <f ca="1">IF(ISERROR(F134),"",VLOOKUP(B134,INDIRECT($F$8),12+(O150-1)*3,0))</f>
        <v>6.3478260869565215</v>
      </c>
      <c r="K152" s="26" t="str">
        <f ca="1">IF(ISERROR(F134),"",K131)</f>
        <v>Earned Credits:</v>
      </c>
      <c r="L152" s="27">
        <f ca="1">IF(ISERROR(F134),"",SUMIF(N139:N149,"&gt;0",F139:F149))</f>
        <v>23</v>
      </c>
      <c r="M152" s="26" t="str">
        <f ca="1">IF(ISERROR(F134),"",M131)</f>
        <v>Cuml. Earned Credits:</v>
      </c>
      <c r="N152" s="27">
        <f ca="1">IF(ISERROR(F134),"",VLOOKUP(B134,INDIRECT($F$8),10+(O150-1)*3,0))</f>
        <v>23</v>
      </c>
    </row>
    <row r="153" spans="1:24" ht="12" customHeight="1" x14ac:dyDescent="0.2">
      <c r="A153" s="27"/>
      <c r="B153" s="26"/>
      <c r="C153" s="26"/>
      <c r="D153" s="27"/>
      <c r="E153" s="26"/>
      <c r="F153" s="26"/>
      <c r="G153" s="27"/>
      <c r="H153" s="28"/>
      <c r="I153" s="27"/>
      <c r="J153" s="28"/>
      <c r="K153" s="26"/>
      <c r="L153" s="27"/>
      <c r="M153" s="26"/>
      <c r="N153" s="27"/>
    </row>
    <row r="154" spans="1:24" ht="12" customHeight="1" x14ac:dyDescent="0.2">
      <c r="A154" s="27"/>
      <c r="B154" s="26"/>
      <c r="C154" s="26"/>
      <c r="D154" s="27"/>
      <c r="E154" s="26"/>
      <c r="F154" s="26"/>
      <c r="G154" s="27"/>
      <c r="H154" s="28"/>
      <c r="I154" s="27"/>
      <c r="J154" s="28"/>
      <c r="K154" s="26"/>
      <c r="L154" s="27"/>
      <c r="M154" s="26"/>
      <c r="N154" s="27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KRRISH THAKUR</v>
      </c>
    </row>
    <row r="156" spans="1:24" ht="12" customHeight="1" x14ac:dyDescent="0.2">
      <c r="A156" s="24" t="str">
        <f ca="1">IF(ISERROR(F155),"",A135)</f>
        <v>Name:</v>
      </c>
      <c r="B156" s="24" t="str">
        <f ca="1">IFERROR(VLOOKUP(B155,INDIRECT($F$8),4,0),"")</f>
        <v>KRRISH THAKUR</v>
      </c>
      <c r="C156" s="24"/>
      <c r="D156" s="24" t="str">
        <f ca="1">IF(ISERROR(F155),"",D135)</f>
        <v>Father's Name:</v>
      </c>
      <c r="E156" s="24" t="str">
        <f ca="1">IFERROR(VLOOKUP(B155,INDIRECT($F$8),5,0),"")</f>
        <v>SUDHIR THAKUR</v>
      </c>
      <c r="F156" s="24"/>
      <c r="G156" s="24" t="str">
        <f ca="1">IF(ISERROR(F155),"",G135)</f>
        <v>University Roll No:</v>
      </c>
      <c r="H156" s="24"/>
      <c r="I156" s="25">
        <f ca="1">IFERROR(VLOOKUP(B155,INDIRECT($F$8),2,0),"")</f>
        <v>250090111008</v>
      </c>
      <c r="J156" s="25"/>
      <c r="K156" s="24" t="str">
        <f ca="1">IF(ISERROR(F155),"",K135)</f>
        <v>University Enrol. No:</v>
      </c>
      <c r="L156" s="24"/>
      <c r="M156" s="25" t="str">
        <f ca="1">IFERROR(VLOOKUP(B155,INDIRECT($F$8),3,0),"")</f>
        <v>UTU/2501103872</v>
      </c>
      <c r="N156" s="25"/>
    </row>
    <row r="157" spans="1:24" ht="12" customHeight="1" x14ac:dyDescent="0.2">
      <c r="A157" s="24"/>
      <c r="B157" s="24"/>
      <c r="C157" s="24"/>
      <c r="D157" s="24"/>
      <c r="E157" s="24"/>
      <c r="F157" s="24"/>
      <c r="G157" s="24"/>
      <c r="H157" s="24"/>
      <c r="I157" s="25"/>
      <c r="J157" s="25"/>
      <c r="K157" s="24"/>
      <c r="L157" s="24"/>
      <c r="M157" s="25"/>
      <c r="N157" s="25"/>
    </row>
    <row r="158" spans="1:24" ht="12" customHeight="1" x14ac:dyDescent="0.2">
      <c r="A158" s="26" t="str">
        <f ca="1">IF(ISERROR(F155),"",A137)</f>
        <v>Subject Code</v>
      </c>
      <c r="B158" s="26" t="str">
        <f ca="1">IF(ISERROR(F155),"",B137)</f>
        <v>Subject Name</v>
      </c>
      <c r="C158" s="26"/>
      <c r="D158" s="26"/>
      <c r="E158" s="26"/>
      <c r="F158" s="26" t="str">
        <f ca="1">IF(ISERROR(F155),"",F137)</f>
        <v>Credits</v>
      </c>
      <c r="G158" s="26" t="str">
        <f ca="1">IF(ISERROR(F155),"",G137)</f>
        <v>External Marks</v>
      </c>
      <c r="H158" s="26"/>
      <c r="I158" s="26" t="str">
        <f ca="1">IF(ISERROR(F155),"",I137)</f>
        <v>Sessional Marks</v>
      </c>
      <c r="J158" s="26"/>
      <c r="K158" s="26" t="str">
        <f ca="1">IF(ISERROR(F155),"",K137)</f>
        <v>Total Marks</v>
      </c>
      <c r="L158" s="26"/>
      <c r="M158" s="26" t="str">
        <f ca="1">IF(ISERROR(F155),"",M137)</f>
        <v>Grade</v>
      </c>
      <c r="N158" s="26" t="str">
        <f ca="1">IF(ISERROR(F155),"",N137)</f>
        <v>Grade Points</v>
      </c>
    </row>
    <row r="159" spans="1:24" ht="12" customHeight="1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001</v>
      </c>
      <c r="B160" s="31" t="str">
        <f ca="1">IF(ISERROR(F155),"",VLOOKUP(D155,INDIRECT($F$8),6+(O160-1)*3,0))</f>
        <v>Engineering Physics</v>
      </c>
      <c r="C160" s="31"/>
      <c r="D160" s="31"/>
      <c r="E160" s="31"/>
      <c r="F160" s="7">
        <f ca="1">IF(ISERROR(F155),"",VLOOKUP(E155,INDIRECT($F$8),6+(O160-1)*3,0))</f>
        <v>4</v>
      </c>
      <c r="G160" s="29" t="str">
        <f ca="1">IF(ISERROR(F155),"",_xlfn.TEXTJOIN("/",FALSE,P160,S160))</f>
        <v>2/100</v>
      </c>
      <c r="H160" s="29"/>
      <c r="I160" s="29" t="str">
        <f ca="1">IF(ISERROR(F155),"",_xlfn.TEXTJOIN("/",FALSE,Q160,T160))</f>
        <v>14/50</v>
      </c>
      <c r="J160" s="29"/>
      <c r="K160" s="29" t="str">
        <f ca="1">IF(ISERROR(F155),"",_xlfn.TEXTJOIN("/",FALSE,R160,U160))</f>
        <v>16/150</v>
      </c>
      <c r="L160" s="29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F</v>
      </c>
      <c r="N160" s="8">
        <f ca="1">INDEX($Z$2:$Z$17,MATCH(M160,$Y$2:$Y$17,0))</f>
        <v>0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2</v>
      </c>
      <c r="Q160" s="1">
        <f ca="1">IF(ISERROR(F155),"",VLOOKUP(B155,INDIRECT($F$8),7+(O160-1)*3))</f>
        <v>14</v>
      </c>
      <c r="R160" s="1">
        <f ca="1">IF(ISERROR(F155),"",SUM(P160:Q160))</f>
        <v>16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>AHT 001</v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11</v>
      </c>
      <c r="X160" s="1" t="str">
        <f ca="1">IF(ISERROR(F155),"",IF(W160=0,"",_xlfn.TEXTJOIN("",FALSE," G+",W160," in ",A160)))</f>
        <v xml:space="preserve"> G+11 in AHT 001</v>
      </c>
    </row>
    <row r="161" spans="1:24" ht="12" customHeight="1" x14ac:dyDescent="0.2">
      <c r="A161" s="7" t="str">
        <f ca="1">IF(ISERROR(F155),"",VLOOKUP(C155,INDIRECT($F$8),6+(O161-1)*3,0))</f>
        <v>AHT 003</v>
      </c>
      <c r="B161" s="31" t="str">
        <f ca="1">IF(ISERROR(F155),"",VLOOKUP(D155,INDIRECT($F$8),6+(O161-1)*3,0))</f>
        <v>Introduction to Engineering Mathematics</v>
      </c>
      <c r="C161" s="31"/>
      <c r="D161" s="31"/>
      <c r="E161" s="31"/>
      <c r="F161" s="7">
        <f ca="1">IF(ISERROR(F155),"",VLOOKUP(E155,INDIRECT($F$8),6+(O161-1)*3,0))</f>
        <v>4</v>
      </c>
      <c r="G161" s="29" t="str">
        <f ca="1">IF(ISERROR(F155),"",_xlfn.TEXTJOIN("/",FALSE,P161,S161))</f>
        <v>D/100</v>
      </c>
      <c r="H161" s="29"/>
      <c r="I161" s="29" t="str">
        <f ca="1">IF(ISERROR(F155),"",_xlfn.TEXTJOIN("/",FALSE,Q161,T161))</f>
        <v>D/50</v>
      </c>
      <c r="J161" s="29"/>
      <c r="K161" s="29" t="str">
        <f ca="1">IF(ISERROR(F155),"",_xlfn.TEXTJOIN("/",FALSE,R161,U161))</f>
        <v>0/150</v>
      </c>
      <c r="L161" s="29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Dt</v>
      </c>
      <c r="N161" s="8">
        <f t="shared" ref="N161:N170" ca="1" si="15">INDEX($Z$2:$Z$17,MATCH(M161,$Y$2:$Y$17,0))</f>
        <v>0</v>
      </c>
      <c r="O161">
        <f>O160+1</f>
        <v>2</v>
      </c>
      <c r="P161" s="1" t="str">
        <f ca="1">IF(ISERROR(F155),"",IF(ISTEXT(VLOOKUP(B155,INDIRECT($F$8),6+(O161-1)*3)),(VLOOKUP(B155,INDIRECT($F$8),6+(O161-1)*3)),SUM(VLOOKUP(B155,INDIRECT($F$8),6+(O161-1)*3),IF(W172,W161,0))))</f>
        <v>D</v>
      </c>
      <c r="Q161" s="1" t="str">
        <f ca="1">IF(ISERROR(F155),"",VLOOKUP(B155,INDIRECT($F$8),7+(O161-1)*3))</f>
        <v>D</v>
      </c>
      <c r="R161" s="1">
        <f ca="1">IF(ISERROR(F155),"",SUM(P161:Q161))</f>
        <v>0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>AHT 003</v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11</v>
      </c>
      <c r="X161" s="1" t="str">
        <f ca="1">IF(ISERROR(F155),"",IF(W161=0,"",_xlfn.TEXTJOIN("",FALSE," G+",W161," in ",A161)))</f>
        <v xml:space="preserve"> G+11 in AHT 003</v>
      </c>
    </row>
    <row r="162" spans="1:24" ht="12" customHeight="1" x14ac:dyDescent="0.2">
      <c r="A162" s="7" t="str">
        <f ca="1">IF(ISERROR(F155),"",VLOOKUP(C155,INDIRECT($F$8),6+(O162-1)*3,0))</f>
        <v>EET 001</v>
      </c>
      <c r="B162" s="31" t="str">
        <f ca="1">IF(ISERROR(F155),"",VLOOKUP(D155,INDIRECT($F$8),6+(O162-1)*3,0))</f>
        <v>Basic Electrical Engineering</v>
      </c>
      <c r="C162" s="31"/>
      <c r="D162" s="31"/>
      <c r="E162" s="31"/>
      <c r="F162" s="7">
        <f ca="1">IF(ISERROR(F155),"",VLOOKUP(E155,INDIRECT($F$8),6+(O162-1)*3,0))</f>
        <v>4</v>
      </c>
      <c r="G162" s="29" t="str">
        <f ca="1">IF(ISERROR(F155),"",_xlfn.TEXTJOIN("/",FALSE,P162,S162))</f>
        <v>11/100</v>
      </c>
      <c r="H162" s="29"/>
      <c r="I162" s="29" t="str">
        <f ca="1">IF(ISERROR(F155),"",_xlfn.TEXTJOIN("/",FALSE,Q162,T162))</f>
        <v>24/50</v>
      </c>
      <c r="J162" s="29"/>
      <c r="K162" s="29" t="str">
        <f ca="1">IF(ISERROR(F155),"",_xlfn.TEXTJOIN("/",FALSE,R162,U162))</f>
        <v>35/150</v>
      </c>
      <c r="L162" s="29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F</v>
      </c>
      <c r="N162" s="8">
        <f t="shared" ca="1" si="15"/>
        <v>0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11</v>
      </c>
      <c r="Q162" s="1">
        <f ca="1">IF(ISERROR(F155),"",VLOOKUP(B155,INDIRECT($F$8),7+(O162-1)*3))</f>
        <v>24</v>
      </c>
      <c r="R162" s="1">
        <f ca="1">IF(ISERROR(F155),"",SUM(P162:Q162))</f>
        <v>35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>EET 001</v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11</v>
      </c>
      <c r="X162" s="1" t="str">
        <f ca="1">IF(ISERROR(F155),"",IF(W162=0,"",_xlfn.TEXTJOIN("",FALSE," G+",W162," in ",A162)))</f>
        <v xml:space="preserve"> G+11 in EET 001</v>
      </c>
    </row>
    <row r="163" spans="1:24" ht="12" customHeight="1" x14ac:dyDescent="0.2">
      <c r="A163" s="7" t="str">
        <f ca="1">IF(ISERROR(F155),"",VLOOKUP(C155,INDIRECT($F$8),6+(O163-1)*3,0))</f>
        <v>CST 001</v>
      </c>
      <c r="B163" s="31" t="str">
        <f ca="1">IF(ISERROR(F155),"",VLOOKUP(D155,INDIRECT($F$8),6+(O163-1)*3,0))</f>
        <v>Programming for Problem Solving</v>
      </c>
      <c r="C163" s="31"/>
      <c r="D163" s="31"/>
      <c r="E163" s="31"/>
      <c r="F163" s="7">
        <f ca="1">IF(ISERROR(F155),"",VLOOKUP(E155,INDIRECT($F$8),6+(O163-1)*3,0))</f>
        <v>4</v>
      </c>
      <c r="G163" s="29" t="str">
        <f ca="1">IF(ISERROR(F155),"",_xlfn.TEXTJOIN("/",FALSE,P163,S163))</f>
        <v>9/100</v>
      </c>
      <c r="H163" s="29"/>
      <c r="I163" s="29" t="str">
        <f ca="1">IF(ISERROR(F155),"",_xlfn.TEXTJOIN("/",FALSE,Q163,T163))</f>
        <v>19/50</v>
      </c>
      <c r="J163" s="29"/>
      <c r="K163" s="29" t="str">
        <f ca="1">IF(ISERROR(F155),"",_xlfn.TEXTJOIN("/",FALSE,R163,U163))</f>
        <v>28/150</v>
      </c>
      <c r="L163" s="29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F</v>
      </c>
      <c r="N163" s="8">
        <f t="shared" ca="1" si="15"/>
        <v>0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9</v>
      </c>
      <c r="Q163" s="1">
        <f ca="1">IF(ISERROR(F155),"",VLOOKUP(B155,INDIRECT($F$8),7+(O163-1)*3))</f>
        <v>19</v>
      </c>
      <c r="R163" s="1">
        <f ca="1">IF(ISERROR(F155),"",SUM(P163:Q163))</f>
        <v>28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>CST 001</v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11</v>
      </c>
      <c r="X163" s="1" t="str">
        <f ca="1">IF(ISERROR(F155),"",IF(W163=0,"",_xlfn.TEXTJOIN("",FALSE," G+",W163," in ",A163)))</f>
        <v xml:space="preserve"> G+11 in CST 001</v>
      </c>
    </row>
    <row r="164" spans="1:24" ht="12" customHeight="1" x14ac:dyDescent="0.2">
      <c r="A164" s="7" t="str">
        <f ca="1">IF(ISERROR(F155),"",VLOOKUP(C155,INDIRECT($F$8),6+(O164-1)*3,0))</f>
        <v>AHT 004</v>
      </c>
      <c r="B164" s="31" t="str">
        <f ca="1">IF(ISERROR(F155),"",VLOOKUP(D155,INDIRECT($F$8),6+(O164-1)*3,0))</f>
        <v>Environmental Studies ($)</v>
      </c>
      <c r="C164" s="31"/>
      <c r="D164" s="31"/>
      <c r="E164" s="31"/>
      <c r="F164" s="7">
        <f ca="1">IF(ISERROR(F155),"",VLOOKUP(E155,INDIRECT($F$8),6+(O164-1)*3,0))</f>
        <v>0</v>
      </c>
      <c r="G164" s="29" t="str">
        <f ca="1">IF(ISERROR(F155),"",_xlfn.TEXTJOIN("/",FALSE,P164,S164))</f>
        <v>7/50</v>
      </c>
      <c r="H164" s="29"/>
      <c r="I164" s="29" t="str">
        <f ca="1">IF(ISERROR(F155),"",_xlfn.TEXTJOIN("/",FALSE,Q164,T164))</f>
        <v>10/25</v>
      </c>
      <c r="J164" s="29"/>
      <c r="K164" s="29" t="str">
        <f ca="1">IF(ISERROR(F155),"",_xlfn.TEXTJOIN("/",FALSE,R164,U164))</f>
        <v>17/75</v>
      </c>
      <c r="L164" s="29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F</v>
      </c>
      <c r="N164" s="8">
        <f t="shared" ca="1" si="15"/>
        <v>0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7</v>
      </c>
      <c r="Q164" s="1">
        <f ca="1">IF(ISERROR(F155),"",VLOOKUP(B155,INDIRECT($F$8),7+(O164-1)*3))</f>
        <v>10</v>
      </c>
      <c r="R164" s="1">
        <f ca="1">IF(ISERROR(F155),"",SUM(P164:Q164))</f>
        <v>17</v>
      </c>
      <c r="S164" s="1">
        <f ca="1">IF(ISERROR(F155),"",VLOOKUP(A155,INDIRECT($F$8),6+(O164-1)*3))</f>
        <v>50</v>
      </c>
      <c r="T164" s="1">
        <f ca="1">IF(ISERROR(F155),"",VLOOKUP(A155,INDIRECT($F$8),7+(O164-1)*3))</f>
        <v>25</v>
      </c>
      <c r="U164" s="1">
        <f ca="1">IF(ISERROR(F155),"",VLOOKUP(A155,INDIRECT($F$8),8+(O164-1)*3))</f>
        <v>75</v>
      </c>
      <c r="V164" s="1" t="str">
        <f ca="1">IF(ISERROR(F155),"",IF(N164=0,A164,""))</f>
        <v>AHT 004</v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11</v>
      </c>
      <c r="X164" s="1" t="str">
        <f ca="1">IF(ISERROR(F155),"",IF(W164=0,"",_xlfn.TEXTJOIN("",FALSE," G+",W164," in ",A164)))</f>
        <v xml:space="preserve"> G+11 in AHT 004</v>
      </c>
    </row>
    <row r="165" spans="1:24" ht="12" customHeight="1" x14ac:dyDescent="0.2">
      <c r="A165" s="7" t="str">
        <f ca="1">IF(ISERROR(F155),"",VLOOKUP(C155,INDIRECT($F$8),6+(O165-1)*3,0))</f>
        <v>AHP 001</v>
      </c>
      <c r="B165" s="31" t="str">
        <f ca="1">IF(ISERROR(F155),"",VLOOKUP(D155,INDIRECT($F$8),6+(O165-1)*3,0))</f>
        <v>Engineering Physics Lab</v>
      </c>
      <c r="C165" s="31"/>
      <c r="D165" s="31"/>
      <c r="E165" s="31"/>
      <c r="F165" s="7">
        <f ca="1">IF(ISERROR(F155),"",VLOOKUP(E155,INDIRECT($F$8),6+(O165-1)*3,0))</f>
        <v>1</v>
      </c>
      <c r="G165" s="29" t="str">
        <f ca="1">IF(ISERROR(F155),"",_xlfn.TEXTJOIN("/",FALSE,P165,S165))</f>
        <v>16/25</v>
      </c>
      <c r="H165" s="29"/>
      <c r="I165" s="29" t="str">
        <f ca="1">IF(ISERROR(F155),"",_xlfn.TEXTJOIN("/",FALSE,Q165,T165))</f>
        <v>20/25</v>
      </c>
      <c r="J165" s="29"/>
      <c r="K165" s="29" t="str">
        <f ca="1">IF(ISERROR(F155),"",_xlfn.TEXTJOIN("/",FALSE,R165,U165))</f>
        <v>36/50</v>
      </c>
      <c r="L165" s="29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C+</v>
      </c>
      <c r="N165" s="8">
        <f t="shared" ca="1" si="15"/>
        <v>7.5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16</v>
      </c>
      <c r="Q165" s="1">
        <f ca="1">IF(ISERROR(F155),"",VLOOKUP(B155,INDIRECT($F$8),7+(O165-1)*3))</f>
        <v>20</v>
      </c>
      <c r="R165" s="1">
        <f ca="1">IF(ISERROR(F155),"",SUM(P165:Q165))</f>
        <v>36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EEP 001</v>
      </c>
      <c r="B166" s="31" t="str">
        <f ca="1">IF(ISERROR(F155),"",VLOOKUP(D155,INDIRECT($F$8),6+(O166-1)*3,0))</f>
        <v>Basic Electrical Engineering Lab</v>
      </c>
      <c r="C166" s="31"/>
      <c r="D166" s="31"/>
      <c r="E166" s="31"/>
      <c r="F166" s="7">
        <f ca="1">IF(ISERROR(F155),"",VLOOKUP(E155,INDIRECT($F$8),6+(O166-1)*3,0))</f>
        <v>1</v>
      </c>
      <c r="G166" s="29" t="str">
        <f ca="1">IF(ISERROR(F155),"",_xlfn.TEXTJOIN("/",FALSE,P166,S166))</f>
        <v>D/25</v>
      </c>
      <c r="H166" s="29"/>
      <c r="I166" s="29" t="str">
        <f ca="1">IF(ISERROR(F155),"",_xlfn.TEXTJOIN("/",FALSE,Q166,T166))</f>
        <v>D/25</v>
      </c>
      <c r="J166" s="29"/>
      <c r="K166" s="29" t="str">
        <f ca="1">IF(ISERROR(F155),"",_xlfn.TEXTJOIN("/",FALSE,R166,U166))</f>
        <v>0/50</v>
      </c>
      <c r="L166" s="29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Dt</v>
      </c>
      <c r="N166" s="8">
        <f t="shared" ca="1" si="15"/>
        <v>0</v>
      </c>
      <c r="O166">
        <f t="shared" si="16"/>
        <v>7</v>
      </c>
      <c r="P166" s="1" t="str">
        <f ca="1">IF(ISERROR(F155),"",IF(ISTEXT(VLOOKUP(B155,INDIRECT($F$8),6+(O166-1)*3)),(VLOOKUP(B155,INDIRECT($F$8),6+(O166-1)*3)),SUM(VLOOKUP(B155,INDIRECT($F$8),6+(O166-1)*3),IF(W172,W166,0))))</f>
        <v>D</v>
      </c>
      <c r="Q166" s="1" t="str">
        <f ca="1">IF(ISERROR(F155),"",VLOOKUP(B155,INDIRECT($F$8),7+(O166-1)*3))</f>
        <v>D</v>
      </c>
      <c r="R166" s="1">
        <f ca="1">IF(ISERROR(F155),"",SUM(P166:Q166))</f>
        <v>0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>EEP 001</v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11</v>
      </c>
      <c r="X166" s="1" t="str">
        <f ca="1">IF(ISERROR(F155),"",IF(W166=0,"",_xlfn.TEXTJOIN("",FALSE," G+",W166," in ",A166)))</f>
        <v xml:space="preserve"> G+11 in EEP 001</v>
      </c>
    </row>
    <row r="167" spans="1:24" ht="12" customHeight="1" x14ac:dyDescent="0.2">
      <c r="A167" s="7" t="str">
        <f ca="1">IF(ISERROR(F155),"",VLOOKUP(C155,INDIRECT($F$8),6+(O167-1)*3,0))</f>
        <v>CSP 001</v>
      </c>
      <c r="B167" s="31" t="str">
        <f ca="1">IF(ISERROR(F155),"",VLOOKUP(D155,INDIRECT($F$8),6+(O167-1)*3-Z167,0))</f>
        <v>Programming for Problem Solving Lab</v>
      </c>
      <c r="C167" s="31"/>
      <c r="D167" s="31"/>
      <c r="E167" s="31"/>
      <c r="F167" s="7">
        <f ca="1">IF(ISERROR(F155),"",VLOOKUP(E155,INDIRECT($F$8),6+(O167-1)*3,0))</f>
        <v>1</v>
      </c>
      <c r="G167" s="29" t="str">
        <f ca="1">IF(ISERROR(F155),"",_xlfn.TEXTJOIN("/",FALSE,P167,S167))</f>
        <v>17/25</v>
      </c>
      <c r="H167" s="29"/>
      <c r="I167" s="29" t="str">
        <f ca="1">IF(ISERROR(F155),"",_xlfn.TEXTJOIN("/",FALSE,Q167,T167))</f>
        <v>17/25</v>
      </c>
      <c r="J167" s="29"/>
      <c r="K167" s="29" t="str">
        <f ca="1">IF(ISERROR(F155),"",_xlfn.TEXTJOIN("/",FALSE,R167,U167))</f>
        <v>34/50</v>
      </c>
      <c r="L167" s="29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C</v>
      </c>
      <c r="N167" s="8">
        <f t="shared" ca="1" si="15"/>
        <v>7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17</v>
      </c>
      <c r="Q167" s="1">
        <f ca="1">IF(ISERROR(F155),"",VLOOKUP(B155,INDIRECT($F$8),7+(O167-1)*3))</f>
        <v>17</v>
      </c>
      <c r="R167" s="1">
        <f ca="1">IF(ISERROR(F155),"",SUM(P167:Q167))</f>
        <v>34</v>
      </c>
      <c r="S167" s="1">
        <f ca="1">IF(ISERROR(F155),"",VLOOKUP(A155,INDIRECT($F$8),6+(O167-1)*3))</f>
        <v>25</v>
      </c>
      <c r="T167" s="1">
        <f ca="1">IF(ISERROR(F155),"",VLOOKUP(A155,INDIRECT($F$8),7+(O167-1)*3))</f>
        <v>25</v>
      </c>
      <c r="U167" s="1">
        <f ca="1">IF(ISERROR(F155),"",VLOOKUP(A155,INDIRECT($F$8),8+(O167-1)*3))</f>
        <v>50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MEP 002</v>
      </c>
      <c r="B168" s="31" t="str">
        <f ca="1">IF(ISERROR(F155),"",VLOOKUP(D155,INDIRECT($F$8),6+(O168-1)*3-Z168,0))</f>
        <v>Engineering Graphics &amp; Design Lab</v>
      </c>
      <c r="C168" s="31"/>
      <c r="D168" s="31"/>
      <c r="E168" s="31"/>
      <c r="F168" s="7">
        <f ca="1">IF(ISERROR(F155),"",VLOOKUP(E155,INDIRECT($F$8),6+(O168-1)*3,0))</f>
        <v>2</v>
      </c>
      <c r="G168" s="29" t="str">
        <f ca="1">IF(ISERROR(F155),"",_xlfn.TEXTJOIN("/",FALSE,P168,S168))</f>
        <v>42/50</v>
      </c>
      <c r="H168" s="29"/>
      <c r="I168" s="29" t="str">
        <f ca="1">IF(ISERROR(F155),"",_xlfn.TEXTJOIN("/",FALSE,Q168,T168))</f>
        <v>35/50</v>
      </c>
      <c r="J168" s="29"/>
      <c r="K168" s="29" t="str">
        <f ca="1">IF(ISERROR(F155),"",_xlfn.TEXTJOIN("/",FALSE,R168,U168))</f>
        <v>77/100</v>
      </c>
      <c r="L168" s="29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B</v>
      </c>
      <c r="N168" s="8">
        <f t="shared" ca="1" si="15"/>
        <v>8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42</v>
      </c>
      <c r="Q168" s="1">
        <f ca="1">IF(ISERROR(F155),"",VLOOKUP(B155,INDIRECT($F$8),7+(O168-1)*3))</f>
        <v>35</v>
      </c>
      <c r="R168" s="1">
        <f ca="1">IF(ISERROR(F155),"",SUM(P168:Q168))</f>
        <v>77</v>
      </c>
      <c r="S168" s="1">
        <f ca="1">IF(ISERROR(F155),"",VLOOKUP(A155,INDIRECT($F$8),6+(O168-1)*3))</f>
        <v>50</v>
      </c>
      <c r="T168" s="1">
        <f ca="1">IF(ISERROR(F155),"",VLOOKUP(A155,INDIRECT($F$8),7+(O168-1)*3))</f>
        <v>50</v>
      </c>
      <c r="U168" s="1">
        <f ca="1">IF(ISERROR(F155),"",VLOOKUP(A155,INDIRECT($F$8),8+(O168-1)*3))</f>
        <v>100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AHP 003</v>
      </c>
      <c r="B169" s="31" t="str">
        <f ca="1">IF(ISERROR(F155),"",VLOOKUP(D155,INDIRECT($F$8),6+(O169-1)*3,0))</f>
        <v>Introduction to Digital Marketing Lab</v>
      </c>
      <c r="C169" s="31"/>
      <c r="D169" s="31"/>
      <c r="E169" s="31"/>
      <c r="F169" s="7">
        <f ca="1">IF(ISERROR(F155),"",VLOOKUP(E155,INDIRECT($F$8),6+(O169-1)*3,0))</f>
        <v>1</v>
      </c>
      <c r="G169" s="29" t="str">
        <f ca="1">IF(ISERROR(F155),"",_xlfn.TEXTJOIN("/",FALSE,P169,S169))</f>
        <v>18/25</v>
      </c>
      <c r="H169" s="29"/>
      <c r="I169" s="29" t="str">
        <f ca="1">IF(ISERROR(F155),"",_xlfn.TEXTJOIN("/",FALSE,Q169,T169))</f>
        <v>14/25</v>
      </c>
      <c r="J169" s="29"/>
      <c r="K169" s="29" t="str">
        <f ca="1">IF(ISERROR(F155),"",_xlfn.TEXTJOIN("/",FALSE,R169,U169))</f>
        <v>32/50</v>
      </c>
      <c r="L169" s="29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D+</v>
      </c>
      <c r="N169" s="8">
        <f t="shared" ca="1" si="15"/>
        <v>6.5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18</v>
      </c>
      <c r="Q169" s="1">
        <f ca="1">IF(ISERROR(F155),"",VLOOKUP(B155,INDIRECT($F$8),7+(O169-1)*3))</f>
        <v>14</v>
      </c>
      <c r="R169" s="1">
        <f ca="1">IF(ISERROR(F155),"",SUM(P169:Q169))</f>
        <v>32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005</v>
      </c>
      <c r="B170" s="31" t="str">
        <f ca="1">IF(ISERROR(F155),"",VLOOKUP(D155,INDIRECT($F$8),6+(O170-1)*3,0))</f>
        <v>Self Employment &amp; Entrepreneurship Development</v>
      </c>
      <c r="C170" s="31"/>
      <c r="D170" s="31"/>
      <c r="E170" s="31"/>
      <c r="F170" s="7">
        <f ca="1">IF(ISERROR(F155),"",VLOOKUP(E155,INDIRECT($F$8),6+(O170-1)*3,0))</f>
        <v>1</v>
      </c>
      <c r="G170" s="29" t="str">
        <f ca="1">IF(ISERROR(F155),"",_xlfn.TEXTJOIN("/",FALSE,P170,S170))</f>
        <v>18/25</v>
      </c>
      <c r="H170" s="29"/>
      <c r="I170" s="29" t="str">
        <f ca="1">IF(ISERROR(F155),"",_xlfn.TEXTJOIN("/",FALSE,Q170,T170))</f>
        <v>23/25</v>
      </c>
      <c r="J170" s="29"/>
      <c r="K170" s="29" t="str">
        <f ca="1">IF(ISERROR(F155),"",_xlfn.TEXTJOIN("/",FALSE,R170,U170))</f>
        <v>41/50</v>
      </c>
      <c r="L170" s="29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B+</v>
      </c>
      <c r="N170" s="8">
        <f t="shared" ca="1" si="15"/>
        <v>8.5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18</v>
      </c>
      <c r="Q170" s="1">
        <f ca="1">IF(ISERROR(F155),"",VLOOKUP(B155,INDIRECT($F$8),7+(O170-1)*3))</f>
        <v>23</v>
      </c>
      <c r="R170" s="1">
        <f ca="1">IF(ISERROR(F155),"",SUM(P170:Q170))</f>
        <v>41</v>
      </c>
      <c r="S170" s="1">
        <f ca="1">IF(ISERROR(F155),"",VLOOKUP(A155,INDIRECT($F$8),6+(O170-1)*3))</f>
        <v>25</v>
      </c>
      <c r="T170" s="1">
        <f ca="1">IF(ISERROR(F155),"",VLOOKUP(A155,INDIRECT($F$8),7+(O170-1)*3))</f>
        <v>25</v>
      </c>
      <c r="U170" s="1">
        <f ca="1">IF(ISERROR(F155),"",VLOOKUP(A155,INDIRECT($F$8),8+(O170-1)*3))</f>
        <v>50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31" t="str">
        <f ca="1">IF(ISERROR(F155),"",VLOOKUP(D155,INDIRECT($F$8),6+(O171-1)*3-Z171,0))</f>
        <v>General Proficiency ($)</v>
      </c>
      <c r="C171" s="31"/>
      <c r="D171" s="31"/>
      <c r="E171" s="31"/>
      <c r="F171" s="7">
        <f ca="1">IF(ISERROR(F155),"",VLOOKUP(E155,INDIRECT($F$8),6+(O171-1)*3-AA171,0))</f>
        <v>0</v>
      </c>
      <c r="G171" s="29" t="str">
        <f ca="1">IF(ISERROR(F155),"","-")</f>
        <v>-</v>
      </c>
      <c r="H171" s="29"/>
      <c r="I171" s="29" t="str">
        <f ca="1">IF(ISERROR(F155),"",_xlfn.TEXTJOIN("/",FALSE,Q171,T171))</f>
        <v>47/50</v>
      </c>
      <c r="J171" s="29"/>
      <c r="K171" s="29" t="str">
        <f ca="1">IF(ISERROR(F155),"",_xlfn.TEXTJOIN("/",FALSE,R171,U171))</f>
        <v>47/50</v>
      </c>
      <c r="L171" s="29"/>
      <c r="M171" s="29" t="str">
        <f ca="1">IF(ISBLANK(R171),"",IF(ISTEXT(R171),R171,IF(R171&gt;=0.8*U171,"Excellent",IF(R171&gt;=0.6*U171,"Very Good",IF(R171&gt;=0.4*U171,"Good",IF(R171&gt;=0.2*U171,"Satisfactory","Average"))))))</f>
        <v>Excellent</v>
      </c>
      <c r="N171" s="29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7" t="str">
        <f ca="1">IF(ISERROR(F155),"",A151)</f>
        <v>Total Credits/ Marks/ Total Grade Points</v>
      </c>
      <c r="B172" s="27"/>
      <c r="C172" s="27"/>
      <c r="D172" s="27"/>
      <c r="E172" s="27"/>
      <c r="F172" s="10">
        <f ca="1">IF(ISERROR(F155),"",SUM(F160:F170))</f>
        <v>23</v>
      </c>
      <c r="G172" s="30" t="str">
        <f ca="1">IF(ISERROR(F155),"",_xlfn.TEXTJOIN("/",TRUE,SUMIF(F160:F171,"&gt;0",P160:P171),SUMIF(F160:F171,"&gt;0",S160:S171)))</f>
        <v>133/575</v>
      </c>
      <c r="H172" s="30"/>
      <c r="I172" s="30" t="str">
        <f ca="1">IF(ISERROR(F155),"",_xlfn.TEXTJOIN("/",TRUE,SUMIF(F160:F171,"&gt;0",Q160:Q171),SUMIF(F160:F171,"&gt;0",T160:T171)))</f>
        <v>166/375</v>
      </c>
      <c r="J172" s="30"/>
      <c r="K172" s="30" t="str">
        <f ca="1">IF(ISERROR(F155),"",_xlfn.TEXTJOIN("/",TRUE,SUMIF(F160:F171,"&gt;0",R160:R171),SUMIF(F160:F171,"&gt;0",U160:U171)))</f>
        <v>299/950</v>
      </c>
      <c r="L172" s="30"/>
      <c r="M172" s="27">
        <f ca="1">IF(ISERROR(F155),"",SUMPRODUCT(N160:N170,F160:F170))</f>
        <v>45.5</v>
      </c>
      <c r="N172" s="27"/>
      <c r="V172" s="1" t="str">
        <f ca="1">IF(ISERROR(F155),"",_xlfn.TEXTJOIN(", ",TRUE,V160:V171))</f>
        <v>AHT 001, AHT 003, EET 001, CST 001, AHT 004, EEP 001</v>
      </c>
      <c r="W172" t="b">
        <f ca="1">IF(ISERROR(F155),"",IF(SUM(W160:W171)&lt;=W159,TRUE,FALSE))</f>
        <v>0</v>
      </c>
      <c r="X172" s="1" t="str">
        <f ca="1">IF(ISERROR(F155),"",_xlfn.TEXTJOIN(",",TRUE,X160:X171))</f>
        <v xml:space="preserve"> G+11 in AHT 001, G+11 in AHT 003, G+11 in EET 001, G+11 in CST 001, G+11 in AHT 004, G+11 in EEP 001</v>
      </c>
    </row>
    <row r="173" spans="1:24" ht="12" customHeight="1" x14ac:dyDescent="0.2">
      <c r="A173" s="27" t="str">
        <f ca="1">IF(ISERROR(F155),"",A152)</f>
        <v>Result:</v>
      </c>
      <c r="B173" s="26" t="str" cm="1">
        <f t="array" aca="1" ref="B173" ca="1">IF(SUM(COUNTIF(M160:M170,{"Ab","Dt"}))=11, "Not Promoted to IInd Semester", IF(V172="", "PASS", "CARRY OVER"))</f>
        <v>CARRY OVER</v>
      </c>
      <c r="C173" s="26"/>
      <c r="D173" s="27" t="str">
        <f ca="1">IF(ISERROR(F155),"",D152)</f>
        <v>Remark:</v>
      </c>
      <c r="E173" s="26" t="str">
        <f ca="1">IF(ISERROR(F155),"",IF(V172="",IF(X172="","",X172),_xlfn.TEXTJOIN(" ",TRUE,"BACK IN",V172)))</f>
        <v>BACK IN AHT 001, AHT 003, EET 001, CST 001, AHT 004, EEP 001</v>
      </c>
      <c r="F173" s="26"/>
      <c r="G173" s="27" t="str">
        <f ca="1">IF(ISERROR(F155),"",G152)</f>
        <v>SGPA:</v>
      </c>
      <c r="H173" s="28">
        <f ca="1">IF(ISERROR(F155),"",M172/F172)</f>
        <v>1.9782608695652173</v>
      </c>
      <c r="I173" s="27" t="str">
        <f ca="1">IF(ISERROR(F155),"",I152)</f>
        <v>CGPA:</v>
      </c>
      <c r="J173" s="28">
        <f ca="1">IF(ISERROR(F155),"",VLOOKUP(B155,INDIRECT($F$8),12+(O171-1)*3,0))</f>
        <v>1.9782608695652173</v>
      </c>
      <c r="K173" s="26" t="str">
        <f ca="1">IF(ISERROR(F155),"",K152)</f>
        <v>Earned Credits:</v>
      </c>
      <c r="L173" s="27">
        <f ca="1">IF(ISERROR(F155),"",SUMIF(N160:N170,"&gt;0",F160:F170))</f>
        <v>6</v>
      </c>
      <c r="M173" s="26" t="str">
        <f ca="1">IF(ISERROR(F155),"",M152)</f>
        <v>Cuml. Earned Credits:</v>
      </c>
      <c r="N173" s="27">
        <f ca="1">IF(ISERROR(F155),"",VLOOKUP(B155,INDIRECT($F$8),10+(O171-1)*3,0))</f>
        <v>6</v>
      </c>
    </row>
    <row r="174" spans="1:24" ht="12" customHeight="1" x14ac:dyDescent="0.2">
      <c r="A174" s="27"/>
      <c r="B174" s="26"/>
      <c r="C174" s="26"/>
      <c r="D174" s="27"/>
      <c r="E174" s="26"/>
      <c r="F174" s="26"/>
      <c r="G174" s="27"/>
      <c r="H174" s="28"/>
      <c r="I174" s="27"/>
      <c r="J174" s="28"/>
      <c r="K174" s="26"/>
      <c r="L174" s="27"/>
      <c r="M174" s="26"/>
      <c r="N174" s="27"/>
    </row>
    <row r="175" spans="1:24" ht="57" customHeight="1" x14ac:dyDescent="0.2">
      <c r="A175" s="27"/>
      <c r="B175" s="26"/>
      <c r="C175" s="26"/>
      <c r="D175" s="27"/>
      <c r="E175" s="26"/>
      <c r="F175" s="26"/>
      <c r="G175" s="27"/>
      <c r="H175" s="28"/>
      <c r="I175" s="27"/>
      <c r="J175" s="28"/>
      <c r="K175" s="26"/>
      <c r="L175" s="27"/>
      <c r="M175" s="26"/>
      <c r="N175" s="27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MANSI PATWAL</v>
      </c>
    </row>
    <row r="177" spans="1:24" ht="12" customHeight="1" x14ac:dyDescent="0.2">
      <c r="A177" s="24" t="str">
        <f ca="1">IF(ISERROR(F176),"",A156)</f>
        <v>Name:</v>
      </c>
      <c r="B177" s="24" t="str">
        <f ca="1">IFERROR(VLOOKUP(B176,INDIRECT($F$8),4,0),"")</f>
        <v>MANSI PATWAL</v>
      </c>
      <c r="C177" s="24"/>
      <c r="D177" s="24" t="str">
        <f ca="1">IF(ISERROR(F176),"",D156)</f>
        <v>Father's Name:</v>
      </c>
      <c r="E177" s="24" t="str">
        <f ca="1">IFERROR(VLOOKUP(B176,INDIRECT($F$8),5,0),"")</f>
        <v>SUNIL PATWAL</v>
      </c>
      <c r="F177" s="24"/>
      <c r="G177" s="24" t="str">
        <f ca="1">IF(ISERROR(F176),"",G156)</f>
        <v>University Roll No:</v>
      </c>
      <c r="H177" s="24"/>
      <c r="I177" s="25">
        <f ca="1">IFERROR(VLOOKUP(B176,INDIRECT($F$8),2,0),"")</f>
        <v>250090111009</v>
      </c>
      <c r="J177" s="25"/>
      <c r="K177" s="24" t="str">
        <f ca="1">IF(ISERROR(F176),"",K156)</f>
        <v>University Enrol. No:</v>
      </c>
      <c r="L177" s="24"/>
      <c r="M177" s="25" t="str">
        <f ca="1">IFERROR(VLOOKUP(B176,INDIRECT($F$8),3,0),"")</f>
        <v>UTU/2501103935</v>
      </c>
      <c r="N177" s="25"/>
    </row>
    <row r="178" spans="1:24" ht="12" customHeight="1" x14ac:dyDescent="0.2">
      <c r="A178" s="24"/>
      <c r="B178" s="24"/>
      <c r="C178" s="24"/>
      <c r="D178" s="24"/>
      <c r="E178" s="24"/>
      <c r="F178" s="24"/>
      <c r="G178" s="24"/>
      <c r="H178" s="24"/>
      <c r="I178" s="25"/>
      <c r="J178" s="25"/>
      <c r="K178" s="24"/>
      <c r="L178" s="24"/>
      <c r="M178" s="25"/>
      <c r="N178" s="25"/>
    </row>
    <row r="179" spans="1:24" ht="12" customHeight="1" x14ac:dyDescent="0.2">
      <c r="A179" s="26" t="str">
        <f ca="1">IF(ISERROR(F176),"",A158)</f>
        <v>Subject Code</v>
      </c>
      <c r="B179" s="26" t="str">
        <f ca="1">IF(ISERROR(F176),"",B158)</f>
        <v>Subject Name</v>
      </c>
      <c r="C179" s="26"/>
      <c r="D179" s="26"/>
      <c r="E179" s="26"/>
      <c r="F179" s="26" t="str">
        <f ca="1">IF(ISERROR(F176),"",F158)</f>
        <v>Credits</v>
      </c>
      <c r="G179" s="26" t="str">
        <f ca="1">IF(ISERROR(F176),"",G158)</f>
        <v>External Marks</v>
      </c>
      <c r="H179" s="26"/>
      <c r="I179" s="26" t="str">
        <f ca="1">IF(ISERROR(F176),"",I158)</f>
        <v>Sessional Marks</v>
      </c>
      <c r="J179" s="26"/>
      <c r="K179" s="26" t="str">
        <f ca="1">IF(ISERROR(F176),"",K158)</f>
        <v>Total Marks</v>
      </c>
      <c r="L179" s="26"/>
      <c r="M179" s="26" t="str">
        <f ca="1">IF(ISERROR(F176),"",M158)</f>
        <v>Grade</v>
      </c>
      <c r="N179" s="26" t="str">
        <f ca="1">IF(ISERROR(F176),"",N158)</f>
        <v>Grade Points</v>
      </c>
    </row>
    <row r="180" spans="1:24" ht="12" customHeight="1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001</v>
      </c>
      <c r="B181" s="31" t="str">
        <f ca="1">IF(ISERROR(F176),"",VLOOKUP(D176,INDIRECT($F$8),6+(O181-1)*3,0))</f>
        <v>Engineering Physics</v>
      </c>
      <c r="C181" s="31"/>
      <c r="D181" s="31"/>
      <c r="E181" s="31"/>
      <c r="F181" s="7">
        <f ca="1">IF(ISERROR(F176),"",VLOOKUP(E176,INDIRECT($F$8),6+(O181-1)*3,0))</f>
        <v>4</v>
      </c>
      <c r="G181" s="29" t="str">
        <f ca="1">IF(ISERROR(F176),"",_xlfn.TEXTJOIN("/",FALSE,P181,S181))</f>
        <v>3/100</v>
      </c>
      <c r="H181" s="29"/>
      <c r="I181" s="29" t="str">
        <f ca="1">IF(ISERROR(F176),"",_xlfn.TEXTJOIN("/",FALSE,Q181,T181))</f>
        <v>24/50</v>
      </c>
      <c r="J181" s="29"/>
      <c r="K181" s="29" t="str">
        <f ca="1">IF(ISERROR(F176),"",_xlfn.TEXTJOIN("/",FALSE,R181,U181))</f>
        <v>27/150</v>
      </c>
      <c r="L181" s="29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F</v>
      </c>
      <c r="N181" s="8">
        <f ca="1">INDEX($Z$2:$Z$17,MATCH(M181,$Y$2:$Y$17,0))</f>
        <v>0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3</v>
      </c>
      <c r="Q181" s="1">
        <f ca="1">IF(ISERROR(F176),"",VLOOKUP(B176,INDIRECT($F$8),7+(O181-1)*3))</f>
        <v>24</v>
      </c>
      <c r="R181" s="1">
        <f ca="1">IF(ISERROR(F176),"",SUM(P181:Q181))</f>
        <v>27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>AHT 001</v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11</v>
      </c>
      <c r="X181" s="1" t="str">
        <f ca="1">IF(ISERROR(F176),"",IF(W181=0,"",_xlfn.TEXTJOIN("",FALSE," G+",W181," in ",A181)))</f>
        <v xml:space="preserve"> G+11 in AHT 001</v>
      </c>
    </row>
    <row r="182" spans="1:24" ht="12" customHeight="1" x14ac:dyDescent="0.2">
      <c r="A182" s="7" t="str">
        <f ca="1">IF(ISERROR(F176),"",VLOOKUP(C176,INDIRECT($F$8),6+(O182-1)*3,0))</f>
        <v>AHT 003</v>
      </c>
      <c r="B182" s="31" t="str">
        <f ca="1">IF(ISERROR(F176),"",VLOOKUP(D176,INDIRECT($F$8),6+(O182-1)*3,0))</f>
        <v>Introduction to Engineering Mathematics</v>
      </c>
      <c r="C182" s="31"/>
      <c r="D182" s="31"/>
      <c r="E182" s="31"/>
      <c r="F182" s="7">
        <f ca="1">IF(ISERROR(F176),"",VLOOKUP(E176,INDIRECT($F$8),6+(O182-1)*3,0))</f>
        <v>4</v>
      </c>
      <c r="G182" s="29" t="str">
        <f ca="1">IF(ISERROR(F176),"",_xlfn.TEXTJOIN("/",FALSE,P182,S182))</f>
        <v>1/100</v>
      </c>
      <c r="H182" s="29"/>
      <c r="I182" s="29" t="str">
        <f ca="1">IF(ISERROR(F176),"",_xlfn.TEXTJOIN("/",FALSE,Q182,T182))</f>
        <v>18/50</v>
      </c>
      <c r="J182" s="29"/>
      <c r="K182" s="29" t="str">
        <f ca="1">IF(ISERROR(F176),"",_xlfn.TEXTJOIN("/",FALSE,R182,U182))</f>
        <v>19/150</v>
      </c>
      <c r="L182" s="29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F</v>
      </c>
      <c r="N182" s="8">
        <f t="shared" ref="N182:N191" ca="1" si="17">INDEX($Z$2:$Z$17,MATCH(M182,$Y$2:$Y$17,0))</f>
        <v>0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1</v>
      </c>
      <c r="Q182" s="1">
        <f ca="1">IF(ISERROR(F176),"",VLOOKUP(B176,INDIRECT($F$8),7+(O182-1)*3))</f>
        <v>18</v>
      </c>
      <c r="R182" s="1">
        <f ca="1">IF(ISERROR(F176),"",SUM(P182:Q182))</f>
        <v>19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>AHT 003</v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11</v>
      </c>
      <c r="X182" s="1" t="str">
        <f ca="1">IF(ISERROR(F176),"",IF(W182=0,"",_xlfn.TEXTJOIN("",FALSE," G+",W182," in ",A182)))</f>
        <v xml:space="preserve"> G+11 in AHT 003</v>
      </c>
    </row>
    <row r="183" spans="1:24" ht="12" customHeight="1" x14ac:dyDescent="0.2">
      <c r="A183" s="7" t="str">
        <f ca="1">IF(ISERROR(F176),"",VLOOKUP(C176,INDIRECT($F$8),6+(O183-1)*3,0))</f>
        <v>EET 001</v>
      </c>
      <c r="B183" s="31" t="str">
        <f ca="1">IF(ISERROR(F176),"",VLOOKUP(D176,INDIRECT($F$8),6+(O183-1)*3,0))</f>
        <v>Basic Electrical Engineering</v>
      </c>
      <c r="C183" s="31"/>
      <c r="D183" s="31"/>
      <c r="E183" s="31"/>
      <c r="F183" s="7">
        <f ca="1">IF(ISERROR(F176),"",VLOOKUP(E176,INDIRECT($F$8),6+(O183-1)*3,0))</f>
        <v>4</v>
      </c>
      <c r="G183" s="29" t="str">
        <f ca="1">IF(ISERROR(F176),"",_xlfn.TEXTJOIN("/",FALSE,P183,S183))</f>
        <v>14/100</v>
      </c>
      <c r="H183" s="29"/>
      <c r="I183" s="29" t="str">
        <f ca="1">IF(ISERROR(F176),"",_xlfn.TEXTJOIN("/",FALSE,Q183,T183))</f>
        <v>26/50</v>
      </c>
      <c r="J183" s="29"/>
      <c r="K183" s="29" t="str">
        <f ca="1">IF(ISERROR(F176),"",_xlfn.TEXTJOIN("/",FALSE,R183,U183))</f>
        <v>40/150</v>
      </c>
      <c r="L183" s="29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F</v>
      </c>
      <c r="N183" s="8">
        <f t="shared" ca="1" si="17"/>
        <v>0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14</v>
      </c>
      <c r="Q183" s="1">
        <f ca="1">IF(ISERROR(F176),"",VLOOKUP(B176,INDIRECT($F$8),7+(O183-1)*3))</f>
        <v>26</v>
      </c>
      <c r="R183" s="1">
        <f ca="1">IF(ISERROR(F176),"",SUM(P183:Q183))</f>
        <v>40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>EET 001</v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11</v>
      </c>
      <c r="X183" s="1" t="str">
        <f ca="1">IF(ISERROR(F176),"",IF(W183=0,"",_xlfn.TEXTJOIN("",FALSE," G+",W183," in ",A183)))</f>
        <v xml:space="preserve"> G+11 in EET 001</v>
      </c>
    </row>
    <row r="184" spans="1:24" ht="12" customHeight="1" x14ac:dyDescent="0.2">
      <c r="A184" s="7" t="str">
        <f ca="1">IF(ISERROR(F176),"",VLOOKUP(C176,INDIRECT($F$8),6+(O184-1)*3,0))</f>
        <v>CST 001</v>
      </c>
      <c r="B184" s="31" t="str">
        <f ca="1">IF(ISERROR(F176),"",VLOOKUP(D176,INDIRECT($F$8),6+(O184-1)*3,0))</f>
        <v>Programming for Problem Solving</v>
      </c>
      <c r="C184" s="31"/>
      <c r="D184" s="31"/>
      <c r="E184" s="31"/>
      <c r="F184" s="7">
        <f ca="1">IF(ISERROR(F176),"",VLOOKUP(E176,INDIRECT($F$8),6+(O184-1)*3,0))</f>
        <v>4</v>
      </c>
      <c r="G184" s="29" t="str">
        <f ca="1">IF(ISERROR(F176),"",_xlfn.TEXTJOIN("/",FALSE,P184,S184))</f>
        <v>16/100</v>
      </c>
      <c r="H184" s="29"/>
      <c r="I184" s="29" t="str">
        <f ca="1">IF(ISERROR(F176),"",_xlfn.TEXTJOIN("/",FALSE,Q184,T184))</f>
        <v>23/50</v>
      </c>
      <c r="J184" s="29"/>
      <c r="K184" s="29" t="str">
        <f ca="1">IF(ISERROR(F176),"",_xlfn.TEXTJOIN("/",FALSE,R184,U184))</f>
        <v>39/150</v>
      </c>
      <c r="L184" s="29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F</v>
      </c>
      <c r="N184" s="8">
        <f t="shared" ca="1" si="17"/>
        <v>0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16</v>
      </c>
      <c r="Q184" s="1">
        <f ca="1">IF(ISERROR(F176),"",VLOOKUP(B176,INDIRECT($F$8),7+(O184-1)*3))</f>
        <v>23</v>
      </c>
      <c r="R184" s="1">
        <f ca="1">IF(ISERROR(F176),"",SUM(P184:Q184))</f>
        <v>39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>CST 001</v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11</v>
      </c>
      <c r="X184" s="1" t="str">
        <f ca="1">IF(ISERROR(F176),"",IF(W184=0,"",_xlfn.TEXTJOIN("",FALSE," G+",W184," in ",A184)))</f>
        <v xml:space="preserve"> G+11 in CST 001</v>
      </c>
    </row>
    <row r="185" spans="1:24" ht="12" customHeight="1" x14ac:dyDescent="0.2">
      <c r="A185" s="7" t="str">
        <f ca="1">IF(ISERROR(F176),"",VLOOKUP(C176,INDIRECT($F$8),6+(O185-1)*3,0))</f>
        <v>AHT 004</v>
      </c>
      <c r="B185" s="31" t="str">
        <f ca="1">IF(ISERROR(F176),"",VLOOKUP(D176,INDIRECT($F$8),6+(O185-1)*3,0))</f>
        <v>Environmental Studies ($)</v>
      </c>
      <c r="C185" s="31"/>
      <c r="D185" s="31"/>
      <c r="E185" s="31"/>
      <c r="F185" s="7">
        <f ca="1">IF(ISERROR(F176),"",VLOOKUP(E176,INDIRECT($F$8),6+(O185-1)*3,0))</f>
        <v>0</v>
      </c>
      <c r="G185" s="29" t="str">
        <f ca="1">IF(ISERROR(F176),"",_xlfn.TEXTJOIN("/",FALSE,P185,S185))</f>
        <v>20/50</v>
      </c>
      <c r="H185" s="29"/>
      <c r="I185" s="29" t="str">
        <f ca="1">IF(ISERROR(F176),"",_xlfn.TEXTJOIN("/",FALSE,Q185,T185))</f>
        <v>15/25</v>
      </c>
      <c r="J185" s="29"/>
      <c r="K185" s="29" t="str">
        <f ca="1">IF(ISERROR(F176),"",_xlfn.TEXTJOIN("/",FALSE,R185,U185))</f>
        <v>35/75</v>
      </c>
      <c r="L185" s="29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E</v>
      </c>
      <c r="N185" s="8">
        <f t="shared" ca="1" si="17"/>
        <v>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20</v>
      </c>
      <c r="Q185" s="1">
        <f ca="1">IF(ISERROR(F176),"",VLOOKUP(B176,INDIRECT($F$8),7+(O185-1)*3))</f>
        <v>15</v>
      </c>
      <c r="R185" s="1">
        <f ca="1">IF(ISERROR(F176),"",SUM(P185:Q185))</f>
        <v>35</v>
      </c>
      <c r="S185" s="1">
        <f ca="1">IF(ISERROR(F176),"",VLOOKUP(A176,INDIRECT($F$8),6+(O185-1)*3))</f>
        <v>50</v>
      </c>
      <c r="T185" s="1">
        <f ca="1">IF(ISERROR(F176),"",VLOOKUP(A176,INDIRECT($F$8),7+(O185-1)*3))</f>
        <v>25</v>
      </c>
      <c r="U185" s="1">
        <f ca="1">IF(ISERROR(F176),"",VLOOKUP(A176,INDIRECT($F$8),8+(O185-1)*3))</f>
        <v>75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AHP 001</v>
      </c>
      <c r="B186" s="31" t="str">
        <f ca="1">IF(ISERROR(F176),"",VLOOKUP(D176,INDIRECT($F$8),6+(O186-1)*3,0))</f>
        <v>Engineering Physics Lab</v>
      </c>
      <c r="C186" s="31"/>
      <c r="D186" s="31"/>
      <c r="E186" s="31"/>
      <c r="F186" s="7">
        <f ca="1">IF(ISERROR(F176),"",VLOOKUP(E176,INDIRECT($F$8),6+(O186-1)*3,0))</f>
        <v>1</v>
      </c>
      <c r="G186" s="29" t="str">
        <f ca="1">IF(ISERROR(F176),"",_xlfn.TEXTJOIN("/",FALSE,P186,S186))</f>
        <v>17/25</v>
      </c>
      <c r="H186" s="29"/>
      <c r="I186" s="29" t="str">
        <f ca="1">IF(ISERROR(F176),"",_xlfn.TEXTJOIN("/",FALSE,Q186,T186))</f>
        <v>22/25</v>
      </c>
      <c r="J186" s="29"/>
      <c r="K186" s="29" t="str">
        <f ca="1">IF(ISERROR(F176),"",_xlfn.TEXTJOIN("/",FALSE,R186,U186))</f>
        <v>39/50</v>
      </c>
      <c r="L186" s="29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</v>
      </c>
      <c r="N186" s="8">
        <f t="shared" ca="1" si="17"/>
        <v>8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17</v>
      </c>
      <c r="Q186" s="1">
        <f ca="1">IF(ISERROR(F176),"",VLOOKUP(B176,INDIRECT($F$8),7+(O186-1)*3))</f>
        <v>22</v>
      </c>
      <c r="R186" s="1">
        <f ca="1">IF(ISERROR(F176),"",SUM(P186:Q186))</f>
        <v>39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EEP 001</v>
      </c>
      <c r="B187" s="31" t="str">
        <f ca="1">IF(ISERROR(F176),"",VLOOKUP(D176,INDIRECT($F$8),6+(O187-1)*3,0))</f>
        <v>Basic Electrical Engineering Lab</v>
      </c>
      <c r="C187" s="31"/>
      <c r="D187" s="31"/>
      <c r="E187" s="31"/>
      <c r="F187" s="7">
        <f ca="1">IF(ISERROR(F176),"",VLOOKUP(E176,INDIRECT($F$8),6+(O187-1)*3,0))</f>
        <v>1</v>
      </c>
      <c r="G187" s="29" t="str">
        <f ca="1">IF(ISERROR(F176),"",_xlfn.TEXTJOIN("/",FALSE,P187,S187))</f>
        <v>21/25</v>
      </c>
      <c r="H187" s="29"/>
      <c r="I187" s="29" t="str">
        <f ca="1">IF(ISERROR(F176),"",_xlfn.TEXTJOIN("/",FALSE,Q187,T187))</f>
        <v>14/25</v>
      </c>
      <c r="J187" s="29"/>
      <c r="K187" s="29" t="str">
        <f ca="1">IF(ISERROR(F176),"",_xlfn.TEXTJOIN("/",FALSE,R187,U187))</f>
        <v>35/50</v>
      </c>
      <c r="L187" s="29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C+</v>
      </c>
      <c r="N187" s="8">
        <f t="shared" ca="1" si="17"/>
        <v>7.5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21</v>
      </c>
      <c r="Q187" s="1">
        <f ca="1">IF(ISERROR(F176),"",VLOOKUP(B176,INDIRECT($F$8),7+(O187-1)*3))</f>
        <v>14</v>
      </c>
      <c r="R187" s="1">
        <f ca="1">IF(ISERROR(F176),"",SUM(P187:Q187))</f>
        <v>35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CSP 001</v>
      </c>
      <c r="B188" s="31" t="str">
        <f ca="1">IF(ISERROR(F176),"",VLOOKUP(D176,INDIRECT($F$8),6+(O188-1)*3-Z188,0))</f>
        <v>Programming for Problem Solving Lab</v>
      </c>
      <c r="C188" s="31"/>
      <c r="D188" s="31"/>
      <c r="E188" s="31"/>
      <c r="F188" s="7">
        <f ca="1">IF(ISERROR(F176),"",VLOOKUP(E176,INDIRECT($F$8),6+(O188-1)*3,0))</f>
        <v>1</v>
      </c>
      <c r="G188" s="29" t="str">
        <f ca="1">IF(ISERROR(F176),"",_xlfn.TEXTJOIN("/",FALSE,P188,S188))</f>
        <v>18/25</v>
      </c>
      <c r="H188" s="29"/>
      <c r="I188" s="29" t="str">
        <f ca="1">IF(ISERROR(F176),"",_xlfn.TEXTJOIN("/",FALSE,Q188,T188))</f>
        <v>18/25</v>
      </c>
      <c r="J188" s="29"/>
      <c r="K188" s="29" t="str">
        <f ca="1">IF(ISERROR(F176),"",_xlfn.TEXTJOIN("/",FALSE,R188,U188))</f>
        <v>36/50</v>
      </c>
      <c r="L188" s="29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C+</v>
      </c>
      <c r="N188" s="8">
        <f t="shared" ca="1" si="17"/>
        <v>7.5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18</v>
      </c>
      <c r="Q188" s="1">
        <f ca="1">IF(ISERROR(F176),"",VLOOKUP(B176,INDIRECT($F$8),7+(O188-1)*3))</f>
        <v>18</v>
      </c>
      <c r="R188" s="1">
        <f ca="1">IF(ISERROR(F176),"",SUM(P188:Q188))</f>
        <v>36</v>
      </c>
      <c r="S188" s="1">
        <f ca="1">IF(ISERROR(F176),"",VLOOKUP(A176,INDIRECT($F$8),6+(O188-1)*3))</f>
        <v>25</v>
      </c>
      <c r="T188" s="1">
        <f ca="1">IF(ISERROR(F176),"",VLOOKUP(A176,INDIRECT($F$8),7+(O188-1)*3))</f>
        <v>25</v>
      </c>
      <c r="U188" s="1">
        <f ca="1">IF(ISERROR(F176),"",VLOOKUP(A176,INDIRECT($F$8),8+(O188-1)*3))</f>
        <v>50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MEP 002</v>
      </c>
      <c r="B189" s="31" t="str">
        <f ca="1">IF(ISERROR(F176),"",VLOOKUP(D176,INDIRECT($F$8),6+(O189-1)*3-Z189,0))</f>
        <v>Engineering Graphics &amp; Design Lab</v>
      </c>
      <c r="C189" s="31"/>
      <c r="D189" s="31"/>
      <c r="E189" s="31"/>
      <c r="F189" s="7">
        <f ca="1">IF(ISERROR(F176),"",VLOOKUP(E176,INDIRECT($F$8),6+(O189-1)*3,0))</f>
        <v>2</v>
      </c>
      <c r="G189" s="29" t="str">
        <f ca="1">IF(ISERROR(F176),"",_xlfn.TEXTJOIN("/",FALSE,P189,S189))</f>
        <v>42/50</v>
      </c>
      <c r="H189" s="29"/>
      <c r="I189" s="29" t="str">
        <f ca="1">IF(ISERROR(F176),"",_xlfn.TEXTJOIN("/",FALSE,Q189,T189))</f>
        <v>36/50</v>
      </c>
      <c r="J189" s="29"/>
      <c r="K189" s="29" t="str">
        <f ca="1">IF(ISERROR(F176),"",_xlfn.TEXTJOIN("/",FALSE,R189,U189))</f>
        <v>78/100</v>
      </c>
      <c r="L189" s="29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B</v>
      </c>
      <c r="N189" s="8">
        <f t="shared" ca="1" si="17"/>
        <v>8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42</v>
      </c>
      <c r="Q189" s="1">
        <f ca="1">IF(ISERROR(F176),"",VLOOKUP(B176,INDIRECT($F$8),7+(O189-1)*3))</f>
        <v>36</v>
      </c>
      <c r="R189" s="1">
        <f ca="1">IF(ISERROR(F176),"",SUM(P189:Q189))</f>
        <v>78</v>
      </c>
      <c r="S189" s="1">
        <f ca="1">IF(ISERROR(F176),"",VLOOKUP(A176,INDIRECT($F$8),6+(O189-1)*3))</f>
        <v>50</v>
      </c>
      <c r="T189" s="1">
        <f ca="1">IF(ISERROR(F176),"",VLOOKUP(A176,INDIRECT($F$8),7+(O189-1)*3))</f>
        <v>50</v>
      </c>
      <c r="U189" s="1">
        <f ca="1">IF(ISERROR(F176),"",VLOOKUP(A176,INDIRECT($F$8),8+(O189-1)*3))</f>
        <v>100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AHP 003</v>
      </c>
      <c r="B190" s="31" t="str">
        <f ca="1">IF(ISERROR(F176),"",VLOOKUP(D176,INDIRECT($F$8),6+(O190-1)*3,0))</f>
        <v>Introduction to Digital Marketing Lab</v>
      </c>
      <c r="C190" s="31"/>
      <c r="D190" s="31"/>
      <c r="E190" s="31"/>
      <c r="F190" s="7">
        <f ca="1">IF(ISERROR(F176),"",VLOOKUP(E176,INDIRECT($F$8),6+(O190-1)*3,0))</f>
        <v>1</v>
      </c>
      <c r="G190" s="29" t="str">
        <f ca="1">IF(ISERROR(F176),"",_xlfn.TEXTJOIN("/",FALSE,P190,S190))</f>
        <v>16/25</v>
      </c>
      <c r="H190" s="29"/>
      <c r="I190" s="29" t="str">
        <f ca="1">IF(ISERROR(F176),"",_xlfn.TEXTJOIN("/",FALSE,Q190,T190))</f>
        <v>15/25</v>
      </c>
      <c r="J190" s="29"/>
      <c r="K190" s="29" t="str">
        <f ca="1">IF(ISERROR(F176),"",_xlfn.TEXTJOIN("/",FALSE,R190,U190))</f>
        <v>31/50</v>
      </c>
      <c r="L190" s="29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D+</v>
      </c>
      <c r="N190" s="8">
        <f t="shared" ca="1" si="17"/>
        <v>6.5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16</v>
      </c>
      <c r="Q190" s="1">
        <f ca="1">IF(ISERROR(F176),"",VLOOKUP(B176,INDIRECT($F$8),7+(O190-1)*3))</f>
        <v>15</v>
      </c>
      <c r="R190" s="1">
        <f ca="1">IF(ISERROR(F176),"",SUM(P190:Q190))</f>
        <v>31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005</v>
      </c>
      <c r="B191" s="31" t="str">
        <f ca="1">IF(ISERROR(F176),"",VLOOKUP(D176,INDIRECT($F$8),6+(O191-1)*3,0))</f>
        <v>Self Employment &amp; Entrepreneurship Development</v>
      </c>
      <c r="C191" s="31"/>
      <c r="D191" s="31"/>
      <c r="E191" s="31"/>
      <c r="F191" s="7">
        <f ca="1">IF(ISERROR(F176),"",VLOOKUP(E176,INDIRECT($F$8),6+(O191-1)*3,0))</f>
        <v>1</v>
      </c>
      <c r="G191" s="29" t="str">
        <f ca="1">IF(ISERROR(F176),"",_xlfn.TEXTJOIN("/",FALSE,P191,S191))</f>
        <v>20/25</v>
      </c>
      <c r="H191" s="29"/>
      <c r="I191" s="29" t="str">
        <f ca="1">IF(ISERROR(F176),"",_xlfn.TEXTJOIN("/",FALSE,Q191,T191))</f>
        <v>22/25</v>
      </c>
      <c r="J191" s="29"/>
      <c r="K191" s="29" t="str">
        <f ca="1">IF(ISERROR(F176),"",_xlfn.TEXTJOIN("/",FALSE,R191,U191))</f>
        <v>42/50</v>
      </c>
      <c r="L191" s="29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B+</v>
      </c>
      <c r="N191" s="8">
        <f t="shared" ca="1" si="17"/>
        <v>8.5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20</v>
      </c>
      <c r="Q191" s="1">
        <f ca="1">IF(ISERROR(F176),"",VLOOKUP(B176,INDIRECT($F$8),7+(O191-1)*3))</f>
        <v>22</v>
      </c>
      <c r="R191" s="1">
        <f ca="1">IF(ISERROR(F176),"",SUM(P191:Q191))</f>
        <v>42</v>
      </c>
      <c r="S191" s="1">
        <f ca="1">IF(ISERROR(F176),"",VLOOKUP(A176,INDIRECT($F$8),6+(O191-1)*3))</f>
        <v>25</v>
      </c>
      <c r="T191" s="1">
        <f ca="1">IF(ISERROR(F176),"",VLOOKUP(A176,INDIRECT($F$8),7+(O191-1)*3))</f>
        <v>25</v>
      </c>
      <c r="U191" s="1">
        <f ca="1">IF(ISERROR(F176),"",VLOOKUP(A176,INDIRECT($F$8),8+(O191-1)*3))</f>
        <v>50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31" t="str">
        <f ca="1">IF(ISERROR(F176),"",VLOOKUP(D176,INDIRECT($F$8),6+(O192-1)*3-Z192,0))</f>
        <v>General Proficiency ($)</v>
      </c>
      <c r="C192" s="31"/>
      <c r="D192" s="31"/>
      <c r="E192" s="31"/>
      <c r="F192" s="7">
        <f ca="1">IF(ISERROR(F176),"",VLOOKUP(E176,INDIRECT($F$8),6+(O192-1)*3-AA192,0))</f>
        <v>0</v>
      </c>
      <c r="G192" s="29" t="str">
        <f ca="1">IF(ISERROR(F176),"","-")</f>
        <v>-</v>
      </c>
      <c r="H192" s="29"/>
      <c r="I192" s="29" t="str">
        <f ca="1">IF(ISERROR(F176),"",_xlfn.TEXTJOIN("/",FALSE,Q192,T192))</f>
        <v>47/50</v>
      </c>
      <c r="J192" s="29"/>
      <c r="K192" s="29" t="str">
        <f ca="1">IF(ISERROR(F176),"",_xlfn.TEXTJOIN("/",FALSE,R192,U192))</f>
        <v>47/50</v>
      </c>
      <c r="L192" s="29"/>
      <c r="M192" s="29" t="str">
        <f ca="1">IF(ISBLANK(R192),"",IF(ISTEXT(R192),R192,IF(R192&gt;=0.8*U192,"Excellent",IF(R192&gt;=0.6*U192,"Very Good",IF(R192&gt;=0.4*U192,"Good",IF(R192&gt;=0.2*U192,"Satisfactory","Average"))))))</f>
        <v>Excellent</v>
      </c>
      <c r="N192" s="29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7" t="str">
        <f ca="1">IF(ISERROR(F176),"",A172)</f>
        <v>Total Credits/ Marks/ Total Grade Points</v>
      </c>
      <c r="B193" s="27"/>
      <c r="C193" s="27"/>
      <c r="D193" s="27"/>
      <c r="E193" s="27"/>
      <c r="F193" s="10">
        <f ca="1">IF(ISERROR(F176),"",SUM(F181:F191))</f>
        <v>23</v>
      </c>
      <c r="G193" s="30" t="str">
        <f ca="1">IF(ISERROR(F176),"",_xlfn.TEXTJOIN("/",TRUE,SUMIF(F181:F192,"&gt;0",P181:P192),SUMIF(F181:F192,"&gt;0",S181:S192)))</f>
        <v>168/575</v>
      </c>
      <c r="H193" s="30"/>
      <c r="I193" s="30" t="str">
        <f ca="1">IF(ISERROR(F176),"",_xlfn.TEXTJOIN("/",TRUE,SUMIF(F181:F192,"&gt;0",Q181:Q192),SUMIF(F181:F192,"&gt;0",T181:T192)))</f>
        <v>218/375</v>
      </c>
      <c r="J193" s="30"/>
      <c r="K193" s="30" t="str">
        <f ca="1">IF(ISERROR(F176),"",_xlfn.TEXTJOIN("/",TRUE,SUMIF(F181:F192,"&gt;0",R181:R192),SUMIF(F181:F192,"&gt;0",U181:U192)))</f>
        <v>386/950</v>
      </c>
      <c r="L193" s="30"/>
      <c r="M193" s="27">
        <f ca="1">IF(ISERROR(F176),"",SUMPRODUCT(N181:N191,F181:F191))</f>
        <v>54</v>
      </c>
      <c r="N193" s="27"/>
      <c r="V193" s="1" t="str">
        <f ca="1">IF(ISERROR(F176),"",_xlfn.TEXTJOIN(", ",TRUE,V181:V192))</f>
        <v>AHT 001, AHT 003, EET 001, CST 001</v>
      </c>
      <c r="W193" t="b">
        <f ca="1">IF(ISERROR(F176),"",IF(SUM(W181:W192)&lt;=W180,TRUE,FALSE))</f>
        <v>0</v>
      </c>
      <c r="X193" s="1" t="str">
        <f ca="1">IF(ISERROR(F176),"",_xlfn.TEXTJOIN(",",TRUE,X181:X192))</f>
        <v xml:space="preserve"> G+11 in AHT 001, G+11 in AHT 003, G+11 in EET 001, G+11 in CST 001</v>
      </c>
    </row>
    <row r="194" spans="1:24" ht="12" customHeight="1" x14ac:dyDescent="0.2">
      <c r="A194" s="27" t="str">
        <f ca="1">IF(ISERROR(F176),"",A173)</f>
        <v>Result:</v>
      </c>
      <c r="B194" s="26" t="str" cm="1">
        <f t="array" aca="1" ref="B194" ca="1">IF(SUM(COUNTIF(M181:M191,{"Ab","Dt"}))=11, "Not Promoted to IInd Semester", IF(V193="", "PASS", "CARRY OVER"))</f>
        <v>CARRY OVER</v>
      </c>
      <c r="C194" s="26"/>
      <c r="D194" s="27" t="str">
        <f ca="1">IF(ISERROR(F176),"",D173)</f>
        <v>Remark:</v>
      </c>
      <c r="E194" s="26" t="str">
        <f ca="1">IF(ISERROR(F176),"",IF(V193="",IF(X193="","",X193),_xlfn.TEXTJOIN(" ",TRUE,"BACK IN",V193)))</f>
        <v>BACK IN AHT 001, AHT 003, EET 001, CST 001</v>
      </c>
      <c r="F194" s="26"/>
      <c r="G194" s="27" t="str">
        <f ca="1">IF(ISERROR(F176),"",G173)</f>
        <v>SGPA:</v>
      </c>
      <c r="H194" s="28">
        <f ca="1">IF(ISERROR(F176),"",M193/F193)</f>
        <v>2.347826086956522</v>
      </c>
      <c r="I194" s="27" t="str">
        <f ca="1">IF(ISERROR(F176),"",I173)</f>
        <v>CGPA:</v>
      </c>
      <c r="J194" s="28">
        <f ca="1">IF(ISERROR(F176),"",VLOOKUP(B176,INDIRECT($F$8),12+(O192-1)*3,0))</f>
        <v>2.347826086956522</v>
      </c>
      <c r="K194" s="26" t="str">
        <f ca="1">IF(ISERROR(F176),"",K173)</f>
        <v>Earned Credits:</v>
      </c>
      <c r="L194" s="27">
        <f ca="1">IF(ISERROR(F176),"",SUMIF(N181:N191,"&gt;0",F181:F191))</f>
        <v>7</v>
      </c>
      <c r="M194" s="26" t="str">
        <f ca="1">IF(ISERROR(F176),"",M173)</f>
        <v>Cuml. Earned Credits:</v>
      </c>
      <c r="N194" s="27">
        <f ca="1">IF(ISERROR(F176),"",VLOOKUP(B176,INDIRECT($F$8),10+(O192-1)*3,0))</f>
        <v>7</v>
      </c>
    </row>
    <row r="195" spans="1:24" ht="12" customHeight="1" x14ac:dyDescent="0.2">
      <c r="A195" s="27"/>
      <c r="B195" s="26"/>
      <c r="C195" s="26"/>
      <c r="D195" s="27"/>
      <c r="E195" s="26"/>
      <c r="F195" s="26"/>
      <c r="G195" s="27"/>
      <c r="H195" s="28"/>
      <c r="I195" s="27"/>
      <c r="J195" s="28"/>
      <c r="K195" s="26"/>
      <c r="L195" s="27"/>
      <c r="M195" s="26"/>
      <c r="N195" s="27"/>
    </row>
    <row r="196" spans="1:24" ht="12" customHeight="1" x14ac:dyDescent="0.2">
      <c r="A196" s="27"/>
      <c r="B196" s="26"/>
      <c r="C196" s="26"/>
      <c r="D196" s="27"/>
      <c r="E196" s="26"/>
      <c r="F196" s="26"/>
      <c r="G196" s="27"/>
      <c r="H196" s="28"/>
      <c r="I196" s="27"/>
      <c r="J196" s="28"/>
      <c r="K196" s="26"/>
      <c r="L196" s="27"/>
      <c r="M196" s="26"/>
      <c r="N196" s="27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MOHD KASHIF</v>
      </c>
    </row>
    <row r="198" spans="1:24" ht="12" customHeight="1" x14ac:dyDescent="0.2">
      <c r="A198" s="24" t="str">
        <f ca="1">IF(ISERROR(F197),"",A177)</f>
        <v>Name:</v>
      </c>
      <c r="B198" s="24" t="str">
        <f ca="1">IFERROR(VLOOKUP(B197,INDIRECT($F$8),4,0),"")</f>
        <v>MOHD KASHIF</v>
      </c>
      <c r="C198" s="24"/>
      <c r="D198" s="24" t="str">
        <f ca="1">IF(ISERROR(F197),"",D177)</f>
        <v>Father's Name:</v>
      </c>
      <c r="E198" s="24" t="str">
        <f ca="1">IFERROR(VLOOKUP(B197,INDIRECT($F$8),5,0),"")</f>
        <v>MOHD ANEES</v>
      </c>
      <c r="F198" s="24"/>
      <c r="G198" s="24" t="str">
        <f ca="1">IF(ISERROR(F197),"",G177)</f>
        <v>University Roll No:</v>
      </c>
      <c r="H198" s="24"/>
      <c r="I198" s="25">
        <f ca="1">IFERROR(VLOOKUP(B197,INDIRECT($F$8),2,0),"")</f>
        <v>250090111010</v>
      </c>
      <c r="J198" s="25"/>
      <c r="K198" s="24" t="str">
        <f ca="1">IF(ISERROR(F197),"",K177)</f>
        <v>University Enrol. No:</v>
      </c>
      <c r="L198" s="24"/>
      <c r="M198" s="25" t="str">
        <f ca="1">IFERROR(VLOOKUP(B197,INDIRECT($F$8),3,0),"")</f>
        <v>UTU/2501104037</v>
      </c>
      <c r="N198" s="25"/>
    </row>
    <row r="199" spans="1:24" ht="12" customHeight="1" x14ac:dyDescent="0.2">
      <c r="A199" s="24"/>
      <c r="B199" s="24"/>
      <c r="C199" s="24"/>
      <c r="D199" s="24"/>
      <c r="E199" s="24"/>
      <c r="F199" s="24"/>
      <c r="G199" s="24"/>
      <c r="H199" s="24"/>
      <c r="I199" s="25"/>
      <c r="J199" s="25"/>
      <c r="K199" s="24"/>
      <c r="L199" s="24"/>
      <c r="M199" s="25"/>
      <c r="N199" s="25"/>
    </row>
    <row r="200" spans="1:24" ht="12" customHeight="1" x14ac:dyDescent="0.2">
      <c r="A200" s="26" t="str">
        <f ca="1">IF(ISERROR(F197),"",A179)</f>
        <v>Subject Code</v>
      </c>
      <c r="B200" s="26" t="str">
        <f ca="1">IF(ISERROR(F197),"",B179)</f>
        <v>Subject Name</v>
      </c>
      <c r="C200" s="26"/>
      <c r="D200" s="26"/>
      <c r="E200" s="26"/>
      <c r="F200" s="26" t="str">
        <f ca="1">IF(ISERROR(F197),"",F179)</f>
        <v>Credits</v>
      </c>
      <c r="G200" s="26" t="str">
        <f ca="1">IF(ISERROR(F197),"",G179)</f>
        <v>External Marks</v>
      </c>
      <c r="H200" s="26"/>
      <c r="I200" s="26" t="str">
        <f ca="1">IF(ISERROR(F197),"",I179)</f>
        <v>Sessional Marks</v>
      </c>
      <c r="J200" s="26"/>
      <c r="K200" s="26" t="str">
        <f ca="1">IF(ISERROR(F197),"",K179)</f>
        <v>Total Marks</v>
      </c>
      <c r="L200" s="26"/>
      <c r="M200" s="26" t="str">
        <f ca="1">IF(ISERROR(F197),"",M179)</f>
        <v>Grade</v>
      </c>
      <c r="N200" s="26" t="str">
        <f ca="1">IF(ISERROR(F197),"",N179)</f>
        <v>Grade Points</v>
      </c>
    </row>
    <row r="201" spans="1:24" ht="12" customHeight="1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001</v>
      </c>
      <c r="B202" s="31" t="str">
        <f ca="1">IF(ISERROR(F197),"",VLOOKUP(D197,INDIRECT($F$8),6+(O202-1)*3,0))</f>
        <v>Engineering Physics</v>
      </c>
      <c r="C202" s="31"/>
      <c r="D202" s="31"/>
      <c r="E202" s="31"/>
      <c r="F202" s="7">
        <f ca="1">IF(ISERROR(F197),"",VLOOKUP(E197,INDIRECT($F$8),6+(O202-1)*3,0))</f>
        <v>4</v>
      </c>
      <c r="G202" s="29" t="str">
        <f ca="1">IF(ISERROR(F197),"",_xlfn.TEXTJOIN("/",FALSE,P202,S202))</f>
        <v>17/100</v>
      </c>
      <c r="H202" s="29"/>
      <c r="I202" s="29" t="str">
        <f ca="1">IF(ISERROR(F197),"",_xlfn.TEXTJOIN("/",FALSE,Q202,T202))</f>
        <v>26/50</v>
      </c>
      <c r="J202" s="29"/>
      <c r="K202" s="29" t="str">
        <f ca="1">IF(ISERROR(F197),"",_xlfn.TEXTJOIN("/",FALSE,R202,U202))</f>
        <v>43/150</v>
      </c>
      <c r="L202" s="29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F</v>
      </c>
      <c r="N202" s="8">
        <f ca="1">INDEX($Z$2:$Z$17,MATCH(M202,$Y$2:$Y$17,0))</f>
        <v>0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17</v>
      </c>
      <c r="Q202" s="1">
        <f ca="1">IF(ISERROR(F197),"",VLOOKUP(B197,INDIRECT($F$8),7+(O202-1)*3))</f>
        <v>26</v>
      </c>
      <c r="R202" s="1">
        <f ca="1">IF(ISERROR(F197),"",SUM(P202:Q202))</f>
        <v>43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>AHT 001</v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11</v>
      </c>
      <c r="X202" s="1" t="str">
        <f ca="1">IF(ISERROR(F197),"",IF(W202=0,"",_xlfn.TEXTJOIN("",FALSE," G+",W202," in ",A202)))</f>
        <v xml:space="preserve"> G+11 in AHT 001</v>
      </c>
    </row>
    <row r="203" spans="1:24" ht="12" customHeight="1" x14ac:dyDescent="0.2">
      <c r="A203" s="7" t="str">
        <f ca="1">IF(ISERROR(F197),"",VLOOKUP(C197,INDIRECT($F$8),6+(O203-1)*3,0))</f>
        <v>AHT 003</v>
      </c>
      <c r="B203" s="31" t="str">
        <f ca="1">IF(ISERROR(F197),"",VLOOKUP(D197,INDIRECT($F$8),6+(O203-1)*3,0))</f>
        <v>Introduction to Engineering Mathematics</v>
      </c>
      <c r="C203" s="31"/>
      <c r="D203" s="31"/>
      <c r="E203" s="31"/>
      <c r="F203" s="7">
        <f ca="1">IF(ISERROR(F197),"",VLOOKUP(E197,INDIRECT($F$8),6+(O203-1)*3,0))</f>
        <v>4</v>
      </c>
      <c r="G203" s="29" t="str">
        <f ca="1">IF(ISERROR(F197),"",_xlfn.TEXTJOIN("/",FALSE,P203,S203))</f>
        <v>8/100</v>
      </c>
      <c r="H203" s="29"/>
      <c r="I203" s="29" t="str">
        <f ca="1">IF(ISERROR(F197),"",_xlfn.TEXTJOIN("/",FALSE,Q203,T203))</f>
        <v>22/50</v>
      </c>
      <c r="J203" s="29"/>
      <c r="K203" s="29" t="str">
        <f ca="1">IF(ISERROR(F197),"",_xlfn.TEXTJOIN("/",FALSE,R203,U203))</f>
        <v>30/150</v>
      </c>
      <c r="L203" s="29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F</v>
      </c>
      <c r="N203" s="8">
        <f t="shared" ref="N203:N212" ca="1" si="19">INDEX($Z$2:$Z$17,MATCH(M203,$Y$2:$Y$17,0))</f>
        <v>0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8</v>
      </c>
      <c r="Q203" s="1">
        <f ca="1">IF(ISERROR(F197),"",VLOOKUP(B197,INDIRECT($F$8),7+(O203-1)*3))</f>
        <v>22</v>
      </c>
      <c r="R203" s="1">
        <f ca="1">IF(ISERROR(F197),"",SUM(P203:Q203))</f>
        <v>30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>AHT 003</v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11</v>
      </c>
      <c r="X203" s="1" t="str">
        <f ca="1">IF(ISERROR(F197),"",IF(W203=0,"",_xlfn.TEXTJOIN("",FALSE," G+",W203," in ",A203)))</f>
        <v xml:space="preserve"> G+11 in AHT 003</v>
      </c>
    </row>
    <row r="204" spans="1:24" ht="12" customHeight="1" x14ac:dyDescent="0.2">
      <c r="A204" s="7" t="str">
        <f ca="1">IF(ISERROR(F197),"",VLOOKUP(C197,INDIRECT($F$8),6+(O204-1)*3,0))</f>
        <v>EET 001</v>
      </c>
      <c r="B204" s="31" t="str">
        <f ca="1">IF(ISERROR(F197),"",VLOOKUP(D197,INDIRECT($F$8),6+(O204-1)*3,0))</f>
        <v>Basic Electrical Engineering</v>
      </c>
      <c r="C204" s="31"/>
      <c r="D204" s="31"/>
      <c r="E204" s="31"/>
      <c r="F204" s="7">
        <f ca="1">IF(ISERROR(F197),"",VLOOKUP(E197,INDIRECT($F$8),6+(O204-1)*3,0))</f>
        <v>4</v>
      </c>
      <c r="G204" s="29" t="str">
        <f ca="1">IF(ISERROR(F197),"",_xlfn.TEXTJOIN("/",FALSE,P204,S204))</f>
        <v>18/100</v>
      </c>
      <c r="H204" s="29"/>
      <c r="I204" s="29" t="str">
        <f ca="1">IF(ISERROR(F197),"",_xlfn.TEXTJOIN("/",FALSE,Q204,T204))</f>
        <v>26/50</v>
      </c>
      <c r="J204" s="29"/>
      <c r="K204" s="29" t="str">
        <f ca="1">IF(ISERROR(F197),"",_xlfn.TEXTJOIN("/",FALSE,R204,U204))</f>
        <v>44/150</v>
      </c>
      <c r="L204" s="29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F</v>
      </c>
      <c r="N204" s="8">
        <f t="shared" ca="1" si="19"/>
        <v>0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18</v>
      </c>
      <c r="Q204" s="1">
        <f ca="1">IF(ISERROR(F197),"",VLOOKUP(B197,INDIRECT($F$8),7+(O204-1)*3))</f>
        <v>26</v>
      </c>
      <c r="R204" s="1">
        <f ca="1">IF(ISERROR(F197),"",SUM(P204:Q204))</f>
        <v>44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>EET 001</v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11</v>
      </c>
      <c r="X204" s="1" t="str">
        <f ca="1">IF(ISERROR(F197),"",IF(W204=0,"",_xlfn.TEXTJOIN("",FALSE," G+",W204," in ",A204)))</f>
        <v xml:space="preserve"> G+11 in EET 001</v>
      </c>
    </row>
    <row r="205" spans="1:24" ht="12" customHeight="1" x14ac:dyDescent="0.2">
      <c r="A205" s="7" t="str">
        <f ca="1">IF(ISERROR(F197),"",VLOOKUP(C197,INDIRECT($F$8),6+(O205-1)*3,0))</f>
        <v>CST 001</v>
      </c>
      <c r="B205" s="31" t="str">
        <f ca="1">IF(ISERROR(F197),"",VLOOKUP(D197,INDIRECT($F$8),6+(O205-1)*3,0))</f>
        <v>Programming for Problem Solving</v>
      </c>
      <c r="C205" s="31"/>
      <c r="D205" s="31"/>
      <c r="E205" s="31"/>
      <c r="F205" s="7">
        <f ca="1">IF(ISERROR(F197),"",VLOOKUP(E197,INDIRECT($F$8),6+(O205-1)*3,0))</f>
        <v>4</v>
      </c>
      <c r="G205" s="29" t="str">
        <f ca="1">IF(ISERROR(F197),"",_xlfn.TEXTJOIN("/",FALSE,P205,S205))</f>
        <v>14/100</v>
      </c>
      <c r="H205" s="29"/>
      <c r="I205" s="29" t="str">
        <f ca="1">IF(ISERROR(F197),"",_xlfn.TEXTJOIN("/",FALSE,Q205,T205))</f>
        <v>25/50</v>
      </c>
      <c r="J205" s="29"/>
      <c r="K205" s="29" t="str">
        <f ca="1">IF(ISERROR(F197),"",_xlfn.TEXTJOIN("/",FALSE,R205,U205))</f>
        <v>39/150</v>
      </c>
      <c r="L205" s="29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F</v>
      </c>
      <c r="N205" s="8">
        <f t="shared" ca="1" si="19"/>
        <v>0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14</v>
      </c>
      <c r="Q205" s="1">
        <f ca="1">IF(ISERROR(F197),"",VLOOKUP(B197,INDIRECT($F$8),7+(O205-1)*3))</f>
        <v>25</v>
      </c>
      <c r="R205" s="1">
        <f ca="1">IF(ISERROR(F197),"",SUM(P205:Q205))</f>
        <v>39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>CST 001</v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11</v>
      </c>
      <c r="X205" s="1" t="str">
        <f ca="1">IF(ISERROR(F197),"",IF(W205=0,"",_xlfn.TEXTJOIN("",FALSE," G+",W205," in ",A205)))</f>
        <v xml:space="preserve"> G+11 in CST 001</v>
      </c>
    </row>
    <row r="206" spans="1:24" ht="12" customHeight="1" x14ac:dyDescent="0.2">
      <c r="A206" s="7" t="str">
        <f ca="1">IF(ISERROR(F197),"",VLOOKUP(C197,INDIRECT($F$8),6+(O206-1)*3,0))</f>
        <v>AHT 004</v>
      </c>
      <c r="B206" s="31" t="str">
        <f ca="1">IF(ISERROR(F197),"",VLOOKUP(D197,INDIRECT($F$8),6+(O206-1)*3,0))</f>
        <v>Environmental Studies ($)</v>
      </c>
      <c r="C206" s="31"/>
      <c r="D206" s="31"/>
      <c r="E206" s="31"/>
      <c r="F206" s="7">
        <f ca="1">IF(ISERROR(F197),"",VLOOKUP(E197,INDIRECT($F$8),6+(O206-1)*3,0))</f>
        <v>0</v>
      </c>
      <c r="G206" s="29" t="str">
        <f ca="1">IF(ISERROR(F197),"",_xlfn.TEXTJOIN("/",FALSE,P206,S206))</f>
        <v>21/50</v>
      </c>
      <c r="H206" s="29"/>
      <c r="I206" s="29" t="str">
        <f ca="1">IF(ISERROR(F197),"",_xlfn.TEXTJOIN("/",FALSE,Q206,T206))</f>
        <v>14/25</v>
      </c>
      <c r="J206" s="29"/>
      <c r="K206" s="29" t="str">
        <f ca="1">IF(ISERROR(F197),"",_xlfn.TEXTJOIN("/",FALSE,R206,U206))</f>
        <v>35/75</v>
      </c>
      <c r="L206" s="29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E</v>
      </c>
      <c r="N206" s="8">
        <f t="shared" ca="1" si="19"/>
        <v>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21</v>
      </c>
      <c r="Q206" s="1">
        <f ca="1">IF(ISERROR(F197),"",VLOOKUP(B197,INDIRECT($F$8),7+(O206-1)*3))</f>
        <v>14</v>
      </c>
      <c r="R206" s="1">
        <f ca="1">IF(ISERROR(F197),"",SUM(P206:Q206))</f>
        <v>35</v>
      </c>
      <c r="S206" s="1">
        <f ca="1">IF(ISERROR(F197),"",VLOOKUP(A197,INDIRECT($F$8),6+(O206-1)*3))</f>
        <v>50</v>
      </c>
      <c r="T206" s="1">
        <f ca="1">IF(ISERROR(F197),"",VLOOKUP(A197,INDIRECT($F$8),7+(O206-1)*3))</f>
        <v>25</v>
      </c>
      <c r="U206" s="1">
        <f ca="1">IF(ISERROR(F197),"",VLOOKUP(A197,INDIRECT($F$8),8+(O206-1)*3))</f>
        <v>75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AHP 001</v>
      </c>
      <c r="B207" s="31" t="str">
        <f ca="1">IF(ISERROR(F197),"",VLOOKUP(D197,INDIRECT($F$8),6+(O207-1)*3,0))</f>
        <v>Engineering Physics Lab</v>
      </c>
      <c r="C207" s="31"/>
      <c r="D207" s="31"/>
      <c r="E207" s="31"/>
      <c r="F207" s="7">
        <f ca="1">IF(ISERROR(F197),"",VLOOKUP(E197,INDIRECT($F$8),6+(O207-1)*3,0))</f>
        <v>1</v>
      </c>
      <c r="G207" s="29" t="str">
        <f ca="1">IF(ISERROR(F197),"",_xlfn.TEXTJOIN("/",FALSE,P207,S207))</f>
        <v>18/25</v>
      </c>
      <c r="H207" s="29"/>
      <c r="I207" s="29" t="str">
        <f ca="1">IF(ISERROR(F197),"",_xlfn.TEXTJOIN("/",FALSE,Q207,T207))</f>
        <v>22/25</v>
      </c>
      <c r="J207" s="29"/>
      <c r="K207" s="29" t="str">
        <f ca="1">IF(ISERROR(F197),"",_xlfn.TEXTJOIN("/",FALSE,R207,U207))</f>
        <v>40/50</v>
      </c>
      <c r="L207" s="29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B+</v>
      </c>
      <c r="N207" s="8">
        <f t="shared" ca="1" si="19"/>
        <v>8.5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18</v>
      </c>
      <c r="Q207" s="1">
        <f ca="1">IF(ISERROR(F197),"",VLOOKUP(B197,INDIRECT($F$8),7+(O207-1)*3))</f>
        <v>22</v>
      </c>
      <c r="R207" s="1">
        <f ca="1">IF(ISERROR(F197),"",SUM(P207:Q207))</f>
        <v>40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EEP 001</v>
      </c>
      <c r="B208" s="31" t="str">
        <f ca="1">IF(ISERROR(F197),"",VLOOKUP(D197,INDIRECT($F$8),6+(O208-1)*3,0))</f>
        <v>Basic Electrical Engineering Lab</v>
      </c>
      <c r="C208" s="31"/>
      <c r="D208" s="31"/>
      <c r="E208" s="31"/>
      <c r="F208" s="7">
        <f ca="1">IF(ISERROR(F197),"",VLOOKUP(E197,INDIRECT($F$8),6+(O208-1)*3,0))</f>
        <v>1</v>
      </c>
      <c r="G208" s="29" t="str">
        <f ca="1">IF(ISERROR(F197),"",_xlfn.TEXTJOIN("/",FALSE,P208,S208))</f>
        <v>19/25</v>
      </c>
      <c r="H208" s="29"/>
      <c r="I208" s="29" t="str">
        <f ca="1">IF(ISERROR(F197),"",_xlfn.TEXTJOIN("/",FALSE,Q208,T208))</f>
        <v>13/25</v>
      </c>
      <c r="J208" s="29"/>
      <c r="K208" s="29" t="str">
        <f ca="1">IF(ISERROR(F197),"",_xlfn.TEXTJOIN("/",FALSE,R208,U208))</f>
        <v>32/50</v>
      </c>
      <c r="L208" s="29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D+</v>
      </c>
      <c r="N208" s="8">
        <f t="shared" ca="1" si="19"/>
        <v>6.5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19</v>
      </c>
      <c r="Q208" s="1">
        <f ca="1">IF(ISERROR(F197),"",VLOOKUP(B197,INDIRECT($F$8),7+(O208-1)*3))</f>
        <v>13</v>
      </c>
      <c r="R208" s="1">
        <f ca="1">IF(ISERROR(F197),"",SUM(P208:Q208))</f>
        <v>32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CSP 001</v>
      </c>
      <c r="B209" s="31" t="str">
        <f ca="1">IF(ISERROR(F197),"",VLOOKUP(D197,INDIRECT($F$8),6+(O209-1)*3-Z209,0))</f>
        <v>Programming for Problem Solving Lab</v>
      </c>
      <c r="C209" s="31"/>
      <c r="D209" s="31"/>
      <c r="E209" s="31"/>
      <c r="F209" s="7">
        <f ca="1">IF(ISERROR(F197),"",VLOOKUP(E197,INDIRECT($F$8),6+(O209-1)*3,0))</f>
        <v>1</v>
      </c>
      <c r="G209" s="29" t="str">
        <f ca="1">IF(ISERROR(F197),"",_xlfn.TEXTJOIN("/",FALSE,P209,S209))</f>
        <v>17/25</v>
      </c>
      <c r="H209" s="29"/>
      <c r="I209" s="29" t="str">
        <f ca="1">IF(ISERROR(F197),"",_xlfn.TEXTJOIN("/",FALSE,Q209,T209))</f>
        <v>18/25</v>
      </c>
      <c r="J209" s="29"/>
      <c r="K209" s="29" t="str">
        <f ca="1">IF(ISERROR(F197),"",_xlfn.TEXTJOIN("/",FALSE,R209,U209))</f>
        <v>35/50</v>
      </c>
      <c r="L209" s="29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C+</v>
      </c>
      <c r="N209" s="8">
        <f t="shared" ca="1" si="19"/>
        <v>7.5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17</v>
      </c>
      <c r="Q209" s="1">
        <f ca="1">IF(ISERROR(F197),"",VLOOKUP(B197,INDIRECT($F$8),7+(O209-1)*3))</f>
        <v>18</v>
      </c>
      <c r="R209" s="1">
        <f ca="1">IF(ISERROR(F197),"",SUM(P209:Q209))</f>
        <v>35</v>
      </c>
      <c r="S209" s="1">
        <f ca="1">IF(ISERROR(F197),"",VLOOKUP(A197,INDIRECT($F$8),6+(O209-1)*3))</f>
        <v>25</v>
      </c>
      <c r="T209" s="1">
        <f ca="1">IF(ISERROR(F197),"",VLOOKUP(A197,INDIRECT($F$8),7+(O209-1)*3))</f>
        <v>25</v>
      </c>
      <c r="U209" s="1">
        <f ca="1">IF(ISERROR(F197),"",VLOOKUP(A197,INDIRECT($F$8),8+(O209-1)*3))</f>
        <v>50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MEP 002</v>
      </c>
      <c r="B210" s="31" t="str">
        <f ca="1">IF(ISERROR(F197),"",VLOOKUP(D197,INDIRECT($F$8),6+(O210-1)*3-Z210,0))</f>
        <v>Engineering Graphics &amp; Design Lab</v>
      </c>
      <c r="C210" s="31"/>
      <c r="D210" s="31"/>
      <c r="E210" s="31"/>
      <c r="F210" s="7">
        <f ca="1">IF(ISERROR(F197),"",VLOOKUP(E197,INDIRECT($F$8),6+(O210-1)*3,0))</f>
        <v>2</v>
      </c>
      <c r="G210" s="29" t="str">
        <f ca="1">IF(ISERROR(F197),"",_xlfn.TEXTJOIN("/",FALSE,P210,S210))</f>
        <v>44/50</v>
      </c>
      <c r="H210" s="29"/>
      <c r="I210" s="29" t="str">
        <f ca="1">IF(ISERROR(F197),"",_xlfn.TEXTJOIN("/",FALSE,Q210,T210))</f>
        <v>38/50</v>
      </c>
      <c r="J210" s="29"/>
      <c r="K210" s="29" t="str">
        <f ca="1">IF(ISERROR(F197),"",_xlfn.TEXTJOIN("/",FALSE,R210,U210))</f>
        <v>82/100</v>
      </c>
      <c r="L210" s="29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B+</v>
      </c>
      <c r="N210" s="8">
        <f t="shared" ca="1" si="19"/>
        <v>8.5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44</v>
      </c>
      <c r="Q210" s="1">
        <f ca="1">IF(ISERROR(F197),"",VLOOKUP(B197,INDIRECT($F$8),7+(O210-1)*3))</f>
        <v>38</v>
      </c>
      <c r="R210" s="1">
        <f ca="1">IF(ISERROR(F197),"",SUM(P210:Q210))</f>
        <v>82</v>
      </c>
      <c r="S210" s="1">
        <f ca="1">IF(ISERROR(F197),"",VLOOKUP(A197,INDIRECT($F$8),6+(O210-1)*3))</f>
        <v>50</v>
      </c>
      <c r="T210" s="1">
        <f ca="1">IF(ISERROR(F197),"",VLOOKUP(A197,INDIRECT($F$8),7+(O210-1)*3))</f>
        <v>50</v>
      </c>
      <c r="U210" s="1">
        <f ca="1">IF(ISERROR(F197),"",VLOOKUP(A197,INDIRECT($F$8),8+(O210-1)*3))</f>
        <v>100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AHP 003</v>
      </c>
      <c r="B211" s="31" t="str">
        <f ca="1">IF(ISERROR(F197),"",VLOOKUP(D197,INDIRECT($F$8),6+(O211-1)*3,0))</f>
        <v>Introduction to Digital Marketing Lab</v>
      </c>
      <c r="C211" s="31"/>
      <c r="D211" s="31"/>
      <c r="E211" s="31"/>
      <c r="F211" s="7">
        <f ca="1">IF(ISERROR(F197),"",VLOOKUP(E197,INDIRECT($F$8),6+(O211-1)*3,0))</f>
        <v>1</v>
      </c>
      <c r="G211" s="29" t="str">
        <f ca="1">IF(ISERROR(F197),"",_xlfn.TEXTJOIN("/",FALSE,P211,S211))</f>
        <v>16/25</v>
      </c>
      <c r="H211" s="29"/>
      <c r="I211" s="29" t="str">
        <f ca="1">IF(ISERROR(F197),"",_xlfn.TEXTJOIN("/",FALSE,Q211,T211))</f>
        <v>16/25</v>
      </c>
      <c r="J211" s="29"/>
      <c r="K211" s="29" t="str">
        <f ca="1">IF(ISERROR(F197),"",_xlfn.TEXTJOIN("/",FALSE,R211,U211))</f>
        <v>32/50</v>
      </c>
      <c r="L211" s="29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D+</v>
      </c>
      <c r="N211" s="8">
        <f t="shared" ca="1" si="19"/>
        <v>6.5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16</v>
      </c>
      <c r="Q211" s="1">
        <f ca="1">IF(ISERROR(F197),"",VLOOKUP(B197,INDIRECT($F$8),7+(O211-1)*3))</f>
        <v>16</v>
      </c>
      <c r="R211" s="1">
        <f ca="1">IF(ISERROR(F197),"",SUM(P211:Q211))</f>
        <v>32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005</v>
      </c>
      <c r="B212" s="31" t="str">
        <f ca="1">IF(ISERROR(F197),"",VLOOKUP(D197,INDIRECT($F$8),6+(O212-1)*3,0))</f>
        <v>Self Employment &amp; Entrepreneurship Development</v>
      </c>
      <c r="C212" s="31"/>
      <c r="D212" s="31"/>
      <c r="E212" s="31"/>
      <c r="F212" s="7">
        <f ca="1">IF(ISERROR(F197),"",VLOOKUP(E197,INDIRECT($F$8),6+(O212-1)*3,0))</f>
        <v>1</v>
      </c>
      <c r="G212" s="29" t="str">
        <f ca="1">IF(ISERROR(F197),"",_xlfn.TEXTJOIN("/",FALSE,P212,S212))</f>
        <v>18/25</v>
      </c>
      <c r="H212" s="29"/>
      <c r="I212" s="29" t="str">
        <f ca="1">IF(ISERROR(F197),"",_xlfn.TEXTJOIN("/",FALSE,Q212,T212))</f>
        <v>22/25</v>
      </c>
      <c r="J212" s="29"/>
      <c r="K212" s="29" t="str">
        <f ca="1">IF(ISERROR(F197),"",_xlfn.TEXTJOIN("/",FALSE,R212,U212))</f>
        <v>40/50</v>
      </c>
      <c r="L212" s="29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B+</v>
      </c>
      <c r="N212" s="8">
        <f t="shared" ca="1" si="19"/>
        <v>8.5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18</v>
      </c>
      <c r="Q212" s="1">
        <f ca="1">IF(ISERROR(F197),"",VLOOKUP(B197,INDIRECT($F$8),7+(O212-1)*3))</f>
        <v>22</v>
      </c>
      <c r="R212" s="1">
        <f ca="1">IF(ISERROR(F197),"",SUM(P212:Q212))</f>
        <v>40</v>
      </c>
      <c r="S212" s="1">
        <f ca="1">IF(ISERROR(F197),"",VLOOKUP(A197,INDIRECT($F$8),6+(O212-1)*3))</f>
        <v>25</v>
      </c>
      <c r="T212" s="1">
        <f ca="1">IF(ISERROR(F197),"",VLOOKUP(A197,INDIRECT($F$8),7+(O212-1)*3))</f>
        <v>25</v>
      </c>
      <c r="U212" s="1">
        <f ca="1">IF(ISERROR(F197),"",VLOOKUP(A197,INDIRECT($F$8),8+(O212-1)*3))</f>
        <v>50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31" t="str">
        <f ca="1">IF(ISERROR(F197),"",VLOOKUP(D197,INDIRECT($F$8),6+(O213-1)*3-Z213,0))</f>
        <v>General Proficiency ($)</v>
      </c>
      <c r="C213" s="31"/>
      <c r="D213" s="31"/>
      <c r="E213" s="31"/>
      <c r="F213" s="7">
        <f ca="1">IF(ISERROR(F197),"",VLOOKUP(E197,INDIRECT($F$8),6+(O213-1)*3-AA213,0))</f>
        <v>0</v>
      </c>
      <c r="G213" s="29" t="str">
        <f ca="1">IF(ISERROR(F197),"","-")</f>
        <v>-</v>
      </c>
      <c r="H213" s="29"/>
      <c r="I213" s="29" t="str">
        <f ca="1">IF(ISERROR(F197),"",_xlfn.TEXTJOIN("/",FALSE,Q213,T213))</f>
        <v>47/50</v>
      </c>
      <c r="J213" s="29"/>
      <c r="K213" s="29" t="str">
        <f ca="1">IF(ISERROR(F197),"",_xlfn.TEXTJOIN("/",FALSE,R213,U213))</f>
        <v>47/50</v>
      </c>
      <c r="L213" s="29"/>
      <c r="M213" s="29" t="str">
        <f ca="1">IF(ISBLANK(R213),"",IF(ISTEXT(R213),R213,IF(R213&gt;=0.8*U213,"Excellent",IF(R213&gt;=0.6*U213,"Very Good",IF(R213&gt;=0.4*U213,"Good",IF(R213&gt;=0.2*U213,"Satisfactory","Average"))))))</f>
        <v>Excellent</v>
      </c>
      <c r="N213" s="29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7" t="str">
        <f ca="1">IF(ISERROR(F197),"",A193)</f>
        <v>Total Credits/ Marks/ Total Grade Points</v>
      </c>
      <c r="B214" s="27"/>
      <c r="C214" s="27"/>
      <c r="D214" s="27"/>
      <c r="E214" s="27"/>
      <c r="F214" s="10">
        <f ca="1">IF(ISERROR(F197),"",SUM(F202:F212))</f>
        <v>23</v>
      </c>
      <c r="G214" s="30" t="str">
        <f ca="1">IF(ISERROR(F197),"",_xlfn.TEXTJOIN("/",TRUE,SUMIF(F202:F213,"&gt;0",P202:P213),SUMIF(F202:F213,"&gt;0",S202:S213)))</f>
        <v>189/575</v>
      </c>
      <c r="H214" s="30"/>
      <c r="I214" s="30" t="str">
        <f ca="1">IF(ISERROR(F197),"",_xlfn.TEXTJOIN("/",TRUE,SUMIF(F202:F213,"&gt;0",Q202:Q213),SUMIF(F202:F213,"&gt;0",T202:T213)))</f>
        <v>228/375</v>
      </c>
      <c r="J214" s="30"/>
      <c r="K214" s="30" t="str">
        <f ca="1">IF(ISERROR(F197),"",_xlfn.TEXTJOIN("/",TRUE,SUMIF(F202:F213,"&gt;0",R202:R213),SUMIF(F202:F213,"&gt;0",U202:U213)))</f>
        <v>417/950</v>
      </c>
      <c r="L214" s="30"/>
      <c r="M214" s="27">
        <f ca="1">IF(ISERROR(F197),"",SUMPRODUCT(N202:N212,F202:F212))</f>
        <v>54.5</v>
      </c>
      <c r="N214" s="27"/>
      <c r="V214" s="1" t="str">
        <f ca="1">IF(ISERROR(F197),"",_xlfn.TEXTJOIN(", ",TRUE,V202:V213))</f>
        <v>AHT 001, AHT 003, EET 001, CST 001</v>
      </c>
      <c r="W214" t="b">
        <f ca="1">IF(ISERROR(F197),"",IF(SUM(W202:W213)&lt;=W201,TRUE,FALSE))</f>
        <v>0</v>
      </c>
      <c r="X214" s="1" t="str">
        <f ca="1">IF(ISERROR(F197),"",_xlfn.TEXTJOIN(",",TRUE,X202:X213))</f>
        <v xml:space="preserve"> G+11 in AHT 001, G+11 in AHT 003, G+11 in EET 001, G+11 in CST 001</v>
      </c>
    </row>
    <row r="215" spans="1:24" ht="12" customHeight="1" x14ac:dyDescent="0.2">
      <c r="A215" s="27" t="str">
        <f ca="1">IF(ISERROR(F197),"",A194)</f>
        <v>Result:</v>
      </c>
      <c r="B215" s="26" t="str" cm="1">
        <f t="array" aca="1" ref="B215" ca="1">IF(SUM(COUNTIF(M202:M212,{"Ab","Dt"}))=11, "Not Promoted to IInd Semester", IF(V214="", "PASS", "CARRY OVER"))</f>
        <v>CARRY OVER</v>
      </c>
      <c r="C215" s="26"/>
      <c r="D215" s="27" t="str">
        <f ca="1">IF(ISERROR(F197),"",D194)</f>
        <v>Remark:</v>
      </c>
      <c r="E215" s="26" t="str">
        <f ca="1">IF(ISERROR(F197),"",IF(V214="",IF(X214="","",X214),_xlfn.TEXTJOIN(" ",TRUE,"BACK IN",V214)))</f>
        <v>BACK IN AHT 001, AHT 003, EET 001, CST 001</v>
      </c>
      <c r="F215" s="26"/>
      <c r="G215" s="27" t="str">
        <f ca="1">IF(ISERROR(F197),"",G194)</f>
        <v>SGPA:</v>
      </c>
      <c r="H215" s="28">
        <f ca="1">IF(ISERROR(F197),"",M214/F214)</f>
        <v>2.3695652173913042</v>
      </c>
      <c r="I215" s="27" t="str">
        <f ca="1">IF(ISERROR(F197),"",I194)</f>
        <v>CGPA:</v>
      </c>
      <c r="J215" s="28">
        <f ca="1">IF(ISERROR(F197),"",VLOOKUP(B197,INDIRECT($F$8),12+(O213-1)*3,0))</f>
        <v>2.3695652173913042</v>
      </c>
      <c r="K215" s="26" t="str">
        <f ca="1">IF(ISERROR(F197),"",K194)</f>
        <v>Earned Credits:</v>
      </c>
      <c r="L215" s="27">
        <f ca="1">IF(ISERROR(F197),"",SUMIF(N202:N212,"&gt;0",F202:F212))</f>
        <v>7</v>
      </c>
      <c r="M215" s="26" t="str">
        <f ca="1">IF(ISERROR(F197),"",M194)</f>
        <v>Cuml. Earned Credits:</v>
      </c>
      <c r="N215" s="27">
        <f ca="1">IF(ISERROR(F197),"",VLOOKUP(B197,INDIRECT($F$8),10+(O213-1)*3,0))</f>
        <v>7</v>
      </c>
    </row>
    <row r="216" spans="1:24" ht="12" customHeight="1" x14ac:dyDescent="0.2">
      <c r="A216" s="27"/>
      <c r="B216" s="26"/>
      <c r="C216" s="26"/>
      <c r="D216" s="27"/>
      <c r="E216" s="26"/>
      <c r="F216" s="26"/>
      <c r="G216" s="27"/>
      <c r="H216" s="28"/>
      <c r="I216" s="27"/>
      <c r="J216" s="28"/>
      <c r="K216" s="26"/>
      <c r="L216" s="27"/>
      <c r="M216" s="26"/>
      <c r="N216" s="27"/>
    </row>
    <row r="217" spans="1:24" ht="12" customHeight="1" x14ac:dyDescent="0.2">
      <c r="A217" s="27"/>
      <c r="B217" s="26"/>
      <c r="C217" s="26"/>
      <c r="D217" s="27"/>
      <c r="E217" s="26"/>
      <c r="F217" s="26"/>
      <c r="G217" s="27"/>
      <c r="H217" s="28"/>
      <c r="I217" s="27"/>
      <c r="J217" s="28"/>
      <c r="K217" s="26"/>
      <c r="L217" s="27"/>
      <c r="M217" s="26"/>
      <c r="N217" s="27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OM NEGI</v>
      </c>
    </row>
    <row r="219" spans="1:24" ht="12" customHeight="1" x14ac:dyDescent="0.2">
      <c r="A219" s="24" t="str">
        <f ca="1">IF(ISERROR(F218),"",A198)</f>
        <v>Name:</v>
      </c>
      <c r="B219" s="24" t="str">
        <f ca="1">IFERROR(VLOOKUP(B218,INDIRECT($F$8),4,0),"")</f>
        <v>OM NEGI</v>
      </c>
      <c r="C219" s="24"/>
      <c r="D219" s="24" t="str">
        <f ca="1">IF(ISERROR(F218),"",D198)</f>
        <v>Father's Name:</v>
      </c>
      <c r="E219" s="24" t="str">
        <f ca="1">IFERROR(VLOOKUP(B218,INDIRECT($F$8),5,0),"")</f>
        <v>PRADEEP SINGH</v>
      </c>
      <c r="F219" s="24"/>
      <c r="G219" s="24" t="str">
        <f ca="1">IF(ISERROR(F218),"",G198)</f>
        <v>University Roll No:</v>
      </c>
      <c r="H219" s="24"/>
      <c r="I219" s="25">
        <f ca="1">IFERROR(VLOOKUP(B218,INDIRECT($F$8),2,0),"")</f>
        <v>250090111011</v>
      </c>
      <c r="J219" s="25"/>
      <c r="K219" s="24" t="str">
        <f ca="1">IF(ISERROR(F218),"",K198)</f>
        <v>University Enrol. No:</v>
      </c>
      <c r="L219" s="24"/>
      <c r="M219" s="25" t="str">
        <f ca="1">IFERROR(VLOOKUP(B218,INDIRECT($F$8),3,0),"")</f>
        <v>UTU/2501103608</v>
      </c>
      <c r="N219" s="25"/>
    </row>
    <row r="220" spans="1:24" ht="12" customHeight="1" x14ac:dyDescent="0.2">
      <c r="A220" s="24"/>
      <c r="B220" s="24"/>
      <c r="C220" s="24"/>
      <c r="D220" s="24"/>
      <c r="E220" s="24"/>
      <c r="F220" s="24"/>
      <c r="G220" s="24"/>
      <c r="H220" s="24"/>
      <c r="I220" s="25"/>
      <c r="J220" s="25"/>
      <c r="K220" s="24"/>
      <c r="L220" s="24"/>
      <c r="M220" s="25"/>
      <c r="N220" s="25"/>
    </row>
    <row r="221" spans="1:24" ht="12" customHeight="1" x14ac:dyDescent="0.2">
      <c r="A221" s="26" t="str">
        <f ca="1">IF(ISERROR(F218),"",A200)</f>
        <v>Subject Code</v>
      </c>
      <c r="B221" s="26" t="str">
        <f ca="1">IF(ISERROR(F218),"",B200)</f>
        <v>Subject Name</v>
      </c>
      <c r="C221" s="26"/>
      <c r="D221" s="26"/>
      <c r="E221" s="26"/>
      <c r="F221" s="26" t="str">
        <f ca="1">IF(ISERROR(F218),"",F200)</f>
        <v>Credits</v>
      </c>
      <c r="G221" s="26" t="str">
        <f ca="1">IF(ISERROR(F218),"",G200)</f>
        <v>External Marks</v>
      </c>
      <c r="H221" s="26"/>
      <c r="I221" s="26" t="str">
        <f ca="1">IF(ISERROR(F218),"",I200)</f>
        <v>Sessional Marks</v>
      </c>
      <c r="J221" s="26"/>
      <c r="K221" s="26" t="str">
        <f ca="1">IF(ISERROR(F218),"",K200)</f>
        <v>Total Marks</v>
      </c>
      <c r="L221" s="26"/>
      <c r="M221" s="26" t="str">
        <f ca="1">IF(ISERROR(F218),"",M200)</f>
        <v>Grade</v>
      </c>
      <c r="N221" s="26" t="str">
        <f ca="1">IF(ISERROR(F218),"",N200)</f>
        <v>Grade Points</v>
      </c>
    </row>
    <row r="222" spans="1:24" ht="12" customHeight="1" x14ac:dyDescent="0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001</v>
      </c>
      <c r="B223" s="31" t="str">
        <f ca="1">IF(ISERROR(F218),"",VLOOKUP(D218,INDIRECT($F$8),6+(O223-1)*3,0))</f>
        <v>Engineering Physics</v>
      </c>
      <c r="C223" s="31"/>
      <c r="D223" s="31"/>
      <c r="E223" s="31"/>
      <c r="F223" s="7">
        <f ca="1">IF(ISERROR(F218),"",VLOOKUP(E218,INDIRECT($F$8),6+(O223-1)*3,0))</f>
        <v>4</v>
      </c>
      <c r="G223" s="29" t="str">
        <f ca="1">IF(ISERROR(F218),"",_xlfn.TEXTJOIN("/",FALSE,P223,S223))</f>
        <v>3/100</v>
      </c>
      <c r="H223" s="29"/>
      <c r="I223" s="29" t="str">
        <f ca="1">IF(ISERROR(F218),"",_xlfn.TEXTJOIN("/",FALSE,Q223,T223))</f>
        <v>19/50</v>
      </c>
      <c r="J223" s="29"/>
      <c r="K223" s="29" t="str">
        <f ca="1">IF(ISERROR(F218),"",_xlfn.TEXTJOIN("/",FALSE,R223,U223))</f>
        <v>22/150</v>
      </c>
      <c r="L223" s="29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F</v>
      </c>
      <c r="N223" s="8">
        <f ca="1">INDEX($Z$2:$Z$17,MATCH(M223,$Y$2:$Y$17,0))</f>
        <v>0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3</v>
      </c>
      <c r="Q223" s="1">
        <f ca="1">IF(ISERROR(F218),"",VLOOKUP(B218,INDIRECT($F$8),7+(O223-1)*3))</f>
        <v>19</v>
      </c>
      <c r="R223" s="1">
        <f ca="1">IF(ISERROR(F218),"",SUM(P223:Q223))</f>
        <v>22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>AHT 001</v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11</v>
      </c>
      <c r="X223" s="1" t="str">
        <f ca="1">IF(ISERROR(F218),"",IF(W223=0,"",_xlfn.TEXTJOIN("",FALSE," G+",W223," in ",A223)))</f>
        <v xml:space="preserve"> G+11 in AHT 001</v>
      </c>
    </row>
    <row r="224" spans="1:24" ht="12" customHeight="1" x14ac:dyDescent="0.2">
      <c r="A224" s="7" t="str">
        <f ca="1">IF(ISERROR(F218),"",VLOOKUP(C218,INDIRECT($F$8),6+(O224-1)*3,0))</f>
        <v>AHT 003</v>
      </c>
      <c r="B224" s="31" t="str">
        <f ca="1">IF(ISERROR(F218),"",VLOOKUP(D218,INDIRECT($F$8),6+(O224-1)*3,0))</f>
        <v>Introduction to Engineering Mathematics</v>
      </c>
      <c r="C224" s="31"/>
      <c r="D224" s="31"/>
      <c r="E224" s="31"/>
      <c r="F224" s="7">
        <f ca="1">IF(ISERROR(F218),"",VLOOKUP(E218,INDIRECT($F$8),6+(O224-1)*3,0))</f>
        <v>4</v>
      </c>
      <c r="G224" s="29" t="str">
        <f ca="1">IF(ISERROR(F218),"",_xlfn.TEXTJOIN("/",FALSE,P224,S224))</f>
        <v>42/100</v>
      </c>
      <c r="H224" s="29"/>
      <c r="I224" s="29" t="str">
        <f ca="1">IF(ISERROR(F218),"",_xlfn.TEXTJOIN("/",FALSE,Q224,T224))</f>
        <v>15/50</v>
      </c>
      <c r="J224" s="29"/>
      <c r="K224" s="29" t="str">
        <f ca="1">IF(ISERROR(F218),"",_xlfn.TEXTJOIN("/",FALSE,R224,U224))</f>
        <v>57/150</v>
      </c>
      <c r="L224" s="29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F</v>
      </c>
      <c r="N224" s="8">
        <f t="shared" ref="N224:N233" ca="1" si="21">INDEX($Z$2:$Z$17,MATCH(M224,$Y$2:$Y$17,0))</f>
        <v>0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42</v>
      </c>
      <c r="Q224" s="1">
        <f ca="1">IF(ISERROR(F218),"",VLOOKUP(B218,INDIRECT($F$8),7+(O224-1)*3))</f>
        <v>15</v>
      </c>
      <c r="R224" s="1">
        <f ca="1">IF(ISERROR(F218),"",SUM(P224:Q224))</f>
        <v>57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>AHT 003</v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3</v>
      </c>
      <c r="X224" s="1" t="str">
        <f ca="1">IF(ISERROR(F218),"",IF(W224=0,"",_xlfn.TEXTJOIN("",FALSE," G+",W224," in ",A224)))</f>
        <v xml:space="preserve"> G+3 in AHT 003</v>
      </c>
    </row>
    <row r="225" spans="1:24" ht="12" customHeight="1" x14ac:dyDescent="0.2">
      <c r="A225" s="7" t="str">
        <f ca="1">IF(ISERROR(F218),"",VLOOKUP(C218,INDIRECT($F$8),6+(O225-1)*3,0))</f>
        <v>EET 001</v>
      </c>
      <c r="B225" s="31" t="str">
        <f ca="1">IF(ISERROR(F218),"",VLOOKUP(D218,INDIRECT($F$8),6+(O225-1)*3,0))</f>
        <v>Basic Electrical Engineering</v>
      </c>
      <c r="C225" s="31"/>
      <c r="D225" s="31"/>
      <c r="E225" s="31"/>
      <c r="F225" s="7">
        <f ca="1">IF(ISERROR(F218),"",VLOOKUP(E218,INDIRECT($F$8),6+(O225-1)*3,0))</f>
        <v>4</v>
      </c>
      <c r="G225" s="29" t="str">
        <f ca="1">IF(ISERROR(F218),"",_xlfn.TEXTJOIN("/",FALSE,P225,S225))</f>
        <v>4/100</v>
      </c>
      <c r="H225" s="29"/>
      <c r="I225" s="29" t="str">
        <f ca="1">IF(ISERROR(F218),"",_xlfn.TEXTJOIN("/",FALSE,Q225,T225))</f>
        <v>23/50</v>
      </c>
      <c r="J225" s="29"/>
      <c r="K225" s="29" t="str">
        <f ca="1">IF(ISERROR(F218),"",_xlfn.TEXTJOIN("/",FALSE,R225,U225))</f>
        <v>27/150</v>
      </c>
      <c r="L225" s="29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F</v>
      </c>
      <c r="N225" s="8">
        <f t="shared" ca="1" si="21"/>
        <v>0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4</v>
      </c>
      <c r="Q225" s="1">
        <f ca="1">IF(ISERROR(F218),"",VLOOKUP(B218,INDIRECT($F$8),7+(O225-1)*3))</f>
        <v>23</v>
      </c>
      <c r="R225" s="1">
        <f ca="1">IF(ISERROR(F218),"",SUM(P225:Q225))</f>
        <v>27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>EET 001</v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11</v>
      </c>
      <c r="X225" s="1" t="str">
        <f ca="1">IF(ISERROR(F218),"",IF(W225=0,"",_xlfn.TEXTJOIN("",FALSE," G+",W225," in ",A225)))</f>
        <v xml:space="preserve"> G+11 in EET 001</v>
      </c>
    </row>
    <row r="226" spans="1:24" ht="12" customHeight="1" x14ac:dyDescent="0.2">
      <c r="A226" s="7" t="str">
        <f ca="1">IF(ISERROR(F218),"",VLOOKUP(C218,INDIRECT($F$8),6+(O226-1)*3,0))</f>
        <v>CST 001</v>
      </c>
      <c r="B226" s="31" t="str">
        <f ca="1">IF(ISERROR(F218),"",VLOOKUP(D218,INDIRECT($F$8),6+(O226-1)*3,0))</f>
        <v>Programming for Problem Solving</v>
      </c>
      <c r="C226" s="31"/>
      <c r="D226" s="31"/>
      <c r="E226" s="31"/>
      <c r="F226" s="7">
        <f ca="1">IF(ISERROR(F218),"",VLOOKUP(E218,INDIRECT($F$8),6+(O226-1)*3,0))</f>
        <v>4</v>
      </c>
      <c r="G226" s="29" t="str">
        <f ca="1">IF(ISERROR(F218),"",_xlfn.TEXTJOIN("/",FALSE,P226,S226))</f>
        <v>0.7/100</v>
      </c>
      <c r="H226" s="29"/>
      <c r="I226" s="29" t="str">
        <f ca="1">IF(ISERROR(F218),"",_xlfn.TEXTJOIN("/",FALSE,Q226,T226))</f>
        <v>18/50</v>
      </c>
      <c r="J226" s="29"/>
      <c r="K226" s="29" t="str">
        <f ca="1">IF(ISERROR(F218),"",_xlfn.TEXTJOIN("/",FALSE,R226,U226))</f>
        <v>18.7/150</v>
      </c>
      <c r="L226" s="29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F</v>
      </c>
      <c r="N226" s="8">
        <f t="shared" ca="1" si="21"/>
        <v>0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0.7</v>
      </c>
      <c r="Q226" s="1">
        <f ca="1">IF(ISERROR(F218),"",VLOOKUP(B218,INDIRECT($F$8),7+(O226-1)*3))</f>
        <v>18</v>
      </c>
      <c r="R226" s="1">
        <f ca="1">IF(ISERROR(F218),"",SUM(P226:Q226))</f>
        <v>18.7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>CST 001</v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11</v>
      </c>
      <c r="X226" s="1" t="str">
        <f ca="1">IF(ISERROR(F218),"",IF(W226=0,"",_xlfn.TEXTJOIN("",FALSE," G+",W226," in ",A226)))</f>
        <v xml:space="preserve"> G+11 in CST 001</v>
      </c>
    </row>
    <row r="227" spans="1:24" ht="12" customHeight="1" x14ac:dyDescent="0.2">
      <c r="A227" s="7" t="str">
        <f ca="1">IF(ISERROR(F218),"",VLOOKUP(C218,INDIRECT($F$8),6+(O227-1)*3,0))</f>
        <v>AHT 004</v>
      </c>
      <c r="B227" s="31" t="str">
        <f ca="1">IF(ISERROR(F218),"",VLOOKUP(D218,INDIRECT($F$8),6+(O227-1)*3,0))</f>
        <v>Environmental Studies ($)</v>
      </c>
      <c r="C227" s="31"/>
      <c r="D227" s="31"/>
      <c r="E227" s="31"/>
      <c r="F227" s="7">
        <f ca="1">IF(ISERROR(F218),"",VLOOKUP(E218,INDIRECT($F$8),6+(O227-1)*3,0))</f>
        <v>0</v>
      </c>
      <c r="G227" s="29" t="str">
        <f ca="1">IF(ISERROR(F218),"",_xlfn.TEXTJOIN("/",FALSE,P227,S227))</f>
        <v>18/50</v>
      </c>
      <c r="H227" s="29"/>
      <c r="I227" s="29" t="str">
        <f ca="1">IF(ISERROR(F218),"",_xlfn.TEXTJOIN("/",FALSE,Q227,T227))</f>
        <v>10/25</v>
      </c>
      <c r="J227" s="29"/>
      <c r="K227" s="29" t="str">
        <f ca="1">IF(ISERROR(F218),"",_xlfn.TEXTJOIN("/",FALSE,R227,U227))</f>
        <v>28/75</v>
      </c>
      <c r="L227" s="29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F</v>
      </c>
      <c r="N227" s="8">
        <f t="shared" ca="1" si="21"/>
        <v>0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18</v>
      </c>
      <c r="Q227" s="1">
        <f ca="1">IF(ISERROR(F218),"",VLOOKUP(B218,INDIRECT($F$8),7+(O227-1)*3))</f>
        <v>10</v>
      </c>
      <c r="R227" s="1">
        <f ca="1">IF(ISERROR(F218),"",SUM(P227:Q227))</f>
        <v>28</v>
      </c>
      <c r="S227" s="1">
        <f ca="1">IF(ISERROR(F218),"",VLOOKUP(A218,INDIRECT($F$8),6+(O227-1)*3))</f>
        <v>50</v>
      </c>
      <c r="T227" s="1">
        <f ca="1">IF(ISERROR(F218),"",VLOOKUP(A218,INDIRECT($F$8),7+(O227-1)*3))</f>
        <v>25</v>
      </c>
      <c r="U227" s="1">
        <f ca="1">IF(ISERROR(F218),"",VLOOKUP(A218,INDIRECT($F$8),8+(O227-1)*3))</f>
        <v>75</v>
      </c>
      <c r="V227" s="1" t="str">
        <f ca="1">IF(ISERROR(F218),"",IF(N227=0,A227,""))</f>
        <v>AHT 004</v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2</v>
      </c>
      <c r="X227" s="1" t="str">
        <f ca="1">IF(ISERROR(F218),"",IF(W227=0,"",_xlfn.TEXTJOIN("",FALSE," G+",W227," in ",A227)))</f>
        <v xml:space="preserve"> G+2 in AHT 004</v>
      </c>
    </row>
    <row r="228" spans="1:24" ht="12" customHeight="1" x14ac:dyDescent="0.2">
      <c r="A228" s="7" t="str">
        <f ca="1">IF(ISERROR(F218),"",VLOOKUP(C218,INDIRECT($F$8),6+(O228-1)*3,0))</f>
        <v>AHP 001</v>
      </c>
      <c r="B228" s="31" t="str">
        <f ca="1">IF(ISERROR(F218),"",VLOOKUP(D218,INDIRECT($F$8),6+(O228-1)*3,0))</f>
        <v>Engineering Physics Lab</v>
      </c>
      <c r="C228" s="31"/>
      <c r="D228" s="31"/>
      <c r="E228" s="31"/>
      <c r="F228" s="7">
        <f ca="1">IF(ISERROR(F218),"",VLOOKUP(E218,INDIRECT($F$8),6+(O228-1)*3,0))</f>
        <v>1</v>
      </c>
      <c r="G228" s="29" t="str">
        <f ca="1">IF(ISERROR(F218),"",_xlfn.TEXTJOIN("/",FALSE,P228,S228))</f>
        <v>18/25</v>
      </c>
      <c r="H228" s="29"/>
      <c r="I228" s="29" t="str">
        <f ca="1">IF(ISERROR(F218),"",_xlfn.TEXTJOIN("/",FALSE,Q228,T228))</f>
        <v>19/25</v>
      </c>
      <c r="J228" s="29"/>
      <c r="K228" s="29" t="str">
        <f ca="1">IF(ISERROR(F218),"",_xlfn.TEXTJOIN("/",FALSE,R228,U228))</f>
        <v>37/50</v>
      </c>
      <c r="L228" s="29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C+</v>
      </c>
      <c r="N228" s="8">
        <f t="shared" ca="1" si="21"/>
        <v>7.5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18</v>
      </c>
      <c r="Q228" s="1">
        <f ca="1">IF(ISERROR(F218),"",VLOOKUP(B218,INDIRECT($F$8),7+(O228-1)*3))</f>
        <v>19</v>
      </c>
      <c r="R228" s="1">
        <f ca="1">IF(ISERROR(F218),"",SUM(P228:Q228))</f>
        <v>37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EEP 001</v>
      </c>
      <c r="B229" s="31" t="str">
        <f ca="1">IF(ISERROR(F218),"",VLOOKUP(D218,INDIRECT($F$8),6+(O229-1)*3,0))</f>
        <v>Basic Electrical Engineering Lab</v>
      </c>
      <c r="C229" s="31"/>
      <c r="D229" s="31"/>
      <c r="E229" s="31"/>
      <c r="F229" s="7">
        <f ca="1">IF(ISERROR(F218),"",VLOOKUP(E218,INDIRECT($F$8),6+(O229-1)*3,0))</f>
        <v>1</v>
      </c>
      <c r="G229" s="29" t="str">
        <f ca="1">IF(ISERROR(F218),"",_xlfn.TEXTJOIN("/",FALSE,P229,S229))</f>
        <v>17/25</v>
      </c>
      <c r="H229" s="29"/>
      <c r="I229" s="29" t="str">
        <f ca="1">IF(ISERROR(F218),"",_xlfn.TEXTJOIN("/",FALSE,Q229,T229))</f>
        <v>10/25</v>
      </c>
      <c r="J229" s="29"/>
      <c r="K229" s="29" t="str">
        <f ca="1">IF(ISERROR(F218),"",_xlfn.TEXTJOIN("/",FALSE,R229,U229))</f>
        <v>27/50</v>
      </c>
      <c r="L229" s="29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E+</v>
      </c>
      <c r="N229" s="8">
        <f t="shared" ca="1" si="21"/>
        <v>5.5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17</v>
      </c>
      <c r="Q229" s="1">
        <f ca="1">IF(ISERROR(F218),"",VLOOKUP(B218,INDIRECT($F$8),7+(O229-1)*3))</f>
        <v>10</v>
      </c>
      <c r="R229" s="1">
        <f ca="1">IF(ISERROR(F218),"",SUM(P229:Q229))</f>
        <v>27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CSP 001</v>
      </c>
      <c r="B230" s="31" t="str">
        <f ca="1">IF(ISERROR(F218),"",VLOOKUP(D218,INDIRECT($F$8),6+(O230-1)*3-Z230,0))</f>
        <v>Programming for Problem Solving Lab</v>
      </c>
      <c r="C230" s="31"/>
      <c r="D230" s="31"/>
      <c r="E230" s="31"/>
      <c r="F230" s="7">
        <f ca="1">IF(ISERROR(F218),"",VLOOKUP(E218,INDIRECT($F$8),6+(O230-1)*3,0))</f>
        <v>1</v>
      </c>
      <c r="G230" s="29" t="str">
        <f ca="1">IF(ISERROR(F218),"",_xlfn.TEXTJOIN("/",FALSE,P230,S230))</f>
        <v>18/25</v>
      </c>
      <c r="H230" s="29"/>
      <c r="I230" s="29" t="str">
        <f ca="1">IF(ISERROR(F218),"",_xlfn.TEXTJOIN("/",FALSE,Q230,T230))</f>
        <v>17/25</v>
      </c>
      <c r="J230" s="29"/>
      <c r="K230" s="29" t="str">
        <f ca="1">IF(ISERROR(F218),"",_xlfn.TEXTJOIN("/",FALSE,R230,U230))</f>
        <v>35/50</v>
      </c>
      <c r="L230" s="29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C+</v>
      </c>
      <c r="N230" s="8">
        <f t="shared" ca="1" si="21"/>
        <v>7.5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18</v>
      </c>
      <c r="Q230" s="1">
        <f ca="1">IF(ISERROR(F218),"",VLOOKUP(B218,INDIRECT($F$8),7+(O230-1)*3))</f>
        <v>17</v>
      </c>
      <c r="R230" s="1">
        <f ca="1">IF(ISERROR(F218),"",SUM(P230:Q230))</f>
        <v>35</v>
      </c>
      <c r="S230" s="1">
        <f ca="1">IF(ISERROR(F218),"",VLOOKUP(A218,INDIRECT($F$8),6+(O230-1)*3))</f>
        <v>25</v>
      </c>
      <c r="T230" s="1">
        <f ca="1">IF(ISERROR(F218),"",VLOOKUP(A218,INDIRECT($F$8),7+(O230-1)*3))</f>
        <v>25</v>
      </c>
      <c r="U230" s="1">
        <f ca="1">IF(ISERROR(F218),"",VLOOKUP(A218,INDIRECT($F$8),8+(O230-1)*3))</f>
        <v>50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MEP 002</v>
      </c>
      <c r="B231" s="31" t="str">
        <f ca="1">IF(ISERROR(F218),"",VLOOKUP(D218,INDIRECT($F$8),6+(O231-1)*3-Z231,0))</f>
        <v>Engineering Graphics &amp; Design Lab</v>
      </c>
      <c r="C231" s="31"/>
      <c r="D231" s="31"/>
      <c r="E231" s="31"/>
      <c r="F231" s="7">
        <f ca="1">IF(ISERROR(F218),"",VLOOKUP(E218,INDIRECT($F$8),6+(O231-1)*3,0))</f>
        <v>2</v>
      </c>
      <c r="G231" s="29" t="str">
        <f ca="1">IF(ISERROR(F218),"",_xlfn.TEXTJOIN("/",FALSE,P231,S231))</f>
        <v>38/50</v>
      </c>
      <c r="H231" s="29"/>
      <c r="I231" s="29" t="str">
        <f ca="1">IF(ISERROR(F218),"",_xlfn.TEXTJOIN("/",FALSE,Q231,T231))</f>
        <v>37/50</v>
      </c>
      <c r="J231" s="29"/>
      <c r="K231" s="29" t="str">
        <f ca="1">IF(ISERROR(F218),"",_xlfn.TEXTJOIN("/",FALSE,R231,U231))</f>
        <v>75/100</v>
      </c>
      <c r="L231" s="29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B</v>
      </c>
      <c r="N231" s="8">
        <f t="shared" ca="1" si="21"/>
        <v>8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38</v>
      </c>
      <c r="Q231" s="1">
        <f ca="1">IF(ISERROR(F218),"",VLOOKUP(B218,INDIRECT($F$8),7+(O231-1)*3))</f>
        <v>37</v>
      </c>
      <c r="R231" s="1">
        <f ca="1">IF(ISERROR(F218),"",SUM(P231:Q231))</f>
        <v>75</v>
      </c>
      <c r="S231" s="1">
        <f ca="1">IF(ISERROR(F218),"",VLOOKUP(A218,INDIRECT($F$8),6+(O231-1)*3))</f>
        <v>50</v>
      </c>
      <c r="T231" s="1">
        <f ca="1">IF(ISERROR(F218),"",VLOOKUP(A218,INDIRECT($F$8),7+(O231-1)*3))</f>
        <v>50</v>
      </c>
      <c r="U231" s="1">
        <f ca="1">IF(ISERROR(F218),"",VLOOKUP(A218,INDIRECT($F$8),8+(O231-1)*3))</f>
        <v>100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AHP 003</v>
      </c>
      <c r="B232" s="31" t="str">
        <f ca="1">IF(ISERROR(F218),"",VLOOKUP(D218,INDIRECT($F$8),6+(O232-1)*3,0))</f>
        <v>Introduction to Digital Marketing Lab</v>
      </c>
      <c r="C232" s="31"/>
      <c r="D232" s="31"/>
      <c r="E232" s="31"/>
      <c r="F232" s="7">
        <f ca="1">IF(ISERROR(F218),"",VLOOKUP(E218,INDIRECT($F$8),6+(O232-1)*3,0))</f>
        <v>1</v>
      </c>
      <c r="G232" s="29" t="str">
        <f ca="1">IF(ISERROR(F218),"",_xlfn.TEXTJOIN("/",FALSE,P232,S232))</f>
        <v>19/25</v>
      </c>
      <c r="H232" s="29"/>
      <c r="I232" s="29" t="str">
        <f ca="1">IF(ISERROR(F218),"",_xlfn.TEXTJOIN("/",FALSE,Q232,T232))</f>
        <v>14/25</v>
      </c>
      <c r="J232" s="29"/>
      <c r="K232" s="29" t="str">
        <f ca="1">IF(ISERROR(F218),"",_xlfn.TEXTJOIN("/",FALSE,R232,U232))</f>
        <v>33/50</v>
      </c>
      <c r="L232" s="29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C</v>
      </c>
      <c r="N232" s="8">
        <f t="shared" ca="1" si="21"/>
        <v>7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19</v>
      </c>
      <c r="Q232" s="1">
        <f ca="1">IF(ISERROR(F218),"",VLOOKUP(B218,INDIRECT($F$8),7+(O232-1)*3))</f>
        <v>14</v>
      </c>
      <c r="R232" s="1">
        <f ca="1">IF(ISERROR(F218),"",SUM(P232:Q232))</f>
        <v>33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005</v>
      </c>
      <c r="B233" s="31" t="str">
        <f ca="1">IF(ISERROR(F218),"",VLOOKUP(D218,INDIRECT($F$8),6+(O233-1)*3,0))</f>
        <v>Self Employment &amp; Entrepreneurship Development</v>
      </c>
      <c r="C233" s="31"/>
      <c r="D233" s="31"/>
      <c r="E233" s="31"/>
      <c r="F233" s="7">
        <f ca="1">IF(ISERROR(F218),"",VLOOKUP(E218,INDIRECT($F$8),6+(O233-1)*3,0))</f>
        <v>1</v>
      </c>
      <c r="G233" s="29" t="str">
        <f ca="1">IF(ISERROR(F218),"",_xlfn.TEXTJOIN("/",FALSE,P233,S233))</f>
        <v>18/25</v>
      </c>
      <c r="H233" s="29"/>
      <c r="I233" s="29" t="str">
        <f ca="1">IF(ISERROR(F218),"",_xlfn.TEXTJOIN("/",FALSE,Q233,T233))</f>
        <v>24/25</v>
      </c>
      <c r="J233" s="29"/>
      <c r="K233" s="29" t="str">
        <f ca="1">IF(ISERROR(F218),"",_xlfn.TEXTJOIN("/",FALSE,R233,U233))</f>
        <v>42/50</v>
      </c>
      <c r="L233" s="29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B+</v>
      </c>
      <c r="N233" s="8">
        <f t="shared" ca="1" si="21"/>
        <v>8.5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18</v>
      </c>
      <c r="Q233" s="1">
        <f ca="1">IF(ISERROR(F218),"",VLOOKUP(B218,INDIRECT($F$8),7+(O233-1)*3))</f>
        <v>24</v>
      </c>
      <c r="R233" s="1">
        <f ca="1">IF(ISERROR(F218),"",SUM(P233:Q233))</f>
        <v>42</v>
      </c>
      <c r="S233" s="1">
        <f ca="1">IF(ISERROR(F218),"",VLOOKUP(A218,INDIRECT($F$8),6+(O233-1)*3))</f>
        <v>25</v>
      </c>
      <c r="T233" s="1">
        <f ca="1">IF(ISERROR(F218),"",VLOOKUP(A218,INDIRECT($F$8),7+(O233-1)*3))</f>
        <v>25</v>
      </c>
      <c r="U233" s="1">
        <f ca="1">IF(ISERROR(F218),"",VLOOKUP(A218,INDIRECT($F$8),8+(O233-1)*3))</f>
        <v>50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31" t="str">
        <f ca="1">IF(ISERROR(F218),"",VLOOKUP(D218,INDIRECT($F$8),6+(O234-1)*3-Z234,0))</f>
        <v>General Proficiency ($)</v>
      </c>
      <c r="C234" s="31"/>
      <c r="D234" s="31"/>
      <c r="E234" s="31"/>
      <c r="F234" s="7">
        <f ca="1">IF(ISERROR(F218),"",VLOOKUP(E218,INDIRECT($F$8),6+(O234-1)*3-AA234,0))</f>
        <v>0</v>
      </c>
      <c r="G234" s="29" t="str">
        <f ca="1">IF(ISERROR(F218),"","-")</f>
        <v>-</v>
      </c>
      <c r="H234" s="29"/>
      <c r="I234" s="29" t="str">
        <f ca="1">IF(ISERROR(F218),"",_xlfn.TEXTJOIN("/",FALSE,Q234,T234))</f>
        <v>47/50</v>
      </c>
      <c r="J234" s="29"/>
      <c r="K234" s="29" t="str">
        <f ca="1">IF(ISERROR(F218),"",_xlfn.TEXTJOIN("/",FALSE,R234,U234))</f>
        <v>47/50</v>
      </c>
      <c r="L234" s="29"/>
      <c r="M234" s="29" t="str">
        <f ca="1">IF(ISBLANK(R234),"",IF(ISTEXT(R234),R234,IF(R234&gt;=0.8*U234,"Excellent",IF(R234&gt;=0.6*U234,"Very Good",IF(R234&gt;=0.4*U234,"Good",IF(R234&gt;=0.2*U234,"Satisfactory","Average"))))))</f>
        <v>Excellent</v>
      </c>
      <c r="N234" s="29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7" t="str">
        <f ca="1">IF(ISERROR(F218),"",A214)</f>
        <v>Total Credits/ Marks/ Total Grade Points</v>
      </c>
      <c r="B235" s="27"/>
      <c r="C235" s="27"/>
      <c r="D235" s="27"/>
      <c r="E235" s="27"/>
      <c r="F235" s="10">
        <f ca="1">IF(ISERROR(F218),"",SUM(F223:F233))</f>
        <v>23</v>
      </c>
      <c r="G235" s="30" t="str">
        <f ca="1">IF(ISERROR(F218),"",_xlfn.TEXTJOIN("/",TRUE,SUMIF(F223:F234,"&gt;0",P223:P234),SUMIF(F223:F234,"&gt;0",S223:S234)))</f>
        <v>177.7/575</v>
      </c>
      <c r="H235" s="30"/>
      <c r="I235" s="30" t="str">
        <f ca="1">IF(ISERROR(F218),"",_xlfn.TEXTJOIN("/",TRUE,SUMIF(F223:F234,"&gt;0",Q223:Q234),SUMIF(F223:F234,"&gt;0",T223:T234)))</f>
        <v>196/375</v>
      </c>
      <c r="J235" s="30"/>
      <c r="K235" s="30" t="str">
        <f ca="1">IF(ISERROR(F218),"",_xlfn.TEXTJOIN("/",TRUE,SUMIF(F223:F234,"&gt;0",R223:R234),SUMIF(F223:F234,"&gt;0",U223:U234)))</f>
        <v>373.7/950</v>
      </c>
      <c r="L235" s="30"/>
      <c r="M235" s="27">
        <f ca="1">IF(ISERROR(F218),"",SUMPRODUCT(N223:N233,F223:F233))</f>
        <v>52</v>
      </c>
      <c r="N235" s="27"/>
      <c r="V235" s="1" t="str">
        <f ca="1">IF(ISERROR(F218),"",_xlfn.TEXTJOIN(", ",TRUE,V223:V234))</f>
        <v>AHT 001, AHT 003, EET 001, CST 001, AHT 004</v>
      </c>
      <c r="W235" t="b">
        <f ca="1">IF(ISERROR(F218),"",IF(SUM(W223:W234)&lt;=W222,TRUE,FALSE))</f>
        <v>0</v>
      </c>
      <c r="X235" s="1" t="str">
        <f ca="1">IF(ISERROR(F218),"",_xlfn.TEXTJOIN(",",TRUE,X223:X234))</f>
        <v xml:space="preserve"> G+11 in AHT 001, G+3 in AHT 003, G+11 in EET 001, G+11 in CST 001, G+2 in AHT 004</v>
      </c>
    </row>
    <row r="236" spans="1:24" ht="12" customHeight="1" x14ac:dyDescent="0.2">
      <c r="A236" s="27" t="str">
        <f ca="1">IF(ISERROR(F218),"",A215)</f>
        <v>Result:</v>
      </c>
      <c r="B236" s="26" t="str" cm="1">
        <f t="array" aca="1" ref="B236" ca="1">IF(SUM(COUNTIF(M223:M233,{"Ab","Dt"}))=11, "Not Promoted to IInd Semester", IF(V235="", "PASS", "CARRY OVER"))</f>
        <v>CARRY OVER</v>
      </c>
      <c r="C236" s="26"/>
      <c r="D236" s="27" t="str">
        <f ca="1">IF(ISERROR(F218),"",D215)</f>
        <v>Remark:</v>
      </c>
      <c r="E236" s="26" t="str">
        <f ca="1">IF(ISERROR(F218),"",IF(V235="",IF(X235="","",X235),_xlfn.TEXTJOIN(" ",TRUE,"BACK IN",V235)))</f>
        <v>BACK IN AHT 001, AHT 003, EET 001, CST 001, AHT 004</v>
      </c>
      <c r="F236" s="26"/>
      <c r="G236" s="27" t="str">
        <f ca="1">IF(ISERROR(F218),"",G215)</f>
        <v>SGPA:</v>
      </c>
      <c r="H236" s="28">
        <f ca="1">IF(ISERROR(F218),"",M235/F235)</f>
        <v>2.2608695652173911</v>
      </c>
      <c r="I236" s="27" t="str">
        <f ca="1">IF(ISERROR(F218),"",I215)</f>
        <v>CGPA:</v>
      </c>
      <c r="J236" s="28">
        <f ca="1">IF(ISERROR(F218),"",VLOOKUP(B218,INDIRECT($F$8),12+(O234-1)*3,0))</f>
        <v>2.2608695652173911</v>
      </c>
      <c r="K236" s="26" t="str">
        <f ca="1">IF(ISERROR(F218),"",K215)</f>
        <v>Earned Credits:</v>
      </c>
      <c r="L236" s="27">
        <f ca="1">IF(ISERROR(F218),"",SUMIF(N223:N233,"&gt;0",F223:F233))</f>
        <v>7</v>
      </c>
      <c r="M236" s="26" t="str">
        <f ca="1">IF(ISERROR(F218),"",M215)</f>
        <v>Cuml. Earned Credits:</v>
      </c>
      <c r="N236" s="27">
        <f ca="1">IF(ISERROR(F218),"",VLOOKUP(B218,INDIRECT($F$8),10+(O234-1)*3,0))</f>
        <v>7</v>
      </c>
    </row>
    <row r="237" spans="1:24" ht="12" customHeight="1" x14ac:dyDescent="0.2">
      <c r="A237" s="27"/>
      <c r="B237" s="26"/>
      <c r="C237" s="26"/>
      <c r="D237" s="27"/>
      <c r="E237" s="26"/>
      <c r="F237" s="26"/>
      <c r="G237" s="27"/>
      <c r="H237" s="28"/>
      <c r="I237" s="27"/>
      <c r="J237" s="28"/>
      <c r="K237" s="26"/>
      <c r="L237" s="27"/>
      <c r="M237" s="26"/>
      <c r="N237" s="27"/>
    </row>
    <row r="238" spans="1:24" ht="12" customHeight="1" x14ac:dyDescent="0.2">
      <c r="A238" s="27"/>
      <c r="B238" s="26"/>
      <c r="C238" s="26"/>
      <c r="D238" s="27"/>
      <c r="E238" s="26"/>
      <c r="F238" s="26"/>
      <c r="G238" s="27"/>
      <c r="H238" s="28"/>
      <c r="I238" s="27"/>
      <c r="J238" s="28"/>
      <c r="K238" s="26"/>
      <c r="L238" s="27"/>
      <c r="M238" s="26"/>
      <c r="N238" s="27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PRATYUSH PANWAR</v>
      </c>
    </row>
    <row r="240" spans="1:24" ht="12" customHeight="1" x14ac:dyDescent="0.2">
      <c r="A240" s="24" t="str">
        <f ca="1">IF(ISERROR(F239),"",A219)</f>
        <v>Name:</v>
      </c>
      <c r="B240" s="24" t="str">
        <f ca="1">IFERROR(VLOOKUP(B239,INDIRECT($F$8),4,0),"")</f>
        <v>PRATYUSH PANWAR</v>
      </c>
      <c r="C240" s="24"/>
      <c r="D240" s="24" t="str">
        <f ca="1">IF(ISERROR(F239),"",D219)</f>
        <v>Father's Name:</v>
      </c>
      <c r="E240" s="24" t="str">
        <f ca="1">IFERROR(VLOOKUP(B239,INDIRECT($F$8),5,0),"")</f>
        <v>MUKESH PANWAR</v>
      </c>
      <c r="F240" s="24"/>
      <c r="G240" s="24" t="str">
        <f ca="1">IF(ISERROR(F239),"",G219)</f>
        <v>University Roll No:</v>
      </c>
      <c r="H240" s="24"/>
      <c r="I240" s="25">
        <f ca="1">IFERROR(VLOOKUP(B239,INDIRECT($F$8),2,0),"")</f>
        <v>250090111012</v>
      </c>
      <c r="J240" s="25"/>
      <c r="K240" s="24" t="str">
        <f ca="1">IF(ISERROR(F239),"",K219)</f>
        <v>University Enrol. No:</v>
      </c>
      <c r="L240" s="24"/>
      <c r="M240" s="25" t="str">
        <f ca="1">IFERROR(VLOOKUP(B239,INDIRECT($F$8),3,0),"")</f>
        <v>UTU/2501103618</v>
      </c>
      <c r="N240" s="25"/>
    </row>
    <row r="241" spans="1:24" ht="12" customHeight="1" x14ac:dyDescent="0.2">
      <c r="A241" s="24"/>
      <c r="B241" s="24"/>
      <c r="C241" s="24"/>
      <c r="D241" s="24"/>
      <c r="E241" s="24"/>
      <c r="F241" s="24"/>
      <c r="G241" s="24"/>
      <c r="H241" s="24"/>
      <c r="I241" s="25"/>
      <c r="J241" s="25"/>
      <c r="K241" s="24"/>
      <c r="L241" s="24"/>
      <c r="M241" s="25"/>
      <c r="N241" s="25"/>
    </row>
    <row r="242" spans="1:24" ht="12" customHeight="1" x14ac:dyDescent="0.2">
      <c r="A242" s="26" t="str">
        <f ca="1">IF(ISERROR(F239),"",A221)</f>
        <v>Subject Code</v>
      </c>
      <c r="B242" s="26" t="str">
        <f ca="1">IF(ISERROR(F239),"",B221)</f>
        <v>Subject Name</v>
      </c>
      <c r="C242" s="26"/>
      <c r="D242" s="26"/>
      <c r="E242" s="26"/>
      <c r="F242" s="26" t="str">
        <f ca="1">IF(ISERROR(F239),"",F221)</f>
        <v>Credits</v>
      </c>
      <c r="G242" s="26" t="str">
        <f ca="1">IF(ISERROR(F239),"",G221)</f>
        <v>External Marks</v>
      </c>
      <c r="H242" s="26"/>
      <c r="I242" s="26" t="str">
        <f ca="1">IF(ISERROR(F239),"",I221)</f>
        <v>Sessional Marks</v>
      </c>
      <c r="J242" s="26"/>
      <c r="K242" s="26" t="str">
        <f ca="1">IF(ISERROR(F239),"",K221)</f>
        <v>Total Marks</v>
      </c>
      <c r="L242" s="26"/>
      <c r="M242" s="26" t="str">
        <f ca="1">IF(ISERROR(F239),"",M221)</f>
        <v>Grade</v>
      </c>
      <c r="N242" s="26" t="str">
        <f ca="1">IF(ISERROR(F239),"",N221)</f>
        <v>Grade Points</v>
      </c>
    </row>
    <row r="243" spans="1:24" ht="12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001</v>
      </c>
      <c r="B244" s="31" t="str">
        <f ca="1">IF(ISERROR(F239),"",VLOOKUP(D239,INDIRECT($F$8),6+(O244-1)*3,0))</f>
        <v>Engineering Physics</v>
      </c>
      <c r="C244" s="31"/>
      <c r="D244" s="31"/>
      <c r="E244" s="31"/>
      <c r="F244" s="7">
        <f ca="1">IF(ISERROR(F239),"",VLOOKUP(E239,INDIRECT($F$8),6+(O244-1)*3,0))</f>
        <v>4</v>
      </c>
      <c r="G244" s="29" t="str">
        <f ca="1">IF(ISERROR(F239),"",_xlfn.TEXTJOIN("/",FALSE,P244,S244))</f>
        <v>1/100</v>
      </c>
      <c r="H244" s="29"/>
      <c r="I244" s="29" t="str">
        <f ca="1">IF(ISERROR(F239),"",_xlfn.TEXTJOIN("/",FALSE,Q244,T244))</f>
        <v>20/50</v>
      </c>
      <c r="J244" s="29"/>
      <c r="K244" s="29" t="str">
        <f ca="1">IF(ISERROR(F239),"",_xlfn.TEXTJOIN("/",FALSE,R244,U244))</f>
        <v>21/150</v>
      </c>
      <c r="L244" s="29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F</v>
      </c>
      <c r="N244" s="8">
        <f ca="1">INDEX($Z$2:$Z$17,MATCH(M244,$Y$2:$Y$17,0))</f>
        <v>0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1</v>
      </c>
      <c r="Q244" s="1">
        <f ca="1">IF(ISERROR(F239),"",VLOOKUP(B239,INDIRECT($F$8),7+(O244-1)*3))</f>
        <v>20</v>
      </c>
      <c r="R244" s="1">
        <f ca="1">IF(ISERROR(F239),"",SUM(P244:Q244))</f>
        <v>21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>AHT 001</v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11</v>
      </c>
      <c r="X244" s="1" t="str">
        <f ca="1">IF(ISERROR(F239),"",IF(W244=0,"",_xlfn.TEXTJOIN("",FALSE," G+",W244," in ",A244)))</f>
        <v xml:space="preserve"> G+11 in AHT 001</v>
      </c>
    </row>
    <row r="245" spans="1:24" ht="12" customHeight="1" x14ac:dyDescent="0.2">
      <c r="A245" s="7" t="str">
        <f ca="1">IF(ISERROR(F239),"",VLOOKUP(C239,INDIRECT($F$8),6+(O245-1)*3,0))</f>
        <v>AHT 003</v>
      </c>
      <c r="B245" s="31" t="str">
        <f ca="1">IF(ISERROR(F239),"",VLOOKUP(D239,INDIRECT($F$8),6+(O245-1)*3,0))</f>
        <v>Introduction to Engineering Mathematics</v>
      </c>
      <c r="C245" s="31"/>
      <c r="D245" s="31"/>
      <c r="E245" s="31"/>
      <c r="F245" s="7">
        <f ca="1">IF(ISERROR(F239),"",VLOOKUP(E239,INDIRECT($F$8),6+(O245-1)*3,0))</f>
        <v>4</v>
      </c>
      <c r="G245" s="29" t="str">
        <f ca="1">IF(ISERROR(F239),"",_xlfn.TEXTJOIN("/",FALSE,P245,S245))</f>
        <v>2/100</v>
      </c>
      <c r="H245" s="29"/>
      <c r="I245" s="29" t="str">
        <f ca="1">IF(ISERROR(F239),"",_xlfn.TEXTJOIN("/",FALSE,Q245,T245))</f>
        <v>6/50</v>
      </c>
      <c r="J245" s="29"/>
      <c r="K245" s="29" t="str">
        <f ca="1">IF(ISERROR(F239),"",_xlfn.TEXTJOIN("/",FALSE,R245,U245))</f>
        <v>8/150</v>
      </c>
      <c r="L245" s="29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F</v>
      </c>
      <c r="N245" s="8">
        <f t="shared" ref="N245:N254" ca="1" si="23">INDEX($Z$2:$Z$17,MATCH(M245,$Y$2:$Y$17,0))</f>
        <v>0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2</v>
      </c>
      <c r="Q245" s="1">
        <f ca="1">IF(ISERROR(F239),"",VLOOKUP(B239,INDIRECT($F$8),7+(O245-1)*3))</f>
        <v>6</v>
      </c>
      <c r="R245" s="1">
        <f ca="1">IF(ISERROR(F239),"",SUM(P245:Q245))</f>
        <v>8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>AHT 003</v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11</v>
      </c>
      <c r="X245" s="1" t="str">
        <f ca="1">IF(ISERROR(F239),"",IF(W245=0,"",_xlfn.TEXTJOIN("",FALSE," G+",W245," in ",A245)))</f>
        <v xml:space="preserve"> G+11 in AHT 003</v>
      </c>
    </row>
    <row r="246" spans="1:24" ht="12" customHeight="1" x14ac:dyDescent="0.2">
      <c r="A246" s="7" t="str">
        <f ca="1">IF(ISERROR(F239),"",VLOOKUP(C239,INDIRECT($F$8),6+(O246-1)*3,0))</f>
        <v>EET 001</v>
      </c>
      <c r="B246" s="31" t="str">
        <f ca="1">IF(ISERROR(F239),"",VLOOKUP(D239,INDIRECT($F$8),6+(O246-1)*3,0))</f>
        <v>Basic Electrical Engineering</v>
      </c>
      <c r="C246" s="31"/>
      <c r="D246" s="31"/>
      <c r="E246" s="31"/>
      <c r="F246" s="7">
        <f ca="1">IF(ISERROR(F239),"",VLOOKUP(E239,INDIRECT($F$8),6+(O246-1)*3,0))</f>
        <v>4</v>
      </c>
      <c r="G246" s="29" t="str">
        <f ca="1">IF(ISERROR(F239),"",_xlfn.TEXTJOIN("/",FALSE,P246,S246))</f>
        <v>5/100</v>
      </c>
      <c r="H246" s="29"/>
      <c r="I246" s="29" t="str">
        <f ca="1">IF(ISERROR(F239),"",_xlfn.TEXTJOIN("/",FALSE,Q246,T246))</f>
        <v>24/50</v>
      </c>
      <c r="J246" s="29"/>
      <c r="K246" s="29" t="str">
        <f ca="1">IF(ISERROR(F239),"",_xlfn.TEXTJOIN("/",FALSE,R246,U246))</f>
        <v>29/150</v>
      </c>
      <c r="L246" s="29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F</v>
      </c>
      <c r="N246" s="8">
        <f t="shared" ca="1" si="23"/>
        <v>0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5</v>
      </c>
      <c r="Q246" s="1">
        <f ca="1">IF(ISERROR(F239),"",VLOOKUP(B239,INDIRECT($F$8),7+(O246-1)*3))</f>
        <v>24</v>
      </c>
      <c r="R246" s="1">
        <f ca="1">IF(ISERROR(F239),"",SUM(P246:Q246))</f>
        <v>29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>EET 001</v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11</v>
      </c>
      <c r="X246" s="1" t="str">
        <f ca="1">IF(ISERROR(F239),"",IF(W246=0,"",_xlfn.TEXTJOIN("",FALSE," G+",W246," in ",A246)))</f>
        <v xml:space="preserve"> G+11 in EET 001</v>
      </c>
    </row>
    <row r="247" spans="1:24" ht="12" customHeight="1" x14ac:dyDescent="0.2">
      <c r="A247" s="7" t="str">
        <f ca="1">IF(ISERROR(F239),"",VLOOKUP(C239,INDIRECT($F$8),6+(O247-1)*3,0))</f>
        <v>CST 001</v>
      </c>
      <c r="B247" s="31" t="str">
        <f ca="1">IF(ISERROR(F239),"",VLOOKUP(D239,INDIRECT($F$8),6+(O247-1)*3,0))</f>
        <v>Programming for Problem Solving</v>
      </c>
      <c r="C247" s="31"/>
      <c r="D247" s="31"/>
      <c r="E247" s="31"/>
      <c r="F247" s="7">
        <f ca="1">IF(ISERROR(F239),"",VLOOKUP(E239,INDIRECT($F$8),6+(O247-1)*3,0))</f>
        <v>4</v>
      </c>
      <c r="G247" s="29" t="str">
        <f ca="1">IF(ISERROR(F239),"",_xlfn.TEXTJOIN("/",FALSE,P247,S247))</f>
        <v>7/100</v>
      </c>
      <c r="H247" s="29"/>
      <c r="I247" s="29" t="str">
        <f ca="1">IF(ISERROR(F239),"",_xlfn.TEXTJOIN("/",FALSE,Q247,T247))</f>
        <v>25/50</v>
      </c>
      <c r="J247" s="29"/>
      <c r="K247" s="29" t="str">
        <f ca="1">IF(ISERROR(F239),"",_xlfn.TEXTJOIN("/",FALSE,R247,U247))</f>
        <v>32/150</v>
      </c>
      <c r="L247" s="29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F</v>
      </c>
      <c r="N247" s="8">
        <f t="shared" ca="1" si="23"/>
        <v>0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7</v>
      </c>
      <c r="Q247" s="1">
        <f ca="1">IF(ISERROR(F239),"",VLOOKUP(B239,INDIRECT($F$8),7+(O247-1)*3))</f>
        <v>25</v>
      </c>
      <c r="R247" s="1">
        <f ca="1">IF(ISERROR(F239),"",SUM(P247:Q247))</f>
        <v>32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>CST 001</v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11</v>
      </c>
      <c r="X247" s="1" t="str">
        <f ca="1">IF(ISERROR(F239),"",IF(W247=0,"",_xlfn.TEXTJOIN("",FALSE," G+",W247," in ",A247)))</f>
        <v xml:space="preserve"> G+11 in CST 001</v>
      </c>
    </row>
    <row r="248" spans="1:24" ht="12" customHeight="1" x14ac:dyDescent="0.2">
      <c r="A248" s="7" t="str">
        <f ca="1">IF(ISERROR(F239),"",VLOOKUP(C239,INDIRECT($F$8),6+(O248-1)*3,0))</f>
        <v>AHT 004</v>
      </c>
      <c r="B248" s="31" t="str">
        <f ca="1">IF(ISERROR(F239),"",VLOOKUP(D239,INDIRECT($F$8),6+(O248-1)*3,0))</f>
        <v>Environmental Studies ($)</v>
      </c>
      <c r="C248" s="31"/>
      <c r="D248" s="31"/>
      <c r="E248" s="31"/>
      <c r="F248" s="7">
        <f ca="1">IF(ISERROR(F239),"",VLOOKUP(E239,INDIRECT($F$8),6+(O248-1)*3,0))</f>
        <v>0</v>
      </c>
      <c r="G248" s="29" t="str">
        <f ca="1">IF(ISERROR(F239),"",_xlfn.TEXTJOIN("/",FALSE,P248,S248))</f>
        <v>23/50</v>
      </c>
      <c r="H248" s="29"/>
      <c r="I248" s="29" t="str">
        <f ca="1">IF(ISERROR(F239),"",_xlfn.TEXTJOIN("/",FALSE,Q248,T248))</f>
        <v>9/25</v>
      </c>
      <c r="J248" s="29"/>
      <c r="K248" s="29" t="str">
        <f ca="1">IF(ISERROR(F239),"",_xlfn.TEXTJOIN("/",FALSE,R248,U248))</f>
        <v>32/75</v>
      </c>
      <c r="L248" s="29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P</v>
      </c>
      <c r="N248" s="8">
        <f t="shared" ca="1" si="23"/>
        <v>4.5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23</v>
      </c>
      <c r="Q248" s="1">
        <f ca="1">IF(ISERROR(F239),"",VLOOKUP(B239,INDIRECT($F$8),7+(O248-1)*3))</f>
        <v>9</v>
      </c>
      <c r="R248" s="1">
        <f ca="1">IF(ISERROR(F239),"",SUM(P248:Q248))</f>
        <v>32</v>
      </c>
      <c r="S248" s="1">
        <f ca="1">IF(ISERROR(F239),"",VLOOKUP(A239,INDIRECT($F$8),6+(O248-1)*3))</f>
        <v>50</v>
      </c>
      <c r="T248" s="1">
        <f ca="1">IF(ISERROR(F239),"",VLOOKUP(A239,INDIRECT($F$8),7+(O248-1)*3))</f>
        <v>25</v>
      </c>
      <c r="U248" s="1">
        <f ca="1">IF(ISERROR(F239),"",VLOOKUP(A239,INDIRECT($F$8),8+(O248-1)*3))</f>
        <v>75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AHP 001</v>
      </c>
      <c r="B249" s="31" t="str">
        <f ca="1">IF(ISERROR(F239),"",VLOOKUP(D239,INDIRECT($F$8),6+(O249-1)*3,0))</f>
        <v>Engineering Physics Lab</v>
      </c>
      <c r="C249" s="31"/>
      <c r="D249" s="31"/>
      <c r="E249" s="31"/>
      <c r="F249" s="7">
        <f ca="1">IF(ISERROR(F239),"",VLOOKUP(E239,INDIRECT($F$8),6+(O249-1)*3,0))</f>
        <v>1</v>
      </c>
      <c r="G249" s="29" t="str">
        <f ca="1">IF(ISERROR(F239),"",_xlfn.TEXTJOIN("/",FALSE,P249,S249))</f>
        <v>19/25</v>
      </c>
      <c r="H249" s="29"/>
      <c r="I249" s="29" t="str">
        <f ca="1">IF(ISERROR(F239),"",_xlfn.TEXTJOIN("/",FALSE,Q249,T249))</f>
        <v>22/25</v>
      </c>
      <c r="J249" s="29"/>
      <c r="K249" s="29" t="str">
        <f ca="1">IF(ISERROR(F239),"",_xlfn.TEXTJOIN("/",FALSE,R249,U249))</f>
        <v>41/50</v>
      </c>
      <c r="L249" s="29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B+</v>
      </c>
      <c r="N249" s="8">
        <f t="shared" ca="1" si="23"/>
        <v>8.5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19</v>
      </c>
      <c r="Q249" s="1">
        <f ca="1">IF(ISERROR(F239),"",VLOOKUP(B239,INDIRECT($F$8),7+(O249-1)*3))</f>
        <v>22</v>
      </c>
      <c r="R249" s="1">
        <f ca="1">IF(ISERROR(F239),"",SUM(P249:Q249))</f>
        <v>41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EEP 001</v>
      </c>
      <c r="B250" s="31" t="str">
        <f ca="1">IF(ISERROR(F239),"",VLOOKUP(D239,INDIRECT($F$8),6+(O250-1)*3,0))</f>
        <v>Basic Electrical Engineering Lab</v>
      </c>
      <c r="C250" s="31"/>
      <c r="D250" s="31"/>
      <c r="E250" s="31"/>
      <c r="F250" s="7">
        <f ca="1">IF(ISERROR(F239),"",VLOOKUP(E239,INDIRECT($F$8),6+(O250-1)*3,0))</f>
        <v>1</v>
      </c>
      <c r="G250" s="29" t="str">
        <f ca="1">IF(ISERROR(F239),"",_xlfn.TEXTJOIN("/",FALSE,P250,S250))</f>
        <v>19/25</v>
      </c>
      <c r="H250" s="29"/>
      <c r="I250" s="29" t="str">
        <f ca="1">IF(ISERROR(F239),"",_xlfn.TEXTJOIN("/",FALSE,Q250,T250))</f>
        <v>13/25</v>
      </c>
      <c r="J250" s="29"/>
      <c r="K250" s="29" t="str">
        <f ca="1">IF(ISERROR(F239),"",_xlfn.TEXTJOIN("/",FALSE,R250,U250))</f>
        <v>32/50</v>
      </c>
      <c r="L250" s="29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D+</v>
      </c>
      <c r="N250" s="8">
        <f t="shared" ca="1" si="23"/>
        <v>6.5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19</v>
      </c>
      <c r="Q250" s="1">
        <f ca="1">IF(ISERROR(F239),"",VLOOKUP(B239,INDIRECT($F$8),7+(O250-1)*3))</f>
        <v>13</v>
      </c>
      <c r="R250" s="1">
        <f ca="1">IF(ISERROR(F239),"",SUM(P250:Q250))</f>
        <v>32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CSP 001</v>
      </c>
      <c r="B251" s="31" t="str">
        <f ca="1">IF(ISERROR(F239),"",VLOOKUP(D239,INDIRECT($F$8),6+(O251-1)*3-Z251,0))</f>
        <v>Programming for Problem Solving Lab</v>
      </c>
      <c r="C251" s="31"/>
      <c r="D251" s="31"/>
      <c r="E251" s="31"/>
      <c r="F251" s="7">
        <f ca="1">IF(ISERROR(F239),"",VLOOKUP(E239,INDIRECT($F$8),6+(O251-1)*3,0))</f>
        <v>1</v>
      </c>
      <c r="G251" s="29" t="str">
        <f ca="1">IF(ISERROR(F239),"",_xlfn.TEXTJOIN("/",FALSE,P251,S251))</f>
        <v>17/25</v>
      </c>
      <c r="H251" s="29"/>
      <c r="I251" s="29" t="str">
        <f ca="1">IF(ISERROR(F239),"",_xlfn.TEXTJOIN("/",FALSE,Q251,T251))</f>
        <v>17/25</v>
      </c>
      <c r="J251" s="29"/>
      <c r="K251" s="29" t="str">
        <f ca="1">IF(ISERROR(F239),"",_xlfn.TEXTJOIN("/",FALSE,R251,U251))</f>
        <v>34/50</v>
      </c>
      <c r="L251" s="29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C</v>
      </c>
      <c r="N251" s="8">
        <f t="shared" ca="1" si="23"/>
        <v>7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17</v>
      </c>
      <c r="Q251" s="1">
        <f ca="1">IF(ISERROR(F239),"",VLOOKUP(B239,INDIRECT($F$8),7+(O251-1)*3))</f>
        <v>17</v>
      </c>
      <c r="R251" s="1">
        <f ca="1">IF(ISERROR(F239),"",SUM(P251:Q251))</f>
        <v>34</v>
      </c>
      <c r="S251" s="1">
        <f ca="1">IF(ISERROR(F239),"",VLOOKUP(A239,INDIRECT($F$8),6+(O251-1)*3))</f>
        <v>25</v>
      </c>
      <c r="T251" s="1">
        <f ca="1">IF(ISERROR(F239),"",VLOOKUP(A239,INDIRECT($F$8),7+(O251-1)*3))</f>
        <v>25</v>
      </c>
      <c r="U251" s="1">
        <f ca="1">IF(ISERROR(F239),"",VLOOKUP(A239,INDIRECT($F$8),8+(O251-1)*3))</f>
        <v>50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MEP 002</v>
      </c>
      <c r="B252" s="31" t="str">
        <f ca="1">IF(ISERROR(F239),"",VLOOKUP(D239,INDIRECT($F$8),6+(O252-1)*3-Z252,0))</f>
        <v>Engineering Graphics &amp; Design Lab</v>
      </c>
      <c r="C252" s="31"/>
      <c r="D252" s="31"/>
      <c r="E252" s="31"/>
      <c r="F252" s="7">
        <f ca="1">IF(ISERROR(F239),"",VLOOKUP(E239,INDIRECT($F$8),6+(O252-1)*3,0))</f>
        <v>2</v>
      </c>
      <c r="G252" s="29" t="str">
        <f ca="1">IF(ISERROR(F239),"",_xlfn.TEXTJOIN("/",FALSE,P252,S252))</f>
        <v>42/50</v>
      </c>
      <c r="H252" s="29"/>
      <c r="I252" s="29" t="str">
        <f ca="1">IF(ISERROR(F239),"",_xlfn.TEXTJOIN("/",FALSE,Q252,T252))</f>
        <v>42/50</v>
      </c>
      <c r="J252" s="29"/>
      <c r="K252" s="29" t="str">
        <f ca="1">IF(ISERROR(F239),"",_xlfn.TEXTJOIN("/",FALSE,R252,U252))</f>
        <v>84/100</v>
      </c>
      <c r="L252" s="29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B+</v>
      </c>
      <c r="N252" s="8">
        <f t="shared" ca="1" si="23"/>
        <v>8.5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42</v>
      </c>
      <c r="Q252" s="1">
        <f ca="1">IF(ISERROR(F239),"",VLOOKUP(B239,INDIRECT($F$8),7+(O252-1)*3))</f>
        <v>42</v>
      </c>
      <c r="R252" s="1">
        <f ca="1">IF(ISERROR(F239),"",SUM(P252:Q252))</f>
        <v>84</v>
      </c>
      <c r="S252" s="1">
        <f ca="1">IF(ISERROR(F239),"",VLOOKUP(A239,INDIRECT($F$8),6+(O252-1)*3))</f>
        <v>50</v>
      </c>
      <c r="T252" s="1">
        <f ca="1">IF(ISERROR(F239),"",VLOOKUP(A239,INDIRECT($F$8),7+(O252-1)*3))</f>
        <v>50</v>
      </c>
      <c r="U252" s="1">
        <f ca="1">IF(ISERROR(F239),"",VLOOKUP(A239,INDIRECT($F$8),8+(O252-1)*3))</f>
        <v>100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AHP 003</v>
      </c>
      <c r="B253" s="31" t="str">
        <f ca="1">IF(ISERROR(F239),"",VLOOKUP(D239,INDIRECT($F$8),6+(O253-1)*3,0))</f>
        <v>Introduction to Digital Marketing Lab</v>
      </c>
      <c r="C253" s="31"/>
      <c r="D253" s="31"/>
      <c r="E253" s="31"/>
      <c r="F253" s="7">
        <f ca="1">IF(ISERROR(F239),"",VLOOKUP(E239,INDIRECT($F$8),6+(O253-1)*3,0))</f>
        <v>1</v>
      </c>
      <c r="G253" s="29" t="str">
        <f ca="1">IF(ISERROR(F239),"",_xlfn.TEXTJOIN("/",FALSE,P253,S253))</f>
        <v>19/25</v>
      </c>
      <c r="H253" s="29"/>
      <c r="I253" s="29" t="str">
        <f ca="1">IF(ISERROR(F239),"",_xlfn.TEXTJOIN("/",FALSE,Q253,T253))</f>
        <v>21/25</v>
      </c>
      <c r="J253" s="29"/>
      <c r="K253" s="29" t="str">
        <f ca="1">IF(ISERROR(F239),"",_xlfn.TEXTJOIN("/",FALSE,R253,U253))</f>
        <v>40/50</v>
      </c>
      <c r="L253" s="29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B+</v>
      </c>
      <c r="N253" s="8">
        <f t="shared" ca="1" si="23"/>
        <v>8.5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19</v>
      </c>
      <c r="Q253" s="1">
        <f ca="1">IF(ISERROR(F239),"",VLOOKUP(B239,INDIRECT($F$8),7+(O253-1)*3))</f>
        <v>21</v>
      </c>
      <c r="R253" s="1">
        <f ca="1">IF(ISERROR(F239),"",SUM(P253:Q253))</f>
        <v>40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005</v>
      </c>
      <c r="B254" s="31" t="str">
        <f ca="1">IF(ISERROR(F239),"",VLOOKUP(D239,INDIRECT($F$8),6+(O254-1)*3,0))</f>
        <v>Self Employment &amp; Entrepreneurship Development</v>
      </c>
      <c r="C254" s="31"/>
      <c r="D254" s="31"/>
      <c r="E254" s="31"/>
      <c r="F254" s="7">
        <f ca="1">IF(ISERROR(F239),"",VLOOKUP(E239,INDIRECT($F$8),6+(O254-1)*3,0))</f>
        <v>1</v>
      </c>
      <c r="G254" s="29" t="str">
        <f ca="1">IF(ISERROR(F239),"",_xlfn.TEXTJOIN("/",FALSE,P254,S254))</f>
        <v>18/25</v>
      </c>
      <c r="H254" s="29"/>
      <c r="I254" s="29" t="str">
        <f ca="1">IF(ISERROR(F239),"",_xlfn.TEXTJOIN("/",FALSE,Q254,T254))</f>
        <v>23/25</v>
      </c>
      <c r="J254" s="29"/>
      <c r="K254" s="29" t="str">
        <f ca="1">IF(ISERROR(F239),"",_xlfn.TEXTJOIN("/",FALSE,R254,U254))</f>
        <v>41/50</v>
      </c>
      <c r="L254" s="29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B+</v>
      </c>
      <c r="N254" s="8">
        <f t="shared" ca="1" si="23"/>
        <v>8.5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18</v>
      </c>
      <c r="Q254" s="1">
        <f ca="1">IF(ISERROR(F239),"",VLOOKUP(B239,INDIRECT($F$8),7+(O254-1)*3))</f>
        <v>23</v>
      </c>
      <c r="R254" s="1">
        <f ca="1">IF(ISERROR(F239),"",SUM(P254:Q254))</f>
        <v>41</v>
      </c>
      <c r="S254" s="1">
        <f ca="1">IF(ISERROR(F239),"",VLOOKUP(A239,INDIRECT($F$8),6+(O254-1)*3))</f>
        <v>25</v>
      </c>
      <c r="T254" s="1">
        <f ca="1">IF(ISERROR(F239),"",VLOOKUP(A239,INDIRECT($F$8),7+(O254-1)*3))</f>
        <v>25</v>
      </c>
      <c r="U254" s="1">
        <f ca="1">IF(ISERROR(F239),"",VLOOKUP(A239,INDIRECT($F$8),8+(O254-1)*3))</f>
        <v>50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31" t="str">
        <f ca="1">IF(ISERROR(F239),"",VLOOKUP(D239,INDIRECT($F$8),6+(O255-1)*3-Z255,0))</f>
        <v>General Proficiency ($)</v>
      </c>
      <c r="C255" s="31"/>
      <c r="D255" s="31"/>
      <c r="E255" s="31"/>
      <c r="F255" s="7">
        <f ca="1">IF(ISERROR(F239),"",VLOOKUP(E239,INDIRECT($F$8),6+(O255-1)*3-AA255,0))</f>
        <v>0</v>
      </c>
      <c r="G255" s="29" t="str">
        <f ca="1">IF(ISERROR(F239),"","-")</f>
        <v>-</v>
      </c>
      <c r="H255" s="29"/>
      <c r="I255" s="29" t="str">
        <f ca="1">IF(ISERROR(F239),"",_xlfn.TEXTJOIN("/",FALSE,Q255,T255))</f>
        <v>49/50</v>
      </c>
      <c r="J255" s="29"/>
      <c r="K255" s="29" t="str">
        <f ca="1">IF(ISERROR(F239),"",_xlfn.TEXTJOIN("/",FALSE,R255,U255))</f>
        <v>49/50</v>
      </c>
      <c r="L255" s="29"/>
      <c r="M255" s="29" t="str">
        <f ca="1">IF(ISBLANK(R255),"",IF(ISTEXT(R255),R255,IF(R255&gt;=0.8*U255,"Excellent",IF(R255&gt;=0.6*U255,"Very Good",IF(R255&gt;=0.4*U255,"Good",IF(R255&gt;=0.2*U255,"Satisfactory","Average"))))))</f>
        <v>Excellent</v>
      </c>
      <c r="N255" s="29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49</v>
      </c>
      <c r="R255" s="1">
        <f ca="1">IF(ISERROR(F239),"",SUM(P255:Q255))</f>
        <v>49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7" t="str">
        <f ca="1">IF(ISERROR(F239),"",A235)</f>
        <v>Total Credits/ Marks/ Total Grade Points</v>
      </c>
      <c r="B256" s="27"/>
      <c r="C256" s="27"/>
      <c r="D256" s="27"/>
      <c r="E256" s="27"/>
      <c r="F256" s="10">
        <f ca="1">IF(ISERROR(F239),"",SUM(F244:F254))</f>
        <v>23</v>
      </c>
      <c r="G256" s="30" t="str">
        <f ca="1">IF(ISERROR(F239),"",_xlfn.TEXTJOIN("/",TRUE,SUMIF(F244:F255,"&gt;0",P244:P255),SUMIF(F244:F255,"&gt;0",S244:S255)))</f>
        <v>149/575</v>
      </c>
      <c r="H256" s="30"/>
      <c r="I256" s="30" t="str">
        <f ca="1">IF(ISERROR(F239),"",_xlfn.TEXTJOIN("/",TRUE,SUMIF(F244:F255,"&gt;0",Q244:Q255),SUMIF(F244:F255,"&gt;0",T244:T255)))</f>
        <v>213/375</v>
      </c>
      <c r="J256" s="30"/>
      <c r="K256" s="30" t="str">
        <f ca="1">IF(ISERROR(F239),"",_xlfn.TEXTJOIN("/",TRUE,SUMIF(F244:F255,"&gt;0",R244:R255),SUMIF(F244:F255,"&gt;0",U244:U255)))</f>
        <v>362/950</v>
      </c>
      <c r="L256" s="30"/>
      <c r="M256" s="27">
        <f ca="1">IF(ISERROR(F239),"",SUMPRODUCT(N244:N254,F244:F254))</f>
        <v>56</v>
      </c>
      <c r="N256" s="27"/>
      <c r="V256" s="1" t="str">
        <f ca="1">IF(ISERROR(F239),"",_xlfn.TEXTJOIN(", ",TRUE,V244:V255))</f>
        <v>AHT 001, AHT 003, EET 001, CST 001</v>
      </c>
      <c r="W256" t="b">
        <f ca="1">IF(ISERROR(F239),"",IF(SUM(W244:W255)&lt;=W243,TRUE,FALSE))</f>
        <v>0</v>
      </c>
      <c r="X256" s="1" t="str">
        <f ca="1">IF(ISERROR(F239),"",_xlfn.TEXTJOIN(",",TRUE,X244:X255))</f>
        <v xml:space="preserve"> G+11 in AHT 001, G+11 in AHT 003, G+11 in EET 001, G+11 in CST 001</v>
      </c>
    </row>
    <row r="257" spans="1:24" ht="12" customHeight="1" x14ac:dyDescent="0.2">
      <c r="A257" s="27" t="str">
        <f ca="1">IF(ISERROR(F239),"",A236)</f>
        <v>Result:</v>
      </c>
      <c r="B257" s="26" t="str" cm="1">
        <f t="array" aca="1" ref="B257" ca="1">IF(SUM(COUNTIF(M244:M254,{"Ab","Dt"}))=11, "Not Promoted to IInd Semester", IF(V256="", "PASS", "CARRY OVER"))</f>
        <v>CARRY OVER</v>
      </c>
      <c r="C257" s="26"/>
      <c r="D257" s="27" t="str">
        <f ca="1">IF(ISERROR(F239),"",D236)</f>
        <v>Remark:</v>
      </c>
      <c r="E257" s="26" t="str">
        <f ca="1">IF(ISERROR(F239),"",IF(V256="",IF(X256="","",X256),_xlfn.TEXTJOIN(" ",TRUE,"BACK IN",V256)))</f>
        <v>BACK IN AHT 001, AHT 003, EET 001, CST 001</v>
      </c>
      <c r="F257" s="26"/>
      <c r="G257" s="27" t="str">
        <f ca="1">IF(ISERROR(F239),"",G236)</f>
        <v>SGPA:</v>
      </c>
      <c r="H257" s="28">
        <f ca="1">IF(ISERROR(F239),"",M256/F256)</f>
        <v>2.4347826086956523</v>
      </c>
      <c r="I257" s="27" t="str">
        <f ca="1">IF(ISERROR(F239),"",I236)</f>
        <v>CGPA:</v>
      </c>
      <c r="J257" s="28">
        <f ca="1">IF(ISERROR(F239),"",VLOOKUP(B239,INDIRECT($F$8),12+(O255-1)*3,0))</f>
        <v>2.4347826086956523</v>
      </c>
      <c r="K257" s="26" t="str">
        <f ca="1">IF(ISERROR(F239),"",K236)</f>
        <v>Earned Credits:</v>
      </c>
      <c r="L257" s="27">
        <f ca="1">IF(ISERROR(F239),"",SUMIF(N244:N254,"&gt;0",F244:F254))</f>
        <v>7</v>
      </c>
      <c r="M257" s="26" t="str">
        <f ca="1">IF(ISERROR(F239),"",M236)</f>
        <v>Cuml. Earned Credits:</v>
      </c>
      <c r="N257" s="27">
        <f ca="1">IF(ISERROR(F239),"",VLOOKUP(B239,INDIRECT($F$8),10+(O255-1)*3,0))</f>
        <v>7</v>
      </c>
    </row>
    <row r="258" spans="1:24" ht="12" customHeight="1" x14ac:dyDescent="0.2">
      <c r="A258" s="27"/>
      <c r="B258" s="26"/>
      <c r="C258" s="26"/>
      <c r="D258" s="27"/>
      <c r="E258" s="26"/>
      <c r="F258" s="26"/>
      <c r="G258" s="27"/>
      <c r="H258" s="28"/>
      <c r="I258" s="27"/>
      <c r="J258" s="28"/>
      <c r="K258" s="26"/>
      <c r="L258" s="27"/>
      <c r="M258" s="26"/>
      <c r="N258" s="27"/>
    </row>
    <row r="259" spans="1:24" ht="12" customHeight="1" x14ac:dyDescent="0.2">
      <c r="A259" s="27"/>
      <c r="B259" s="26"/>
      <c r="C259" s="26"/>
      <c r="D259" s="27"/>
      <c r="E259" s="26"/>
      <c r="F259" s="26"/>
      <c r="G259" s="27"/>
      <c r="H259" s="28"/>
      <c r="I259" s="27"/>
      <c r="J259" s="28"/>
      <c r="K259" s="26"/>
      <c r="L259" s="27"/>
      <c r="M259" s="26"/>
      <c r="N259" s="27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PRIYANSHU RANA</v>
      </c>
    </row>
    <row r="261" spans="1:24" ht="12" customHeight="1" x14ac:dyDescent="0.2">
      <c r="A261" s="24" t="str">
        <f ca="1">IF(ISERROR(F260),"",A240)</f>
        <v>Name:</v>
      </c>
      <c r="B261" s="24" t="str">
        <f ca="1">IFERROR(VLOOKUP(B260,INDIRECT($F$8),4,0),"")</f>
        <v>PRIYANSHU RANA</v>
      </c>
      <c r="C261" s="24"/>
      <c r="D261" s="24" t="str">
        <f ca="1">IF(ISERROR(F260),"",D240)</f>
        <v>Father's Name:</v>
      </c>
      <c r="E261" s="24" t="str">
        <f ca="1">IFERROR(VLOOKUP(B260,INDIRECT($F$8),5,0),"")</f>
        <v>MR. PRADEEP SING RANA</v>
      </c>
      <c r="F261" s="24"/>
      <c r="G261" s="24" t="str">
        <f ca="1">IF(ISERROR(F260),"",G240)</f>
        <v>University Roll No:</v>
      </c>
      <c r="H261" s="24"/>
      <c r="I261" s="25">
        <f ca="1">IFERROR(VLOOKUP(B260,INDIRECT($F$8),2,0),"")</f>
        <v>250090111013</v>
      </c>
      <c r="J261" s="25"/>
      <c r="K261" s="24" t="str">
        <f ca="1">IF(ISERROR(F260),"",K240)</f>
        <v>University Enrol. No:</v>
      </c>
      <c r="L261" s="24"/>
      <c r="M261" s="25" t="str">
        <f ca="1">IFERROR(VLOOKUP(B260,INDIRECT($F$8),3,0),"")</f>
        <v>UTU/2501104093</v>
      </c>
      <c r="N261" s="25"/>
    </row>
    <row r="262" spans="1:24" ht="12" customHeight="1" x14ac:dyDescent="0.2">
      <c r="A262" s="24"/>
      <c r="B262" s="24"/>
      <c r="C262" s="24"/>
      <c r="D262" s="24"/>
      <c r="E262" s="24"/>
      <c r="F262" s="24"/>
      <c r="G262" s="24"/>
      <c r="H262" s="24"/>
      <c r="I262" s="25"/>
      <c r="J262" s="25"/>
      <c r="K262" s="24"/>
      <c r="L262" s="24"/>
      <c r="M262" s="25"/>
      <c r="N262" s="25"/>
    </row>
    <row r="263" spans="1:24" ht="12" customHeight="1" x14ac:dyDescent="0.2">
      <c r="A263" s="26" t="str">
        <f ca="1">IF(ISERROR(F260),"",A242)</f>
        <v>Subject Code</v>
      </c>
      <c r="B263" s="26" t="str">
        <f ca="1">IF(ISERROR(F260),"",B242)</f>
        <v>Subject Name</v>
      </c>
      <c r="C263" s="26"/>
      <c r="D263" s="26"/>
      <c r="E263" s="26"/>
      <c r="F263" s="26" t="str">
        <f ca="1">IF(ISERROR(F260),"",F242)</f>
        <v>Credits</v>
      </c>
      <c r="G263" s="26" t="str">
        <f ca="1">IF(ISERROR(F260),"",G242)</f>
        <v>External Marks</v>
      </c>
      <c r="H263" s="26"/>
      <c r="I263" s="26" t="str">
        <f ca="1">IF(ISERROR(F260),"",I242)</f>
        <v>Sessional Marks</v>
      </c>
      <c r="J263" s="26"/>
      <c r="K263" s="26" t="str">
        <f ca="1">IF(ISERROR(F260),"",K242)</f>
        <v>Total Marks</v>
      </c>
      <c r="L263" s="26"/>
      <c r="M263" s="26" t="str">
        <f ca="1">IF(ISERROR(F260),"",M242)</f>
        <v>Grade</v>
      </c>
      <c r="N263" s="26" t="str">
        <f ca="1">IF(ISERROR(F260),"",N242)</f>
        <v>Grade Points</v>
      </c>
    </row>
    <row r="264" spans="1:24" ht="12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001</v>
      </c>
      <c r="B265" s="31" t="str">
        <f ca="1">IF(ISERROR(F260),"",VLOOKUP(D260,INDIRECT($F$8),6+(O265-1)*3,0))</f>
        <v>Engineering Physics</v>
      </c>
      <c r="C265" s="31"/>
      <c r="D265" s="31"/>
      <c r="E265" s="31"/>
      <c r="F265" s="7">
        <f ca="1">IF(ISERROR(F260),"",VLOOKUP(E260,INDIRECT($F$8),6+(O265-1)*3,0))</f>
        <v>4</v>
      </c>
      <c r="G265" s="29" t="str">
        <f ca="1">IF(ISERROR(F260),"",_xlfn.TEXTJOIN("/",FALSE,P265,S265))</f>
        <v>47/100</v>
      </c>
      <c r="H265" s="29"/>
      <c r="I265" s="29" t="str">
        <f ca="1">IF(ISERROR(F260),"",_xlfn.TEXTJOIN("/",FALSE,Q265,T265))</f>
        <v>16/50</v>
      </c>
      <c r="J265" s="29"/>
      <c r="K265" s="29" t="str">
        <f ca="1">IF(ISERROR(F260),"",_xlfn.TEXTJOIN("/",FALSE,R265,U265))</f>
        <v>63/150</v>
      </c>
      <c r="L265" s="29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P</v>
      </c>
      <c r="N265" s="8">
        <f ca="1">INDEX($Z$2:$Z$17,MATCH(M265,$Y$2:$Y$17,0))</f>
        <v>4.5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47</v>
      </c>
      <c r="Q265" s="1">
        <f ca="1">IF(ISERROR(F260),"",VLOOKUP(B260,INDIRECT($F$8),7+(O265-1)*3))</f>
        <v>16</v>
      </c>
      <c r="R265" s="1">
        <f ca="1">IF(ISERROR(F260),"",SUM(P265:Q265))</f>
        <v>63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31" t="str">
        <f ca="1">IF(ISERROR(F260),"",VLOOKUP(D260,INDIRECT($F$8),6+(O266-1)*3,0))</f>
        <v>Introduction to Engineering Mathematics</v>
      </c>
      <c r="C266" s="31"/>
      <c r="D266" s="31"/>
      <c r="E266" s="31"/>
      <c r="F266" s="7">
        <f ca="1">IF(ISERROR(F260),"",VLOOKUP(E260,INDIRECT($F$8),6+(O266-1)*3,0))</f>
        <v>4</v>
      </c>
      <c r="G266" s="29" t="str">
        <f ca="1">IF(ISERROR(F260),"",_xlfn.TEXTJOIN("/",FALSE,P266,S266))</f>
        <v>7/100</v>
      </c>
      <c r="H266" s="29"/>
      <c r="I266" s="29" t="str">
        <f ca="1">IF(ISERROR(F260),"",_xlfn.TEXTJOIN("/",FALSE,Q266,T266))</f>
        <v>17/50</v>
      </c>
      <c r="J266" s="29"/>
      <c r="K266" s="29" t="str">
        <f ca="1">IF(ISERROR(F260),"",_xlfn.TEXTJOIN("/",FALSE,R266,U266))</f>
        <v>24/150</v>
      </c>
      <c r="L266" s="29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F</v>
      </c>
      <c r="N266" s="8">
        <f t="shared" ref="N266:N275" ca="1" si="25">INDEX($Z$2:$Z$17,MATCH(M266,$Y$2:$Y$17,0))</f>
        <v>0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7</v>
      </c>
      <c r="Q266" s="1">
        <f ca="1">IF(ISERROR(F260),"",VLOOKUP(B260,INDIRECT($F$8),7+(O266-1)*3))</f>
        <v>17</v>
      </c>
      <c r="R266" s="1">
        <f ca="1">IF(ISERROR(F260),"",SUM(P266:Q266))</f>
        <v>24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>AHT 003</v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11</v>
      </c>
      <c r="X266" s="1" t="str">
        <f ca="1">IF(ISERROR(F260),"",IF(W266=0,"",_xlfn.TEXTJOIN("",FALSE," G+",W266," in ",A266)))</f>
        <v xml:space="preserve"> G+11 in AHT 003</v>
      </c>
    </row>
    <row r="267" spans="1:24" ht="12" customHeight="1" x14ac:dyDescent="0.2">
      <c r="A267" s="7" t="str">
        <f ca="1">IF(ISERROR(F260),"",VLOOKUP(C260,INDIRECT($F$8),6+(O267-1)*3,0))</f>
        <v>EET 001</v>
      </c>
      <c r="B267" s="31" t="str">
        <f ca="1">IF(ISERROR(F260),"",VLOOKUP(D260,INDIRECT($F$8),6+(O267-1)*3,0))</f>
        <v>Basic Electrical Engineering</v>
      </c>
      <c r="C267" s="31"/>
      <c r="D267" s="31"/>
      <c r="E267" s="31"/>
      <c r="F267" s="7">
        <f ca="1">IF(ISERROR(F260),"",VLOOKUP(E260,INDIRECT($F$8),6+(O267-1)*3,0))</f>
        <v>4</v>
      </c>
      <c r="G267" s="29" t="str">
        <f ca="1">IF(ISERROR(F260),"",_xlfn.TEXTJOIN("/",FALSE,P267,S267))</f>
        <v>30/100</v>
      </c>
      <c r="H267" s="29"/>
      <c r="I267" s="29" t="str">
        <f ca="1">IF(ISERROR(F260),"",_xlfn.TEXTJOIN("/",FALSE,Q267,T267))</f>
        <v>30/50</v>
      </c>
      <c r="J267" s="29"/>
      <c r="K267" s="29" t="str">
        <f ca="1">IF(ISERROR(F260),"",_xlfn.TEXTJOIN("/",FALSE,R267,U267))</f>
        <v>60/150</v>
      </c>
      <c r="L267" s="29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P</v>
      </c>
      <c r="N267" s="8">
        <f t="shared" ca="1" si="25"/>
        <v>4.5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30</v>
      </c>
      <c r="Q267" s="1">
        <f ca="1">IF(ISERROR(F260),"",VLOOKUP(B260,INDIRECT($F$8),7+(O267-1)*3))</f>
        <v>30</v>
      </c>
      <c r="R267" s="1">
        <f ca="1">IF(ISERROR(F260),"",SUM(P267:Q267))</f>
        <v>60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CST 001</v>
      </c>
      <c r="B268" s="31" t="str">
        <f ca="1">IF(ISERROR(F260),"",VLOOKUP(D260,INDIRECT($F$8),6+(O268-1)*3,0))</f>
        <v>Programming for Problem Solving</v>
      </c>
      <c r="C268" s="31"/>
      <c r="D268" s="31"/>
      <c r="E268" s="31"/>
      <c r="F268" s="7">
        <f ca="1">IF(ISERROR(F260),"",VLOOKUP(E260,INDIRECT($F$8),6+(O268-1)*3,0))</f>
        <v>4</v>
      </c>
      <c r="G268" s="29" t="str">
        <f ca="1">IF(ISERROR(F260),"",_xlfn.TEXTJOIN("/",FALSE,P268,S268))</f>
        <v>14/100</v>
      </c>
      <c r="H268" s="29"/>
      <c r="I268" s="29" t="str">
        <f ca="1">IF(ISERROR(F260),"",_xlfn.TEXTJOIN("/",FALSE,Q268,T268))</f>
        <v>28/50</v>
      </c>
      <c r="J268" s="29"/>
      <c r="K268" s="29" t="str">
        <f ca="1">IF(ISERROR(F260),"",_xlfn.TEXTJOIN("/",FALSE,R268,U268))</f>
        <v>42/150</v>
      </c>
      <c r="L268" s="29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F</v>
      </c>
      <c r="N268" s="8">
        <f t="shared" ca="1" si="25"/>
        <v>0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14</v>
      </c>
      <c r="Q268" s="1">
        <f ca="1">IF(ISERROR(F260),"",VLOOKUP(B260,INDIRECT($F$8),7+(O268-1)*3))</f>
        <v>28</v>
      </c>
      <c r="R268" s="1">
        <f ca="1">IF(ISERROR(F260),"",SUM(P268:Q268))</f>
        <v>42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>CST 001</v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11</v>
      </c>
      <c r="X268" s="1" t="str">
        <f ca="1">IF(ISERROR(F260),"",IF(W268=0,"",_xlfn.TEXTJOIN("",FALSE," G+",W268," in ",A268)))</f>
        <v xml:space="preserve"> G+11 in CST 001</v>
      </c>
    </row>
    <row r="269" spans="1:24" ht="12" customHeight="1" x14ac:dyDescent="0.2">
      <c r="A269" s="7" t="str">
        <f ca="1">IF(ISERROR(F260),"",VLOOKUP(C260,INDIRECT($F$8),6+(O269-1)*3,0))</f>
        <v>AHT 004</v>
      </c>
      <c r="B269" s="31" t="str">
        <f ca="1">IF(ISERROR(F260),"",VLOOKUP(D260,INDIRECT($F$8),6+(O269-1)*3,0))</f>
        <v>Environmental Studies ($)</v>
      </c>
      <c r="C269" s="31"/>
      <c r="D269" s="31"/>
      <c r="E269" s="31"/>
      <c r="F269" s="7">
        <f ca="1">IF(ISERROR(F260),"",VLOOKUP(E260,INDIRECT($F$8),6+(O269-1)*3,0))</f>
        <v>0</v>
      </c>
      <c r="G269" s="29" t="str">
        <f ca="1">IF(ISERROR(F260),"",_xlfn.TEXTJOIN("/",FALSE,P269,S269))</f>
        <v>24/50</v>
      </c>
      <c r="H269" s="29"/>
      <c r="I269" s="29" t="str">
        <f ca="1">IF(ISERROR(F260),"",_xlfn.TEXTJOIN("/",FALSE,Q269,T269))</f>
        <v>13/25</v>
      </c>
      <c r="J269" s="29"/>
      <c r="K269" s="29" t="str">
        <f ca="1">IF(ISERROR(F260),"",_xlfn.TEXTJOIN("/",FALSE,R269,U269))</f>
        <v>37/75</v>
      </c>
      <c r="L269" s="29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E</v>
      </c>
      <c r="N269" s="8">
        <f t="shared" ca="1" si="25"/>
        <v>5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24</v>
      </c>
      <c r="Q269" s="1">
        <f ca="1">IF(ISERROR(F260),"",VLOOKUP(B260,INDIRECT($F$8),7+(O269-1)*3))</f>
        <v>13</v>
      </c>
      <c r="R269" s="1">
        <f ca="1">IF(ISERROR(F260),"",SUM(P269:Q269))</f>
        <v>37</v>
      </c>
      <c r="S269" s="1">
        <f ca="1">IF(ISERROR(F260),"",VLOOKUP(A260,INDIRECT($F$8),6+(O269-1)*3))</f>
        <v>50</v>
      </c>
      <c r="T269" s="1">
        <f ca="1">IF(ISERROR(F260),"",VLOOKUP(A260,INDIRECT($F$8),7+(O269-1)*3))</f>
        <v>25</v>
      </c>
      <c r="U269" s="1">
        <f ca="1">IF(ISERROR(F260),"",VLOOKUP(A260,INDIRECT($F$8),8+(O269-1)*3))</f>
        <v>75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AHP 001</v>
      </c>
      <c r="B270" s="31" t="str">
        <f ca="1">IF(ISERROR(F260),"",VLOOKUP(D260,INDIRECT($F$8),6+(O270-1)*3,0))</f>
        <v>Engineering Physics Lab</v>
      </c>
      <c r="C270" s="31"/>
      <c r="D270" s="31"/>
      <c r="E270" s="31"/>
      <c r="F270" s="7">
        <f ca="1">IF(ISERROR(F260),"",VLOOKUP(E260,INDIRECT($F$8),6+(O270-1)*3,0))</f>
        <v>1</v>
      </c>
      <c r="G270" s="29" t="str">
        <f ca="1">IF(ISERROR(F260),"",_xlfn.TEXTJOIN("/",FALSE,P270,S270))</f>
        <v>16/25</v>
      </c>
      <c r="H270" s="29"/>
      <c r="I270" s="29" t="str">
        <f ca="1">IF(ISERROR(F260),"",_xlfn.TEXTJOIN("/",FALSE,Q270,T270))</f>
        <v>21/25</v>
      </c>
      <c r="J270" s="29"/>
      <c r="K270" s="29" t="str">
        <f ca="1">IF(ISERROR(F260),"",_xlfn.TEXTJOIN("/",FALSE,R270,U270))</f>
        <v>37/50</v>
      </c>
      <c r="L270" s="29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C+</v>
      </c>
      <c r="N270" s="8">
        <f t="shared" ca="1" si="25"/>
        <v>7.5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16</v>
      </c>
      <c r="Q270" s="1">
        <f ca="1">IF(ISERROR(F260),"",VLOOKUP(B260,INDIRECT($F$8),7+(O270-1)*3))</f>
        <v>21</v>
      </c>
      <c r="R270" s="1">
        <f ca="1">IF(ISERROR(F260),"",SUM(P270:Q270))</f>
        <v>37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EEP 001</v>
      </c>
      <c r="B271" s="31" t="str">
        <f ca="1">IF(ISERROR(F260),"",VLOOKUP(D260,INDIRECT($F$8),6+(O271-1)*3,0))</f>
        <v>Basic Electrical Engineering Lab</v>
      </c>
      <c r="C271" s="31"/>
      <c r="D271" s="31"/>
      <c r="E271" s="31"/>
      <c r="F271" s="7">
        <f ca="1">IF(ISERROR(F260),"",VLOOKUP(E260,INDIRECT($F$8),6+(O271-1)*3,0))</f>
        <v>1</v>
      </c>
      <c r="G271" s="29" t="str">
        <f ca="1">IF(ISERROR(F260),"",_xlfn.TEXTJOIN("/",FALSE,P271,S271))</f>
        <v>17/25</v>
      </c>
      <c r="H271" s="29"/>
      <c r="I271" s="29" t="str">
        <f ca="1">IF(ISERROR(F260),"",_xlfn.TEXTJOIN("/",FALSE,Q271,T271))</f>
        <v>18/25</v>
      </c>
      <c r="J271" s="29"/>
      <c r="K271" s="29" t="str">
        <f ca="1">IF(ISERROR(F260),"",_xlfn.TEXTJOIN("/",FALSE,R271,U271))</f>
        <v>35/50</v>
      </c>
      <c r="L271" s="29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C+</v>
      </c>
      <c r="N271" s="8">
        <f t="shared" ca="1" si="25"/>
        <v>7.5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17</v>
      </c>
      <c r="Q271" s="1">
        <f ca="1">IF(ISERROR(F260),"",VLOOKUP(B260,INDIRECT($F$8),7+(O271-1)*3))</f>
        <v>18</v>
      </c>
      <c r="R271" s="1">
        <f ca="1">IF(ISERROR(F260),"",SUM(P271:Q271))</f>
        <v>35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CSP 001</v>
      </c>
      <c r="B272" s="31" t="str">
        <f ca="1">IF(ISERROR(F260),"",VLOOKUP(D260,INDIRECT($F$8),6+(O272-1)*3-Z272,0))</f>
        <v>Programming for Problem Solving Lab</v>
      </c>
      <c r="C272" s="31"/>
      <c r="D272" s="31"/>
      <c r="E272" s="31"/>
      <c r="F272" s="7">
        <f ca="1">IF(ISERROR(F260),"",VLOOKUP(E260,INDIRECT($F$8),6+(O272-1)*3,0))</f>
        <v>1</v>
      </c>
      <c r="G272" s="29" t="str">
        <f ca="1">IF(ISERROR(F260),"",_xlfn.TEXTJOIN("/",FALSE,P272,S272))</f>
        <v>19/25</v>
      </c>
      <c r="H272" s="29"/>
      <c r="I272" s="29" t="str">
        <f ca="1">IF(ISERROR(F260),"",_xlfn.TEXTJOIN("/",FALSE,Q272,T272))</f>
        <v>18/25</v>
      </c>
      <c r="J272" s="29"/>
      <c r="K272" s="29" t="str">
        <f ca="1">IF(ISERROR(F260),"",_xlfn.TEXTJOIN("/",FALSE,R272,U272))</f>
        <v>37/50</v>
      </c>
      <c r="L272" s="29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C+</v>
      </c>
      <c r="N272" s="8">
        <f t="shared" ca="1" si="25"/>
        <v>7.5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19</v>
      </c>
      <c r="Q272" s="1">
        <f ca="1">IF(ISERROR(F260),"",VLOOKUP(B260,INDIRECT($F$8),7+(O272-1)*3))</f>
        <v>18</v>
      </c>
      <c r="R272" s="1">
        <f ca="1">IF(ISERROR(F260),"",SUM(P272:Q272))</f>
        <v>37</v>
      </c>
      <c r="S272" s="1">
        <f ca="1">IF(ISERROR(F260),"",VLOOKUP(A260,INDIRECT($F$8),6+(O272-1)*3))</f>
        <v>25</v>
      </c>
      <c r="T272" s="1">
        <f ca="1">IF(ISERROR(F260),"",VLOOKUP(A260,INDIRECT($F$8),7+(O272-1)*3))</f>
        <v>25</v>
      </c>
      <c r="U272" s="1">
        <f ca="1">IF(ISERROR(F260),"",VLOOKUP(A260,INDIRECT($F$8),8+(O272-1)*3))</f>
        <v>50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MEP 002</v>
      </c>
      <c r="B273" s="31" t="str">
        <f ca="1">IF(ISERROR(F260),"",VLOOKUP(D260,INDIRECT($F$8),6+(O273-1)*3-Z273,0))</f>
        <v>Engineering Graphics &amp; Design Lab</v>
      </c>
      <c r="C273" s="31"/>
      <c r="D273" s="31"/>
      <c r="E273" s="31"/>
      <c r="F273" s="7">
        <f ca="1">IF(ISERROR(F260),"",VLOOKUP(E260,INDIRECT($F$8),6+(O273-1)*3,0))</f>
        <v>2</v>
      </c>
      <c r="G273" s="29" t="str">
        <f ca="1">IF(ISERROR(F260),"",_xlfn.TEXTJOIN("/",FALSE,P273,S273))</f>
        <v>40/50</v>
      </c>
      <c r="H273" s="29"/>
      <c r="I273" s="29" t="str">
        <f ca="1">IF(ISERROR(F260),"",_xlfn.TEXTJOIN("/",FALSE,Q273,T273))</f>
        <v>38/50</v>
      </c>
      <c r="J273" s="29"/>
      <c r="K273" s="29" t="str">
        <f ca="1">IF(ISERROR(F260),"",_xlfn.TEXTJOIN("/",FALSE,R273,U273))</f>
        <v>78/100</v>
      </c>
      <c r="L273" s="29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B</v>
      </c>
      <c r="N273" s="8">
        <f t="shared" ca="1" si="25"/>
        <v>8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40</v>
      </c>
      <c r="Q273" s="1">
        <f ca="1">IF(ISERROR(F260),"",VLOOKUP(B260,INDIRECT($F$8),7+(O273-1)*3))</f>
        <v>38</v>
      </c>
      <c r="R273" s="1">
        <f ca="1">IF(ISERROR(F260),"",SUM(P273:Q273))</f>
        <v>78</v>
      </c>
      <c r="S273" s="1">
        <f ca="1">IF(ISERROR(F260),"",VLOOKUP(A260,INDIRECT($F$8),6+(O273-1)*3))</f>
        <v>50</v>
      </c>
      <c r="T273" s="1">
        <f ca="1">IF(ISERROR(F260),"",VLOOKUP(A260,INDIRECT($F$8),7+(O273-1)*3))</f>
        <v>50</v>
      </c>
      <c r="U273" s="1">
        <f ca="1">IF(ISERROR(F260),"",VLOOKUP(A260,INDIRECT($F$8),8+(O273-1)*3))</f>
        <v>100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AHP 003</v>
      </c>
      <c r="B274" s="31" t="str">
        <f ca="1">IF(ISERROR(F260),"",VLOOKUP(D260,INDIRECT($F$8),6+(O274-1)*3,0))</f>
        <v>Introduction to Digital Marketing Lab</v>
      </c>
      <c r="C274" s="31"/>
      <c r="D274" s="31"/>
      <c r="E274" s="31"/>
      <c r="F274" s="7">
        <f ca="1">IF(ISERROR(F260),"",VLOOKUP(E260,INDIRECT($F$8),6+(O274-1)*3,0))</f>
        <v>1</v>
      </c>
      <c r="G274" s="29" t="str">
        <f ca="1">IF(ISERROR(F260),"",_xlfn.TEXTJOIN("/",FALSE,P274,S274))</f>
        <v>16/25</v>
      </c>
      <c r="H274" s="29"/>
      <c r="I274" s="29" t="str">
        <f ca="1">IF(ISERROR(F260),"",_xlfn.TEXTJOIN("/",FALSE,Q274,T274))</f>
        <v>15/25</v>
      </c>
      <c r="J274" s="29"/>
      <c r="K274" s="29" t="str">
        <f ca="1">IF(ISERROR(F260),"",_xlfn.TEXTJOIN("/",FALSE,R274,U274))</f>
        <v>31/50</v>
      </c>
      <c r="L274" s="29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D+</v>
      </c>
      <c r="N274" s="8">
        <f t="shared" ca="1" si="25"/>
        <v>6.5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16</v>
      </c>
      <c r="Q274" s="1">
        <f ca="1">IF(ISERROR(F260),"",VLOOKUP(B260,INDIRECT($F$8),7+(O274-1)*3))</f>
        <v>15</v>
      </c>
      <c r="R274" s="1">
        <f ca="1">IF(ISERROR(F260),"",SUM(P274:Q274))</f>
        <v>31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005</v>
      </c>
      <c r="B275" s="31" t="str">
        <f ca="1">IF(ISERROR(F260),"",VLOOKUP(D260,INDIRECT($F$8),6+(O275-1)*3,0))</f>
        <v>Self Employment &amp; Entrepreneurship Development</v>
      </c>
      <c r="C275" s="31"/>
      <c r="D275" s="31"/>
      <c r="E275" s="31"/>
      <c r="F275" s="7">
        <f ca="1">IF(ISERROR(F260),"",VLOOKUP(E260,INDIRECT($F$8),6+(O275-1)*3,0))</f>
        <v>1</v>
      </c>
      <c r="G275" s="29" t="str">
        <f ca="1">IF(ISERROR(F260),"",_xlfn.TEXTJOIN("/",FALSE,P275,S275))</f>
        <v>18/25</v>
      </c>
      <c r="H275" s="29"/>
      <c r="I275" s="29" t="str">
        <f ca="1">IF(ISERROR(F260),"",_xlfn.TEXTJOIN("/",FALSE,Q275,T275))</f>
        <v>22/25</v>
      </c>
      <c r="J275" s="29"/>
      <c r="K275" s="29" t="str">
        <f ca="1">IF(ISERROR(F260),"",_xlfn.TEXTJOIN("/",FALSE,R275,U275))</f>
        <v>40/50</v>
      </c>
      <c r="L275" s="29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B+</v>
      </c>
      <c r="N275" s="8">
        <f t="shared" ca="1" si="25"/>
        <v>8.5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18</v>
      </c>
      <c r="Q275" s="1">
        <f ca="1">IF(ISERROR(F260),"",VLOOKUP(B260,INDIRECT($F$8),7+(O275-1)*3))</f>
        <v>22</v>
      </c>
      <c r="R275" s="1">
        <f ca="1">IF(ISERROR(F260),"",SUM(P275:Q275))</f>
        <v>40</v>
      </c>
      <c r="S275" s="1">
        <f ca="1">IF(ISERROR(F260),"",VLOOKUP(A260,INDIRECT($F$8),6+(O275-1)*3))</f>
        <v>25</v>
      </c>
      <c r="T275" s="1">
        <f ca="1">IF(ISERROR(F260),"",VLOOKUP(A260,INDIRECT($F$8),7+(O275-1)*3))</f>
        <v>25</v>
      </c>
      <c r="U275" s="1">
        <f ca="1">IF(ISERROR(F260),"",VLOOKUP(A260,INDIRECT($F$8),8+(O275-1)*3))</f>
        <v>50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31" t="str">
        <f ca="1">IF(ISERROR(F260),"",VLOOKUP(D260,INDIRECT($F$8),6+(O276-1)*3-Z276,0))</f>
        <v>General Proficiency ($)</v>
      </c>
      <c r="C276" s="31"/>
      <c r="D276" s="31"/>
      <c r="E276" s="31"/>
      <c r="F276" s="7">
        <f ca="1">IF(ISERROR(F260),"",VLOOKUP(E260,INDIRECT($F$8),6+(O276-1)*3-AA276,0))</f>
        <v>0</v>
      </c>
      <c r="G276" s="29" t="str">
        <f ca="1">IF(ISERROR(F260),"","-")</f>
        <v>-</v>
      </c>
      <c r="H276" s="29"/>
      <c r="I276" s="29" t="str">
        <f ca="1">IF(ISERROR(F260),"",_xlfn.TEXTJOIN("/",FALSE,Q276,T276))</f>
        <v>47/50</v>
      </c>
      <c r="J276" s="29"/>
      <c r="K276" s="29" t="str">
        <f ca="1">IF(ISERROR(F260),"",_xlfn.TEXTJOIN("/",FALSE,R276,U276))</f>
        <v>47/50</v>
      </c>
      <c r="L276" s="29"/>
      <c r="M276" s="29" t="str">
        <f ca="1">IF(ISBLANK(R276),"",IF(ISTEXT(R276),R276,IF(R276&gt;=0.8*U276,"Excellent",IF(R276&gt;=0.6*U276,"Very Good",IF(R276&gt;=0.4*U276,"Good",IF(R276&gt;=0.2*U276,"Satisfactory","Average"))))))</f>
        <v>Excellent</v>
      </c>
      <c r="N276" s="29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7" t="str">
        <f ca="1">IF(ISERROR(F260),"",A256)</f>
        <v>Total Credits/ Marks/ Total Grade Points</v>
      </c>
      <c r="B277" s="27"/>
      <c r="C277" s="27"/>
      <c r="D277" s="27"/>
      <c r="E277" s="27"/>
      <c r="F277" s="10">
        <f ca="1">IF(ISERROR(F260),"",SUM(F265:F275))</f>
        <v>23</v>
      </c>
      <c r="G277" s="30" t="str">
        <f ca="1">IF(ISERROR(F260),"",_xlfn.TEXTJOIN("/",TRUE,SUMIF(F265:F276,"&gt;0",P265:P276),SUMIF(F265:F276,"&gt;0",S265:S276)))</f>
        <v>224/575</v>
      </c>
      <c r="H277" s="30"/>
      <c r="I277" s="30" t="str">
        <f ca="1">IF(ISERROR(F260),"",_xlfn.TEXTJOIN("/",TRUE,SUMIF(F265:F276,"&gt;0",Q265:Q276),SUMIF(F265:F276,"&gt;0",T265:T276)))</f>
        <v>223/375</v>
      </c>
      <c r="J277" s="30"/>
      <c r="K277" s="30" t="str">
        <f ca="1">IF(ISERROR(F260),"",_xlfn.TEXTJOIN("/",TRUE,SUMIF(F265:F276,"&gt;0",R265:R276),SUMIF(F265:F276,"&gt;0",U265:U276)))</f>
        <v>447/950</v>
      </c>
      <c r="L277" s="30"/>
      <c r="M277" s="27">
        <f ca="1">IF(ISERROR(F260),"",SUMPRODUCT(N265:N275,F265:F275))</f>
        <v>89.5</v>
      </c>
      <c r="N277" s="27"/>
      <c r="V277" s="1" t="str">
        <f ca="1">IF(ISERROR(F260),"",_xlfn.TEXTJOIN(", ",TRUE,V265:V276))</f>
        <v>AHT 003, CST 001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AHT 003, G+11 in CST 001</v>
      </c>
    </row>
    <row r="278" spans="1:24" ht="12" customHeight="1" x14ac:dyDescent="0.2">
      <c r="A278" s="27" t="str">
        <f ca="1">IF(ISERROR(F260),"",A257)</f>
        <v>Result:</v>
      </c>
      <c r="B278" s="26" t="str" cm="1">
        <f t="array" aca="1" ref="B278" ca="1">IF(SUM(COUNTIF(M265:M275,{"Ab","Dt"}))=11, "Not Promoted to IInd Semester", IF(V277="", "PASS", "CARRY OVER"))</f>
        <v>CARRY OVER</v>
      </c>
      <c r="C278" s="26"/>
      <c r="D278" s="27" t="str">
        <f ca="1">IF(ISERROR(F260),"",D257)</f>
        <v>Remark:</v>
      </c>
      <c r="E278" s="26" t="str">
        <f ca="1">IF(ISERROR(F260),"",IF(V277="",IF(X277="","",X277),_xlfn.TEXTJOIN(" ",TRUE,"BACK IN",V277)))</f>
        <v>BACK IN AHT 003, CST 001</v>
      </c>
      <c r="F278" s="26"/>
      <c r="G278" s="27" t="str">
        <f ca="1">IF(ISERROR(F260),"",G257)</f>
        <v>SGPA:</v>
      </c>
      <c r="H278" s="28">
        <f ca="1">IF(ISERROR(F260),"",M277/F277)</f>
        <v>3.8913043478260869</v>
      </c>
      <c r="I278" s="27" t="str">
        <f ca="1">IF(ISERROR(F260),"",I257)</f>
        <v>CGPA:</v>
      </c>
      <c r="J278" s="28">
        <f ca="1">IF(ISERROR(F260),"",VLOOKUP(B260,INDIRECT($F$8),12+(O276-1)*3,0))</f>
        <v>3.8913043478260869</v>
      </c>
      <c r="K278" s="26" t="str">
        <f ca="1">IF(ISERROR(F260),"",K257)</f>
        <v>Earned Credits:</v>
      </c>
      <c r="L278" s="27">
        <f ca="1">IF(ISERROR(F260),"",SUMIF(N265:N275,"&gt;0",F265:F275))</f>
        <v>15</v>
      </c>
      <c r="M278" s="26" t="str">
        <f ca="1">IF(ISERROR(F260),"",M257)</f>
        <v>Cuml. Earned Credits:</v>
      </c>
      <c r="N278" s="27">
        <f ca="1">IF(ISERROR(F260),"",VLOOKUP(B260,INDIRECT($F$8),10+(O276-1)*3,0))</f>
        <v>15</v>
      </c>
    </row>
    <row r="279" spans="1:24" ht="12" customHeight="1" x14ac:dyDescent="0.2">
      <c r="A279" s="27"/>
      <c r="B279" s="26"/>
      <c r="C279" s="26"/>
      <c r="D279" s="27"/>
      <c r="E279" s="26"/>
      <c r="F279" s="26"/>
      <c r="G279" s="27"/>
      <c r="H279" s="28"/>
      <c r="I279" s="27"/>
      <c r="J279" s="28"/>
      <c r="K279" s="26"/>
      <c r="L279" s="27"/>
      <c r="M279" s="26"/>
      <c r="N279" s="27"/>
    </row>
    <row r="280" spans="1:24" ht="12" customHeight="1" x14ac:dyDescent="0.2">
      <c r="A280" s="27"/>
      <c r="B280" s="26"/>
      <c r="C280" s="26"/>
      <c r="D280" s="27"/>
      <c r="E280" s="26"/>
      <c r="F280" s="26"/>
      <c r="G280" s="27"/>
      <c r="H280" s="28"/>
      <c r="I280" s="27"/>
      <c r="J280" s="28"/>
      <c r="K280" s="26"/>
      <c r="L280" s="27"/>
      <c r="M280" s="26"/>
      <c r="N280" s="27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SANIDHYA LAKHERA</v>
      </c>
    </row>
    <row r="282" spans="1:24" ht="12" customHeight="1" x14ac:dyDescent="0.2">
      <c r="A282" s="24" t="str">
        <f ca="1">IF(ISERROR(F281),"",A261)</f>
        <v>Name:</v>
      </c>
      <c r="B282" s="24" t="str">
        <f ca="1">IFERROR(VLOOKUP(B281,INDIRECT($F$8),4,0),"")</f>
        <v>SANIDHYA LAKHERA</v>
      </c>
      <c r="C282" s="24"/>
      <c r="D282" s="24" t="str">
        <f ca="1">IF(ISERROR(F281),"",D261)</f>
        <v>Father's Name:</v>
      </c>
      <c r="E282" s="24" t="str">
        <f ca="1">IFERROR(VLOOKUP(B281,INDIRECT($F$8),5,0),"")</f>
        <v>TULSI RAM LAKHERA</v>
      </c>
      <c r="F282" s="24"/>
      <c r="G282" s="24" t="str">
        <f ca="1">IF(ISERROR(F281),"",G261)</f>
        <v>University Roll No:</v>
      </c>
      <c r="H282" s="24"/>
      <c r="I282" s="25">
        <f ca="1">IFERROR(VLOOKUP(B281,INDIRECT($F$8),2,0),"")</f>
        <v>250090111014</v>
      </c>
      <c r="J282" s="25"/>
      <c r="K282" s="24" t="str">
        <f ca="1">IF(ISERROR(F281),"",K261)</f>
        <v>University Enrol. No:</v>
      </c>
      <c r="L282" s="24"/>
      <c r="M282" s="25" t="str">
        <f ca="1">IFERROR(VLOOKUP(B281,INDIRECT($F$8),3,0),"")</f>
        <v>UTU/2501104374</v>
      </c>
      <c r="N282" s="25"/>
    </row>
    <row r="283" spans="1:24" ht="12" customHeight="1" x14ac:dyDescent="0.2">
      <c r="A283" s="24"/>
      <c r="B283" s="24"/>
      <c r="C283" s="24"/>
      <c r="D283" s="24"/>
      <c r="E283" s="24"/>
      <c r="F283" s="24"/>
      <c r="G283" s="24"/>
      <c r="H283" s="24"/>
      <c r="I283" s="25"/>
      <c r="J283" s="25"/>
      <c r="K283" s="24"/>
      <c r="L283" s="24"/>
      <c r="M283" s="25"/>
      <c r="N283" s="25"/>
    </row>
    <row r="284" spans="1:24" ht="12" customHeight="1" x14ac:dyDescent="0.2">
      <c r="A284" s="26" t="str">
        <f ca="1">IF(ISERROR(F281),"",A263)</f>
        <v>Subject Code</v>
      </c>
      <c r="B284" s="26" t="str">
        <f ca="1">IF(ISERROR(F281),"",B263)</f>
        <v>Subject Name</v>
      </c>
      <c r="C284" s="26"/>
      <c r="D284" s="26"/>
      <c r="E284" s="26"/>
      <c r="F284" s="26" t="str">
        <f ca="1">IF(ISERROR(F281),"",F263)</f>
        <v>Credits</v>
      </c>
      <c r="G284" s="26" t="str">
        <f ca="1">IF(ISERROR(F281),"",G263)</f>
        <v>External Marks</v>
      </c>
      <c r="H284" s="26"/>
      <c r="I284" s="26" t="str">
        <f ca="1">IF(ISERROR(F281),"",I263)</f>
        <v>Sessional Marks</v>
      </c>
      <c r="J284" s="26"/>
      <c r="K284" s="26" t="str">
        <f ca="1">IF(ISERROR(F281),"",K263)</f>
        <v>Total Marks</v>
      </c>
      <c r="L284" s="26"/>
      <c r="M284" s="26" t="str">
        <f ca="1">IF(ISERROR(F281),"",M263)</f>
        <v>Grade</v>
      </c>
      <c r="N284" s="26" t="str">
        <f ca="1">IF(ISERROR(F281),"",N263)</f>
        <v>Grade Points</v>
      </c>
    </row>
    <row r="285" spans="1:24" ht="12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001</v>
      </c>
      <c r="B286" s="31" t="str">
        <f ca="1">IF(ISERROR(F281),"",VLOOKUP(D281,INDIRECT($F$8),6+(O286-1)*3,0))</f>
        <v>Engineering Physics</v>
      </c>
      <c r="C286" s="31"/>
      <c r="D286" s="31"/>
      <c r="E286" s="31"/>
      <c r="F286" s="7">
        <f ca="1">IF(ISERROR(F281),"",VLOOKUP(E281,INDIRECT($F$8),6+(O286-1)*3,0))</f>
        <v>4</v>
      </c>
      <c r="G286" s="29" t="str">
        <f ca="1">IF(ISERROR(F281),"",_xlfn.TEXTJOIN("/",FALSE,P286,S286))</f>
        <v>35/100</v>
      </c>
      <c r="H286" s="29"/>
      <c r="I286" s="29" t="str">
        <f ca="1">IF(ISERROR(F281),"",_xlfn.TEXTJOIN("/",FALSE,Q286,T286))</f>
        <v>25/50</v>
      </c>
      <c r="J286" s="29"/>
      <c r="K286" s="29" t="str">
        <f ca="1">IF(ISERROR(F281),"",_xlfn.TEXTJOIN("/",FALSE,R286,U286))</f>
        <v>60/150</v>
      </c>
      <c r="L286" s="29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P</v>
      </c>
      <c r="N286" s="8">
        <f ca="1">INDEX($Z$2:$Z$17,MATCH(M286,$Y$2:$Y$17,0))</f>
        <v>4.5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35</v>
      </c>
      <c r="Q286" s="1">
        <f ca="1">IF(ISERROR(F281),"",VLOOKUP(B281,INDIRECT($F$8),7+(O286-1)*3))</f>
        <v>25</v>
      </c>
      <c r="R286" s="1">
        <f ca="1">IF(ISERROR(F281),"",SUM(P286:Q286))</f>
        <v>60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31" t="str">
        <f ca="1">IF(ISERROR(F281),"",VLOOKUP(D281,INDIRECT($F$8),6+(O287-1)*3,0))</f>
        <v>Introduction to Engineering Mathematics</v>
      </c>
      <c r="C287" s="31"/>
      <c r="D287" s="31"/>
      <c r="E287" s="31"/>
      <c r="F287" s="7">
        <f ca="1">IF(ISERROR(F281),"",VLOOKUP(E281,INDIRECT($F$8),6+(O287-1)*3,0))</f>
        <v>4</v>
      </c>
      <c r="G287" s="29" t="str">
        <f ca="1">IF(ISERROR(F281),"",_xlfn.TEXTJOIN("/",FALSE,P287,S287))</f>
        <v>27/100</v>
      </c>
      <c r="H287" s="29"/>
      <c r="I287" s="29" t="str">
        <f ca="1">IF(ISERROR(F281),"",_xlfn.TEXTJOIN("/",FALSE,Q287,T287))</f>
        <v>18/50</v>
      </c>
      <c r="J287" s="29"/>
      <c r="K287" s="29" t="str">
        <f ca="1">IF(ISERROR(F281),"",_xlfn.TEXTJOIN("/",FALSE,R287,U287))</f>
        <v>45/150</v>
      </c>
      <c r="L287" s="29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F</v>
      </c>
      <c r="N287" s="8">
        <f t="shared" ref="N287:N296" ca="1" si="27">INDEX($Z$2:$Z$17,MATCH(M287,$Y$2:$Y$17,0))</f>
        <v>0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27</v>
      </c>
      <c r="Q287" s="1">
        <f ca="1">IF(ISERROR(F281),"",VLOOKUP(B281,INDIRECT($F$8),7+(O287-1)*3))</f>
        <v>18</v>
      </c>
      <c r="R287" s="1">
        <f ca="1">IF(ISERROR(F281),"",SUM(P287:Q287))</f>
        <v>45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>AHT 003</v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11</v>
      </c>
      <c r="X287" s="1" t="str">
        <f ca="1">IF(ISERROR(F281),"",IF(W287=0,"",_xlfn.TEXTJOIN("",FALSE," G+",W287," in ",A287)))</f>
        <v xml:space="preserve"> G+11 in AHT 003</v>
      </c>
    </row>
    <row r="288" spans="1:24" ht="12" customHeight="1" x14ac:dyDescent="0.2">
      <c r="A288" s="7" t="str">
        <f ca="1">IF(ISERROR(F281),"",VLOOKUP(C281,INDIRECT($F$8),6+(O288-1)*3,0))</f>
        <v>EET 001</v>
      </c>
      <c r="B288" s="31" t="str">
        <f ca="1">IF(ISERROR(F281),"",VLOOKUP(D281,INDIRECT($F$8),6+(O288-1)*3,0))</f>
        <v>Basic Electrical Engineering</v>
      </c>
      <c r="C288" s="31"/>
      <c r="D288" s="31"/>
      <c r="E288" s="31"/>
      <c r="F288" s="7">
        <f ca="1">IF(ISERROR(F281),"",VLOOKUP(E281,INDIRECT($F$8),6+(O288-1)*3,0))</f>
        <v>4</v>
      </c>
      <c r="G288" s="29" t="str">
        <f ca="1">IF(ISERROR(F281),"",_xlfn.TEXTJOIN("/",FALSE,P288,S288))</f>
        <v>14/100</v>
      </c>
      <c r="H288" s="29"/>
      <c r="I288" s="29" t="str">
        <f ca="1">IF(ISERROR(F281),"",_xlfn.TEXTJOIN("/",FALSE,Q288,T288))</f>
        <v>29/50</v>
      </c>
      <c r="J288" s="29"/>
      <c r="K288" s="29" t="str">
        <f ca="1">IF(ISERROR(F281),"",_xlfn.TEXTJOIN("/",FALSE,R288,U288))</f>
        <v>43/150</v>
      </c>
      <c r="L288" s="29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F</v>
      </c>
      <c r="N288" s="8">
        <f t="shared" ca="1" si="27"/>
        <v>0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14</v>
      </c>
      <c r="Q288" s="1">
        <f ca="1">IF(ISERROR(F281),"",VLOOKUP(B281,INDIRECT($F$8),7+(O288-1)*3))</f>
        <v>29</v>
      </c>
      <c r="R288" s="1">
        <f ca="1">IF(ISERROR(F281),"",SUM(P288:Q288))</f>
        <v>43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>EET 001</v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11</v>
      </c>
      <c r="X288" s="1" t="str">
        <f ca="1">IF(ISERROR(F281),"",IF(W288=0,"",_xlfn.TEXTJOIN("",FALSE," G+",W288," in ",A288)))</f>
        <v xml:space="preserve"> G+11 in EET 001</v>
      </c>
    </row>
    <row r="289" spans="1:24" ht="12" customHeight="1" x14ac:dyDescent="0.2">
      <c r="A289" s="7" t="str">
        <f ca="1">IF(ISERROR(F281),"",VLOOKUP(C281,INDIRECT($F$8),6+(O289-1)*3,0))</f>
        <v>CST 001</v>
      </c>
      <c r="B289" s="31" t="str">
        <f ca="1">IF(ISERROR(F281),"",VLOOKUP(D281,INDIRECT($F$8),6+(O289-1)*3,0))</f>
        <v>Programming for Problem Solving</v>
      </c>
      <c r="C289" s="31"/>
      <c r="D289" s="31"/>
      <c r="E289" s="31"/>
      <c r="F289" s="7">
        <f ca="1">IF(ISERROR(F281),"",VLOOKUP(E281,INDIRECT($F$8),6+(O289-1)*3,0))</f>
        <v>4</v>
      </c>
      <c r="G289" s="29" t="str">
        <f ca="1">IF(ISERROR(F281),"",_xlfn.TEXTJOIN("/",FALSE,P289,S289))</f>
        <v>34/100</v>
      </c>
      <c r="H289" s="29"/>
      <c r="I289" s="29" t="str">
        <f ca="1">IF(ISERROR(F281),"",_xlfn.TEXTJOIN("/",FALSE,Q289,T289))</f>
        <v>34/50</v>
      </c>
      <c r="J289" s="29"/>
      <c r="K289" s="29" t="str">
        <f ca="1">IF(ISERROR(F281),"",_xlfn.TEXTJOIN("/",FALSE,R289,U289))</f>
        <v>68/150</v>
      </c>
      <c r="L289" s="29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E</v>
      </c>
      <c r="N289" s="8">
        <f t="shared" ca="1" si="27"/>
        <v>5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34</v>
      </c>
      <c r="Q289" s="1">
        <f ca="1">IF(ISERROR(F281),"",VLOOKUP(B281,INDIRECT($F$8),7+(O289-1)*3))</f>
        <v>34</v>
      </c>
      <c r="R289" s="1">
        <f ca="1">IF(ISERROR(F281),"",SUM(P289:Q289))</f>
        <v>68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AHT 004</v>
      </c>
      <c r="B290" s="31" t="str">
        <f ca="1">IF(ISERROR(F281),"",VLOOKUP(D281,INDIRECT($F$8),6+(O290-1)*3,0))</f>
        <v>Environmental Studies ($)</v>
      </c>
      <c r="C290" s="31"/>
      <c r="D290" s="31"/>
      <c r="E290" s="31"/>
      <c r="F290" s="7">
        <f ca="1">IF(ISERROR(F281),"",VLOOKUP(E281,INDIRECT($F$8),6+(O290-1)*3,0))</f>
        <v>0</v>
      </c>
      <c r="G290" s="29" t="str">
        <f ca="1">IF(ISERROR(F281),"",_xlfn.TEXTJOIN("/",FALSE,P290,S290))</f>
        <v>31/50</v>
      </c>
      <c r="H290" s="29"/>
      <c r="I290" s="29" t="str">
        <f ca="1">IF(ISERROR(F281),"",_xlfn.TEXTJOIN("/",FALSE,Q290,T290))</f>
        <v>14/25</v>
      </c>
      <c r="J290" s="29"/>
      <c r="K290" s="29" t="str">
        <f ca="1">IF(ISERROR(F281),"",_xlfn.TEXTJOIN("/",FALSE,R290,U290))</f>
        <v>45/75</v>
      </c>
      <c r="L290" s="29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D+</v>
      </c>
      <c r="N290" s="8">
        <f t="shared" ca="1" si="27"/>
        <v>6.5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31</v>
      </c>
      <c r="Q290" s="1">
        <f ca="1">IF(ISERROR(F281),"",VLOOKUP(B281,INDIRECT($F$8),7+(O290-1)*3))</f>
        <v>14</v>
      </c>
      <c r="R290" s="1">
        <f ca="1">IF(ISERROR(F281),"",SUM(P290:Q290))</f>
        <v>45</v>
      </c>
      <c r="S290" s="1">
        <f ca="1">IF(ISERROR(F281),"",VLOOKUP(A281,INDIRECT($F$8),6+(O290-1)*3))</f>
        <v>50</v>
      </c>
      <c r="T290" s="1">
        <f ca="1">IF(ISERROR(F281),"",VLOOKUP(A281,INDIRECT($F$8),7+(O290-1)*3))</f>
        <v>25</v>
      </c>
      <c r="U290" s="1">
        <f ca="1">IF(ISERROR(F281),"",VLOOKUP(A281,INDIRECT($F$8),8+(O290-1)*3))</f>
        <v>75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AHP 001</v>
      </c>
      <c r="B291" s="31" t="str">
        <f ca="1">IF(ISERROR(F281),"",VLOOKUP(D281,INDIRECT($F$8),6+(O291-1)*3,0))</f>
        <v>Engineering Physics Lab</v>
      </c>
      <c r="C291" s="31"/>
      <c r="D291" s="31"/>
      <c r="E291" s="31"/>
      <c r="F291" s="7">
        <f ca="1">IF(ISERROR(F281),"",VLOOKUP(E281,INDIRECT($F$8),6+(O291-1)*3,0))</f>
        <v>1</v>
      </c>
      <c r="G291" s="29" t="str">
        <f ca="1">IF(ISERROR(F281),"",_xlfn.TEXTJOIN("/",FALSE,P291,S291))</f>
        <v>20/25</v>
      </c>
      <c r="H291" s="29"/>
      <c r="I291" s="29" t="str">
        <f ca="1">IF(ISERROR(F281),"",_xlfn.TEXTJOIN("/",FALSE,Q291,T291))</f>
        <v>22/25</v>
      </c>
      <c r="J291" s="29"/>
      <c r="K291" s="29" t="str">
        <f ca="1">IF(ISERROR(F281),"",_xlfn.TEXTJOIN("/",FALSE,R291,U291))</f>
        <v>42/50</v>
      </c>
      <c r="L291" s="29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B+</v>
      </c>
      <c r="N291" s="8">
        <f t="shared" ca="1" si="27"/>
        <v>8.5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20</v>
      </c>
      <c r="Q291" s="1">
        <f ca="1">IF(ISERROR(F281),"",VLOOKUP(B281,INDIRECT($F$8),7+(O291-1)*3))</f>
        <v>22</v>
      </c>
      <c r="R291" s="1">
        <f ca="1">IF(ISERROR(F281),"",SUM(P291:Q291))</f>
        <v>42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EEP 001</v>
      </c>
      <c r="B292" s="31" t="str">
        <f ca="1">IF(ISERROR(F281),"",VLOOKUP(D281,INDIRECT($F$8),6+(O292-1)*3,0))</f>
        <v>Basic Electrical Engineering Lab</v>
      </c>
      <c r="C292" s="31"/>
      <c r="D292" s="31"/>
      <c r="E292" s="31"/>
      <c r="F292" s="7">
        <f ca="1">IF(ISERROR(F281),"",VLOOKUP(E281,INDIRECT($F$8),6+(O292-1)*3,0))</f>
        <v>1</v>
      </c>
      <c r="G292" s="29" t="str">
        <f ca="1">IF(ISERROR(F281),"",_xlfn.TEXTJOIN("/",FALSE,P292,S292))</f>
        <v>20/25</v>
      </c>
      <c r="H292" s="29"/>
      <c r="I292" s="29" t="str">
        <f ca="1">IF(ISERROR(F281),"",_xlfn.TEXTJOIN("/",FALSE,Q292,T292))</f>
        <v>9/25</v>
      </c>
      <c r="J292" s="29"/>
      <c r="K292" s="29" t="str">
        <f ca="1">IF(ISERROR(F281),"",_xlfn.TEXTJOIN("/",FALSE,R292,U292))</f>
        <v>29/50</v>
      </c>
      <c r="L292" s="29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D</v>
      </c>
      <c r="N292" s="8">
        <f t="shared" ca="1" si="27"/>
        <v>6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20</v>
      </c>
      <c r="Q292" s="1">
        <f ca="1">IF(ISERROR(F281),"",VLOOKUP(B281,INDIRECT($F$8),7+(O292-1)*3))</f>
        <v>9</v>
      </c>
      <c r="R292" s="1">
        <f ca="1">IF(ISERROR(F281),"",SUM(P292:Q292))</f>
        <v>29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CSP 001</v>
      </c>
      <c r="B293" s="31" t="str">
        <f ca="1">IF(ISERROR(F281),"",VLOOKUP(D281,INDIRECT($F$8),6+(O293-1)*3-Z293,0))</f>
        <v>Programming for Problem Solving Lab</v>
      </c>
      <c r="C293" s="31"/>
      <c r="D293" s="31"/>
      <c r="E293" s="31"/>
      <c r="F293" s="7">
        <f ca="1">IF(ISERROR(F281),"",VLOOKUP(E281,INDIRECT($F$8),6+(O293-1)*3,0))</f>
        <v>1</v>
      </c>
      <c r="G293" s="29" t="str">
        <f ca="1">IF(ISERROR(F281),"",_xlfn.TEXTJOIN("/",FALSE,P293,S293))</f>
        <v>22/25</v>
      </c>
      <c r="H293" s="29"/>
      <c r="I293" s="29" t="str">
        <f ca="1">IF(ISERROR(F281),"",_xlfn.TEXTJOIN("/",FALSE,Q293,T293))</f>
        <v>22/25</v>
      </c>
      <c r="J293" s="29"/>
      <c r="K293" s="29" t="str">
        <f ca="1">IF(ISERROR(F281),"",_xlfn.TEXTJOIN("/",FALSE,R293,U293))</f>
        <v>44/50</v>
      </c>
      <c r="L293" s="29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A</v>
      </c>
      <c r="N293" s="8">
        <f t="shared" ca="1" si="27"/>
        <v>9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22</v>
      </c>
      <c r="Q293" s="1">
        <f ca="1">IF(ISERROR(F281),"",VLOOKUP(B281,INDIRECT($F$8),7+(O293-1)*3))</f>
        <v>22</v>
      </c>
      <c r="R293" s="1">
        <f ca="1">IF(ISERROR(F281),"",SUM(P293:Q293))</f>
        <v>44</v>
      </c>
      <c r="S293" s="1">
        <f ca="1">IF(ISERROR(F281),"",VLOOKUP(A281,INDIRECT($F$8),6+(O293-1)*3))</f>
        <v>25</v>
      </c>
      <c r="T293" s="1">
        <f ca="1">IF(ISERROR(F281),"",VLOOKUP(A281,INDIRECT($F$8),7+(O293-1)*3))</f>
        <v>25</v>
      </c>
      <c r="U293" s="1">
        <f ca="1">IF(ISERROR(F281),"",VLOOKUP(A281,INDIRECT($F$8),8+(O293-1)*3))</f>
        <v>50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MEP 002</v>
      </c>
      <c r="B294" s="31" t="str">
        <f ca="1">IF(ISERROR(F281),"",VLOOKUP(D281,INDIRECT($F$8),6+(O294-1)*3-Z294,0))</f>
        <v>Engineering Graphics &amp; Design Lab</v>
      </c>
      <c r="C294" s="31"/>
      <c r="D294" s="31"/>
      <c r="E294" s="31"/>
      <c r="F294" s="7">
        <f ca="1">IF(ISERROR(F281),"",VLOOKUP(E281,INDIRECT($F$8),6+(O294-1)*3,0))</f>
        <v>2</v>
      </c>
      <c r="G294" s="29" t="str">
        <f ca="1">IF(ISERROR(F281),"",_xlfn.TEXTJOIN("/",FALSE,P294,S294))</f>
        <v>40/50</v>
      </c>
      <c r="H294" s="29"/>
      <c r="I294" s="29" t="str">
        <f ca="1">IF(ISERROR(F281),"",_xlfn.TEXTJOIN("/",FALSE,Q294,T294))</f>
        <v>40/50</v>
      </c>
      <c r="J294" s="29"/>
      <c r="K294" s="29" t="str">
        <f ca="1">IF(ISERROR(F281),"",_xlfn.TEXTJOIN("/",FALSE,R294,U294))</f>
        <v>80/100</v>
      </c>
      <c r="L294" s="29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B+</v>
      </c>
      <c r="N294" s="8">
        <f t="shared" ca="1" si="27"/>
        <v>8.5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40</v>
      </c>
      <c r="Q294" s="1">
        <f ca="1">IF(ISERROR(F281),"",VLOOKUP(B281,INDIRECT($F$8),7+(O294-1)*3))</f>
        <v>40</v>
      </c>
      <c r="R294" s="1">
        <f ca="1">IF(ISERROR(F281),"",SUM(P294:Q294))</f>
        <v>80</v>
      </c>
      <c r="S294" s="1">
        <f ca="1">IF(ISERROR(F281),"",VLOOKUP(A281,INDIRECT($F$8),6+(O294-1)*3))</f>
        <v>50</v>
      </c>
      <c r="T294" s="1">
        <f ca="1">IF(ISERROR(F281),"",VLOOKUP(A281,INDIRECT($F$8),7+(O294-1)*3))</f>
        <v>50</v>
      </c>
      <c r="U294" s="1">
        <f ca="1">IF(ISERROR(F281),"",VLOOKUP(A281,INDIRECT($F$8),8+(O294-1)*3))</f>
        <v>100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AHP 003</v>
      </c>
      <c r="B295" s="31" t="str">
        <f ca="1">IF(ISERROR(F281),"",VLOOKUP(D281,INDIRECT($F$8),6+(O295-1)*3,0))</f>
        <v>Introduction to Digital Marketing Lab</v>
      </c>
      <c r="C295" s="31"/>
      <c r="D295" s="31"/>
      <c r="E295" s="31"/>
      <c r="F295" s="7">
        <f ca="1">IF(ISERROR(F281),"",VLOOKUP(E281,INDIRECT($F$8),6+(O295-1)*3,0))</f>
        <v>1</v>
      </c>
      <c r="G295" s="29" t="str">
        <f ca="1">IF(ISERROR(F281),"",_xlfn.TEXTJOIN("/",FALSE,P295,S295))</f>
        <v>19/25</v>
      </c>
      <c r="H295" s="29"/>
      <c r="I295" s="29" t="str">
        <f ca="1">IF(ISERROR(F281),"",_xlfn.TEXTJOIN("/",FALSE,Q295,T295))</f>
        <v>14/25</v>
      </c>
      <c r="J295" s="29"/>
      <c r="K295" s="29" t="str">
        <f ca="1">IF(ISERROR(F281),"",_xlfn.TEXTJOIN("/",FALSE,R295,U295))</f>
        <v>33/50</v>
      </c>
      <c r="L295" s="29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C</v>
      </c>
      <c r="N295" s="8">
        <f t="shared" ca="1" si="27"/>
        <v>7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19</v>
      </c>
      <c r="Q295" s="1">
        <f ca="1">IF(ISERROR(F281),"",VLOOKUP(B281,INDIRECT($F$8),7+(O295-1)*3))</f>
        <v>14</v>
      </c>
      <c r="R295" s="1">
        <f ca="1">IF(ISERROR(F281),"",SUM(P295:Q295))</f>
        <v>33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005</v>
      </c>
      <c r="B296" s="31" t="str">
        <f ca="1">IF(ISERROR(F281),"",VLOOKUP(D281,INDIRECT($F$8),6+(O296-1)*3,0))</f>
        <v>Self Employment &amp; Entrepreneurship Development</v>
      </c>
      <c r="C296" s="31"/>
      <c r="D296" s="31"/>
      <c r="E296" s="31"/>
      <c r="F296" s="7">
        <f ca="1">IF(ISERROR(F281),"",VLOOKUP(E281,INDIRECT($F$8),6+(O296-1)*3,0))</f>
        <v>1</v>
      </c>
      <c r="G296" s="29" t="str">
        <f ca="1">IF(ISERROR(F281),"",_xlfn.TEXTJOIN("/",FALSE,P296,S296))</f>
        <v>21/25</v>
      </c>
      <c r="H296" s="29"/>
      <c r="I296" s="29" t="str">
        <f ca="1">IF(ISERROR(F281),"",_xlfn.TEXTJOIN("/",FALSE,Q296,T296))</f>
        <v>24/25</v>
      </c>
      <c r="J296" s="29"/>
      <c r="K296" s="29" t="str">
        <f ca="1">IF(ISERROR(F281),"",_xlfn.TEXTJOIN("/",FALSE,R296,U296))</f>
        <v>45/50</v>
      </c>
      <c r="L296" s="29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A+</v>
      </c>
      <c r="N296" s="8">
        <f t="shared" ca="1" si="27"/>
        <v>9.5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21</v>
      </c>
      <c r="Q296" s="1">
        <f ca="1">IF(ISERROR(F281),"",VLOOKUP(B281,INDIRECT($F$8),7+(O296-1)*3))</f>
        <v>24</v>
      </c>
      <c r="R296" s="1">
        <f ca="1">IF(ISERROR(F281),"",SUM(P296:Q296))</f>
        <v>45</v>
      </c>
      <c r="S296" s="1">
        <f ca="1">IF(ISERROR(F281),"",VLOOKUP(A281,INDIRECT($F$8),6+(O296-1)*3))</f>
        <v>25</v>
      </c>
      <c r="T296" s="1">
        <f ca="1">IF(ISERROR(F281),"",VLOOKUP(A281,INDIRECT($F$8),7+(O296-1)*3))</f>
        <v>25</v>
      </c>
      <c r="U296" s="1">
        <f ca="1">IF(ISERROR(F281),"",VLOOKUP(A281,INDIRECT($F$8),8+(O296-1)*3))</f>
        <v>50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31" t="str">
        <f ca="1">IF(ISERROR(F281),"",VLOOKUP(D281,INDIRECT($F$8),6+(O297-1)*3-Z297,0))</f>
        <v>General Proficiency ($)</v>
      </c>
      <c r="C297" s="31"/>
      <c r="D297" s="31"/>
      <c r="E297" s="31"/>
      <c r="F297" s="7">
        <f ca="1">IF(ISERROR(F281),"",VLOOKUP(E281,INDIRECT($F$8),6+(O297-1)*3-AA297,0))</f>
        <v>0</v>
      </c>
      <c r="G297" s="29" t="str">
        <f ca="1">IF(ISERROR(F281),"","-")</f>
        <v>-</v>
      </c>
      <c r="H297" s="29"/>
      <c r="I297" s="29" t="str">
        <f ca="1">IF(ISERROR(F281),"",_xlfn.TEXTJOIN("/",FALSE,Q297,T297))</f>
        <v>47/50</v>
      </c>
      <c r="J297" s="29"/>
      <c r="K297" s="29" t="str">
        <f ca="1">IF(ISERROR(F281),"",_xlfn.TEXTJOIN("/",FALSE,R297,U297))</f>
        <v>47/50</v>
      </c>
      <c r="L297" s="29"/>
      <c r="M297" s="29" t="str">
        <f ca="1">IF(ISBLANK(R297),"",IF(ISTEXT(R297),R297,IF(R297&gt;=0.8*U297,"Excellent",IF(R297&gt;=0.6*U297,"Very Good",IF(R297&gt;=0.4*U297,"Good",IF(R297&gt;=0.2*U297,"Satisfactory","Average"))))))</f>
        <v>Excellent</v>
      </c>
      <c r="N297" s="29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7" t="str">
        <f ca="1">IF(ISERROR(F281),"",A277)</f>
        <v>Total Credits/ Marks/ Total Grade Points</v>
      </c>
      <c r="B298" s="27"/>
      <c r="C298" s="27"/>
      <c r="D298" s="27"/>
      <c r="E298" s="27"/>
      <c r="F298" s="10">
        <f ca="1">IF(ISERROR(F281),"",SUM(F286:F296))</f>
        <v>23</v>
      </c>
      <c r="G298" s="30" t="str">
        <f ca="1">IF(ISERROR(F281),"",_xlfn.TEXTJOIN("/",TRUE,SUMIF(F286:F297,"&gt;0",P286:P297),SUMIF(F286:F297,"&gt;0",S286:S297)))</f>
        <v>252/575</v>
      </c>
      <c r="H298" s="30"/>
      <c r="I298" s="30" t="str">
        <f ca="1">IF(ISERROR(F281),"",_xlfn.TEXTJOIN("/",TRUE,SUMIF(F286:F297,"&gt;0",Q286:Q297),SUMIF(F286:F297,"&gt;0",T286:T297)))</f>
        <v>237/375</v>
      </c>
      <c r="J298" s="30"/>
      <c r="K298" s="30" t="str">
        <f ca="1">IF(ISERROR(F281),"",_xlfn.TEXTJOIN("/",TRUE,SUMIF(F286:F297,"&gt;0",R286:R297),SUMIF(F286:F297,"&gt;0",U286:U297)))</f>
        <v>489/950</v>
      </c>
      <c r="L298" s="30"/>
      <c r="M298" s="27">
        <f ca="1">IF(ISERROR(F281),"",SUMPRODUCT(N286:N296,F286:F296))</f>
        <v>95</v>
      </c>
      <c r="N298" s="27"/>
      <c r="V298" s="1" t="str">
        <f ca="1">IF(ISERROR(F281),"",_xlfn.TEXTJOIN(", ",TRUE,V286:V297))</f>
        <v>AHT 003, EET 001</v>
      </c>
      <c r="W298" t="b">
        <f ca="1">IF(ISERROR(F281),"",IF(SUM(W286:W297)&lt;=W285,TRUE,FALSE))</f>
        <v>0</v>
      </c>
      <c r="X298" s="1" t="str">
        <f ca="1">IF(ISERROR(F281),"",_xlfn.TEXTJOIN(",",TRUE,X286:X297))</f>
        <v xml:space="preserve"> G+11 in AHT 003, G+11 in EET 001</v>
      </c>
    </row>
    <row r="299" spans="1:24" ht="12" customHeight="1" x14ac:dyDescent="0.2">
      <c r="A299" s="27" t="str">
        <f ca="1">IF(ISERROR(F281),"",A278)</f>
        <v>Result:</v>
      </c>
      <c r="B299" s="26" t="str" cm="1">
        <f t="array" aca="1" ref="B299" ca="1">IF(SUM(COUNTIF(M286:M296,{"Ab","Dt"}))=11, "Not Promoted to IInd Semester", IF(V298="", "PASS", "CARRY OVER"))</f>
        <v>CARRY OVER</v>
      </c>
      <c r="C299" s="26"/>
      <c r="D299" s="27" t="str">
        <f ca="1">IF(ISERROR(F281),"",D278)</f>
        <v>Remark:</v>
      </c>
      <c r="E299" s="26" t="str">
        <f ca="1">IF(ISERROR(F281),"",IF(V298="",IF(X298="","",X298),_xlfn.TEXTJOIN(" ",TRUE,"BACK IN",V298)))</f>
        <v>BACK IN AHT 003, EET 001</v>
      </c>
      <c r="F299" s="26"/>
      <c r="G299" s="27" t="str">
        <f ca="1">IF(ISERROR(F281),"",G278)</f>
        <v>SGPA:</v>
      </c>
      <c r="H299" s="28">
        <f ca="1">IF(ISERROR(F281),"",M298/F298)</f>
        <v>4.1304347826086953</v>
      </c>
      <c r="I299" s="27" t="str">
        <f ca="1">IF(ISERROR(F281),"",I278)</f>
        <v>CGPA:</v>
      </c>
      <c r="J299" s="28">
        <f ca="1">IF(ISERROR(F281),"",VLOOKUP(B281,INDIRECT($F$8),12+(O297-1)*3,0))</f>
        <v>4.1304347826086953</v>
      </c>
      <c r="K299" s="26" t="str">
        <f ca="1">IF(ISERROR(F281),"",K278)</f>
        <v>Earned Credits:</v>
      </c>
      <c r="L299" s="27">
        <f ca="1">IF(ISERROR(F281),"",SUMIF(N286:N296,"&gt;0",F286:F296))</f>
        <v>15</v>
      </c>
      <c r="M299" s="26" t="str">
        <f ca="1">IF(ISERROR(F281),"",M278)</f>
        <v>Cuml. Earned Credits:</v>
      </c>
      <c r="N299" s="27">
        <f ca="1">IF(ISERROR(F281),"",VLOOKUP(B281,INDIRECT($F$8),10+(O297-1)*3,0))</f>
        <v>15</v>
      </c>
    </row>
    <row r="300" spans="1:24" ht="12" customHeight="1" x14ac:dyDescent="0.2">
      <c r="A300" s="27"/>
      <c r="B300" s="26"/>
      <c r="C300" s="26"/>
      <c r="D300" s="27"/>
      <c r="E300" s="26"/>
      <c r="F300" s="26"/>
      <c r="G300" s="27"/>
      <c r="H300" s="28"/>
      <c r="I300" s="27"/>
      <c r="J300" s="28"/>
      <c r="K300" s="26"/>
      <c r="L300" s="27"/>
      <c r="M300" s="26"/>
      <c r="N300" s="27"/>
    </row>
    <row r="301" spans="1:24" ht="12" customHeight="1" x14ac:dyDescent="0.2">
      <c r="A301" s="27"/>
      <c r="B301" s="26"/>
      <c r="C301" s="26"/>
      <c r="D301" s="27"/>
      <c r="E301" s="26"/>
      <c r="F301" s="26"/>
      <c r="G301" s="27"/>
      <c r="H301" s="28"/>
      <c r="I301" s="27"/>
      <c r="J301" s="28"/>
      <c r="K301" s="26"/>
      <c r="L301" s="27"/>
      <c r="M301" s="26"/>
      <c r="N301" s="27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SIDDHARTH RAWAT</v>
      </c>
    </row>
    <row r="303" spans="1:24" ht="12" customHeight="1" x14ac:dyDescent="0.2">
      <c r="A303" s="24" t="str">
        <f ca="1">IF(ISERROR(F302),"",A282)</f>
        <v>Name:</v>
      </c>
      <c r="B303" s="24" t="str">
        <f ca="1">IFERROR(VLOOKUP(B302,INDIRECT($F$8),4,0),"")</f>
        <v>SIDDHARTH RAWAT</v>
      </c>
      <c r="C303" s="24"/>
      <c r="D303" s="24" t="str">
        <f ca="1">IF(ISERROR(F302),"",D282)</f>
        <v>Father's Name:</v>
      </c>
      <c r="E303" s="24" t="str">
        <f ca="1">IFERROR(VLOOKUP(B302,INDIRECT($F$8),5,0),"")</f>
        <v>PARMESH RAWAT</v>
      </c>
      <c r="F303" s="24"/>
      <c r="G303" s="24" t="str">
        <f ca="1">IF(ISERROR(F302),"",G282)</f>
        <v>University Roll No:</v>
      </c>
      <c r="H303" s="24"/>
      <c r="I303" s="25">
        <f ca="1">IFERROR(VLOOKUP(B302,INDIRECT($F$8),2,0),"")</f>
        <v>250090111015</v>
      </c>
      <c r="J303" s="25"/>
      <c r="K303" s="24" t="str">
        <f ca="1">IF(ISERROR(F302),"",K282)</f>
        <v>University Enrol. No:</v>
      </c>
      <c r="L303" s="24"/>
      <c r="M303" s="25" t="str">
        <f ca="1">IFERROR(VLOOKUP(B302,INDIRECT($F$8),3,0),"")</f>
        <v>PUTU/2501104321</v>
      </c>
      <c r="N303" s="25"/>
    </row>
    <row r="304" spans="1:24" ht="12" customHeight="1" x14ac:dyDescent="0.2">
      <c r="A304" s="24"/>
      <c r="B304" s="24"/>
      <c r="C304" s="24"/>
      <c r="D304" s="24"/>
      <c r="E304" s="24"/>
      <c r="F304" s="24"/>
      <c r="G304" s="24"/>
      <c r="H304" s="24"/>
      <c r="I304" s="25"/>
      <c r="J304" s="25"/>
      <c r="K304" s="24"/>
      <c r="L304" s="24"/>
      <c r="M304" s="25"/>
      <c r="N304" s="25"/>
    </row>
    <row r="305" spans="1:24" ht="12" customHeight="1" x14ac:dyDescent="0.2">
      <c r="A305" s="26" t="str">
        <f ca="1">IF(ISERROR(F302),"",A284)</f>
        <v>Subject Code</v>
      </c>
      <c r="B305" s="26" t="str">
        <f ca="1">IF(ISERROR(F302),"",B284)</f>
        <v>Subject Name</v>
      </c>
      <c r="C305" s="26"/>
      <c r="D305" s="26"/>
      <c r="E305" s="26"/>
      <c r="F305" s="26" t="str">
        <f ca="1">IF(ISERROR(F302),"",F284)</f>
        <v>Credits</v>
      </c>
      <c r="G305" s="26" t="str">
        <f ca="1">IF(ISERROR(F302),"",G284)</f>
        <v>External Marks</v>
      </c>
      <c r="H305" s="26"/>
      <c r="I305" s="26" t="str">
        <f ca="1">IF(ISERROR(F302),"",I284)</f>
        <v>Sessional Marks</v>
      </c>
      <c r="J305" s="26"/>
      <c r="K305" s="26" t="str">
        <f ca="1">IF(ISERROR(F302),"",K284)</f>
        <v>Total Marks</v>
      </c>
      <c r="L305" s="26"/>
      <c r="M305" s="26" t="str">
        <f ca="1">IF(ISERROR(F302),"",M284)</f>
        <v>Grade</v>
      </c>
      <c r="N305" s="26" t="str">
        <f ca="1">IF(ISERROR(F302),"",N284)</f>
        <v>Grade Points</v>
      </c>
    </row>
    <row r="306" spans="1:24" ht="12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001</v>
      </c>
      <c r="B307" s="31" t="str">
        <f ca="1">IF(ISERROR(F302),"",VLOOKUP(D302,INDIRECT($F$8),6+(O307-1)*3,0))</f>
        <v>Engineering Physics</v>
      </c>
      <c r="C307" s="31"/>
      <c r="D307" s="31"/>
      <c r="E307" s="31"/>
      <c r="F307" s="7">
        <f ca="1">IF(ISERROR(F302),"",VLOOKUP(E302,INDIRECT($F$8),6+(O307-1)*3,0))</f>
        <v>4</v>
      </c>
      <c r="G307" s="29" t="str">
        <f ca="1">IF(ISERROR(F302),"",_xlfn.TEXTJOIN("/",FALSE,P307,S307))</f>
        <v>13/100</v>
      </c>
      <c r="H307" s="29"/>
      <c r="I307" s="29" t="str">
        <f ca="1">IF(ISERROR(F302),"",_xlfn.TEXTJOIN("/",FALSE,Q307,T307))</f>
        <v>19/50</v>
      </c>
      <c r="J307" s="29"/>
      <c r="K307" s="29" t="str">
        <f ca="1">IF(ISERROR(F302),"",_xlfn.TEXTJOIN("/",FALSE,R307,U307))</f>
        <v>32/150</v>
      </c>
      <c r="L307" s="29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F</v>
      </c>
      <c r="N307" s="8">
        <f ca="1">INDEX($Z$2:$Z$17,MATCH(M307,$Y$2:$Y$17,0))</f>
        <v>0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13</v>
      </c>
      <c r="Q307" s="1">
        <f ca="1">IF(ISERROR(F302),"",VLOOKUP(B302,INDIRECT($F$8),7+(O307-1)*3))</f>
        <v>19</v>
      </c>
      <c r="R307" s="1">
        <f ca="1">IF(ISERROR(F302),"",SUM(P307:Q307))</f>
        <v>32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>AHT 001</v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11</v>
      </c>
      <c r="X307" s="1" t="str">
        <f ca="1">IF(ISERROR(F302),"",IF(W307=0,"",_xlfn.TEXTJOIN("",FALSE," G+",W307," in ",A307)))</f>
        <v xml:space="preserve"> G+11 in AHT 001</v>
      </c>
    </row>
    <row r="308" spans="1:24" ht="12" customHeight="1" x14ac:dyDescent="0.2">
      <c r="A308" s="7" t="str">
        <f ca="1">IF(ISERROR(F302),"",VLOOKUP(C302,INDIRECT($F$8),6+(O308-1)*3,0))</f>
        <v>AHT 003</v>
      </c>
      <c r="B308" s="31" t="str">
        <f ca="1">IF(ISERROR(F302),"",VLOOKUP(D302,INDIRECT($F$8),6+(O308-1)*3,0))</f>
        <v>Introduction to Engineering Mathematics</v>
      </c>
      <c r="C308" s="31"/>
      <c r="D308" s="31"/>
      <c r="E308" s="31"/>
      <c r="F308" s="7">
        <f ca="1">IF(ISERROR(F302),"",VLOOKUP(E302,INDIRECT($F$8),6+(O308-1)*3,0))</f>
        <v>4</v>
      </c>
      <c r="G308" s="29" t="str">
        <f ca="1">IF(ISERROR(F302),"",_xlfn.TEXTJOIN("/",FALSE,P308,S308))</f>
        <v>9/100</v>
      </c>
      <c r="H308" s="29"/>
      <c r="I308" s="29" t="str">
        <f ca="1">IF(ISERROR(F302),"",_xlfn.TEXTJOIN("/",FALSE,Q308,T308))</f>
        <v>18/50</v>
      </c>
      <c r="J308" s="29"/>
      <c r="K308" s="29" t="str">
        <f ca="1">IF(ISERROR(F302),"",_xlfn.TEXTJOIN("/",FALSE,R308,U308))</f>
        <v>27/150</v>
      </c>
      <c r="L308" s="29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F</v>
      </c>
      <c r="N308" s="8">
        <f t="shared" ref="N308:N317" ca="1" si="29">INDEX($Z$2:$Z$17,MATCH(M308,$Y$2:$Y$17,0))</f>
        <v>0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9</v>
      </c>
      <c r="Q308" s="1">
        <f ca="1">IF(ISERROR(F302),"",VLOOKUP(B302,INDIRECT($F$8),7+(O308-1)*3))</f>
        <v>18</v>
      </c>
      <c r="R308" s="1">
        <f ca="1">IF(ISERROR(F302),"",SUM(P308:Q308))</f>
        <v>27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>AHT 003</v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11</v>
      </c>
      <c r="X308" s="1" t="str">
        <f ca="1">IF(ISERROR(F302),"",IF(W308=0,"",_xlfn.TEXTJOIN("",FALSE," G+",W308," in ",A308)))</f>
        <v xml:space="preserve"> G+11 in AHT 003</v>
      </c>
    </row>
    <row r="309" spans="1:24" ht="12" customHeight="1" x14ac:dyDescent="0.2">
      <c r="A309" s="7" t="str">
        <f ca="1">IF(ISERROR(F302),"",VLOOKUP(C302,INDIRECT($F$8),6+(O309-1)*3,0))</f>
        <v>EET 001</v>
      </c>
      <c r="B309" s="31" t="str">
        <f ca="1">IF(ISERROR(F302),"",VLOOKUP(D302,INDIRECT($F$8),6+(O309-1)*3,0))</f>
        <v>Basic Electrical Engineering</v>
      </c>
      <c r="C309" s="31"/>
      <c r="D309" s="31"/>
      <c r="E309" s="31"/>
      <c r="F309" s="7">
        <f ca="1">IF(ISERROR(F302),"",VLOOKUP(E302,INDIRECT($F$8),6+(O309-1)*3,0))</f>
        <v>4</v>
      </c>
      <c r="G309" s="29" t="str">
        <f ca="1">IF(ISERROR(F302),"",_xlfn.TEXTJOIN("/",FALSE,P309,S309))</f>
        <v>47/100</v>
      </c>
      <c r="H309" s="29"/>
      <c r="I309" s="29" t="str">
        <f ca="1">IF(ISERROR(F302),"",_xlfn.TEXTJOIN("/",FALSE,Q309,T309))</f>
        <v>31/50</v>
      </c>
      <c r="J309" s="29"/>
      <c r="K309" s="29" t="str">
        <f ca="1">IF(ISERROR(F302),"",_xlfn.TEXTJOIN("/",FALSE,R309,U309))</f>
        <v>78/150</v>
      </c>
      <c r="L309" s="29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E+</v>
      </c>
      <c r="N309" s="8">
        <f t="shared" ca="1" si="29"/>
        <v>5.5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47</v>
      </c>
      <c r="Q309" s="1">
        <f ca="1">IF(ISERROR(F302),"",VLOOKUP(B302,INDIRECT($F$8),7+(O309-1)*3))</f>
        <v>31</v>
      </c>
      <c r="R309" s="1">
        <f ca="1">IF(ISERROR(F302),"",SUM(P309:Q309))</f>
        <v>78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/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0</v>
      </c>
      <c r="X309" s="1" t="str">
        <f ca="1">IF(ISERROR(F302),"",IF(W309=0,"",_xlfn.TEXTJOIN("",FALSE," G+",W309," in ",A309)))</f>
        <v/>
      </c>
    </row>
    <row r="310" spans="1:24" ht="12" customHeight="1" x14ac:dyDescent="0.2">
      <c r="A310" s="7" t="str">
        <f ca="1">IF(ISERROR(F302),"",VLOOKUP(C302,INDIRECT($F$8),6+(O310-1)*3,0))</f>
        <v>CST 001</v>
      </c>
      <c r="B310" s="31" t="str">
        <f ca="1">IF(ISERROR(F302),"",VLOOKUP(D302,INDIRECT($F$8),6+(O310-1)*3,0))</f>
        <v>Programming for Problem Solving</v>
      </c>
      <c r="C310" s="31"/>
      <c r="D310" s="31"/>
      <c r="E310" s="31"/>
      <c r="F310" s="7">
        <f ca="1">IF(ISERROR(F302),"",VLOOKUP(E302,INDIRECT($F$8),6+(O310-1)*3,0))</f>
        <v>4</v>
      </c>
      <c r="G310" s="29" t="str">
        <f ca="1">IF(ISERROR(F302),"",_xlfn.TEXTJOIN("/",FALSE,P310,S310))</f>
        <v>36/100</v>
      </c>
      <c r="H310" s="29"/>
      <c r="I310" s="29" t="str">
        <f ca="1">IF(ISERROR(F302),"",_xlfn.TEXTJOIN("/",FALSE,Q310,T310))</f>
        <v>30/50</v>
      </c>
      <c r="J310" s="29"/>
      <c r="K310" s="29" t="str">
        <f ca="1">IF(ISERROR(F302),"",_xlfn.TEXTJOIN("/",FALSE,R310,U310))</f>
        <v>66/150</v>
      </c>
      <c r="L310" s="29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P</v>
      </c>
      <c r="N310" s="8">
        <f t="shared" ca="1" si="29"/>
        <v>4.5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36</v>
      </c>
      <c r="Q310" s="1">
        <f ca="1">IF(ISERROR(F302),"",VLOOKUP(B302,INDIRECT($F$8),7+(O310-1)*3))</f>
        <v>30</v>
      </c>
      <c r="R310" s="1">
        <f ca="1">IF(ISERROR(F302),"",SUM(P310:Q310))</f>
        <v>66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AHT 004</v>
      </c>
      <c r="B311" s="31" t="str">
        <f ca="1">IF(ISERROR(F302),"",VLOOKUP(D302,INDIRECT($F$8),6+(O311-1)*3,0))</f>
        <v>Environmental Studies ($)</v>
      </c>
      <c r="C311" s="31"/>
      <c r="D311" s="31"/>
      <c r="E311" s="31"/>
      <c r="F311" s="7">
        <f ca="1">IF(ISERROR(F302),"",VLOOKUP(E302,INDIRECT($F$8),6+(O311-1)*3,0))</f>
        <v>0</v>
      </c>
      <c r="G311" s="29" t="str">
        <f ca="1">IF(ISERROR(F302),"",_xlfn.TEXTJOIN("/",FALSE,P311,S311))</f>
        <v>29/50</v>
      </c>
      <c r="H311" s="29"/>
      <c r="I311" s="29" t="str">
        <f ca="1">IF(ISERROR(F302),"",_xlfn.TEXTJOIN("/",FALSE,Q311,T311))</f>
        <v>12/25</v>
      </c>
      <c r="J311" s="29"/>
      <c r="K311" s="29" t="str">
        <f ca="1">IF(ISERROR(F302),"",_xlfn.TEXTJOIN("/",FALSE,R311,U311))</f>
        <v>41/75</v>
      </c>
      <c r="L311" s="29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E+</v>
      </c>
      <c r="N311" s="8">
        <f t="shared" ca="1" si="29"/>
        <v>5.5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29</v>
      </c>
      <c r="Q311" s="1">
        <f ca="1">IF(ISERROR(F302),"",VLOOKUP(B302,INDIRECT($F$8),7+(O311-1)*3))</f>
        <v>12</v>
      </c>
      <c r="R311" s="1">
        <f ca="1">IF(ISERROR(F302),"",SUM(P311:Q311))</f>
        <v>41</v>
      </c>
      <c r="S311" s="1">
        <f ca="1">IF(ISERROR(F302),"",VLOOKUP(A302,INDIRECT($F$8),6+(O311-1)*3))</f>
        <v>50</v>
      </c>
      <c r="T311" s="1">
        <f ca="1">IF(ISERROR(F302),"",VLOOKUP(A302,INDIRECT($F$8),7+(O311-1)*3))</f>
        <v>25</v>
      </c>
      <c r="U311" s="1">
        <f ca="1">IF(ISERROR(F302),"",VLOOKUP(A302,INDIRECT($F$8),8+(O311-1)*3))</f>
        <v>75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AHP 001</v>
      </c>
      <c r="B312" s="31" t="str">
        <f ca="1">IF(ISERROR(F302),"",VLOOKUP(D302,INDIRECT($F$8),6+(O312-1)*3,0))</f>
        <v>Engineering Physics Lab</v>
      </c>
      <c r="C312" s="31"/>
      <c r="D312" s="31"/>
      <c r="E312" s="31"/>
      <c r="F312" s="7">
        <f ca="1">IF(ISERROR(F302),"",VLOOKUP(E302,INDIRECT($F$8),6+(O312-1)*3,0))</f>
        <v>1</v>
      </c>
      <c r="G312" s="29" t="str">
        <f ca="1">IF(ISERROR(F302),"",_xlfn.TEXTJOIN("/",FALSE,P312,S312))</f>
        <v>19/25</v>
      </c>
      <c r="H312" s="29"/>
      <c r="I312" s="29" t="str">
        <f ca="1">IF(ISERROR(F302),"",_xlfn.TEXTJOIN("/",FALSE,Q312,T312))</f>
        <v>21/25</v>
      </c>
      <c r="J312" s="29"/>
      <c r="K312" s="29" t="str">
        <f ca="1">IF(ISERROR(F302),"",_xlfn.TEXTJOIN("/",FALSE,R312,U312))</f>
        <v>40/50</v>
      </c>
      <c r="L312" s="29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B+</v>
      </c>
      <c r="N312" s="8">
        <f t="shared" ca="1" si="29"/>
        <v>8.5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19</v>
      </c>
      <c r="Q312" s="1">
        <f ca="1">IF(ISERROR(F302),"",VLOOKUP(B302,INDIRECT($F$8),7+(O312-1)*3))</f>
        <v>21</v>
      </c>
      <c r="R312" s="1">
        <f ca="1">IF(ISERROR(F302),"",SUM(P312:Q312))</f>
        <v>40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EEP 001</v>
      </c>
      <c r="B313" s="31" t="str">
        <f ca="1">IF(ISERROR(F302),"",VLOOKUP(D302,INDIRECT($F$8),6+(O313-1)*3,0))</f>
        <v>Basic Electrical Engineering Lab</v>
      </c>
      <c r="C313" s="31"/>
      <c r="D313" s="31"/>
      <c r="E313" s="31"/>
      <c r="F313" s="7">
        <f ca="1">IF(ISERROR(F302),"",VLOOKUP(E302,INDIRECT($F$8),6+(O313-1)*3,0))</f>
        <v>1</v>
      </c>
      <c r="G313" s="29" t="str">
        <f ca="1">IF(ISERROR(F302),"",_xlfn.TEXTJOIN("/",FALSE,P313,S313))</f>
        <v>22/25</v>
      </c>
      <c r="H313" s="29"/>
      <c r="I313" s="29" t="str">
        <f ca="1">IF(ISERROR(F302),"",_xlfn.TEXTJOIN("/",FALSE,Q313,T313))</f>
        <v>15/25</v>
      </c>
      <c r="J313" s="29"/>
      <c r="K313" s="29" t="str">
        <f ca="1">IF(ISERROR(F302),"",_xlfn.TEXTJOIN("/",FALSE,R313,U313))</f>
        <v>37/50</v>
      </c>
      <c r="L313" s="29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C+</v>
      </c>
      <c r="N313" s="8">
        <f t="shared" ca="1" si="29"/>
        <v>7.5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22</v>
      </c>
      <c r="Q313" s="1">
        <f ca="1">IF(ISERROR(F302),"",VLOOKUP(B302,INDIRECT($F$8),7+(O313-1)*3))</f>
        <v>15</v>
      </c>
      <c r="R313" s="1">
        <f ca="1">IF(ISERROR(F302),"",SUM(P313:Q313))</f>
        <v>37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CSP 001</v>
      </c>
      <c r="B314" s="31" t="str">
        <f ca="1">IF(ISERROR(F302),"",VLOOKUP(D302,INDIRECT($F$8),6+(O314-1)*3-Z314,0))</f>
        <v>Programming for Problem Solving Lab</v>
      </c>
      <c r="C314" s="31"/>
      <c r="D314" s="31"/>
      <c r="E314" s="31"/>
      <c r="F314" s="7">
        <f ca="1">IF(ISERROR(F302),"",VLOOKUP(E302,INDIRECT($F$8),6+(O314-1)*3,0))</f>
        <v>1</v>
      </c>
      <c r="G314" s="29" t="str">
        <f ca="1">IF(ISERROR(F302),"",_xlfn.TEXTJOIN("/",FALSE,P314,S314))</f>
        <v>18/25</v>
      </c>
      <c r="H314" s="29"/>
      <c r="I314" s="29" t="str">
        <f ca="1">IF(ISERROR(F302),"",_xlfn.TEXTJOIN("/",FALSE,Q314,T314))</f>
        <v>21/25</v>
      </c>
      <c r="J314" s="29"/>
      <c r="K314" s="29" t="str">
        <f ca="1">IF(ISERROR(F302),"",_xlfn.TEXTJOIN("/",FALSE,R314,U314))</f>
        <v>39/50</v>
      </c>
      <c r="L314" s="29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B</v>
      </c>
      <c r="N314" s="8">
        <f t="shared" ca="1" si="29"/>
        <v>8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18</v>
      </c>
      <c r="Q314" s="1">
        <f ca="1">IF(ISERROR(F302),"",VLOOKUP(B302,INDIRECT($F$8),7+(O314-1)*3))</f>
        <v>21</v>
      </c>
      <c r="R314" s="1">
        <f ca="1">IF(ISERROR(F302),"",SUM(P314:Q314))</f>
        <v>39</v>
      </c>
      <c r="S314" s="1">
        <f ca="1">IF(ISERROR(F302),"",VLOOKUP(A302,INDIRECT($F$8),6+(O314-1)*3))</f>
        <v>25</v>
      </c>
      <c r="T314" s="1">
        <f ca="1">IF(ISERROR(F302),"",VLOOKUP(A302,INDIRECT($F$8),7+(O314-1)*3))</f>
        <v>25</v>
      </c>
      <c r="U314" s="1">
        <f ca="1">IF(ISERROR(F302),"",VLOOKUP(A302,INDIRECT($F$8),8+(O314-1)*3))</f>
        <v>50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MEP 002</v>
      </c>
      <c r="B315" s="31" t="str">
        <f ca="1">IF(ISERROR(F302),"",VLOOKUP(D302,INDIRECT($F$8),6+(O315-1)*3-Z315,0))</f>
        <v>Engineering Graphics &amp; Design Lab</v>
      </c>
      <c r="C315" s="31"/>
      <c r="D315" s="31"/>
      <c r="E315" s="31"/>
      <c r="F315" s="7">
        <f ca="1">IF(ISERROR(F302),"",VLOOKUP(E302,INDIRECT($F$8),6+(O315-1)*3,0))</f>
        <v>2</v>
      </c>
      <c r="G315" s="29" t="str">
        <f ca="1">IF(ISERROR(F302),"",_xlfn.TEXTJOIN("/",FALSE,P315,S315))</f>
        <v>40/50</v>
      </c>
      <c r="H315" s="29"/>
      <c r="I315" s="29" t="str">
        <f ca="1">IF(ISERROR(F302),"",_xlfn.TEXTJOIN("/",FALSE,Q315,T315))</f>
        <v>38/50</v>
      </c>
      <c r="J315" s="29"/>
      <c r="K315" s="29" t="str">
        <f ca="1">IF(ISERROR(F302),"",_xlfn.TEXTJOIN("/",FALSE,R315,U315))</f>
        <v>78/100</v>
      </c>
      <c r="L315" s="29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B</v>
      </c>
      <c r="N315" s="8">
        <f t="shared" ca="1" si="29"/>
        <v>8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40</v>
      </c>
      <c r="Q315" s="1">
        <f ca="1">IF(ISERROR(F302),"",VLOOKUP(B302,INDIRECT($F$8),7+(O315-1)*3))</f>
        <v>38</v>
      </c>
      <c r="R315" s="1">
        <f ca="1">IF(ISERROR(F302),"",SUM(P315:Q315))</f>
        <v>78</v>
      </c>
      <c r="S315" s="1">
        <f ca="1">IF(ISERROR(F302),"",VLOOKUP(A302,INDIRECT($F$8),6+(O315-1)*3))</f>
        <v>50</v>
      </c>
      <c r="T315" s="1">
        <f ca="1">IF(ISERROR(F302),"",VLOOKUP(A302,INDIRECT($F$8),7+(O315-1)*3))</f>
        <v>50</v>
      </c>
      <c r="U315" s="1">
        <f ca="1">IF(ISERROR(F302),"",VLOOKUP(A302,INDIRECT($F$8),8+(O315-1)*3))</f>
        <v>100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AHP 003</v>
      </c>
      <c r="B316" s="31" t="str">
        <f ca="1">IF(ISERROR(F302),"",VLOOKUP(D302,INDIRECT($F$8),6+(O316-1)*3,0))</f>
        <v>Introduction to Digital Marketing Lab</v>
      </c>
      <c r="C316" s="31"/>
      <c r="D316" s="31"/>
      <c r="E316" s="31"/>
      <c r="F316" s="7">
        <f ca="1">IF(ISERROR(F302),"",VLOOKUP(E302,INDIRECT($F$8),6+(O316-1)*3,0))</f>
        <v>1</v>
      </c>
      <c r="G316" s="29" t="str">
        <f ca="1">IF(ISERROR(F302),"",_xlfn.TEXTJOIN("/",FALSE,P316,S316))</f>
        <v>16/25</v>
      </c>
      <c r="H316" s="29"/>
      <c r="I316" s="29" t="str">
        <f ca="1">IF(ISERROR(F302),"",_xlfn.TEXTJOIN("/",FALSE,Q316,T316))</f>
        <v>16/25</v>
      </c>
      <c r="J316" s="29"/>
      <c r="K316" s="29" t="str">
        <f ca="1">IF(ISERROR(F302),"",_xlfn.TEXTJOIN("/",FALSE,R316,U316))</f>
        <v>32/50</v>
      </c>
      <c r="L316" s="29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D+</v>
      </c>
      <c r="N316" s="8">
        <f t="shared" ca="1" si="29"/>
        <v>6.5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16</v>
      </c>
      <c r="Q316" s="1">
        <f ca="1">IF(ISERROR(F302),"",VLOOKUP(B302,INDIRECT($F$8),7+(O316-1)*3))</f>
        <v>16</v>
      </c>
      <c r="R316" s="1">
        <f ca="1">IF(ISERROR(F302),"",SUM(P316:Q316))</f>
        <v>32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005</v>
      </c>
      <c r="B317" s="31" t="str">
        <f ca="1">IF(ISERROR(F302),"",VLOOKUP(D302,INDIRECT($F$8),6+(O317-1)*3,0))</f>
        <v>Self Employment &amp; Entrepreneurship Development</v>
      </c>
      <c r="C317" s="31"/>
      <c r="D317" s="31"/>
      <c r="E317" s="31"/>
      <c r="F317" s="7">
        <f ca="1">IF(ISERROR(F302),"",VLOOKUP(E302,INDIRECT($F$8),6+(O317-1)*3,0))</f>
        <v>1</v>
      </c>
      <c r="G317" s="29" t="str">
        <f ca="1">IF(ISERROR(F302),"",_xlfn.TEXTJOIN("/",FALSE,P317,S317))</f>
        <v>18/25</v>
      </c>
      <c r="H317" s="29"/>
      <c r="I317" s="29" t="str">
        <f ca="1">IF(ISERROR(F302),"",_xlfn.TEXTJOIN("/",FALSE,Q317,T317))</f>
        <v>22/25</v>
      </c>
      <c r="J317" s="29"/>
      <c r="K317" s="29" t="str">
        <f ca="1">IF(ISERROR(F302),"",_xlfn.TEXTJOIN("/",FALSE,R317,U317))</f>
        <v>40/50</v>
      </c>
      <c r="L317" s="29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B+</v>
      </c>
      <c r="N317" s="8">
        <f t="shared" ca="1" si="29"/>
        <v>8.5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18</v>
      </c>
      <c r="Q317" s="1">
        <f ca="1">IF(ISERROR(F302),"",VLOOKUP(B302,INDIRECT($F$8),7+(O317-1)*3))</f>
        <v>22</v>
      </c>
      <c r="R317" s="1">
        <f ca="1">IF(ISERROR(F302),"",SUM(P317:Q317))</f>
        <v>40</v>
      </c>
      <c r="S317" s="1">
        <f ca="1">IF(ISERROR(F302),"",VLOOKUP(A302,INDIRECT($F$8),6+(O317-1)*3))</f>
        <v>25</v>
      </c>
      <c r="T317" s="1">
        <f ca="1">IF(ISERROR(F302),"",VLOOKUP(A302,INDIRECT($F$8),7+(O317-1)*3))</f>
        <v>25</v>
      </c>
      <c r="U317" s="1">
        <f ca="1">IF(ISERROR(F302),"",VLOOKUP(A302,INDIRECT($F$8),8+(O317-1)*3))</f>
        <v>50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31" t="str">
        <f ca="1">IF(ISERROR(F302),"",VLOOKUP(D302,INDIRECT($F$8),6+(O318-1)*3-Z318,0))</f>
        <v>General Proficiency ($)</v>
      </c>
      <c r="C318" s="31"/>
      <c r="D318" s="31"/>
      <c r="E318" s="31"/>
      <c r="F318" s="7">
        <f ca="1">IF(ISERROR(F302),"",VLOOKUP(E302,INDIRECT($F$8),6+(O318-1)*3-AA318,0))</f>
        <v>0</v>
      </c>
      <c r="G318" s="29" t="str">
        <f ca="1">IF(ISERROR(F302),"","-")</f>
        <v>-</v>
      </c>
      <c r="H318" s="29"/>
      <c r="I318" s="29" t="str">
        <f ca="1">IF(ISERROR(F302),"",_xlfn.TEXTJOIN("/",FALSE,Q318,T318))</f>
        <v>47/50</v>
      </c>
      <c r="J318" s="29"/>
      <c r="K318" s="29" t="str">
        <f ca="1">IF(ISERROR(F302),"",_xlfn.TEXTJOIN("/",FALSE,R318,U318))</f>
        <v>47/50</v>
      </c>
      <c r="L318" s="29"/>
      <c r="M318" s="29" t="str">
        <f ca="1">IF(ISBLANK(R318),"",IF(ISTEXT(R318),R318,IF(R318&gt;=0.8*U318,"Excellent",IF(R318&gt;=0.6*U318,"Very Good",IF(R318&gt;=0.4*U318,"Good",IF(R318&gt;=0.2*U318,"Satisfactory","Average"))))))</f>
        <v>Excellent</v>
      </c>
      <c r="N318" s="29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7" t="str">
        <f ca="1">IF(ISERROR(F302),"",A298)</f>
        <v>Total Credits/ Marks/ Total Grade Points</v>
      </c>
      <c r="B319" s="27"/>
      <c r="C319" s="27"/>
      <c r="D319" s="27"/>
      <c r="E319" s="27"/>
      <c r="F319" s="10">
        <f ca="1">IF(ISERROR(F302),"",SUM(F307:F317))</f>
        <v>23</v>
      </c>
      <c r="G319" s="30" t="str">
        <f ca="1">IF(ISERROR(F302),"",_xlfn.TEXTJOIN("/",TRUE,SUMIF(F307:F318,"&gt;0",P307:P318),SUMIF(F307:F318,"&gt;0",S307:S318)))</f>
        <v>238/575</v>
      </c>
      <c r="H319" s="30"/>
      <c r="I319" s="30" t="str">
        <f ca="1">IF(ISERROR(F302),"",_xlfn.TEXTJOIN("/",TRUE,SUMIF(F307:F318,"&gt;0",Q307:Q318),SUMIF(F307:F318,"&gt;0",T307:T318)))</f>
        <v>231/375</v>
      </c>
      <c r="J319" s="30"/>
      <c r="K319" s="30" t="str">
        <f ca="1">IF(ISERROR(F302),"",_xlfn.TEXTJOIN("/",TRUE,SUMIF(F307:F318,"&gt;0",R307:R318),SUMIF(F307:F318,"&gt;0",U307:U318)))</f>
        <v>469/950</v>
      </c>
      <c r="L319" s="30"/>
      <c r="M319" s="27">
        <f ca="1">IF(ISERROR(F302),"",SUMPRODUCT(N307:N317,F307:F317))</f>
        <v>95</v>
      </c>
      <c r="N319" s="27"/>
      <c r="V319" s="1" t="str">
        <f ca="1">IF(ISERROR(F302),"",_xlfn.TEXTJOIN(", ",TRUE,V307:V318))</f>
        <v>AHT 001, AHT 003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AHT 001, G+11 in AHT 003</v>
      </c>
    </row>
    <row r="320" spans="1:24" ht="12" customHeight="1" x14ac:dyDescent="0.2">
      <c r="A320" s="27" t="str">
        <f ca="1">IF(ISERROR(F302),"",A299)</f>
        <v>Result:</v>
      </c>
      <c r="B320" s="26" t="str" cm="1">
        <f t="array" aca="1" ref="B320" ca="1">IF(SUM(COUNTIF(M307:M317,{"Ab","Dt"}))=11, "Not Promoted to IInd Semester", IF(V319="", "PASS", "CARRY OVER"))</f>
        <v>CARRY OVER</v>
      </c>
      <c r="C320" s="26"/>
      <c r="D320" s="27" t="str">
        <f ca="1">IF(ISERROR(F302),"",D299)</f>
        <v>Remark:</v>
      </c>
      <c r="E320" s="26" t="str">
        <f ca="1">IF(ISERROR(F302),"",IF(V319="",IF(X319="","",X319),_xlfn.TEXTJOIN(" ",TRUE,"BACK IN",V319)))</f>
        <v>BACK IN AHT 001, AHT 003</v>
      </c>
      <c r="F320" s="26"/>
      <c r="G320" s="27" t="str">
        <f ca="1">IF(ISERROR(F302),"",G299)</f>
        <v>SGPA:</v>
      </c>
      <c r="H320" s="28">
        <f ca="1">IF(ISERROR(F302),"",M319/F319)</f>
        <v>4.1304347826086953</v>
      </c>
      <c r="I320" s="27" t="str">
        <f ca="1">IF(ISERROR(F302),"",I299)</f>
        <v>CGPA:</v>
      </c>
      <c r="J320" s="28">
        <f ca="1">IF(ISERROR(F302),"",VLOOKUP(B302,INDIRECT($F$8),12+(O318-1)*3,0))</f>
        <v>4.1304347826086953</v>
      </c>
      <c r="K320" s="26" t="str">
        <f ca="1">IF(ISERROR(F302),"",K299)</f>
        <v>Earned Credits:</v>
      </c>
      <c r="L320" s="27">
        <f ca="1">IF(ISERROR(F302),"",SUMIF(N307:N317,"&gt;0",F307:F317))</f>
        <v>15</v>
      </c>
      <c r="M320" s="26" t="str">
        <f ca="1">IF(ISERROR(F302),"",M299)</f>
        <v>Cuml. Earned Credits:</v>
      </c>
      <c r="N320" s="27">
        <f ca="1">IF(ISERROR(F302),"",VLOOKUP(B302,INDIRECT($F$8),10+(O318-1)*3,0))</f>
        <v>15</v>
      </c>
    </row>
    <row r="321" spans="1:24" ht="12" customHeight="1" x14ac:dyDescent="0.2">
      <c r="A321" s="27"/>
      <c r="B321" s="26"/>
      <c r="C321" s="26"/>
      <c r="D321" s="27"/>
      <c r="E321" s="26"/>
      <c r="F321" s="26"/>
      <c r="G321" s="27"/>
      <c r="H321" s="28"/>
      <c r="I321" s="27"/>
      <c r="J321" s="28"/>
      <c r="K321" s="26"/>
      <c r="L321" s="27"/>
      <c r="M321" s="26"/>
      <c r="N321" s="27"/>
    </row>
    <row r="322" spans="1:24" ht="12" customHeight="1" x14ac:dyDescent="0.2">
      <c r="A322" s="27"/>
      <c r="B322" s="26"/>
      <c r="C322" s="26"/>
      <c r="D322" s="27"/>
      <c r="E322" s="26"/>
      <c r="F322" s="26"/>
      <c r="G322" s="27"/>
      <c r="H322" s="28"/>
      <c r="I322" s="27"/>
      <c r="J322" s="28"/>
      <c r="K322" s="26"/>
      <c r="L322" s="27"/>
      <c r="M322" s="26"/>
      <c r="N322" s="27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SIDHARTH SINGH SAJWAN</v>
      </c>
    </row>
    <row r="324" spans="1:24" ht="12" customHeight="1" x14ac:dyDescent="0.2">
      <c r="A324" s="24" t="str">
        <f ca="1">IF(ISERROR(F323),"",A303)</f>
        <v>Name:</v>
      </c>
      <c r="B324" s="24" t="str">
        <f ca="1">IFERROR(VLOOKUP(B323,INDIRECT($F$8),4,0),"")</f>
        <v>SIDHARTH SINGH SAJWAN</v>
      </c>
      <c r="C324" s="24"/>
      <c r="D324" s="24" t="str">
        <f ca="1">IF(ISERROR(F323),"",D303)</f>
        <v>Father's Name:</v>
      </c>
      <c r="E324" s="24" t="str">
        <f ca="1">IFERROR(VLOOKUP(B323,INDIRECT($F$8),5,0),"")</f>
        <v>RAJENDRA SINGH SAJWAN</v>
      </c>
      <c r="F324" s="24"/>
      <c r="G324" s="24" t="str">
        <f ca="1">IF(ISERROR(F323),"",G303)</f>
        <v>University Roll No:</v>
      </c>
      <c r="H324" s="24"/>
      <c r="I324" s="25">
        <f ca="1">IFERROR(VLOOKUP(B323,INDIRECT($F$8),2,0),"")</f>
        <v>250090111016</v>
      </c>
      <c r="J324" s="25"/>
      <c r="K324" s="24" t="str">
        <f ca="1">IF(ISERROR(F323),"",K303)</f>
        <v>University Enrol. No:</v>
      </c>
      <c r="L324" s="24"/>
      <c r="M324" s="25" t="str">
        <f ca="1">IFERROR(VLOOKUP(B323,INDIRECT($F$8),3,0),"")</f>
        <v>UTU/2501103693</v>
      </c>
      <c r="N324" s="25"/>
    </row>
    <row r="325" spans="1:24" ht="12" customHeight="1" x14ac:dyDescent="0.2">
      <c r="A325" s="24"/>
      <c r="B325" s="24"/>
      <c r="C325" s="24"/>
      <c r="D325" s="24"/>
      <c r="E325" s="24"/>
      <c r="F325" s="24"/>
      <c r="G325" s="24"/>
      <c r="H325" s="24"/>
      <c r="I325" s="25"/>
      <c r="J325" s="25"/>
      <c r="K325" s="24"/>
      <c r="L325" s="24"/>
      <c r="M325" s="25"/>
      <c r="N325" s="25"/>
    </row>
    <row r="326" spans="1:24" ht="12" customHeight="1" x14ac:dyDescent="0.2">
      <c r="A326" s="26" t="str">
        <f ca="1">IF(ISERROR(F323),"",A305)</f>
        <v>Subject Code</v>
      </c>
      <c r="B326" s="26" t="str">
        <f ca="1">IF(ISERROR(F323),"",B305)</f>
        <v>Subject Name</v>
      </c>
      <c r="C326" s="26"/>
      <c r="D326" s="26"/>
      <c r="E326" s="26"/>
      <c r="F326" s="26" t="str">
        <f ca="1">IF(ISERROR(F323),"",F305)</f>
        <v>Credits</v>
      </c>
      <c r="G326" s="26" t="str">
        <f ca="1">IF(ISERROR(F323),"",G305)</f>
        <v>External Marks</v>
      </c>
      <c r="H326" s="26"/>
      <c r="I326" s="26" t="str">
        <f ca="1">IF(ISERROR(F323),"",I305)</f>
        <v>Sessional Marks</v>
      </c>
      <c r="J326" s="26"/>
      <c r="K326" s="26" t="str">
        <f ca="1">IF(ISERROR(F323),"",K305)</f>
        <v>Total Marks</v>
      </c>
      <c r="L326" s="26"/>
      <c r="M326" s="26" t="str">
        <f ca="1">IF(ISERROR(F323),"",M305)</f>
        <v>Grade</v>
      </c>
      <c r="N326" s="26" t="str">
        <f ca="1">IF(ISERROR(F323),"",N305)</f>
        <v>Grade Points</v>
      </c>
    </row>
    <row r="327" spans="1:24" ht="12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001</v>
      </c>
      <c r="B328" s="31" t="str">
        <f ca="1">IF(ISERROR(F323),"",VLOOKUP(D323,INDIRECT($F$8),6+(O328-1)*3,0))</f>
        <v>Engineering Physics</v>
      </c>
      <c r="C328" s="31"/>
      <c r="D328" s="31"/>
      <c r="E328" s="31"/>
      <c r="F328" s="7">
        <f ca="1">IF(ISERROR(F323),"",VLOOKUP(E323,INDIRECT($F$8),6+(O328-1)*3,0))</f>
        <v>4</v>
      </c>
      <c r="G328" s="29" t="str">
        <f ca="1">IF(ISERROR(F323),"",_xlfn.TEXTJOIN("/",FALSE,P328,S328))</f>
        <v>7/100</v>
      </c>
      <c r="H328" s="29"/>
      <c r="I328" s="29" t="str">
        <f ca="1">IF(ISERROR(F323),"",_xlfn.TEXTJOIN("/",FALSE,Q328,T328))</f>
        <v>21/50</v>
      </c>
      <c r="J328" s="29"/>
      <c r="K328" s="29" t="str">
        <f ca="1">IF(ISERROR(F323),"",_xlfn.TEXTJOIN("/",FALSE,R328,U328))</f>
        <v>28/150</v>
      </c>
      <c r="L328" s="29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F</v>
      </c>
      <c r="N328" s="8">
        <f ca="1">INDEX($Z$2:$Z$17,MATCH(M328,$Y$2:$Y$17,0))</f>
        <v>0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7</v>
      </c>
      <c r="Q328" s="1">
        <f ca="1">IF(ISERROR(F323),"",VLOOKUP(B323,INDIRECT($F$8),7+(O328-1)*3))</f>
        <v>21</v>
      </c>
      <c r="R328" s="1">
        <f ca="1">IF(ISERROR(F323),"",SUM(P328:Q328))</f>
        <v>28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>AHT 001</v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11</v>
      </c>
      <c r="X328" s="1" t="str">
        <f ca="1">IF(ISERROR(F323),"",IF(W328=0,"",_xlfn.TEXTJOIN("",FALSE," G+",W328," in ",A328)))</f>
        <v xml:space="preserve"> G+11 in AHT 001</v>
      </c>
    </row>
    <row r="329" spans="1:24" ht="12" customHeight="1" x14ac:dyDescent="0.2">
      <c r="A329" s="7" t="str">
        <f ca="1">IF(ISERROR(F323),"",VLOOKUP(C323,INDIRECT($F$8),6+(O329-1)*3,0))</f>
        <v>AHT 003</v>
      </c>
      <c r="B329" s="31" t="str">
        <f ca="1">IF(ISERROR(F323),"",VLOOKUP(D323,INDIRECT($F$8),6+(O329-1)*3,0))</f>
        <v>Introduction to Engineering Mathematics</v>
      </c>
      <c r="C329" s="31"/>
      <c r="D329" s="31"/>
      <c r="E329" s="31"/>
      <c r="F329" s="7">
        <f ca="1">IF(ISERROR(F323),"",VLOOKUP(E323,INDIRECT($F$8),6+(O329-1)*3,0))</f>
        <v>4</v>
      </c>
      <c r="G329" s="29" t="str">
        <f ca="1">IF(ISERROR(F323),"",_xlfn.TEXTJOIN("/",FALSE,P329,S329))</f>
        <v>7/100</v>
      </c>
      <c r="H329" s="29"/>
      <c r="I329" s="29" t="str">
        <f ca="1">IF(ISERROR(F323),"",_xlfn.TEXTJOIN("/",FALSE,Q329,T329))</f>
        <v>19/50</v>
      </c>
      <c r="J329" s="29"/>
      <c r="K329" s="29" t="str">
        <f ca="1">IF(ISERROR(F323),"",_xlfn.TEXTJOIN("/",FALSE,R329,U329))</f>
        <v>26/150</v>
      </c>
      <c r="L329" s="29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F</v>
      </c>
      <c r="N329" s="8">
        <f t="shared" ref="N329:N338" ca="1" si="31">INDEX($Z$2:$Z$17,MATCH(M329,$Y$2:$Y$17,0))</f>
        <v>0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7</v>
      </c>
      <c r="Q329" s="1">
        <f ca="1">IF(ISERROR(F323),"",VLOOKUP(B323,INDIRECT($F$8),7+(O329-1)*3))</f>
        <v>19</v>
      </c>
      <c r="R329" s="1">
        <f ca="1">IF(ISERROR(F323),"",SUM(P329:Q329))</f>
        <v>26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>AHT 003</v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11</v>
      </c>
      <c r="X329" s="1" t="str">
        <f ca="1">IF(ISERROR(F323),"",IF(W329=0,"",_xlfn.TEXTJOIN("",FALSE," G+",W329," in ",A329)))</f>
        <v xml:space="preserve"> G+11 in AHT 003</v>
      </c>
    </row>
    <row r="330" spans="1:24" ht="12" customHeight="1" x14ac:dyDescent="0.2">
      <c r="A330" s="7" t="str">
        <f ca="1">IF(ISERROR(F323),"",VLOOKUP(C323,INDIRECT($F$8),6+(O330-1)*3,0))</f>
        <v>EET 001</v>
      </c>
      <c r="B330" s="31" t="str">
        <f ca="1">IF(ISERROR(F323),"",VLOOKUP(D323,INDIRECT($F$8),6+(O330-1)*3,0))</f>
        <v>Basic Electrical Engineering</v>
      </c>
      <c r="C330" s="31"/>
      <c r="D330" s="31"/>
      <c r="E330" s="31"/>
      <c r="F330" s="7">
        <f ca="1">IF(ISERROR(F323),"",VLOOKUP(E323,INDIRECT($F$8),6+(O330-1)*3,0))</f>
        <v>4</v>
      </c>
      <c r="G330" s="29" t="str">
        <f ca="1">IF(ISERROR(F323),"",_xlfn.TEXTJOIN("/",FALSE,P330,S330))</f>
        <v>12/100</v>
      </c>
      <c r="H330" s="29"/>
      <c r="I330" s="29" t="str">
        <f ca="1">IF(ISERROR(F323),"",_xlfn.TEXTJOIN("/",FALSE,Q330,T330))</f>
        <v>27/50</v>
      </c>
      <c r="J330" s="29"/>
      <c r="K330" s="29" t="str">
        <f ca="1">IF(ISERROR(F323),"",_xlfn.TEXTJOIN("/",FALSE,R330,U330))</f>
        <v>39/150</v>
      </c>
      <c r="L330" s="29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F</v>
      </c>
      <c r="N330" s="8">
        <f t="shared" ca="1" si="31"/>
        <v>0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12</v>
      </c>
      <c r="Q330" s="1">
        <f ca="1">IF(ISERROR(F323),"",VLOOKUP(B323,INDIRECT($F$8),7+(O330-1)*3))</f>
        <v>27</v>
      </c>
      <c r="R330" s="1">
        <f ca="1">IF(ISERROR(F323),"",SUM(P330:Q330))</f>
        <v>39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>EET 001</v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11</v>
      </c>
      <c r="X330" s="1" t="str">
        <f ca="1">IF(ISERROR(F323),"",IF(W330=0,"",_xlfn.TEXTJOIN("",FALSE," G+",W330," in ",A330)))</f>
        <v xml:space="preserve"> G+11 in EET 001</v>
      </c>
    </row>
    <row r="331" spans="1:24" ht="12" customHeight="1" x14ac:dyDescent="0.2">
      <c r="A331" s="7" t="str">
        <f ca="1">IF(ISERROR(F323),"",VLOOKUP(C323,INDIRECT($F$8),6+(O331-1)*3,0))</f>
        <v>CST 001</v>
      </c>
      <c r="B331" s="31" t="str">
        <f ca="1">IF(ISERROR(F323),"",VLOOKUP(D323,INDIRECT($F$8),6+(O331-1)*3,0))</f>
        <v>Programming for Problem Solving</v>
      </c>
      <c r="C331" s="31"/>
      <c r="D331" s="31"/>
      <c r="E331" s="31"/>
      <c r="F331" s="7">
        <f ca="1">IF(ISERROR(F323),"",VLOOKUP(E323,INDIRECT($F$8),6+(O331-1)*3,0))</f>
        <v>4</v>
      </c>
      <c r="G331" s="29" t="str">
        <f ca="1">IF(ISERROR(F323),"",_xlfn.TEXTJOIN("/",FALSE,P331,S331))</f>
        <v>18/100</v>
      </c>
      <c r="H331" s="29"/>
      <c r="I331" s="29" t="str">
        <f ca="1">IF(ISERROR(F323),"",_xlfn.TEXTJOIN("/",FALSE,Q331,T331))</f>
        <v>30/50</v>
      </c>
      <c r="J331" s="29"/>
      <c r="K331" s="29" t="str">
        <f ca="1">IF(ISERROR(F323),"",_xlfn.TEXTJOIN("/",FALSE,R331,U331))</f>
        <v>48/150</v>
      </c>
      <c r="L331" s="29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F</v>
      </c>
      <c r="N331" s="8">
        <f t="shared" ca="1" si="31"/>
        <v>0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18</v>
      </c>
      <c r="Q331" s="1">
        <f ca="1">IF(ISERROR(F323),"",VLOOKUP(B323,INDIRECT($F$8),7+(O331-1)*3))</f>
        <v>30</v>
      </c>
      <c r="R331" s="1">
        <f ca="1">IF(ISERROR(F323),"",SUM(P331:Q331))</f>
        <v>48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>CST 001</v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11</v>
      </c>
      <c r="X331" s="1" t="str">
        <f ca="1">IF(ISERROR(F323),"",IF(W331=0,"",_xlfn.TEXTJOIN("",FALSE," G+",W331," in ",A331)))</f>
        <v xml:space="preserve"> G+11 in CST 001</v>
      </c>
    </row>
    <row r="332" spans="1:24" ht="12" customHeight="1" x14ac:dyDescent="0.2">
      <c r="A332" s="7" t="str">
        <f ca="1">IF(ISERROR(F323),"",VLOOKUP(C323,INDIRECT($F$8),6+(O332-1)*3,0))</f>
        <v>AHT 004</v>
      </c>
      <c r="B332" s="31" t="str">
        <f ca="1">IF(ISERROR(F323),"",VLOOKUP(D323,INDIRECT($F$8),6+(O332-1)*3,0))</f>
        <v>Environmental Studies ($)</v>
      </c>
      <c r="C332" s="31"/>
      <c r="D332" s="31"/>
      <c r="E332" s="31"/>
      <c r="F332" s="7">
        <f ca="1">IF(ISERROR(F323),"",VLOOKUP(E323,INDIRECT($F$8),6+(O332-1)*3,0))</f>
        <v>0</v>
      </c>
      <c r="G332" s="29" t="str">
        <f ca="1">IF(ISERROR(F323),"",_xlfn.TEXTJOIN("/",FALSE,P332,S332))</f>
        <v>25/50</v>
      </c>
      <c r="H332" s="29"/>
      <c r="I332" s="29" t="str">
        <f ca="1">IF(ISERROR(F323),"",_xlfn.TEXTJOIN("/",FALSE,Q332,T332))</f>
        <v>18/25</v>
      </c>
      <c r="J332" s="29"/>
      <c r="K332" s="29" t="str">
        <f ca="1">IF(ISERROR(F323),"",_xlfn.TEXTJOIN("/",FALSE,R332,U332))</f>
        <v>43/75</v>
      </c>
      <c r="L332" s="29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D</v>
      </c>
      <c r="N332" s="8">
        <f t="shared" ca="1" si="31"/>
        <v>6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25</v>
      </c>
      <c r="Q332" s="1">
        <f ca="1">IF(ISERROR(F323),"",VLOOKUP(B323,INDIRECT($F$8),7+(O332-1)*3))</f>
        <v>18</v>
      </c>
      <c r="R332" s="1">
        <f ca="1">IF(ISERROR(F323),"",SUM(P332:Q332))</f>
        <v>43</v>
      </c>
      <c r="S332" s="1">
        <f ca="1">IF(ISERROR(F323),"",VLOOKUP(A323,INDIRECT($F$8),6+(O332-1)*3))</f>
        <v>50</v>
      </c>
      <c r="T332" s="1">
        <f ca="1">IF(ISERROR(F323),"",VLOOKUP(A323,INDIRECT($F$8),7+(O332-1)*3))</f>
        <v>25</v>
      </c>
      <c r="U332" s="1">
        <f ca="1">IF(ISERROR(F323),"",VLOOKUP(A323,INDIRECT($F$8),8+(O332-1)*3))</f>
        <v>75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AHP 001</v>
      </c>
      <c r="B333" s="31" t="str">
        <f ca="1">IF(ISERROR(F323),"",VLOOKUP(D323,INDIRECT($F$8),6+(O333-1)*3,0))</f>
        <v>Engineering Physics Lab</v>
      </c>
      <c r="C333" s="31"/>
      <c r="D333" s="31"/>
      <c r="E333" s="31"/>
      <c r="F333" s="7">
        <f ca="1">IF(ISERROR(F323),"",VLOOKUP(E323,INDIRECT($F$8),6+(O333-1)*3,0))</f>
        <v>1</v>
      </c>
      <c r="G333" s="29" t="str">
        <f ca="1">IF(ISERROR(F323),"",_xlfn.TEXTJOIN("/",FALSE,P333,S333))</f>
        <v>19/25</v>
      </c>
      <c r="H333" s="29"/>
      <c r="I333" s="29" t="str">
        <f ca="1">IF(ISERROR(F323),"",_xlfn.TEXTJOIN("/",FALSE,Q333,T333))</f>
        <v>22/25</v>
      </c>
      <c r="J333" s="29"/>
      <c r="K333" s="29" t="str">
        <f ca="1">IF(ISERROR(F323),"",_xlfn.TEXTJOIN("/",FALSE,R333,U333))</f>
        <v>41/50</v>
      </c>
      <c r="L333" s="29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B+</v>
      </c>
      <c r="N333" s="8">
        <f t="shared" ca="1" si="31"/>
        <v>8.5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19</v>
      </c>
      <c r="Q333" s="1">
        <f ca="1">IF(ISERROR(F323),"",VLOOKUP(B323,INDIRECT($F$8),7+(O333-1)*3))</f>
        <v>22</v>
      </c>
      <c r="R333" s="1">
        <f ca="1">IF(ISERROR(F323),"",SUM(P333:Q333))</f>
        <v>41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EEP 001</v>
      </c>
      <c r="B334" s="31" t="str">
        <f ca="1">IF(ISERROR(F323),"",VLOOKUP(D323,INDIRECT($F$8),6+(O334-1)*3,0))</f>
        <v>Basic Electrical Engineering Lab</v>
      </c>
      <c r="C334" s="31"/>
      <c r="D334" s="31"/>
      <c r="E334" s="31"/>
      <c r="F334" s="7">
        <f ca="1">IF(ISERROR(F323),"",VLOOKUP(E323,INDIRECT($F$8),6+(O334-1)*3,0))</f>
        <v>1</v>
      </c>
      <c r="G334" s="29" t="str">
        <f ca="1">IF(ISERROR(F323),"",_xlfn.TEXTJOIN("/",FALSE,P334,S334))</f>
        <v>20/25</v>
      </c>
      <c r="H334" s="29"/>
      <c r="I334" s="29" t="str">
        <f ca="1">IF(ISERROR(F323),"",_xlfn.TEXTJOIN("/",FALSE,Q334,T334))</f>
        <v>18/25</v>
      </c>
      <c r="J334" s="29"/>
      <c r="K334" s="29" t="str">
        <f ca="1">IF(ISERROR(F323),"",_xlfn.TEXTJOIN("/",FALSE,R334,U334))</f>
        <v>38/50</v>
      </c>
      <c r="L334" s="29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B</v>
      </c>
      <c r="N334" s="8">
        <f t="shared" ca="1" si="31"/>
        <v>8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20</v>
      </c>
      <c r="Q334" s="1">
        <f ca="1">IF(ISERROR(F323),"",VLOOKUP(B323,INDIRECT($F$8),7+(O334-1)*3))</f>
        <v>18</v>
      </c>
      <c r="R334" s="1">
        <f ca="1">IF(ISERROR(F323),"",SUM(P334:Q334))</f>
        <v>38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CSP 001</v>
      </c>
      <c r="B335" s="31" t="str">
        <f ca="1">IF(ISERROR(F323),"",VLOOKUP(D323,INDIRECT($F$8),6+(O335-1)*3-Z335,0))</f>
        <v>Programming for Problem Solving Lab</v>
      </c>
      <c r="C335" s="31"/>
      <c r="D335" s="31"/>
      <c r="E335" s="31"/>
      <c r="F335" s="7">
        <f ca="1">IF(ISERROR(F323),"",VLOOKUP(E323,INDIRECT($F$8),6+(O335-1)*3,0))</f>
        <v>1</v>
      </c>
      <c r="G335" s="29" t="str">
        <f ca="1">IF(ISERROR(F323),"",_xlfn.TEXTJOIN("/",FALSE,P335,S335))</f>
        <v>19/25</v>
      </c>
      <c r="H335" s="29"/>
      <c r="I335" s="29" t="str">
        <f ca="1">IF(ISERROR(F323),"",_xlfn.TEXTJOIN("/",FALSE,Q335,T335))</f>
        <v>21/25</v>
      </c>
      <c r="J335" s="29"/>
      <c r="K335" s="29" t="str">
        <f ca="1">IF(ISERROR(F323),"",_xlfn.TEXTJOIN("/",FALSE,R335,U335))</f>
        <v>40/50</v>
      </c>
      <c r="L335" s="29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B+</v>
      </c>
      <c r="N335" s="8">
        <f t="shared" ca="1" si="31"/>
        <v>8.5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19</v>
      </c>
      <c r="Q335" s="1">
        <f ca="1">IF(ISERROR(F323),"",VLOOKUP(B323,INDIRECT($F$8),7+(O335-1)*3))</f>
        <v>21</v>
      </c>
      <c r="R335" s="1">
        <f ca="1">IF(ISERROR(F323),"",SUM(P335:Q335))</f>
        <v>40</v>
      </c>
      <c r="S335" s="1">
        <f ca="1">IF(ISERROR(F323),"",VLOOKUP(A323,INDIRECT($F$8),6+(O335-1)*3))</f>
        <v>25</v>
      </c>
      <c r="T335" s="1">
        <f ca="1">IF(ISERROR(F323),"",VLOOKUP(A323,INDIRECT($F$8),7+(O335-1)*3))</f>
        <v>25</v>
      </c>
      <c r="U335" s="1">
        <f ca="1">IF(ISERROR(F323),"",VLOOKUP(A323,INDIRECT($F$8),8+(O335-1)*3))</f>
        <v>50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MEP 002</v>
      </c>
      <c r="B336" s="31" t="str">
        <f ca="1">IF(ISERROR(F323),"",VLOOKUP(D323,INDIRECT($F$8),6+(O336-1)*3-Z336,0))</f>
        <v>Engineering Graphics &amp; Design Lab</v>
      </c>
      <c r="C336" s="31"/>
      <c r="D336" s="31"/>
      <c r="E336" s="31"/>
      <c r="F336" s="7">
        <f ca="1">IF(ISERROR(F323),"",VLOOKUP(E323,INDIRECT($F$8),6+(O336-1)*3,0))</f>
        <v>2</v>
      </c>
      <c r="G336" s="29" t="str">
        <f ca="1">IF(ISERROR(F323),"",_xlfn.TEXTJOIN("/",FALSE,P336,S336))</f>
        <v>40/50</v>
      </c>
      <c r="H336" s="29"/>
      <c r="I336" s="29" t="str">
        <f ca="1">IF(ISERROR(F323),"",_xlfn.TEXTJOIN("/",FALSE,Q336,T336))</f>
        <v>47/50</v>
      </c>
      <c r="J336" s="29"/>
      <c r="K336" s="29" t="str">
        <f ca="1">IF(ISERROR(F323),"",_xlfn.TEXTJOIN("/",FALSE,R336,U336))</f>
        <v>87/100</v>
      </c>
      <c r="L336" s="29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A</v>
      </c>
      <c r="N336" s="8">
        <f t="shared" ca="1" si="31"/>
        <v>9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40</v>
      </c>
      <c r="Q336" s="1">
        <f ca="1">IF(ISERROR(F323),"",VLOOKUP(B323,INDIRECT($F$8),7+(O336-1)*3))</f>
        <v>47</v>
      </c>
      <c r="R336" s="1">
        <f ca="1">IF(ISERROR(F323),"",SUM(P336:Q336))</f>
        <v>87</v>
      </c>
      <c r="S336" s="1">
        <f ca="1">IF(ISERROR(F323),"",VLOOKUP(A323,INDIRECT($F$8),6+(O336-1)*3))</f>
        <v>50</v>
      </c>
      <c r="T336" s="1">
        <f ca="1">IF(ISERROR(F323),"",VLOOKUP(A323,INDIRECT($F$8),7+(O336-1)*3))</f>
        <v>50</v>
      </c>
      <c r="U336" s="1">
        <f ca="1">IF(ISERROR(F323),"",VLOOKUP(A323,INDIRECT($F$8),8+(O336-1)*3))</f>
        <v>100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AHP 003</v>
      </c>
      <c r="B337" s="31" t="str">
        <f ca="1">IF(ISERROR(F323),"",VLOOKUP(D323,INDIRECT($F$8),6+(O337-1)*3,0))</f>
        <v>Introduction to Digital Marketing Lab</v>
      </c>
      <c r="C337" s="31"/>
      <c r="D337" s="31"/>
      <c r="E337" s="31"/>
      <c r="F337" s="7">
        <f ca="1">IF(ISERROR(F323),"",VLOOKUP(E323,INDIRECT($F$8),6+(O337-1)*3,0))</f>
        <v>1</v>
      </c>
      <c r="G337" s="29" t="str">
        <f ca="1">IF(ISERROR(F323),"",_xlfn.TEXTJOIN("/",FALSE,P337,S337))</f>
        <v>23/25</v>
      </c>
      <c r="H337" s="29"/>
      <c r="I337" s="29" t="str">
        <f ca="1">IF(ISERROR(F323),"",_xlfn.TEXTJOIN("/",FALSE,Q337,T337))</f>
        <v>23/25</v>
      </c>
      <c r="J337" s="29"/>
      <c r="K337" s="29" t="str">
        <f ca="1">IF(ISERROR(F323),"",_xlfn.TEXTJOIN("/",FALSE,R337,U337))</f>
        <v>46/50</v>
      </c>
      <c r="L337" s="29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A+</v>
      </c>
      <c r="N337" s="8">
        <f t="shared" ca="1" si="31"/>
        <v>9.5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23</v>
      </c>
      <c r="Q337" s="1">
        <f ca="1">IF(ISERROR(F323),"",VLOOKUP(B323,INDIRECT($F$8),7+(O337-1)*3))</f>
        <v>23</v>
      </c>
      <c r="R337" s="1">
        <f ca="1">IF(ISERROR(F323),"",SUM(P337:Q337))</f>
        <v>46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005</v>
      </c>
      <c r="B338" s="31" t="str">
        <f ca="1">IF(ISERROR(F323),"",VLOOKUP(D323,INDIRECT($F$8),6+(O338-1)*3,0))</f>
        <v>Self Employment &amp; Entrepreneurship Development</v>
      </c>
      <c r="C338" s="31"/>
      <c r="D338" s="31"/>
      <c r="E338" s="31"/>
      <c r="F338" s="7">
        <f ca="1">IF(ISERROR(F323),"",VLOOKUP(E323,INDIRECT($F$8),6+(O338-1)*3,0))</f>
        <v>1</v>
      </c>
      <c r="G338" s="29" t="str">
        <f ca="1">IF(ISERROR(F323),"",_xlfn.TEXTJOIN("/",FALSE,P338,S338))</f>
        <v>20/25</v>
      </c>
      <c r="H338" s="29"/>
      <c r="I338" s="29" t="str">
        <f ca="1">IF(ISERROR(F323),"",_xlfn.TEXTJOIN("/",FALSE,Q338,T338))</f>
        <v>23/25</v>
      </c>
      <c r="J338" s="29"/>
      <c r="K338" s="29" t="str">
        <f ca="1">IF(ISERROR(F323),"",_xlfn.TEXTJOIN("/",FALSE,R338,U338))</f>
        <v>43/50</v>
      </c>
      <c r="L338" s="29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A</v>
      </c>
      <c r="N338" s="8">
        <f t="shared" ca="1" si="31"/>
        <v>9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20</v>
      </c>
      <c r="Q338" s="1">
        <f ca="1">IF(ISERROR(F323),"",VLOOKUP(B323,INDIRECT($F$8),7+(O338-1)*3))</f>
        <v>23</v>
      </c>
      <c r="R338" s="1">
        <f ca="1">IF(ISERROR(F323),"",SUM(P338:Q338))</f>
        <v>43</v>
      </c>
      <c r="S338" s="1">
        <f ca="1">IF(ISERROR(F323),"",VLOOKUP(A323,INDIRECT($F$8),6+(O338-1)*3))</f>
        <v>25</v>
      </c>
      <c r="T338" s="1">
        <f ca="1">IF(ISERROR(F323),"",VLOOKUP(A323,INDIRECT($F$8),7+(O338-1)*3))</f>
        <v>25</v>
      </c>
      <c r="U338" s="1">
        <f ca="1">IF(ISERROR(F323),"",VLOOKUP(A323,INDIRECT($F$8),8+(O338-1)*3))</f>
        <v>50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31" t="str">
        <f ca="1">IF(ISERROR(F323),"",VLOOKUP(D323,INDIRECT($F$8),6+(O339-1)*3-Z339,0))</f>
        <v>General Proficiency ($)</v>
      </c>
      <c r="C339" s="31"/>
      <c r="D339" s="31"/>
      <c r="E339" s="31"/>
      <c r="F339" s="7">
        <f ca="1">IF(ISERROR(F323),"",VLOOKUP(E323,INDIRECT($F$8),6+(O339-1)*3-AA339,0))</f>
        <v>0</v>
      </c>
      <c r="G339" s="29" t="str">
        <f ca="1">IF(ISERROR(F323),"","-")</f>
        <v>-</v>
      </c>
      <c r="H339" s="29"/>
      <c r="I339" s="29" t="str">
        <f ca="1">IF(ISERROR(F323),"",_xlfn.TEXTJOIN("/",FALSE,Q339,T339))</f>
        <v>47/50</v>
      </c>
      <c r="J339" s="29"/>
      <c r="K339" s="29" t="str">
        <f ca="1">IF(ISERROR(F323),"",_xlfn.TEXTJOIN("/",FALSE,R339,U339))</f>
        <v>47/50</v>
      </c>
      <c r="L339" s="29"/>
      <c r="M339" s="29" t="str">
        <f ca="1">IF(ISBLANK(R339),"",IF(ISTEXT(R339),R339,IF(R339&gt;=0.8*U339,"Excellent",IF(R339&gt;=0.6*U339,"Very Good",IF(R339&gt;=0.4*U339,"Good",IF(R339&gt;=0.2*U339,"Satisfactory","Average"))))))</f>
        <v>Excellent</v>
      </c>
      <c r="N339" s="29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7" t="str">
        <f ca="1">IF(ISERROR(F323),"",A319)</f>
        <v>Total Credits/ Marks/ Total Grade Points</v>
      </c>
      <c r="B340" s="27"/>
      <c r="C340" s="27"/>
      <c r="D340" s="27"/>
      <c r="E340" s="27"/>
      <c r="F340" s="10">
        <f ca="1">IF(ISERROR(F323),"",SUM(F328:F338))</f>
        <v>23</v>
      </c>
      <c r="G340" s="30" t="str">
        <f ca="1">IF(ISERROR(F323),"",_xlfn.TEXTJOIN("/",TRUE,SUMIF(F328:F339,"&gt;0",P328:P339),SUMIF(F328:F339,"&gt;0",S328:S339)))</f>
        <v>185/575</v>
      </c>
      <c r="H340" s="30"/>
      <c r="I340" s="30" t="str">
        <f ca="1">IF(ISERROR(F323),"",_xlfn.TEXTJOIN("/",TRUE,SUMIF(F328:F339,"&gt;0",Q328:Q339),SUMIF(F328:F339,"&gt;0",T328:T339)))</f>
        <v>251/375</v>
      </c>
      <c r="J340" s="30"/>
      <c r="K340" s="30" t="str">
        <f ca="1">IF(ISERROR(F323),"",_xlfn.TEXTJOIN("/",TRUE,SUMIF(F328:F339,"&gt;0",R328:R339),SUMIF(F328:F339,"&gt;0",U328:U339)))</f>
        <v>436/950</v>
      </c>
      <c r="L340" s="30"/>
      <c r="M340" s="27">
        <f ca="1">IF(ISERROR(F323),"",SUMPRODUCT(N328:N338,F328:F338))</f>
        <v>61.5</v>
      </c>
      <c r="N340" s="27"/>
      <c r="V340" s="1" t="str">
        <f ca="1">IF(ISERROR(F323),"",_xlfn.TEXTJOIN(", ",TRUE,V328:V339))</f>
        <v>AHT 001, AHT 003, EET 001, CST 001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AHT 001, G+11 in AHT 003, G+11 in EET 001, G+11 in CST 001</v>
      </c>
    </row>
    <row r="341" spans="1:24" ht="12" customHeight="1" x14ac:dyDescent="0.2">
      <c r="A341" s="27" t="str">
        <f ca="1">IF(ISERROR(F323),"",A320)</f>
        <v>Result:</v>
      </c>
      <c r="B341" s="26" t="str" cm="1">
        <f t="array" aca="1" ref="B341" ca="1">IF(SUM(COUNTIF(M328:M338,{"Ab","Dt"}))=11, "Not Promoted to IInd Semester", IF(V340="", "PASS", "CARRY OVER"))</f>
        <v>CARRY OVER</v>
      </c>
      <c r="C341" s="26"/>
      <c r="D341" s="27" t="str">
        <f ca="1">IF(ISERROR(F323),"",D320)</f>
        <v>Remark:</v>
      </c>
      <c r="E341" s="26" t="str">
        <f ca="1">IF(ISERROR(F323),"",IF(V340="",IF(X340="","",X340),_xlfn.TEXTJOIN(" ",TRUE,"BACK IN",V340)))</f>
        <v>BACK IN AHT 001, AHT 003, EET 001, CST 001</v>
      </c>
      <c r="F341" s="26"/>
      <c r="G341" s="27" t="str">
        <f ca="1">IF(ISERROR(F323),"",G320)</f>
        <v>SGPA:</v>
      </c>
      <c r="H341" s="28">
        <f ca="1">IF(ISERROR(F323),"",M340/F340)</f>
        <v>2.6739130434782608</v>
      </c>
      <c r="I341" s="27" t="str">
        <f ca="1">IF(ISERROR(F323),"",I320)</f>
        <v>CGPA:</v>
      </c>
      <c r="J341" s="28">
        <f ca="1">IF(ISERROR(F323),"",VLOOKUP(B323,INDIRECT($F$8),12+(O339-1)*3,0))</f>
        <v>2.6739130434782608</v>
      </c>
      <c r="K341" s="26" t="str">
        <f ca="1">IF(ISERROR(F323),"",K320)</f>
        <v>Earned Credits:</v>
      </c>
      <c r="L341" s="27">
        <f ca="1">IF(ISERROR(F323),"",SUMIF(N328:N338,"&gt;0",F328:F338))</f>
        <v>7</v>
      </c>
      <c r="M341" s="26" t="str">
        <f ca="1">IF(ISERROR(F323),"",M320)</f>
        <v>Cuml. Earned Credits:</v>
      </c>
      <c r="N341" s="27">
        <f ca="1">IF(ISERROR(F323),"",VLOOKUP(B323,INDIRECT($F$8),10+(O339-1)*3,0))</f>
        <v>7</v>
      </c>
    </row>
    <row r="342" spans="1:24" ht="12" customHeight="1" x14ac:dyDescent="0.2">
      <c r="A342" s="27"/>
      <c r="B342" s="26"/>
      <c r="C342" s="26"/>
      <c r="D342" s="27"/>
      <c r="E342" s="26"/>
      <c r="F342" s="26"/>
      <c r="G342" s="27"/>
      <c r="H342" s="28"/>
      <c r="I342" s="27"/>
      <c r="J342" s="28"/>
      <c r="K342" s="26"/>
      <c r="L342" s="27"/>
      <c r="M342" s="26"/>
      <c r="N342" s="27"/>
    </row>
    <row r="343" spans="1:24" ht="12" customHeight="1" x14ac:dyDescent="0.2">
      <c r="A343" s="27"/>
      <c r="B343" s="26"/>
      <c r="C343" s="26"/>
      <c r="D343" s="27"/>
      <c r="E343" s="26"/>
      <c r="F343" s="26"/>
      <c r="G343" s="27"/>
      <c r="H343" s="28"/>
      <c r="I343" s="27"/>
      <c r="J343" s="28"/>
      <c r="K343" s="26"/>
      <c r="L343" s="27"/>
      <c r="M343" s="26"/>
      <c r="N343" s="27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TANUJ RAWAT</v>
      </c>
    </row>
    <row r="345" spans="1:24" ht="12" customHeight="1" x14ac:dyDescent="0.2">
      <c r="A345" s="24" t="str">
        <f ca="1">IF(ISERROR(F344),"",A324)</f>
        <v>Name:</v>
      </c>
      <c r="B345" s="24" t="str">
        <f ca="1">IFERROR(VLOOKUP(B344,INDIRECT($F$8),4,0),"")</f>
        <v>TANUJ RAWAT</v>
      </c>
      <c r="C345" s="24"/>
      <c r="D345" s="24" t="str">
        <f ca="1">IF(ISERROR(F344),"",D324)</f>
        <v>Father's Name:</v>
      </c>
      <c r="E345" s="24" t="str">
        <f ca="1">IFERROR(VLOOKUP(B344,INDIRECT($F$8),5,0),"")</f>
        <v>BIJENDRA SINGH RAWAT</v>
      </c>
      <c r="F345" s="24"/>
      <c r="G345" s="24" t="str">
        <f ca="1">IF(ISERROR(F344),"",G324)</f>
        <v>University Roll No:</v>
      </c>
      <c r="H345" s="24"/>
      <c r="I345" s="25">
        <f ca="1">IFERROR(VLOOKUP(B344,INDIRECT($F$8),2,0),"")</f>
        <v>250090111017</v>
      </c>
      <c r="J345" s="25"/>
      <c r="K345" s="24" t="str">
        <f ca="1">IF(ISERROR(F344),"",K324)</f>
        <v>University Enrol. No:</v>
      </c>
      <c r="L345" s="24"/>
      <c r="M345" s="25" t="str">
        <f ca="1">IFERROR(VLOOKUP(B344,INDIRECT($F$8),3,0),"")</f>
        <v>UTU/2501104107</v>
      </c>
      <c r="N345" s="25"/>
    </row>
    <row r="346" spans="1:24" ht="12" customHeight="1" x14ac:dyDescent="0.2">
      <c r="A346" s="24"/>
      <c r="B346" s="24"/>
      <c r="C346" s="24"/>
      <c r="D346" s="24"/>
      <c r="E346" s="24"/>
      <c r="F346" s="24"/>
      <c r="G346" s="24"/>
      <c r="H346" s="24"/>
      <c r="I346" s="25"/>
      <c r="J346" s="25"/>
      <c r="K346" s="24"/>
      <c r="L346" s="24"/>
      <c r="M346" s="25"/>
      <c r="N346" s="25"/>
    </row>
    <row r="347" spans="1:24" ht="12" customHeight="1" x14ac:dyDescent="0.2">
      <c r="A347" s="26" t="str">
        <f ca="1">IF(ISERROR(F344),"",A326)</f>
        <v>Subject Code</v>
      </c>
      <c r="B347" s="26" t="str">
        <f ca="1">IF(ISERROR(F344),"",B326)</f>
        <v>Subject Name</v>
      </c>
      <c r="C347" s="26"/>
      <c r="D347" s="26"/>
      <c r="E347" s="26"/>
      <c r="F347" s="26" t="str">
        <f ca="1">IF(ISERROR(F344),"",F326)</f>
        <v>Credits</v>
      </c>
      <c r="G347" s="26" t="str">
        <f ca="1">IF(ISERROR(F344),"",G326)</f>
        <v>External Marks</v>
      </c>
      <c r="H347" s="26"/>
      <c r="I347" s="26" t="str">
        <f ca="1">IF(ISERROR(F344),"",I326)</f>
        <v>Sessional Marks</v>
      </c>
      <c r="J347" s="26"/>
      <c r="K347" s="26" t="str">
        <f ca="1">IF(ISERROR(F344),"",K326)</f>
        <v>Total Marks</v>
      </c>
      <c r="L347" s="26"/>
      <c r="M347" s="26" t="str">
        <f ca="1">IF(ISERROR(F344),"",M326)</f>
        <v>Grade</v>
      </c>
      <c r="N347" s="26" t="str">
        <f ca="1">IF(ISERROR(F344),"",N326)</f>
        <v>Grade Points</v>
      </c>
    </row>
    <row r="348" spans="1:24" ht="12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001</v>
      </c>
      <c r="B349" s="31" t="str">
        <f ca="1">IF(ISERROR(F344),"",VLOOKUP(D344,INDIRECT($F$8),6+(O349-1)*3,0))</f>
        <v>Engineering Physics</v>
      </c>
      <c r="C349" s="31"/>
      <c r="D349" s="31"/>
      <c r="E349" s="31"/>
      <c r="F349" s="7">
        <f ca="1">IF(ISERROR(F344),"",VLOOKUP(E344,INDIRECT($F$8),6+(O349-1)*3,0))</f>
        <v>4</v>
      </c>
      <c r="G349" s="29" t="str">
        <f ca="1">IF(ISERROR(F344),"",_xlfn.TEXTJOIN("/",FALSE,P349,S349))</f>
        <v>8/100</v>
      </c>
      <c r="H349" s="29"/>
      <c r="I349" s="29" t="str">
        <f ca="1">IF(ISERROR(F344),"",_xlfn.TEXTJOIN("/",FALSE,Q349,T349))</f>
        <v>23/50</v>
      </c>
      <c r="J349" s="29"/>
      <c r="K349" s="29" t="str">
        <f ca="1">IF(ISERROR(F344),"",_xlfn.TEXTJOIN("/",FALSE,R349,U349))</f>
        <v>31/150</v>
      </c>
      <c r="L349" s="29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F</v>
      </c>
      <c r="N349" s="8">
        <f ca="1">INDEX($Z$2:$Z$17,MATCH(M349,$Y$2:$Y$17,0))</f>
        <v>0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8</v>
      </c>
      <c r="Q349" s="1">
        <f ca="1">IF(ISERROR(F344),"",VLOOKUP(B344,INDIRECT($F$8),7+(O349-1)*3))</f>
        <v>23</v>
      </c>
      <c r="R349" s="1">
        <f ca="1">IF(ISERROR(F344),"",SUM(P349:Q349))</f>
        <v>31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>AHT 001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11</v>
      </c>
      <c r="X349" s="1" t="str">
        <f ca="1">IF(ISERROR(F344),"",IF(W349=0,"",_xlfn.TEXTJOIN("",FALSE," G+",W349," in ",A349)))</f>
        <v xml:space="preserve"> G+11 in AHT 001</v>
      </c>
    </row>
    <row r="350" spans="1:24" ht="12" customHeight="1" x14ac:dyDescent="0.2">
      <c r="A350" s="7" t="str">
        <f ca="1">IF(ISERROR(F344),"",VLOOKUP(C344,INDIRECT($F$8),6+(O350-1)*3,0))</f>
        <v>AHT 003</v>
      </c>
      <c r="B350" s="31" t="str">
        <f ca="1">IF(ISERROR(F344),"",VLOOKUP(D344,INDIRECT($F$8),6+(O350-1)*3,0))</f>
        <v>Introduction to Engineering Mathematics</v>
      </c>
      <c r="C350" s="31"/>
      <c r="D350" s="31"/>
      <c r="E350" s="31"/>
      <c r="F350" s="7">
        <f ca="1">IF(ISERROR(F344),"",VLOOKUP(E344,INDIRECT($F$8),6+(O350-1)*3,0))</f>
        <v>4</v>
      </c>
      <c r="G350" s="29" t="str">
        <f ca="1">IF(ISERROR(F344),"",_xlfn.TEXTJOIN("/",FALSE,P350,S350))</f>
        <v>33/100</v>
      </c>
      <c r="H350" s="29"/>
      <c r="I350" s="29" t="str">
        <f ca="1">IF(ISERROR(F344),"",_xlfn.TEXTJOIN("/",FALSE,Q350,T350))</f>
        <v>27/50</v>
      </c>
      <c r="J350" s="29"/>
      <c r="K350" s="29" t="str">
        <f ca="1">IF(ISERROR(F344),"",_xlfn.TEXTJOIN("/",FALSE,R350,U350))</f>
        <v>60/150</v>
      </c>
      <c r="L350" s="29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P</v>
      </c>
      <c r="N350" s="8">
        <f t="shared" ref="N350:N359" ca="1" si="33">INDEX($Z$2:$Z$17,MATCH(M350,$Y$2:$Y$17,0))</f>
        <v>4.5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33</v>
      </c>
      <c r="Q350" s="1">
        <f ca="1">IF(ISERROR(F344),"",VLOOKUP(B344,INDIRECT($F$8),7+(O350-1)*3))</f>
        <v>27</v>
      </c>
      <c r="R350" s="1">
        <f ca="1">IF(ISERROR(F344),"",SUM(P350:Q350))</f>
        <v>60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">
      <c r="A351" s="7" t="str">
        <f ca="1">IF(ISERROR(F344),"",VLOOKUP(C344,INDIRECT($F$8),6+(O351-1)*3,0))</f>
        <v>EET 001</v>
      </c>
      <c r="B351" s="31" t="str">
        <f ca="1">IF(ISERROR(F344),"",VLOOKUP(D344,INDIRECT($F$8),6+(O351-1)*3,0))</f>
        <v>Basic Electrical Engineering</v>
      </c>
      <c r="C351" s="31"/>
      <c r="D351" s="31"/>
      <c r="E351" s="31"/>
      <c r="F351" s="7">
        <f ca="1">IF(ISERROR(F344),"",VLOOKUP(E344,INDIRECT($F$8),6+(O351-1)*3,0))</f>
        <v>4</v>
      </c>
      <c r="G351" s="29" t="str">
        <f ca="1">IF(ISERROR(F344),"",_xlfn.TEXTJOIN("/",FALSE,P351,S351))</f>
        <v>11/100</v>
      </c>
      <c r="H351" s="29"/>
      <c r="I351" s="29" t="str">
        <f ca="1">IF(ISERROR(F344),"",_xlfn.TEXTJOIN("/",FALSE,Q351,T351))</f>
        <v>25/50</v>
      </c>
      <c r="J351" s="29"/>
      <c r="K351" s="29" t="str">
        <f ca="1">IF(ISERROR(F344),"",_xlfn.TEXTJOIN("/",FALSE,R351,U351))</f>
        <v>36/150</v>
      </c>
      <c r="L351" s="29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F</v>
      </c>
      <c r="N351" s="8">
        <f t="shared" ca="1" si="33"/>
        <v>0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11</v>
      </c>
      <c r="Q351" s="1">
        <f ca="1">IF(ISERROR(F344),"",VLOOKUP(B344,INDIRECT($F$8),7+(O351-1)*3))</f>
        <v>25</v>
      </c>
      <c r="R351" s="1">
        <f ca="1">IF(ISERROR(F344),"",SUM(P351:Q351))</f>
        <v>36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EET 001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11</v>
      </c>
      <c r="X351" s="1" t="str">
        <f ca="1">IF(ISERROR(F344),"",IF(W351=0,"",_xlfn.TEXTJOIN("",FALSE," G+",W351," in ",A351)))</f>
        <v xml:space="preserve"> G+11 in EET 001</v>
      </c>
    </row>
    <row r="352" spans="1:24" ht="12" customHeight="1" x14ac:dyDescent="0.2">
      <c r="A352" s="7" t="str">
        <f ca="1">IF(ISERROR(F344),"",VLOOKUP(C344,INDIRECT($F$8),6+(O352-1)*3,0))</f>
        <v>CST 001</v>
      </c>
      <c r="B352" s="31" t="str">
        <f ca="1">IF(ISERROR(F344),"",VLOOKUP(D344,INDIRECT($F$8),6+(O352-1)*3,0))</f>
        <v>Programming for Problem Solving</v>
      </c>
      <c r="C352" s="31"/>
      <c r="D352" s="31"/>
      <c r="E352" s="31"/>
      <c r="F352" s="7">
        <f ca="1">IF(ISERROR(F344),"",VLOOKUP(E344,INDIRECT($F$8),6+(O352-1)*3,0))</f>
        <v>4</v>
      </c>
      <c r="G352" s="29" t="str">
        <f ca="1">IF(ISERROR(F344),"",_xlfn.TEXTJOIN("/",FALSE,P352,S352))</f>
        <v>20/100</v>
      </c>
      <c r="H352" s="29"/>
      <c r="I352" s="29" t="str">
        <f ca="1">IF(ISERROR(F344),"",_xlfn.TEXTJOIN("/",FALSE,Q352,T352))</f>
        <v>25/50</v>
      </c>
      <c r="J352" s="29"/>
      <c r="K352" s="29" t="str">
        <f ca="1">IF(ISERROR(F344),"",_xlfn.TEXTJOIN("/",FALSE,R352,U352))</f>
        <v>45/150</v>
      </c>
      <c r="L352" s="29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F</v>
      </c>
      <c r="N352" s="8">
        <f t="shared" ca="1" si="33"/>
        <v>0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20</v>
      </c>
      <c r="Q352" s="1">
        <f ca="1">IF(ISERROR(F344),"",VLOOKUP(B344,INDIRECT($F$8),7+(O352-1)*3))</f>
        <v>25</v>
      </c>
      <c r="R352" s="1">
        <f ca="1">IF(ISERROR(F344),"",SUM(P352:Q352))</f>
        <v>45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>CST 001</v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11</v>
      </c>
      <c r="X352" s="1" t="str">
        <f ca="1">IF(ISERROR(F344),"",IF(W352=0,"",_xlfn.TEXTJOIN("",FALSE," G+",W352," in ",A352)))</f>
        <v xml:space="preserve"> G+11 in CST 001</v>
      </c>
    </row>
    <row r="353" spans="1:24" ht="12" customHeight="1" x14ac:dyDescent="0.2">
      <c r="A353" s="7" t="str">
        <f ca="1">IF(ISERROR(F344),"",VLOOKUP(C344,INDIRECT($F$8),6+(O353-1)*3,0))</f>
        <v>AHT 004</v>
      </c>
      <c r="B353" s="31" t="str">
        <f ca="1">IF(ISERROR(F344),"",VLOOKUP(D344,INDIRECT($F$8),6+(O353-1)*3,0))</f>
        <v>Environmental Studies ($)</v>
      </c>
      <c r="C353" s="31"/>
      <c r="D353" s="31"/>
      <c r="E353" s="31"/>
      <c r="F353" s="7">
        <f ca="1">IF(ISERROR(F344),"",VLOOKUP(E344,INDIRECT($F$8),6+(O353-1)*3,0))</f>
        <v>0</v>
      </c>
      <c r="G353" s="29" t="str">
        <f ca="1">IF(ISERROR(F344),"",_xlfn.TEXTJOIN("/",FALSE,P353,S353))</f>
        <v>31/50</v>
      </c>
      <c r="H353" s="29"/>
      <c r="I353" s="29" t="str">
        <f ca="1">IF(ISERROR(F344),"",_xlfn.TEXTJOIN("/",FALSE,Q353,T353))</f>
        <v>15/25</v>
      </c>
      <c r="J353" s="29"/>
      <c r="K353" s="29" t="str">
        <f ca="1">IF(ISERROR(F344),"",_xlfn.TEXTJOIN("/",FALSE,R353,U353))</f>
        <v>46/75</v>
      </c>
      <c r="L353" s="29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D+</v>
      </c>
      <c r="N353" s="8">
        <f t="shared" ca="1" si="33"/>
        <v>6.5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31</v>
      </c>
      <c r="Q353" s="1">
        <f ca="1">IF(ISERROR(F344),"",VLOOKUP(B344,INDIRECT($F$8),7+(O353-1)*3))</f>
        <v>15</v>
      </c>
      <c r="R353" s="1">
        <f ca="1">IF(ISERROR(F344),"",SUM(P353:Q353))</f>
        <v>46</v>
      </c>
      <c r="S353" s="1">
        <f ca="1">IF(ISERROR(F344),"",VLOOKUP(A344,INDIRECT($F$8),6+(O353-1)*3))</f>
        <v>50</v>
      </c>
      <c r="T353" s="1">
        <f ca="1">IF(ISERROR(F344),"",VLOOKUP(A344,INDIRECT($F$8),7+(O353-1)*3))</f>
        <v>25</v>
      </c>
      <c r="U353" s="1">
        <f ca="1">IF(ISERROR(F344),"",VLOOKUP(A344,INDIRECT($F$8),8+(O353-1)*3))</f>
        <v>75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AHP 001</v>
      </c>
      <c r="B354" s="31" t="str">
        <f ca="1">IF(ISERROR(F344),"",VLOOKUP(D344,INDIRECT($F$8),6+(O354-1)*3,0))</f>
        <v>Engineering Physics Lab</v>
      </c>
      <c r="C354" s="31"/>
      <c r="D354" s="31"/>
      <c r="E354" s="31"/>
      <c r="F354" s="7">
        <f ca="1">IF(ISERROR(F344),"",VLOOKUP(E344,INDIRECT($F$8),6+(O354-1)*3,0))</f>
        <v>1</v>
      </c>
      <c r="G354" s="29" t="str">
        <f ca="1">IF(ISERROR(F344),"",_xlfn.TEXTJOIN("/",FALSE,P354,S354))</f>
        <v>19/25</v>
      </c>
      <c r="H354" s="29"/>
      <c r="I354" s="29" t="str">
        <f ca="1">IF(ISERROR(F344),"",_xlfn.TEXTJOIN("/",FALSE,Q354,T354))</f>
        <v>22/25</v>
      </c>
      <c r="J354" s="29"/>
      <c r="K354" s="29" t="str">
        <f ca="1">IF(ISERROR(F344),"",_xlfn.TEXTJOIN("/",FALSE,R354,U354))</f>
        <v>41/50</v>
      </c>
      <c r="L354" s="29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B+</v>
      </c>
      <c r="N354" s="8">
        <f t="shared" ca="1" si="33"/>
        <v>8.5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19</v>
      </c>
      <c r="Q354" s="1">
        <f ca="1">IF(ISERROR(F344),"",VLOOKUP(B344,INDIRECT($F$8),7+(O354-1)*3))</f>
        <v>22</v>
      </c>
      <c r="R354" s="1">
        <f ca="1">IF(ISERROR(F344),"",SUM(P354:Q354))</f>
        <v>41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EEP 001</v>
      </c>
      <c r="B355" s="31" t="str">
        <f ca="1">IF(ISERROR(F344),"",VLOOKUP(D344,INDIRECT($F$8),6+(O355-1)*3,0))</f>
        <v>Basic Electrical Engineering Lab</v>
      </c>
      <c r="C355" s="31"/>
      <c r="D355" s="31"/>
      <c r="E355" s="31"/>
      <c r="F355" s="7">
        <f ca="1">IF(ISERROR(F344),"",VLOOKUP(E344,INDIRECT($F$8),6+(O355-1)*3,0))</f>
        <v>1</v>
      </c>
      <c r="G355" s="29" t="str">
        <f ca="1">IF(ISERROR(F344),"",_xlfn.TEXTJOIN("/",FALSE,P355,S355))</f>
        <v>20/25</v>
      </c>
      <c r="H355" s="29"/>
      <c r="I355" s="29" t="str">
        <f ca="1">IF(ISERROR(F344),"",_xlfn.TEXTJOIN("/",FALSE,Q355,T355))</f>
        <v>18/25</v>
      </c>
      <c r="J355" s="29"/>
      <c r="K355" s="29" t="str">
        <f ca="1">IF(ISERROR(F344),"",_xlfn.TEXTJOIN("/",FALSE,R355,U355))</f>
        <v>38/50</v>
      </c>
      <c r="L355" s="29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B</v>
      </c>
      <c r="N355" s="8">
        <f t="shared" ca="1" si="33"/>
        <v>8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20</v>
      </c>
      <c r="Q355" s="1">
        <f ca="1">IF(ISERROR(F344),"",VLOOKUP(B344,INDIRECT($F$8),7+(O355-1)*3))</f>
        <v>18</v>
      </c>
      <c r="R355" s="1">
        <f ca="1">IF(ISERROR(F344),"",SUM(P355:Q355))</f>
        <v>38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CSP 001</v>
      </c>
      <c r="B356" s="31" t="str">
        <f ca="1">IF(ISERROR(F344),"",VLOOKUP(D344,INDIRECT($F$8),6+(O356-1)*3-Z356,0))</f>
        <v>Programming for Problem Solving Lab</v>
      </c>
      <c r="C356" s="31"/>
      <c r="D356" s="31"/>
      <c r="E356" s="31"/>
      <c r="F356" s="7">
        <f ca="1">IF(ISERROR(F344),"",VLOOKUP(E344,INDIRECT($F$8),6+(O356-1)*3,0))</f>
        <v>1</v>
      </c>
      <c r="G356" s="29" t="str">
        <f ca="1">IF(ISERROR(F344),"",_xlfn.TEXTJOIN("/",FALSE,P356,S356))</f>
        <v>17/25</v>
      </c>
      <c r="H356" s="29"/>
      <c r="I356" s="29" t="str">
        <f ca="1">IF(ISERROR(F344),"",_xlfn.TEXTJOIN("/",FALSE,Q356,T356))</f>
        <v>17/25</v>
      </c>
      <c r="J356" s="29"/>
      <c r="K356" s="29" t="str">
        <f ca="1">IF(ISERROR(F344),"",_xlfn.TEXTJOIN("/",FALSE,R356,U356))</f>
        <v>34/50</v>
      </c>
      <c r="L356" s="29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C</v>
      </c>
      <c r="N356" s="8">
        <f t="shared" ca="1" si="33"/>
        <v>7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17</v>
      </c>
      <c r="Q356" s="1">
        <f ca="1">IF(ISERROR(F344),"",VLOOKUP(B344,INDIRECT($F$8),7+(O356-1)*3))</f>
        <v>17</v>
      </c>
      <c r="R356" s="1">
        <f ca="1">IF(ISERROR(F344),"",SUM(P356:Q356))</f>
        <v>34</v>
      </c>
      <c r="S356" s="1">
        <f ca="1">IF(ISERROR(F344),"",VLOOKUP(A344,INDIRECT($F$8),6+(O356-1)*3))</f>
        <v>25</v>
      </c>
      <c r="T356" s="1">
        <f ca="1">IF(ISERROR(F344),"",VLOOKUP(A344,INDIRECT($F$8),7+(O356-1)*3))</f>
        <v>25</v>
      </c>
      <c r="U356" s="1">
        <f ca="1">IF(ISERROR(F344),"",VLOOKUP(A344,INDIRECT($F$8),8+(O356-1)*3))</f>
        <v>50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MEP 002</v>
      </c>
      <c r="B357" s="31" t="str">
        <f ca="1">IF(ISERROR(F344),"",VLOOKUP(D344,INDIRECT($F$8),6+(O357-1)*3-Z357,0))</f>
        <v>Engineering Graphics &amp; Design Lab</v>
      </c>
      <c r="C357" s="31"/>
      <c r="D357" s="31"/>
      <c r="E357" s="31"/>
      <c r="F357" s="7">
        <f ca="1">IF(ISERROR(F344),"",VLOOKUP(E344,INDIRECT($F$8),6+(O357-1)*3,0))</f>
        <v>2</v>
      </c>
      <c r="G357" s="29" t="str">
        <f ca="1">IF(ISERROR(F344),"",_xlfn.TEXTJOIN("/",FALSE,P357,S357))</f>
        <v>41/50</v>
      </c>
      <c r="H357" s="29"/>
      <c r="I357" s="29" t="str">
        <f ca="1">IF(ISERROR(F344),"",_xlfn.TEXTJOIN("/",FALSE,Q357,T357))</f>
        <v>47/50</v>
      </c>
      <c r="J357" s="29"/>
      <c r="K357" s="29" t="str">
        <f ca="1">IF(ISERROR(F344),"",_xlfn.TEXTJOIN("/",FALSE,R357,U357))</f>
        <v>88/100</v>
      </c>
      <c r="L357" s="29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A</v>
      </c>
      <c r="N357" s="8">
        <f t="shared" ca="1" si="33"/>
        <v>9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41</v>
      </c>
      <c r="Q357" s="1">
        <f ca="1">IF(ISERROR(F344),"",VLOOKUP(B344,INDIRECT($F$8),7+(O357-1)*3))</f>
        <v>47</v>
      </c>
      <c r="R357" s="1">
        <f ca="1">IF(ISERROR(F344),"",SUM(P357:Q357))</f>
        <v>88</v>
      </c>
      <c r="S357" s="1">
        <f ca="1">IF(ISERROR(F344),"",VLOOKUP(A344,INDIRECT($F$8),6+(O357-1)*3))</f>
        <v>50</v>
      </c>
      <c r="T357" s="1">
        <f ca="1">IF(ISERROR(F344),"",VLOOKUP(A344,INDIRECT($F$8),7+(O357-1)*3))</f>
        <v>50</v>
      </c>
      <c r="U357" s="1">
        <f ca="1">IF(ISERROR(F344),"",VLOOKUP(A344,INDIRECT($F$8),8+(O357-1)*3))</f>
        <v>100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AHP 003</v>
      </c>
      <c r="B358" s="31" t="str">
        <f ca="1">IF(ISERROR(F344),"",VLOOKUP(D344,INDIRECT($F$8),6+(O358-1)*3,0))</f>
        <v>Introduction to Digital Marketing Lab</v>
      </c>
      <c r="C358" s="31"/>
      <c r="D358" s="31"/>
      <c r="E358" s="31"/>
      <c r="F358" s="7">
        <f ca="1">IF(ISERROR(F344),"",VLOOKUP(E344,INDIRECT($F$8),6+(O358-1)*3,0))</f>
        <v>1</v>
      </c>
      <c r="G358" s="29" t="str">
        <f ca="1">IF(ISERROR(F344),"",_xlfn.TEXTJOIN("/",FALSE,P358,S358))</f>
        <v>20/25</v>
      </c>
      <c r="H358" s="29"/>
      <c r="I358" s="29" t="str">
        <f ca="1">IF(ISERROR(F344),"",_xlfn.TEXTJOIN("/",FALSE,Q358,T358))</f>
        <v>24/25</v>
      </c>
      <c r="J358" s="29"/>
      <c r="K358" s="29" t="str">
        <f ca="1">IF(ISERROR(F344),"",_xlfn.TEXTJOIN("/",FALSE,R358,U358))</f>
        <v>44/50</v>
      </c>
      <c r="L358" s="29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A</v>
      </c>
      <c r="N358" s="8">
        <f t="shared" ca="1" si="33"/>
        <v>9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20</v>
      </c>
      <c r="Q358" s="1">
        <f ca="1">IF(ISERROR(F344),"",VLOOKUP(B344,INDIRECT($F$8),7+(O358-1)*3))</f>
        <v>24</v>
      </c>
      <c r="R358" s="1">
        <f ca="1">IF(ISERROR(F344),"",SUM(P358:Q358))</f>
        <v>44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005</v>
      </c>
      <c r="B359" s="31" t="str">
        <f ca="1">IF(ISERROR(F344),"",VLOOKUP(D344,INDIRECT($F$8),6+(O359-1)*3,0))</f>
        <v>Self Employment &amp; Entrepreneurship Development</v>
      </c>
      <c r="C359" s="31"/>
      <c r="D359" s="31"/>
      <c r="E359" s="31"/>
      <c r="F359" s="7">
        <f ca="1">IF(ISERROR(F344),"",VLOOKUP(E344,INDIRECT($F$8),6+(O359-1)*3,0))</f>
        <v>1</v>
      </c>
      <c r="G359" s="29" t="str">
        <f ca="1">IF(ISERROR(F344),"",_xlfn.TEXTJOIN("/",FALSE,P359,S359))</f>
        <v>20/25</v>
      </c>
      <c r="H359" s="29"/>
      <c r="I359" s="29" t="str">
        <f ca="1">IF(ISERROR(F344),"",_xlfn.TEXTJOIN("/",FALSE,Q359,T359))</f>
        <v>24/25</v>
      </c>
      <c r="J359" s="29"/>
      <c r="K359" s="29" t="str">
        <f ca="1">IF(ISERROR(F344),"",_xlfn.TEXTJOIN("/",FALSE,R359,U359))</f>
        <v>44/50</v>
      </c>
      <c r="L359" s="29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A</v>
      </c>
      <c r="N359" s="8">
        <f t="shared" ca="1" si="33"/>
        <v>9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20</v>
      </c>
      <c r="Q359" s="1">
        <f ca="1">IF(ISERROR(F344),"",VLOOKUP(B344,INDIRECT($F$8),7+(O359-1)*3))</f>
        <v>24</v>
      </c>
      <c r="R359" s="1">
        <f ca="1">IF(ISERROR(F344),"",SUM(P359:Q359))</f>
        <v>44</v>
      </c>
      <c r="S359" s="1">
        <f ca="1">IF(ISERROR(F344),"",VLOOKUP(A344,INDIRECT($F$8),6+(O359-1)*3))</f>
        <v>25</v>
      </c>
      <c r="T359" s="1">
        <f ca="1">IF(ISERROR(F344),"",VLOOKUP(A344,INDIRECT($F$8),7+(O359-1)*3))</f>
        <v>25</v>
      </c>
      <c r="U359" s="1">
        <f ca="1">IF(ISERROR(F344),"",VLOOKUP(A344,INDIRECT($F$8),8+(O359-1)*3))</f>
        <v>50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31" t="str">
        <f ca="1">IF(ISERROR(F344),"",VLOOKUP(D344,INDIRECT($F$8),6+(O360-1)*3-Z360,0))</f>
        <v>General Proficiency ($)</v>
      </c>
      <c r="C360" s="31"/>
      <c r="D360" s="31"/>
      <c r="E360" s="31"/>
      <c r="F360" s="7">
        <f ca="1">IF(ISERROR(F344),"",VLOOKUP(E344,INDIRECT($F$8),6+(O360-1)*3-AA360,0))</f>
        <v>0</v>
      </c>
      <c r="G360" s="29" t="str">
        <f ca="1">IF(ISERROR(F344),"","-")</f>
        <v>-</v>
      </c>
      <c r="H360" s="29"/>
      <c r="I360" s="29" t="str">
        <f ca="1">IF(ISERROR(F344),"",_xlfn.TEXTJOIN("/",FALSE,Q360,T360))</f>
        <v>47/50</v>
      </c>
      <c r="J360" s="29"/>
      <c r="K360" s="29" t="str">
        <f ca="1">IF(ISERROR(F344),"",_xlfn.TEXTJOIN("/",FALSE,R360,U360))</f>
        <v>47/50</v>
      </c>
      <c r="L360" s="29"/>
      <c r="M360" s="29" t="str">
        <f ca="1">IF(ISBLANK(R360),"",IF(ISTEXT(R360),R360,IF(R360&gt;=0.8*U360,"Excellent",IF(R360&gt;=0.6*U360,"Very Good",IF(R360&gt;=0.4*U360,"Good",IF(R360&gt;=0.2*U360,"Satisfactory","Average"))))))</f>
        <v>Excellent</v>
      </c>
      <c r="N360" s="29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7" t="str">
        <f ca="1">IF(ISERROR(F344),"",A340)</f>
        <v>Total Credits/ Marks/ Total Grade Points</v>
      </c>
      <c r="B361" s="27"/>
      <c r="C361" s="27"/>
      <c r="D361" s="27"/>
      <c r="E361" s="27"/>
      <c r="F361" s="10">
        <f ca="1">IF(ISERROR(F344),"",SUM(F349:F359))</f>
        <v>23</v>
      </c>
      <c r="G361" s="30" t="str">
        <f ca="1">IF(ISERROR(F344),"",_xlfn.TEXTJOIN("/",TRUE,SUMIF(F349:F360,"&gt;0",P349:P360),SUMIF(F349:F360,"&gt;0",S349:S360)))</f>
        <v>209/575</v>
      </c>
      <c r="H361" s="30"/>
      <c r="I361" s="30" t="str">
        <f ca="1">IF(ISERROR(F344),"",_xlfn.TEXTJOIN("/",TRUE,SUMIF(F349:F360,"&gt;0",Q349:Q360),SUMIF(F349:F360,"&gt;0",T349:T360)))</f>
        <v>252/375</v>
      </c>
      <c r="J361" s="30"/>
      <c r="K361" s="30" t="str">
        <f ca="1">IF(ISERROR(F344),"",_xlfn.TEXTJOIN("/",TRUE,SUMIF(F349:F360,"&gt;0",R349:R360),SUMIF(F349:F360,"&gt;0",U349:U360)))</f>
        <v>461/950</v>
      </c>
      <c r="L361" s="30"/>
      <c r="M361" s="27">
        <f ca="1">IF(ISERROR(F344),"",SUMPRODUCT(N349:N359,F349:F359))</f>
        <v>77.5</v>
      </c>
      <c r="N361" s="27"/>
      <c r="V361" s="1" t="str">
        <f ca="1">IF(ISERROR(F344),"",_xlfn.TEXTJOIN(", ",TRUE,V349:V360))</f>
        <v>AHT 001, EET 001, CST 001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G+11 in AHT 001, G+11 in EET 001, G+11 in CST 001</v>
      </c>
    </row>
    <row r="362" spans="1:24" ht="12" customHeight="1" x14ac:dyDescent="0.2">
      <c r="A362" s="27" t="str">
        <f ca="1">IF(ISERROR(F344),"",A341)</f>
        <v>Result:</v>
      </c>
      <c r="B362" s="26" t="str" cm="1">
        <f t="array" aca="1" ref="B362" ca="1">IF(SUM(COUNTIF(M349:M359,{"Ab","Dt"}))=11, "Not Promoted to IInd Semester", IF(V361="", "PASS", "CARRY OVER"))</f>
        <v>CARRY OVER</v>
      </c>
      <c r="C362" s="26"/>
      <c r="D362" s="27" t="str">
        <f ca="1">IF(ISERROR(F344),"",D341)</f>
        <v>Remark:</v>
      </c>
      <c r="E362" s="26" t="str">
        <f ca="1">IF(ISERROR(F344),"",IF(V361="",IF(X361="","",X361),_xlfn.TEXTJOIN(" ",TRUE,"BACK IN",V361)))</f>
        <v>BACK IN AHT 001, EET 001, CST 001</v>
      </c>
      <c r="F362" s="26"/>
      <c r="G362" s="27" t="str">
        <f ca="1">IF(ISERROR(F344),"",G341)</f>
        <v>SGPA:</v>
      </c>
      <c r="H362" s="28">
        <f ca="1">IF(ISERROR(F344),"",M361/F361)</f>
        <v>3.3695652173913042</v>
      </c>
      <c r="I362" s="27" t="str">
        <f ca="1">IF(ISERROR(F344),"",I341)</f>
        <v>CGPA:</v>
      </c>
      <c r="J362" s="28">
        <f ca="1">IF(ISERROR(F344),"",VLOOKUP(B344,INDIRECT($F$8),12+(O360-1)*3,0))</f>
        <v>3.3695652173913042</v>
      </c>
      <c r="K362" s="26" t="str">
        <f ca="1">IF(ISERROR(F344),"",K341)</f>
        <v>Earned Credits:</v>
      </c>
      <c r="L362" s="27">
        <f ca="1">IF(ISERROR(F344),"",SUMIF(N349:N359,"&gt;0",F349:F359))</f>
        <v>11</v>
      </c>
      <c r="M362" s="26" t="str">
        <f ca="1">IF(ISERROR(F344),"",M341)</f>
        <v>Cuml. Earned Credits:</v>
      </c>
      <c r="N362" s="27">
        <f ca="1">IF(ISERROR(F344),"",VLOOKUP(B344,INDIRECT($F$8),10+(O360-1)*3,0))</f>
        <v>11</v>
      </c>
    </row>
    <row r="363" spans="1:24" ht="12" customHeight="1" x14ac:dyDescent="0.2">
      <c r="A363" s="27"/>
      <c r="B363" s="26"/>
      <c r="C363" s="26"/>
      <c r="D363" s="27"/>
      <c r="E363" s="26"/>
      <c r="F363" s="26"/>
      <c r="G363" s="27"/>
      <c r="H363" s="28"/>
      <c r="I363" s="27"/>
      <c r="J363" s="28"/>
      <c r="K363" s="26"/>
      <c r="L363" s="27"/>
      <c r="M363" s="26"/>
      <c r="N363" s="27"/>
    </row>
    <row r="364" spans="1:24" ht="12" customHeight="1" x14ac:dyDescent="0.2">
      <c r="A364" s="27"/>
      <c r="B364" s="26"/>
      <c r="C364" s="26"/>
      <c r="D364" s="27"/>
      <c r="E364" s="26"/>
      <c r="F364" s="26"/>
      <c r="G364" s="27"/>
      <c r="H364" s="28"/>
      <c r="I364" s="27"/>
      <c r="J364" s="28"/>
      <c r="K364" s="26"/>
      <c r="L364" s="27"/>
      <c r="M364" s="26"/>
      <c r="N364" s="27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VAIBH KUMAR THAKUR</v>
      </c>
    </row>
    <row r="366" spans="1:24" ht="12" customHeight="1" x14ac:dyDescent="0.2">
      <c r="A366" s="24" t="str">
        <f ca="1">IF(ISERROR(F365),"",A345)</f>
        <v>Name:</v>
      </c>
      <c r="B366" s="24" t="str">
        <f ca="1">IFERROR(VLOOKUP(B365,INDIRECT($F$8),4,0),"")</f>
        <v>VAIBH KUMAR THAKUR</v>
      </c>
      <c r="C366" s="24"/>
      <c r="D366" s="24" t="str">
        <f ca="1">IF(ISERROR(F365),"",D345)</f>
        <v>Father's Name:</v>
      </c>
      <c r="E366" s="24" t="str">
        <f ca="1">IFERROR(VLOOKUP(B365,INDIRECT($F$8),5,0),"")</f>
        <v>KAMLESH KUMAR THAKUR</v>
      </c>
      <c r="F366" s="24"/>
      <c r="G366" s="24" t="str">
        <f ca="1">IF(ISERROR(F365),"",G345)</f>
        <v>University Roll No:</v>
      </c>
      <c r="H366" s="24"/>
      <c r="I366" s="25">
        <f ca="1">IFERROR(VLOOKUP(B365,INDIRECT($F$8),2,0),"")</f>
        <v>250090111018</v>
      </c>
      <c r="J366" s="25"/>
      <c r="K366" s="24" t="str">
        <f ca="1">IF(ISERROR(F365),"",K345)</f>
        <v>University Enrol. No:</v>
      </c>
      <c r="L366" s="24"/>
      <c r="M366" s="25" t="str">
        <f ca="1">IFERROR(VLOOKUP(B365,INDIRECT($F$8),3,0),"")</f>
        <v>UTU/2501104154</v>
      </c>
      <c r="N366" s="25"/>
    </row>
    <row r="367" spans="1:24" ht="12" customHeight="1" x14ac:dyDescent="0.2">
      <c r="A367" s="24"/>
      <c r="B367" s="24"/>
      <c r="C367" s="24"/>
      <c r="D367" s="24"/>
      <c r="E367" s="24"/>
      <c r="F367" s="24"/>
      <c r="G367" s="24"/>
      <c r="H367" s="24"/>
      <c r="I367" s="25"/>
      <c r="J367" s="25"/>
      <c r="K367" s="24"/>
      <c r="L367" s="24"/>
      <c r="M367" s="25"/>
      <c r="N367" s="25"/>
    </row>
    <row r="368" spans="1:24" ht="12" customHeight="1" x14ac:dyDescent="0.2">
      <c r="A368" s="26" t="str">
        <f ca="1">IF(ISERROR(F365),"",A347)</f>
        <v>Subject Code</v>
      </c>
      <c r="B368" s="26" t="str">
        <f ca="1">IF(ISERROR(F365),"",B347)</f>
        <v>Subject Name</v>
      </c>
      <c r="C368" s="26"/>
      <c r="D368" s="26"/>
      <c r="E368" s="26"/>
      <c r="F368" s="26" t="str">
        <f ca="1">IF(ISERROR(F365),"",F347)</f>
        <v>Credits</v>
      </c>
      <c r="G368" s="26" t="str">
        <f ca="1">IF(ISERROR(F365),"",G347)</f>
        <v>External Marks</v>
      </c>
      <c r="H368" s="26"/>
      <c r="I368" s="26" t="str">
        <f ca="1">IF(ISERROR(F365),"",I347)</f>
        <v>Sessional Marks</v>
      </c>
      <c r="J368" s="26"/>
      <c r="K368" s="26" t="str">
        <f ca="1">IF(ISERROR(F365),"",K347)</f>
        <v>Total Marks</v>
      </c>
      <c r="L368" s="26"/>
      <c r="M368" s="26" t="str">
        <f ca="1">IF(ISERROR(F365),"",M347)</f>
        <v>Grade</v>
      </c>
      <c r="N368" s="26" t="str">
        <f ca="1">IF(ISERROR(F365),"",N347)</f>
        <v>Grade Points</v>
      </c>
    </row>
    <row r="369" spans="1:24" ht="12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001</v>
      </c>
      <c r="B370" s="31" t="str">
        <f ca="1">IF(ISERROR(F365),"",VLOOKUP(D365,INDIRECT($F$8),6+(O370-1)*3,0))</f>
        <v>Engineering Physics</v>
      </c>
      <c r="C370" s="31"/>
      <c r="D370" s="31"/>
      <c r="E370" s="31"/>
      <c r="F370" s="7">
        <f ca="1">IF(ISERROR(F365),"",VLOOKUP(E365,INDIRECT($F$8),6+(O370-1)*3,0))</f>
        <v>4</v>
      </c>
      <c r="G370" s="29" t="str">
        <f ca="1">IF(ISERROR(F365),"",_xlfn.TEXTJOIN("/",FALSE,P370,S370))</f>
        <v>51/100</v>
      </c>
      <c r="H370" s="29"/>
      <c r="I370" s="29" t="str">
        <f ca="1">IF(ISERROR(F365),"",_xlfn.TEXTJOIN("/",FALSE,Q370,T370))</f>
        <v>35/50</v>
      </c>
      <c r="J370" s="29"/>
      <c r="K370" s="29" t="str">
        <f ca="1">IF(ISERROR(F365),"",_xlfn.TEXTJOIN("/",FALSE,R370,U370))</f>
        <v>86/150</v>
      </c>
      <c r="L370" s="29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D</v>
      </c>
      <c r="N370" s="8">
        <f ca="1">INDEX($Z$2:$Z$17,MATCH(M370,$Y$2:$Y$17,0))</f>
        <v>6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51</v>
      </c>
      <c r="Q370" s="1">
        <f ca="1">IF(ISERROR(F365),"",VLOOKUP(B365,INDIRECT($F$8),7+(O370-1)*3))</f>
        <v>35</v>
      </c>
      <c r="R370" s="1">
        <f ca="1">IF(ISERROR(F365),"",SUM(P370:Q370))</f>
        <v>86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31" t="str">
        <f ca="1">IF(ISERROR(F365),"",VLOOKUP(D365,INDIRECT($F$8),6+(O371-1)*3,0))</f>
        <v>Introduction to Engineering Mathematics</v>
      </c>
      <c r="C371" s="31"/>
      <c r="D371" s="31"/>
      <c r="E371" s="31"/>
      <c r="F371" s="7">
        <f ca="1">IF(ISERROR(F365),"",VLOOKUP(E365,INDIRECT($F$8),6+(O371-1)*3,0))</f>
        <v>4</v>
      </c>
      <c r="G371" s="29" t="str">
        <f ca="1">IF(ISERROR(F365),"",_xlfn.TEXTJOIN("/",FALSE,P371,S371))</f>
        <v>32/100</v>
      </c>
      <c r="H371" s="29"/>
      <c r="I371" s="29" t="str">
        <f ca="1">IF(ISERROR(F365),"",_xlfn.TEXTJOIN("/",FALSE,Q371,T371))</f>
        <v>28/50</v>
      </c>
      <c r="J371" s="29"/>
      <c r="K371" s="29" t="str">
        <f ca="1">IF(ISERROR(F365),"",_xlfn.TEXTJOIN("/",FALSE,R371,U371))</f>
        <v>60/150</v>
      </c>
      <c r="L371" s="29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P</v>
      </c>
      <c r="N371" s="8">
        <f t="shared" ref="N371:N380" ca="1" si="35">INDEX($Z$2:$Z$17,MATCH(M371,$Y$2:$Y$17,0))</f>
        <v>4.5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32</v>
      </c>
      <c r="Q371" s="1">
        <f ca="1">IF(ISERROR(F365),"",VLOOKUP(B365,INDIRECT($F$8),7+(O371-1)*3))</f>
        <v>28</v>
      </c>
      <c r="R371" s="1">
        <f ca="1">IF(ISERROR(F365),"",SUM(P371:Q371))</f>
        <v>60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1</v>
      </c>
      <c r="X371" s="1" t="str">
        <f ca="1">IF(ISERROR(F365),"",IF(W371=0,"",_xlfn.TEXTJOIN("",FALSE," G+",W371," in ",A371)))</f>
        <v xml:space="preserve"> G+1 in AHT 003</v>
      </c>
    </row>
    <row r="372" spans="1:24" ht="12" customHeight="1" x14ac:dyDescent="0.2">
      <c r="A372" s="7" t="str">
        <f ca="1">IF(ISERROR(F365),"",VLOOKUP(C365,INDIRECT($F$8),6+(O372-1)*3,0))</f>
        <v>EET 001</v>
      </c>
      <c r="B372" s="31" t="str">
        <f ca="1">IF(ISERROR(F365),"",VLOOKUP(D365,INDIRECT($F$8),6+(O372-1)*3,0))</f>
        <v>Basic Electrical Engineering</v>
      </c>
      <c r="C372" s="31"/>
      <c r="D372" s="31"/>
      <c r="E372" s="31"/>
      <c r="F372" s="7">
        <f ca="1">IF(ISERROR(F365),"",VLOOKUP(E365,INDIRECT($F$8),6+(O372-1)*3,0))</f>
        <v>4</v>
      </c>
      <c r="G372" s="29" t="str">
        <f ca="1">IF(ISERROR(F365),"",_xlfn.TEXTJOIN("/",FALSE,P372,S372))</f>
        <v>72/100</v>
      </c>
      <c r="H372" s="29"/>
      <c r="I372" s="29" t="str">
        <f ca="1">IF(ISERROR(F365),"",_xlfn.TEXTJOIN("/",FALSE,Q372,T372))</f>
        <v>50/50</v>
      </c>
      <c r="J372" s="29"/>
      <c r="K372" s="29" t="str">
        <f ca="1">IF(ISERROR(F365),"",_xlfn.TEXTJOIN("/",FALSE,R372,U372))</f>
        <v>122/150</v>
      </c>
      <c r="L372" s="29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B+</v>
      </c>
      <c r="N372" s="8">
        <f t="shared" ca="1" si="35"/>
        <v>8.5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72</v>
      </c>
      <c r="Q372" s="1">
        <f ca="1">IF(ISERROR(F365),"",VLOOKUP(B365,INDIRECT($F$8),7+(O372-1)*3))</f>
        <v>50</v>
      </c>
      <c r="R372" s="1">
        <f ca="1">IF(ISERROR(F365),"",SUM(P372:Q372))</f>
        <v>122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">
      <c r="A373" s="7" t="str">
        <f ca="1">IF(ISERROR(F365),"",VLOOKUP(C365,INDIRECT($F$8),6+(O373-1)*3,0))</f>
        <v>CST 001</v>
      </c>
      <c r="B373" s="31" t="str">
        <f ca="1">IF(ISERROR(F365),"",VLOOKUP(D365,INDIRECT($F$8),6+(O373-1)*3,0))</f>
        <v>Programming for Problem Solving</v>
      </c>
      <c r="C373" s="31"/>
      <c r="D373" s="31"/>
      <c r="E373" s="31"/>
      <c r="F373" s="7">
        <f ca="1">IF(ISERROR(F365),"",VLOOKUP(E365,INDIRECT($F$8),6+(O373-1)*3,0))</f>
        <v>4</v>
      </c>
      <c r="G373" s="29" t="str">
        <f ca="1">IF(ISERROR(F365),"",_xlfn.TEXTJOIN("/",FALSE,P373,S373))</f>
        <v>65/100</v>
      </c>
      <c r="H373" s="29"/>
      <c r="I373" s="29" t="str">
        <f ca="1">IF(ISERROR(F365),"",_xlfn.TEXTJOIN("/",FALSE,Q373,T373))</f>
        <v>36/50</v>
      </c>
      <c r="J373" s="29"/>
      <c r="K373" s="29" t="str">
        <f ca="1">IF(ISERROR(F365),"",_xlfn.TEXTJOIN("/",FALSE,R373,U373))</f>
        <v>101/150</v>
      </c>
      <c r="L373" s="29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C</v>
      </c>
      <c r="N373" s="8">
        <f t="shared" ca="1" si="35"/>
        <v>7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65</v>
      </c>
      <c r="Q373" s="1">
        <f ca="1">IF(ISERROR(F365),"",VLOOKUP(B365,INDIRECT($F$8),7+(O373-1)*3))</f>
        <v>36</v>
      </c>
      <c r="R373" s="1">
        <f ca="1">IF(ISERROR(F365),"",SUM(P373:Q373))</f>
        <v>101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AHT 004</v>
      </c>
      <c r="B374" s="31" t="str">
        <f ca="1">IF(ISERROR(F365),"",VLOOKUP(D365,INDIRECT($F$8),6+(O374-1)*3,0))</f>
        <v>Environmental Studies ($)</v>
      </c>
      <c r="C374" s="31"/>
      <c r="D374" s="31"/>
      <c r="E374" s="31"/>
      <c r="F374" s="7">
        <f ca="1">IF(ISERROR(F365),"",VLOOKUP(E365,INDIRECT($F$8),6+(O374-1)*3,0))</f>
        <v>0</v>
      </c>
      <c r="G374" s="29" t="str">
        <f ca="1">IF(ISERROR(F365),"",_xlfn.TEXTJOIN("/",FALSE,P374,S374))</f>
        <v>27/50</v>
      </c>
      <c r="H374" s="29"/>
      <c r="I374" s="29" t="str">
        <f ca="1">IF(ISERROR(F365),"",_xlfn.TEXTJOIN("/",FALSE,Q374,T374))</f>
        <v>17/25</v>
      </c>
      <c r="J374" s="29"/>
      <c r="K374" s="29" t="str">
        <f ca="1">IF(ISERROR(F365),"",_xlfn.TEXTJOIN("/",FALSE,R374,U374))</f>
        <v>44/75</v>
      </c>
      <c r="L374" s="29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D</v>
      </c>
      <c r="N374" s="8">
        <f t="shared" ca="1" si="35"/>
        <v>6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27</v>
      </c>
      <c r="Q374" s="1">
        <f ca="1">IF(ISERROR(F365),"",VLOOKUP(B365,INDIRECT($F$8),7+(O374-1)*3))</f>
        <v>17</v>
      </c>
      <c r="R374" s="1">
        <f ca="1">IF(ISERROR(F365),"",SUM(P374:Q374))</f>
        <v>44</v>
      </c>
      <c r="S374" s="1">
        <f ca="1">IF(ISERROR(F365),"",VLOOKUP(A365,INDIRECT($F$8),6+(O374-1)*3))</f>
        <v>50</v>
      </c>
      <c r="T374" s="1">
        <f ca="1">IF(ISERROR(F365),"",VLOOKUP(A365,INDIRECT($F$8),7+(O374-1)*3))</f>
        <v>25</v>
      </c>
      <c r="U374" s="1">
        <f ca="1">IF(ISERROR(F365),"",VLOOKUP(A365,INDIRECT($F$8),8+(O374-1)*3))</f>
        <v>75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AHP 001</v>
      </c>
      <c r="B375" s="31" t="str">
        <f ca="1">IF(ISERROR(F365),"",VLOOKUP(D365,INDIRECT($F$8),6+(O375-1)*3,0))</f>
        <v>Engineering Physics Lab</v>
      </c>
      <c r="C375" s="31"/>
      <c r="D375" s="31"/>
      <c r="E375" s="31"/>
      <c r="F375" s="7">
        <f ca="1">IF(ISERROR(F365),"",VLOOKUP(E365,INDIRECT($F$8),6+(O375-1)*3,0))</f>
        <v>1</v>
      </c>
      <c r="G375" s="29" t="str">
        <f ca="1">IF(ISERROR(F365),"",_xlfn.TEXTJOIN("/",FALSE,P375,S375))</f>
        <v>22/25</v>
      </c>
      <c r="H375" s="29"/>
      <c r="I375" s="29" t="str">
        <f ca="1">IF(ISERROR(F365),"",_xlfn.TEXTJOIN("/",FALSE,Q375,T375))</f>
        <v>23/25</v>
      </c>
      <c r="J375" s="29"/>
      <c r="K375" s="29" t="str">
        <f ca="1">IF(ISERROR(F365),"",_xlfn.TEXTJOIN("/",FALSE,R375,U375))</f>
        <v>45/50</v>
      </c>
      <c r="L375" s="29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A+</v>
      </c>
      <c r="N375" s="8">
        <f t="shared" ca="1" si="35"/>
        <v>9.5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22</v>
      </c>
      <c r="Q375" s="1">
        <f ca="1">IF(ISERROR(F365),"",VLOOKUP(B365,INDIRECT($F$8),7+(O375-1)*3))</f>
        <v>23</v>
      </c>
      <c r="R375" s="1">
        <f ca="1">IF(ISERROR(F365),"",SUM(P375:Q375))</f>
        <v>45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EEP 001</v>
      </c>
      <c r="B376" s="31" t="str">
        <f ca="1">IF(ISERROR(F365),"",VLOOKUP(D365,INDIRECT($F$8),6+(O376-1)*3,0))</f>
        <v>Basic Electrical Engineering Lab</v>
      </c>
      <c r="C376" s="31"/>
      <c r="D376" s="31"/>
      <c r="E376" s="31"/>
      <c r="F376" s="7">
        <f ca="1">IF(ISERROR(F365),"",VLOOKUP(E365,INDIRECT($F$8),6+(O376-1)*3,0))</f>
        <v>1</v>
      </c>
      <c r="G376" s="29" t="str">
        <f ca="1">IF(ISERROR(F365),"",_xlfn.TEXTJOIN("/",FALSE,P376,S376))</f>
        <v>21/25</v>
      </c>
      <c r="H376" s="29"/>
      <c r="I376" s="29" t="str">
        <f ca="1">IF(ISERROR(F365),"",_xlfn.TEXTJOIN("/",FALSE,Q376,T376))</f>
        <v>18/25</v>
      </c>
      <c r="J376" s="29"/>
      <c r="K376" s="29" t="str">
        <f ca="1">IF(ISERROR(F365),"",_xlfn.TEXTJOIN("/",FALSE,R376,U376))</f>
        <v>39/50</v>
      </c>
      <c r="L376" s="29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B</v>
      </c>
      <c r="N376" s="8">
        <f t="shared" ca="1" si="35"/>
        <v>8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21</v>
      </c>
      <c r="Q376" s="1">
        <f ca="1">IF(ISERROR(F365),"",VLOOKUP(B365,INDIRECT($F$8),7+(O376-1)*3))</f>
        <v>18</v>
      </c>
      <c r="R376" s="1">
        <f ca="1">IF(ISERROR(F365),"",SUM(P376:Q376))</f>
        <v>39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CSP 001</v>
      </c>
      <c r="B377" s="31" t="str">
        <f ca="1">IF(ISERROR(F365),"",VLOOKUP(D365,INDIRECT($F$8),6+(O377-1)*3-Z377,0))</f>
        <v>Programming for Problem Solving Lab</v>
      </c>
      <c r="C377" s="31"/>
      <c r="D377" s="31"/>
      <c r="E377" s="31"/>
      <c r="F377" s="7">
        <f ca="1">IF(ISERROR(F365),"",VLOOKUP(E365,INDIRECT($F$8),6+(O377-1)*3,0))</f>
        <v>1</v>
      </c>
      <c r="G377" s="29" t="str">
        <f ca="1">IF(ISERROR(F365),"",_xlfn.TEXTJOIN("/",FALSE,P377,S377))</f>
        <v>22/25</v>
      </c>
      <c r="H377" s="29"/>
      <c r="I377" s="29" t="str">
        <f ca="1">IF(ISERROR(F365),"",_xlfn.TEXTJOIN("/",FALSE,Q377,T377))</f>
        <v>23/25</v>
      </c>
      <c r="J377" s="29"/>
      <c r="K377" s="29" t="str">
        <f ca="1">IF(ISERROR(F365),"",_xlfn.TEXTJOIN("/",FALSE,R377,U377))</f>
        <v>45/50</v>
      </c>
      <c r="L377" s="29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A+</v>
      </c>
      <c r="N377" s="8">
        <f t="shared" ca="1" si="35"/>
        <v>9.5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22</v>
      </c>
      <c r="Q377" s="1">
        <f ca="1">IF(ISERROR(F365),"",VLOOKUP(B365,INDIRECT($F$8),7+(O377-1)*3))</f>
        <v>23</v>
      </c>
      <c r="R377" s="1">
        <f ca="1">IF(ISERROR(F365),"",SUM(P377:Q377))</f>
        <v>45</v>
      </c>
      <c r="S377" s="1">
        <f ca="1">IF(ISERROR(F365),"",VLOOKUP(A365,INDIRECT($F$8),6+(O377-1)*3))</f>
        <v>25</v>
      </c>
      <c r="T377" s="1">
        <f ca="1">IF(ISERROR(F365),"",VLOOKUP(A365,INDIRECT($F$8),7+(O377-1)*3))</f>
        <v>25</v>
      </c>
      <c r="U377" s="1">
        <f ca="1">IF(ISERROR(F365),"",VLOOKUP(A365,INDIRECT($F$8),8+(O377-1)*3))</f>
        <v>50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MEP 002</v>
      </c>
      <c r="B378" s="31" t="str">
        <f ca="1">IF(ISERROR(F365),"",VLOOKUP(D365,INDIRECT($F$8),6+(O378-1)*3-Z378,0))</f>
        <v>Engineering Graphics &amp; Design Lab</v>
      </c>
      <c r="C378" s="31"/>
      <c r="D378" s="31"/>
      <c r="E378" s="31"/>
      <c r="F378" s="7">
        <f ca="1">IF(ISERROR(F365),"",VLOOKUP(E365,INDIRECT($F$8),6+(O378-1)*3,0))</f>
        <v>2</v>
      </c>
      <c r="G378" s="29" t="str">
        <f ca="1">IF(ISERROR(F365),"",_xlfn.TEXTJOIN("/",FALSE,P378,S378))</f>
        <v>39/50</v>
      </c>
      <c r="H378" s="29"/>
      <c r="I378" s="29" t="str">
        <f ca="1">IF(ISERROR(F365),"",_xlfn.TEXTJOIN("/",FALSE,Q378,T378))</f>
        <v>46/50</v>
      </c>
      <c r="J378" s="29"/>
      <c r="K378" s="29" t="str">
        <f ca="1">IF(ISERROR(F365),"",_xlfn.TEXTJOIN("/",FALSE,R378,U378))</f>
        <v>85/100</v>
      </c>
      <c r="L378" s="29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A</v>
      </c>
      <c r="N378" s="8">
        <f t="shared" ca="1" si="35"/>
        <v>9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39</v>
      </c>
      <c r="Q378" s="1">
        <f ca="1">IF(ISERROR(F365),"",VLOOKUP(B365,INDIRECT($F$8),7+(O378-1)*3))</f>
        <v>46</v>
      </c>
      <c r="R378" s="1">
        <f ca="1">IF(ISERROR(F365),"",SUM(P378:Q378))</f>
        <v>85</v>
      </c>
      <c r="S378" s="1">
        <f ca="1">IF(ISERROR(F365),"",VLOOKUP(A365,INDIRECT($F$8),6+(O378-1)*3))</f>
        <v>50</v>
      </c>
      <c r="T378" s="1">
        <f ca="1">IF(ISERROR(F365),"",VLOOKUP(A365,INDIRECT($F$8),7+(O378-1)*3))</f>
        <v>50</v>
      </c>
      <c r="U378" s="1">
        <f ca="1">IF(ISERROR(F365),"",VLOOKUP(A365,INDIRECT($F$8),8+(O378-1)*3))</f>
        <v>100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AHP 003</v>
      </c>
      <c r="B379" s="31" t="str">
        <f ca="1">IF(ISERROR(F365),"",VLOOKUP(D365,INDIRECT($F$8),6+(O379-1)*3,0))</f>
        <v>Introduction to Digital Marketing Lab</v>
      </c>
      <c r="C379" s="31"/>
      <c r="D379" s="31"/>
      <c r="E379" s="31"/>
      <c r="F379" s="7">
        <f ca="1">IF(ISERROR(F365),"",VLOOKUP(E365,INDIRECT($F$8),6+(O379-1)*3,0))</f>
        <v>1</v>
      </c>
      <c r="G379" s="29" t="str">
        <f ca="1">IF(ISERROR(F365),"",_xlfn.TEXTJOIN("/",FALSE,P379,S379))</f>
        <v>22/25</v>
      </c>
      <c r="H379" s="29"/>
      <c r="I379" s="29" t="str">
        <f ca="1">IF(ISERROR(F365),"",_xlfn.TEXTJOIN("/",FALSE,Q379,T379))</f>
        <v>24/25</v>
      </c>
      <c r="J379" s="29"/>
      <c r="K379" s="29" t="str">
        <f ca="1">IF(ISERROR(F365),"",_xlfn.TEXTJOIN("/",FALSE,R379,U379))</f>
        <v>46/50</v>
      </c>
      <c r="L379" s="29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A+</v>
      </c>
      <c r="N379" s="8">
        <f t="shared" ca="1" si="35"/>
        <v>9.5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22</v>
      </c>
      <c r="Q379" s="1">
        <f ca="1">IF(ISERROR(F365),"",VLOOKUP(B365,INDIRECT($F$8),7+(O379-1)*3))</f>
        <v>24</v>
      </c>
      <c r="R379" s="1">
        <f ca="1">IF(ISERROR(F365),"",SUM(P379:Q379))</f>
        <v>46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005</v>
      </c>
      <c r="B380" s="31" t="str">
        <f ca="1">IF(ISERROR(F365),"",VLOOKUP(D365,INDIRECT($F$8),6+(O380-1)*3,0))</f>
        <v>Self Employment &amp; Entrepreneurship Development</v>
      </c>
      <c r="C380" s="31"/>
      <c r="D380" s="31"/>
      <c r="E380" s="31"/>
      <c r="F380" s="7">
        <f ca="1">IF(ISERROR(F365),"",VLOOKUP(E365,INDIRECT($F$8),6+(O380-1)*3,0))</f>
        <v>1</v>
      </c>
      <c r="G380" s="29" t="str">
        <f ca="1">IF(ISERROR(F365),"",_xlfn.TEXTJOIN("/",FALSE,P380,S380))</f>
        <v>20/25</v>
      </c>
      <c r="H380" s="29"/>
      <c r="I380" s="29" t="str">
        <f ca="1">IF(ISERROR(F365),"",_xlfn.TEXTJOIN("/",FALSE,Q380,T380))</f>
        <v>24/25</v>
      </c>
      <c r="J380" s="29"/>
      <c r="K380" s="29" t="str">
        <f ca="1">IF(ISERROR(F365),"",_xlfn.TEXTJOIN("/",FALSE,R380,U380))</f>
        <v>44/50</v>
      </c>
      <c r="L380" s="29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A</v>
      </c>
      <c r="N380" s="8">
        <f t="shared" ca="1" si="35"/>
        <v>9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20</v>
      </c>
      <c r="Q380" s="1">
        <f ca="1">IF(ISERROR(F365),"",VLOOKUP(B365,INDIRECT($F$8),7+(O380-1)*3))</f>
        <v>24</v>
      </c>
      <c r="R380" s="1">
        <f ca="1">IF(ISERROR(F365),"",SUM(P380:Q380))</f>
        <v>44</v>
      </c>
      <c r="S380" s="1">
        <f ca="1">IF(ISERROR(F365),"",VLOOKUP(A365,INDIRECT($F$8),6+(O380-1)*3))</f>
        <v>25</v>
      </c>
      <c r="T380" s="1">
        <f ca="1">IF(ISERROR(F365),"",VLOOKUP(A365,INDIRECT($F$8),7+(O380-1)*3))</f>
        <v>25</v>
      </c>
      <c r="U380" s="1">
        <f ca="1">IF(ISERROR(F365),"",VLOOKUP(A365,INDIRECT($F$8),8+(O380-1)*3))</f>
        <v>50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31" t="str">
        <f ca="1">IF(ISERROR(F365),"",VLOOKUP(D365,INDIRECT($F$8),6+(O381-1)*3-Z381,0))</f>
        <v>General Proficiency ($)</v>
      </c>
      <c r="C381" s="31"/>
      <c r="D381" s="31"/>
      <c r="E381" s="31"/>
      <c r="F381" s="7">
        <f ca="1">IF(ISERROR(F365),"",VLOOKUP(E365,INDIRECT($F$8),6+(O381-1)*3-AA381,0))</f>
        <v>0</v>
      </c>
      <c r="G381" s="29" t="str">
        <f ca="1">IF(ISERROR(F365),"","-")</f>
        <v>-</v>
      </c>
      <c r="H381" s="29"/>
      <c r="I381" s="29" t="str">
        <f ca="1">IF(ISERROR(F365),"",_xlfn.TEXTJOIN("/",FALSE,Q381,T381))</f>
        <v>47/50</v>
      </c>
      <c r="J381" s="29"/>
      <c r="K381" s="29" t="str">
        <f ca="1">IF(ISERROR(F365),"",_xlfn.TEXTJOIN("/",FALSE,R381,U381))</f>
        <v>47/50</v>
      </c>
      <c r="L381" s="29"/>
      <c r="M381" s="29" t="str">
        <f ca="1">IF(ISBLANK(R381),"",IF(ISTEXT(R381),R381,IF(R381&gt;=0.8*U381,"Excellent",IF(R381&gt;=0.6*U381,"Very Good",IF(R381&gt;=0.4*U381,"Good",IF(R381&gt;=0.2*U381,"Satisfactory","Average"))))))</f>
        <v>Excellent</v>
      </c>
      <c r="N381" s="29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7" t="str">
        <f ca="1">IF(ISERROR(F365),"",A361)</f>
        <v>Total Credits/ Marks/ Total Grade Points</v>
      </c>
      <c r="B382" s="27"/>
      <c r="C382" s="27"/>
      <c r="D382" s="27"/>
      <c r="E382" s="27"/>
      <c r="F382" s="10">
        <f ca="1">IF(ISERROR(F365),"",SUM(F370:F380))</f>
        <v>23</v>
      </c>
      <c r="G382" s="30" t="str">
        <f ca="1">IF(ISERROR(F365),"",_xlfn.TEXTJOIN("/",TRUE,SUMIF(F370:F381,"&gt;0",P370:P381),SUMIF(F370:F381,"&gt;0",S370:S381)))</f>
        <v>366/575</v>
      </c>
      <c r="H382" s="30"/>
      <c r="I382" s="30" t="str">
        <f ca="1">IF(ISERROR(F365),"",_xlfn.TEXTJOIN("/",TRUE,SUMIF(F370:F381,"&gt;0",Q370:Q381),SUMIF(F370:F381,"&gt;0",T370:T381)))</f>
        <v>307/375</v>
      </c>
      <c r="J382" s="30"/>
      <c r="K382" s="30" t="str">
        <f ca="1">IF(ISERROR(F365),"",_xlfn.TEXTJOIN("/",TRUE,SUMIF(F370:F381,"&gt;0",R370:R381),SUMIF(F370:F381,"&gt;0",U370:U381)))</f>
        <v>673/950</v>
      </c>
      <c r="L382" s="30"/>
      <c r="M382" s="27">
        <f ca="1">IF(ISERROR(F365),"",SUMPRODUCT(N370:N380,F370:F380))</f>
        <v>167.5</v>
      </c>
      <c r="N382" s="27"/>
      <c r="V382" s="1" t="str">
        <f ca="1">IF(ISERROR(F365),"",_xlfn.TEXTJOIN(", ",TRUE,V370:V381))</f>
        <v/>
      </c>
      <c r="W382" t="b">
        <f ca="1">IF(ISERROR(F365),"",IF(SUM(W370:W381)&lt;=W369,TRUE,FALSE))</f>
        <v>1</v>
      </c>
      <c r="X382" s="1" t="str">
        <f ca="1">IF(ISERROR(F365),"",_xlfn.TEXTJOIN(",",TRUE,X370:X381))</f>
        <v xml:space="preserve"> G+1 in AHT 003</v>
      </c>
    </row>
    <row r="383" spans="1:24" ht="12" customHeight="1" x14ac:dyDescent="0.2">
      <c r="A383" s="27" t="str">
        <f ca="1">IF(ISERROR(F365),"",A362)</f>
        <v>Result:</v>
      </c>
      <c r="B383" s="26" t="str" cm="1">
        <f t="array" aca="1" ref="B383" ca="1">IF(SUM(COUNTIF(M370:M380,{"Ab","Dt"}))=11, "Not Promoted to IInd Semester", IF(V382="", "PASS", "CARRY OVER"))</f>
        <v>PASS</v>
      </c>
      <c r="C383" s="26"/>
      <c r="D383" s="27" t="str">
        <f ca="1">IF(ISERROR(F365),"",D362)</f>
        <v>Remark:</v>
      </c>
      <c r="E383" s="26" t="str">
        <f ca="1">IF(ISERROR(F365),"",IF(V382="",IF(X382="","",X382),_xlfn.TEXTJOIN(" ",TRUE,"BACK IN",V382)))</f>
        <v xml:space="preserve"> G+1 in AHT 003</v>
      </c>
      <c r="F383" s="26"/>
      <c r="G383" s="27" t="str">
        <f ca="1">IF(ISERROR(F365),"",G362)</f>
        <v>SGPA:</v>
      </c>
      <c r="H383" s="28">
        <f ca="1">IF(ISERROR(F365),"",M382/F382)</f>
        <v>7.2826086956521738</v>
      </c>
      <c r="I383" s="27" t="str">
        <f ca="1">IF(ISERROR(F365),"",I362)</f>
        <v>CGPA:</v>
      </c>
      <c r="J383" s="28">
        <f ca="1">IF(ISERROR(F365),"",VLOOKUP(B365,INDIRECT($F$8),12+(O381-1)*3,0))</f>
        <v>7.2826086956521738</v>
      </c>
      <c r="K383" s="26" t="str">
        <f ca="1">IF(ISERROR(F365),"",K362)</f>
        <v>Earned Credits:</v>
      </c>
      <c r="L383" s="27">
        <f ca="1">IF(ISERROR(F365),"",SUMIF(N370:N380,"&gt;0",F370:F380))</f>
        <v>23</v>
      </c>
      <c r="M383" s="26" t="str">
        <f ca="1">IF(ISERROR(F365),"",M362)</f>
        <v>Cuml. Earned Credits:</v>
      </c>
      <c r="N383" s="27">
        <f ca="1">IF(ISERROR(F365),"",VLOOKUP(B365,INDIRECT($F$8),10+(O381-1)*3,0))</f>
        <v>23</v>
      </c>
    </row>
    <row r="384" spans="1:24" ht="12" customHeight="1" x14ac:dyDescent="0.2">
      <c r="A384" s="27"/>
      <c r="B384" s="26"/>
      <c r="C384" s="26"/>
      <c r="D384" s="27"/>
      <c r="E384" s="26"/>
      <c r="F384" s="26"/>
      <c r="G384" s="27"/>
      <c r="H384" s="28"/>
      <c r="I384" s="27"/>
      <c r="J384" s="28"/>
      <c r="K384" s="26"/>
      <c r="L384" s="27"/>
      <c r="M384" s="26"/>
      <c r="N384" s="27"/>
    </row>
    <row r="385" spans="1:24" ht="12" customHeight="1" x14ac:dyDescent="0.2">
      <c r="A385" s="27"/>
      <c r="B385" s="26"/>
      <c r="C385" s="26"/>
      <c r="D385" s="27"/>
      <c r="E385" s="26"/>
      <c r="F385" s="26"/>
      <c r="G385" s="27"/>
      <c r="H385" s="28"/>
      <c r="I385" s="27"/>
      <c r="J385" s="28"/>
      <c r="K385" s="26"/>
      <c r="L385" s="27"/>
      <c r="M385" s="26"/>
      <c r="N385" s="27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VIKRANT TOMAR</v>
      </c>
    </row>
    <row r="387" spans="1:24" ht="12" customHeight="1" x14ac:dyDescent="0.2">
      <c r="A387" s="24" t="str">
        <f ca="1">IF(ISERROR(F386),"",A366)</f>
        <v>Name:</v>
      </c>
      <c r="B387" s="24" t="str">
        <f ca="1">IFERROR(VLOOKUP(B386,INDIRECT($F$8),4,0),"")</f>
        <v>VIKRANT TOMAR</v>
      </c>
      <c r="C387" s="24"/>
      <c r="D387" s="24" t="str">
        <f ca="1">IF(ISERROR(F386),"",D366)</f>
        <v>Father's Name:</v>
      </c>
      <c r="E387" s="24" t="str">
        <f ca="1">IFERROR(VLOOKUP(B386,INDIRECT($F$8),5,0),"")</f>
        <v>SUSHIL KUMAR</v>
      </c>
      <c r="F387" s="24"/>
      <c r="G387" s="24" t="str">
        <f ca="1">IF(ISERROR(F386),"",G366)</f>
        <v>University Roll No:</v>
      </c>
      <c r="H387" s="24"/>
      <c r="I387" s="25">
        <f ca="1">IFERROR(VLOOKUP(B386,INDIRECT($F$8),2,0),"")</f>
        <v>250090111019</v>
      </c>
      <c r="J387" s="25"/>
      <c r="K387" s="24" t="str">
        <f ca="1">IF(ISERROR(F386),"",K366)</f>
        <v>University Enrol. No:</v>
      </c>
      <c r="L387" s="24"/>
      <c r="M387" s="25" t="str">
        <f ca="1">IFERROR(VLOOKUP(B386,INDIRECT($F$8),3,0),"")</f>
        <v>UTU/2501104348</v>
      </c>
      <c r="N387" s="25"/>
    </row>
    <row r="388" spans="1:24" ht="12" customHeight="1" x14ac:dyDescent="0.2">
      <c r="A388" s="24"/>
      <c r="B388" s="24"/>
      <c r="C388" s="24"/>
      <c r="D388" s="24"/>
      <c r="E388" s="24"/>
      <c r="F388" s="24"/>
      <c r="G388" s="24"/>
      <c r="H388" s="24"/>
      <c r="I388" s="25"/>
      <c r="J388" s="25"/>
      <c r="K388" s="24"/>
      <c r="L388" s="24"/>
      <c r="M388" s="25"/>
      <c r="N388" s="25"/>
    </row>
    <row r="389" spans="1:24" ht="12" customHeight="1" x14ac:dyDescent="0.2">
      <c r="A389" s="26" t="str">
        <f ca="1">IF(ISERROR(F386),"",A368)</f>
        <v>Subject Code</v>
      </c>
      <c r="B389" s="26" t="str">
        <f ca="1">IF(ISERROR(F386),"",B368)</f>
        <v>Subject Name</v>
      </c>
      <c r="C389" s="26"/>
      <c r="D389" s="26"/>
      <c r="E389" s="26"/>
      <c r="F389" s="26" t="str">
        <f ca="1">IF(ISERROR(F386),"",F368)</f>
        <v>Credits</v>
      </c>
      <c r="G389" s="26" t="str">
        <f ca="1">IF(ISERROR(F386),"",G368)</f>
        <v>External Marks</v>
      </c>
      <c r="H389" s="26"/>
      <c r="I389" s="26" t="str">
        <f ca="1">IF(ISERROR(F386),"",I368)</f>
        <v>Sessional Marks</v>
      </c>
      <c r="J389" s="26"/>
      <c r="K389" s="26" t="str">
        <f ca="1">IF(ISERROR(F386),"",K368)</f>
        <v>Total Marks</v>
      </c>
      <c r="L389" s="26"/>
      <c r="M389" s="26" t="str">
        <f ca="1">IF(ISERROR(F386),"",M368)</f>
        <v>Grade</v>
      </c>
      <c r="N389" s="26" t="str">
        <f ca="1">IF(ISERROR(F386),"",N368)</f>
        <v>Grade Points</v>
      </c>
    </row>
    <row r="390" spans="1:24" ht="12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001</v>
      </c>
      <c r="B391" s="31" t="str">
        <f ca="1">IF(ISERROR(F386),"",VLOOKUP(D386,INDIRECT($F$8),6+(O391-1)*3,0))</f>
        <v>Engineering Physics</v>
      </c>
      <c r="C391" s="31"/>
      <c r="D391" s="31"/>
      <c r="E391" s="31"/>
      <c r="F391" s="7">
        <f ca="1">IF(ISERROR(F386),"",VLOOKUP(E386,INDIRECT($F$8),6+(O391-1)*3,0))</f>
        <v>4</v>
      </c>
      <c r="G391" s="29" t="str">
        <f ca="1">IF(ISERROR(F386),"",_xlfn.TEXTJOIN("/",FALSE,P391,S391))</f>
        <v>17/100</v>
      </c>
      <c r="H391" s="29"/>
      <c r="I391" s="29" t="str">
        <f ca="1">IF(ISERROR(F386),"",_xlfn.TEXTJOIN("/",FALSE,Q391,T391))</f>
        <v>27/50</v>
      </c>
      <c r="J391" s="29"/>
      <c r="K391" s="29" t="str">
        <f ca="1">IF(ISERROR(F386),"",_xlfn.TEXTJOIN("/",FALSE,R391,U391))</f>
        <v>44/150</v>
      </c>
      <c r="L391" s="29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F</v>
      </c>
      <c r="N391" s="8">
        <f ca="1">INDEX($Z$2:$Z$17,MATCH(M391,$Y$2:$Y$17,0))</f>
        <v>0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17</v>
      </c>
      <c r="Q391" s="1">
        <f ca="1">IF(ISERROR(F386),"",VLOOKUP(B386,INDIRECT($F$8),7+(O391-1)*3))</f>
        <v>27</v>
      </c>
      <c r="R391" s="1">
        <f ca="1">IF(ISERROR(F386),"",SUM(P391:Q391))</f>
        <v>44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>AHT 001</v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11</v>
      </c>
      <c r="X391" s="1" t="str">
        <f ca="1">IF(ISERROR(F386),"",IF(W391=0,"",_xlfn.TEXTJOIN("",FALSE," G+",W391," in ",A391)))</f>
        <v xml:space="preserve"> G+11 in AHT 001</v>
      </c>
    </row>
    <row r="392" spans="1:24" ht="12" customHeight="1" x14ac:dyDescent="0.2">
      <c r="A392" s="7" t="str">
        <f ca="1">IF(ISERROR(F386),"",VLOOKUP(C386,INDIRECT($F$8),6+(O392-1)*3,0))</f>
        <v>AHT 003</v>
      </c>
      <c r="B392" s="31" t="str">
        <f ca="1">IF(ISERROR(F386),"",VLOOKUP(D386,INDIRECT($F$8),6+(O392-1)*3,0))</f>
        <v>Introduction to Engineering Mathematics</v>
      </c>
      <c r="C392" s="31"/>
      <c r="D392" s="31"/>
      <c r="E392" s="31"/>
      <c r="F392" s="7">
        <f ca="1">IF(ISERROR(F386),"",VLOOKUP(E386,INDIRECT($F$8),6+(O392-1)*3,0))</f>
        <v>4</v>
      </c>
      <c r="G392" s="29" t="str">
        <f ca="1">IF(ISERROR(F386),"",_xlfn.TEXTJOIN("/",FALSE,P392,S392))</f>
        <v>28/100</v>
      </c>
      <c r="H392" s="29"/>
      <c r="I392" s="29" t="str">
        <f ca="1">IF(ISERROR(F386),"",_xlfn.TEXTJOIN("/",FALSE,Q392,T392))</f>
        <v>24/50</v>
      </c>
      <c r="J392" s="29"/>
      <c r="K392" s="29" t="str">
        <f ca="1">IF(ISERROR(F386),"",_xlfn.TEXTJOIN("/",FALSE,R392,U392))</f>
        <v>52/150</v>
      </c>
      <c r="L392" s="29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F</v>
      </c>
      <c r="N392" s="8">
        <f t="shared" ref="N392:N401" ca="1" si="37">INDEX($Z$2:$Z$17,MATCH(M392,$Y$2:$Y$17,0))</f>
        <v>0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28</v>
      </c>
      <c r="Q392" s="1">
        <f ca="1">IF(ISERROR(F386),"",VLOOKUP(B386,INDIRECT($F$8),7+(O392-1)*3))</f>
        <v>24</v>
      </c>
      <c r="R392" s="1">
        <f ca="1">IF(ISERROR(F386),"",SUM(P392:Q392))</f>
        <v>52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>AHT 003</v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11</v>
      </c>
      <c r="X392" s="1" t="str">
        <f ca="1">IF(ISERROR(F386),"",IF(W392=0,"",_xlfn.TEXTJOIN("",FALSE," G+",W392," in ",A392)))</f>
        <v xml:space="preserve"> G+11 in AHT 003</v>
      </c>
    </row>
    <row r="393" spans="1:24" ht="12" customHeight="1" x14ac:dyDescent="0.2">
      <c r="A393" s="7" t="str">
        <f ca="1">IF(ISERROR(F386),"",VLOOKUP(C386,INDIRECT($F$8),6+(O393-1)*3,0))</f>
        <v>EET 001</v>
      </c>
      <c r="B393" s="31" t="str">
        <f ca="1">IF(ISERROR(F386),"",VLOOKUP(D386,INDIRECT($F$8),6+(O393-1)*3,0))</f>
        <v>Basic Electrical Engineering</v>
      </c>
      <c r="C393" s="31"/>
      <c r="D393" s="31"/>
      <c r="E393" s="31"/>
      <c r="F393" s="7">
        <f ca="1">IF(ISERROR(F386),"",VLOOKUP(E386,INDIRECT($F$8),6+(O393-1)*3,0))</f>
        <v>4</v>
      </c>
      <c r="G393" s="29" t="str">
        <f ca="1">IF(ISERROR(F386),"",_xlfn.TEXTJOIN("/",FALSE,P393,S393))</f>
        <v>30/100</v>
      </c>
      <c r="H393" s="29"/>
      <c r="I393" s="29" t="str">
        <f ca="1">IF(ISERROR(F386),"",_xlfn.TEXTJOIN("/",FALSE,Q393,T393))</f>
        <v>32/50</v>
      </c>
      <c r="J393" s="29"/>
      <c r="K393" s="29" t="str">
        <f ca="1">IF(ISERROR(F386),"",_xlfn.TEXTJOIN("/",FALSE,R393,U393))</f>
        <v>62/150</v>
      </c>
      <c r="L393" s="29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P</v>
      </c>
      <c r="N393" s="8">
        <f t="shared" ca="1" si="37"/>
        <v>4.5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30</v>
      </c>
      <c r="Q393" s="1">
        <f ca="1">IF(ISERROR(F386),"",VLOOKUP(B386,INDIRECT($F$8),7+(O393-1)*3))</f>
        <v>32</v>
      </c>
      <c r="R393" s="1">
        <f ca="1">IF(ISERROR(F386),"",SUM(P393:Q393))</f>
        <v>62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">
      <c r="A394" s="7" t="str">
        <f ca="1">IF(ISERROR(F386),"",VLOOKUP(C386,INDIRECT($F$8),6+(O394-1)*3,0))</f>
        <v>CST 001</v>
      </c>
      <c r="B394" s="31" t="str">
        <f ca="1">IF(ISERROR(F386),"",VLOOKUP(D386,INDIRECT($F$8),6+(O394-1)*3,0))</f>
        <v>Programming for Problem Solving</v>
      </c>
      <c r="C394" s="31"/>
      <c r="D394" s="31"/>
      <c r="E394" s="31"/>
      <c r="F394" s="7">
        <f ca="1">IF(ISERROR(F386),"",VLOOKUP(E386,INDIRECT($F$8),6+(O394-1)*3,0))</f>
        <v>4</v>
      </c>
      <c r="G394" s="29" t="str">
        <f ca="1">IF(ISERROR(F386),"",_xlfn.TEXTJOIN("/",FALSE,P394,S394))</f>
        <v>40/100</v>
      </c>
      <c r="H394" s="29"/>
      <c r="I394" s="29" t="str">
        <f ca="1">IF(ISERROR(F386),"",_xlfn.TEXTJOIN("/",FALSE,Q394,T394))</f>
        <v>29/50</v>
      </c>
      <c r="J394" s="29"/>
      <c r="K394" s="29" t="str">
        <f ca="1">IF(ISERROR(F386),"",_xlfn.TEXTJOIN("/",FALSE,R394,U394))</f>
        <v>69/150</v>
      </c>
      <c r="L394" s="29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E</v>
      </c>
      <c r="N394" s="8">
        <f t="shared" ca="1" si="37"/>
        <v>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40</v>
      </c>
      <c r="Q394" s="1">
        <f ca="1">IF(ISERROR(F386),"",VLOOKUP(B386,INDIRECT($F$8),7+(O394-1)*3))</f>
        <v>29</v>
      </c>
      <c r="R394" s="1">
        <f ca="1">IF(ISERROR(F386),"",SUM(P394:Q394))</f>
        <v>69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AHT 004</v>
      </c>
      <c r="B395" s="31" t="str">
        <f ca="1">IF(ISERROR(F386),"",VLOOKUP(D386,INDIRECT($F$8),6+(O395-1)*3,0))</f>
        <v>Environmental Studies ($)</v>
      </c>
      <c r="C395" s="31"/>
      <c r="D395" s="31"/>
      <c r="E395" s="31"/>
      <c r="F395" s="7">
        <f ca="1">IF(ISERROR(F386),"",VLOOKUP(E386,INDIRECT($F$8),6+(O395-1)*3,0))</f>
        <v>0</v>
      </c>
      <c r="G395" s="29" t="str">
        <f ca="1">IF(ISERROR(F386),"",_xlfn.TEXTJOIN("/",FALSE,P395,S395))</f>
        <v>18/50</v>
      </c>
      <c r="H395" s="29"/>
      <c r="I395" s="29" t="str">
        <f ca="1">IF(ISERROR(F386),"",_xlfn.TEXTJOIN("/",FALSE,Q395,T395))</f>
        <v>15/25</v>
      </c>
      <c r="J395" s="29"/>
      <c r="K395" s="29" t="str">
        <f ca="1">IF(ISERROR(F386),"",_xlfn.TEXTJOIN("/",FALSE,R395,U395))</f>
        <v>33/75</v>
      </c>
      <c r="L395" s="29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P</v>
      </c>
      <c r="N395" s="8">
        <f t="shared" ca="1" si="37"/>
        <v>4.5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18</v>
      </c>
      <c r="Q395" s="1">
        <f ca="1">IF(ISERROR(F386),"",VLOOKUP(B386,INDIRECT($F$8),7+(O395-1)*3))</f>
        <v>15</v>
      </c>
      <c r="R395" s="1">
        <f ca="1">IF(ISERROR(F386),"",SUM(P395:Q395))</f>
        <v>33</v>
      </c>
      <c r="S395" s="1">
        <f ca="1">IF(ISERROR(F386),"",VLOOKUP(A386,INDIRECT($F$8),6+(O395-1)*3))</f>
        <v>50</v>
      </c>
      <c r="T395" s="1">
        <f ca="1">IF(ISERROR(F386),"",VLOOKUP(A386,INDIRECT($F$8),7+(O395-1)*3))</f>
        <v>25</v>
      </c>
      <c r="U395" s="1">
        <f ca="1">IF(ISERROR(F386),"",VLOOKUP(A386,INDIRECT($F$8),8+(O395-1)*3))</f>
        <v>75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AHP 001</v>
      </c>
      <c r="B396" s="31" t="str">
        <f ca="1">IF(ISERROR(F386),"",VLOOKUP(D386,INDIRECT($F$8),6+(O396-1)*3,0))</f>
        <v>Engineering Physics Lab</v>
      </c>
      <c r="C396" s="31"/>
      <c r="D396" s="31"/>
      <c r="E396" s="31"/>
      <c r="F396" s="7">
        <f ca="1">IF(ISERROR(F386),"",VLOOKUP(E386,INDIRECT($F$8),6+(O396-1)*3,0))</f>
        <v>1</v>
      </c>
      <c r="G396" s="29" t="str">
        <f ca="1">IF(ISERROR(F386),"",_xlfn.TEXTJOIN("/",FALSE,P396,S396))</f>
        <v>20/25</v>
      </c>
      <c r="H396" s="29"/>
      <c r="I396" s="29" t="str">
        <f ca="1">IF(ISERROR(F386),"",_xlfn.TEXTJOIN("/",FALSE,Q396,T396))</f>
        <v>18/25</v>
      </c>
      <c r="J396" s="29"/>
      <c r="K396" s="29" t="str">
        <f ca="1">IF(ISERROR(F386),"",_xlfn.TEXTJOIN("/",FALSE,R396,U396))</f>
        <v>38/50</v>
      </c>
      <c r="L396" s="29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B</v>
      </c>
      <c r="N396" s="8">
        <f t="shared" ca="1" si="37"/>
        <v>8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20</v>
      </c>
      <c r="Q396" s="1">
        <f ca="1">IF(ISERROR(F386),"",VLOOKUP(B386,INDIRECT($F$8),7+(O396-1)*3))</f>
        <v>18</v>
      </c>
      <c r="R396" s="1">
        <f ca="1">IF(ISERROR(F386),"",SUM(P396:Q396))</f>
        <v>38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EEP 001</v>
      </c>
      <c r="B397" s="31" t="str">
        <f ca="1">IF(ISERROR(F386),"",VLOOKUP(D386,INDIRECT($F$8),6+(O397-1)*3,0))</f>
        <v>Basic Electrical Engineering Lab</v>
      </c>
      <c r="C397" s="31"/>
      <c r="D397" s="31"/>
      <c r="E397" s="31"/>
      <c r="F397" s="7">
        <f ca="1">IF(ISERROR(F386),"",VLOOKUP(E386,INDIRECT($F$8),6+(O397-1)*3,0))</f>
        <v>1</v>
      </c>
      <c r="G397" s="29" t="str">
        <f ca="1">IF(ISERROR(F386),"",_xlfn.TEXTJOIN("/",FALSE,P397,S397))</f>
        <v>18/25</v>
      </c>
      <c r="H397" s="29"/>
      <c r="I397" s="29" t="str">
        <f ca="1">IF(ISERROR(F386),"",_xlfn.TEXTJOIN("/",FALSE,Q397,T397))</f>
        <v>12/25</v>
      </c>
      <c r="J397" s="29"/>
      <c r="K397" s="29" t="str">
        <f ca="1">IF(ISERROR(F386),"",_xlfn.TEXTJOIN("/",FALSE,R397,U397))</f>
        <v>30/50</v>
      </c>
      <c r="L397" s="29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D+</v>
      </c>
      <c r="N397" s="8">
        <f t="shared" ca="1" si="37"/>
        <v>6.5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18</v>
      </c>
      <c r="Q397" s="1">
        <f ca="1">IF(ISERROR(F386),"",VLOOKUP(B386,INDIRECT($F$8),7+(O397-1)*3))</f>
        <v>12</v>
      </c>
      <c r="R397" s="1">
        <f ca="1">IF(ISERROR(F386),"",SUM(P397:Q397))</f>
        <v>30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CSP 001</v>
      </c>
      <c r="B398" s="31" t="str">
        <f ca="1">IF(ISERROR(F386),"",VLOOKUP(D386,INDIRECT($F$8),6+(O398-1)*3-Z398,0))</f>
        <v>Programming for Problem Solving Lab</v>
      </c>
      <c r="C398" s="31"/>
      <c r="D398" s="31"/>
      <c r="E398" s="31"/>
      <c r="F398" s="7">
        <f ca="1">IF(ISERROR(F386),"",VLOOKUP(E386,INDIRECT($F$8),6+(O398-1)*3,0))</f>
        <v>1</v>
      </c>
      <c r="G398" s="29" t="str">
        <f ca="1">IF(ISERROR(F386),"",_xlfn.TEXTJOIN("/",FALSE,P398,S398))</f>
        <v>21/25</v>
      </c>
      <c r="H398" s="29"/>
      <c r="I398" s="29" t="str">
        <f ca="1">IF(ISERROR(F386),"",_xlfn.TEXTJOIN("/",FALSE,Q398,T398))</f>
        <v>21/25</v>
      </c>
      <c r="J398" s="29"/>
      <c r="K398" s="29" t="str">
        <f ca="1">IF(ISERROR(F386),"",_xlfn.TEXTJOIN("/",FALSE,R398,U398))</f>
        <v>42/50</v>
      </c>
      <c r="L398" s="29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B+</v>
      </c>
      <c r="N398" s="8">
        <f t="shared" ca="1" si="37"/>
        <v>8.5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21</v>
      </c>
      <c r="Q398" s="1">
        <f ca="1">IF(ISERROR(F386),"",VLOOKUP(B386,INDIRECT($F$8),7+(O398-1)*3))</f>
        <v>21</v>
      </c>
      <c r="R398" s="1">
        <f ca="1">IF(ISERROR(F386),"",SUM(P398:Q398))</f>
        <v>42</v>
      </c>
      <c r="S398" s="1">
        <f ca="1">IF(ISERROR(F386),"",VLOOKUP(A386,INDIRECT($F$8),6+(O398-1)*3))</f>
        <v>25</v>
      </c>
      <c r="T398" s="1">
        <f ca="1">IF(ISERROR(F386),"",VLOOKUP(A386,INDIRECT($F$8),7+(O398-1)*3))</f>
        <v>25</v>
      </c>
      <c r="U398" s="1">
        <f ca="1">IF(ISERROR(F386),"",VLOOKUP(A386,INDIRECT($F$8),8+(O398-1)*3))</f>
        <v>50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MEP 002</v>
      </c>
      <c r="B399" s="31" t="str">
        <f ca="1">IF(ISERROR(F386),"",VLOOKUP(D386,INDIRECT($F$8),6+(O399-1)*3-Z399,0))</f>
        <v>Engineering Graphics &amp; Design Lab</v>
      </c>
      <c r="C399" s="31"/>
      <c r="D399" s="31"/>
      <c r="E399" s="31"/>
      <c r="F399" s="7">
        <f ca="1">IF(ISERROR(F386),"",VLOOKUP(E386,INDIRECT($F$8),6+(O399-1)*3,0))</f>
        <v>2</v>
      </c>
      <c r="G399" s="29" t="str">
        <f ca="1">IF(ISERROR(F386),"",_xlfn.TEXTJOIN("/",FALSE,P399,S399))</f>
        <v>39/50</v>
      </c>
      <c r="H399" s="29"/>
      <c r="I399" s="29" t="str">
        <f ca="1">IF(ISERROR(F386),"",_xlfn.TEXTJOIN("/",FALSE,Q399,T399))</f>
        <v>36/50</v>
      </c>
      <c r="J399" s="29"/>
      <c r="K399" s="29" t="str">
        <f ca="1">IF(ISERROR(F386),"",_xlfn.TEXTJOIN("/",FALSE,R399,U399))</f>
        <v>75/100</v>
      </c>
      <c r="L399" s="29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B</v>
      </c>
      <c r="N399" s="8">
        <f t="shared" ca="1" si="37"/>
        <v>8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39</v>
      </c>
      <c r="Q399" s="1">
        <f ca="1">IF(ISERROR(F386),"",VLOOKUP(B386,INDIRECT($F$8),7+(O399-1)*3))</f>
        <v>36</v>
      </c>
      <c r="R399" s="1">
        <f ca="1">IF(ISERROR(F386),"",SUM(P399:Q399))</f>
        <v>75</v>
      </c>
      <c r="S399" s="1">
        <f ca="1">IF(ISERROR(F386),"",VLOOKUP(A386,INDIRECT($F$8),6+(O399-1)*3))</f>
        <v>50</v>
      </c>
      <c r="T399" s="1">
        <f ca="1">IF(ISERROR(F386),"",VLOOKUP(A386,INDIRECT($F$8),7+(O399-1)*3))</f>
        <v>50</v>
      </c>
      <c r="U399" s="1">
        <f ca="1">IF(ISERROR(F386),"",VLOOKUP(A386,INDIRECT($F$8),8+(O399-1)*3))</f>
        <v>100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AHP 003</v>
      </c>
      <c r="B400" s="31" t="str">
        <f ca="1">IF(ISERROR(F386),"",VLOOKUP(D386,INDIRECT($F$8),6+(O400-1)*3,0))</f>
        <v>Introduction to Digital Marketing Lab</v>
      </c>
      <c r="C400" s="31"/>
      <c r="D400" s="31"/>
      <c r="E400" s="31"/>
      <c r="F400" s="7">
        <f ca="1">IF(ISERROR(F386),"",VLOOKUP(E386,INDIRECT($F$8),6+(O400-1)*3,0))</f>
        <v>1</v>
      </c>
      <c r="G400" s="29" t="str">
        <f ca="1">IF(ISERROR(F386),"",_xlfn.TEXTJOIN("/",FALSE,P400,S400))</f>
        <v>18/25</v>
      </c>
      <c r="H400" s="29"/>
      <c r="I400" s="29" t="str">
        <f ca="1">IF(ISERROR(F386),"",_xlfn.TEXTJOIN("/",FALSE,Q400,T400))</f>
        <v>20/25</v>
      </c>
      <c r="J400" s="29"/>
      <c r="K400" s="29" t="str">
        <f ca="1">IF(ISERROR(F386),"",_xlfn.TEXTJOIN("/",FALSE,R400,U400))</f>
        <v>38/50</v>
      </c>
      <c r="L400" s="29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B</v>
      </c>
      <c r="N400" s="8">
        <f t="shared" ca="1" si="37"/>
        <v>8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18</v>
      </c>
      <c r="Q400" s="1">
        <f ca="1">IF(ISERROR(F386),"",VLOOKUP(B386,INDIRECT($F$8),7+(O400-1)*3))</f>
        <v>20</v>
      </c>
      <c r="R400" s="1">
        <f ca="1">IF(ISERROR(F386),"",SUM(P400:Q400))</f>
        <v>38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005</v>
      </c>
      <c r="B401" s="31" t="str">
        <f ca="1">IF(ISERROR(F386),"",VLOOKUP(D386,INDIRECT($F$8),6+(O401-1)*3,0))</f>
        <v>Self Employment &amp; Entrepreneurship Development</v>
      </c>
      <c r="C401" s="31"/>
      <c r="D401" s="31"/>
      <c r="E401" s="31"/>
      <c r="F401" s="7">
        <f ca="1">IF(ISERROR(F386),"",VLOOKUP(E386,INDIRECT($F$8),6+(O401-1)*3,0))</f>
        <v>1</v>
      </c>
      <c r="G401" s="29" t="str">
        <f ca="1">IF(ISERROR(F386),"",_xlfn.TEXTJOIN("/",FALSE,P401,S401))</f>
        <v>18/25</v>
      </c>
      <c r="H401" s="29"/>
      <c r="I401" s="29" t="str">
        <f ca="1">IF(ISERROR(F386),"",_xlfn.TEXTJOIN("/",FALSE,Q401,T401))</f>
        <v>22/25</v>
      </c>
      <c r="J401" s="29"/>
      <c r="K401" s="29" t="str">
        <f ca="1">IF(ISERROR(F386),"",_xlfn.TEXTJOIN("/",FALSE,R401,U401))</f>
        <v>40/50</v>
      </c>
      <c r="L401" s="29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B+</v>
      </c>
      <c r="N401" s="8">
        <f t="shared" ca="1" si="37"/>
        <v>8.5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18</v>
      </c>
      <c r="Q401" s="1">
        <f ca="1">IF(ISERROR(F386),"",VLOOKUP(B386,INDIRECT($F$8),7+(O401-1)*3))</f>
        <v>22</v>
      </c>
      <c r="R401" s="1">
        <f ca="1">IF(ISERROR(F386),"",SUM(P401:Q401))</f>
        <v>40</v>
      </c>
      <c r="S401" s="1">
        <f ca="1">IF(ISERROR(F386),"",VLOOKUP(A386,INDIRECT($F$8),6+(O401-1)*3))</f>
        <v>25</v>
      </c>
      <c r="T401" s="1">
        <f ca="1">IF(ISERROR(F386),"",VLOOKUP(A386,INDIRECT($F$8),7+(O401-1)*3))</f>
        <v>25</v>
      </c>
      <c r="U401" s="1">
        <f ca="1">IF(ISERROR(F386),"",VLOOKUP(A386,INDIRECT($F$8),8+(O401-1)*3))</f>
        <v>50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31" t="str">
        <f ca="1">IF(ISERROR(F386),"",VLOOKUP(D386,INDIRECT($F$8),6+(O402-1)*3-Z402,0))</f>
        <v>General Proficiency ($)</v>
      </c>
      <c r="C402" s="31"/>
      <c r="D402" s="31"/>
      <c r="E402" s="31"/>
      <c r="F402" s="7">
        <f ca="1">IF(ISERROR(F386),"",VLOOKUP(E386,INDIRECT($F$8),6+(O402-1)*3-AA402,0))</f>
        <v>0</v>
      </c>
      <c r="G402" s="29" t="str">
        <f ca="1">IF(ISERROR(F386),"","-")</f>
        <v>-</v>
      </c>
      <c r="H402" s="29"/>
      <c r="I402" s="29" t="str">
        <f ca="1">IF(ISERROR(F386),"",_xlfn.TEXTJOIN("/",FALSE,Q402,T402))</f>
        <v>47/50</v>
      </c>
      <c r="J402" s="29"/>
      <c r="K402" s="29" t="str">
        <f ca="1">IF(ISERROR(F386),"",_xlfn.TEXTJOIN("/",FALSE,R402,U402))</f>
        <v>47/50</v>
      </c>
      <c r="L402" s="29"/>
      <c r="M402" s="29" t="str">
        <f ca="1">IF(ISBLANK(R402),"",IF(ISTEXT(R402),R402,IF(R402&gt;=0.8*U402,"Excellent",IF(R402&gt;=0.6*U402,"Very Good",IF(R402&gt;=0.4*U402,"Good",IF(R402&gt;=0.2*U402,"Satisfactory","Average"))))))</f>
        <v>Excellent</v>
      </c>
      <c r="N402" s="29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7" t="str">
        <f ca="1">IF(ISERROR(F386),"",A382)</f>
        <v>Total Credits/ Marks/ Total Grade Points</v>
      </c>
      <c r="B403" s="27"/>
      <c r="C403" s="27"/>
      <c r="D403" s="27"/>
      <c r="E403" s="27"/>
      <c r="F403" s="10">
        <f ca="1">IF(ISERROR(F386),"",SUM(F391:F401))</f>
        <v>23</v>
      </c>
      <c r="G403" s="30" t="str">
        <f ca="1">IF(ISERROR(F386),"",_xlfn.TEXTJOIN("/",TRUE,SUMIF(F391:F402,"&gt;0",P391:P402),SUMIF(F391:F402,"&gt;0",S391:S402)))</f>
        <v>249/575</v>
      </c>
      <c r="H403" s="30"/>
      <c r="I403" s="30" t="str">
        <f ca="1">IF(ISERROR(F386),"",_xlfn.TEXTJOIN("/",TRUE,SUMIF(F391:F402,"&gt;0",Q391:Q402),SUMIF(F391:F402,"&gt;0",T391:T402)))</f>
        <v>241/375</v>
      </c>
      <c r="J403" s="30"/>
      <c r="K403" s="30" t="str">
        <f ca="1">IF(ISERROR(F386),"",_xlfn.TEXTJOIN("/",TRUE,SUMIF(F391:F402,"&gt;0",R391:R402),SUMIF(F391:F402,"&gt;0",U391:U402)))</f>
        <v>490/950</v>
      </c>
      <c r="L403" s="30"/>
      <c r="M403" s="27">
        <f ca="1">IF(ISERROR(F386),"",SUMPRODUCT(N391:N401,F391:F401))</f>
        <v>93.5</v>
      </c>
      <c r="N403" s="27"/>
      <c r="V403" s="1" t="str">
        <f ca="1">IF(ISERROR(F386),"",_xlfn.TEXTJOIN(", ",TRUE,V391:V402))</f>
        <v>AHT 001, AHT 003</v>
      </c>
      <c r="W403" t="b">
        <f ca="1">IF(ISERROR(F386),"",IF(SUM(W391:W402)&lt;=W390,TRUE,FALSE))</f>
        <v>0</v>
      </c>
      <c r="X403" s="1" t="str">
        <f ca="1">IF(ISERROR(F386),"",_xlfn.TEXTJOIN(",",TRUE,X391:X402))</f>
        <v xml:space="preserve"> G+11 in AHT 001, G+11 in AHT 003</v>
      </c>
    </row>
    <row r="404" spans="1:24" ht="12" customHeight="1" x14ac:dyDescent="0.2">
      <c r="A404" s="27" t="str">
        <f ca="1">IF(ISERROR(F386),"",A383)</f>
        <v>Result:</v>
      </c>
      <c r="B404" s="26" t="str" cm="1">
        <f t="array" aca="1" ref="B404" ca="1">IF(SUM(COUNTIF(M391:M401,{"Ab","Dt"}))=11, "Not Promoted to IInd Semester", IF(V403="", "PASS", "CARRY OVER"))</f>
        <v>CARRY OVER</v>
      </c>
      <c r="C404" s="26"/>
      <c r="D404" s="27" t="str">
        <f ca="1">IF(ISERROR(F386),"",D383)</f>
        <v>Remark:</v>
      </c>
      <c r="E404" s="26" t="str">
        <f ca="1">IF(ISERROR(F386),"",IF(V403="",IF(X403="","",X403),_xlfn.TEXTJOIN(" ",TRUE,"BACK IN",V403)))</f>
        <v>BACK IN AHT 001, AHT 003</v>
      </c>
      <c r="F404" s="26"/>
      <c r="G404" s="27" t="str">
        <f ca="1">IF(ISERROR(F386),"",G383)</f>
        <v>SGPA:</v>
      </c>
      <c r="H404" s="28">
        <f ca="1">IF(ISERROR(F386),"",M403/F403)</f>
        <v>4.0652173913043477</v>
      </c>
      <c r="I404" s="27" t="str">
        <f ca="1">IF(ISERROR(F386),"",I383)</f>
        <v>CGPA:</v>
      </c>
      <c r="J404" s="28">
        <f ca="1">IF(ISERROR(F386),"",VLOOKUP(B386,INDIRECT($F$8),12+(O402-1)*3,0))</f>
        <v>4.0652173913043477</v>
      </c>
      <c r="K404" s="26" t="str">
        <f ca="1">IF(ISERROR(F386),"",K383)</f>
        <v>Earned Credits:</v>
      </c>
      <c r="L404" s="27">
        <f ca="1">IF(ISERROR(F386),"",SUMIF(N391:N401,"&gt;0",F391:F401))</f>
        <v>15</v>
      </c>
      <c r="M404" s="26" t="str">
        <f ca="1">IF(ISERROR(F386),"",M383)</f>
        <v>Cuml. Earned Credits:</v>
      </c>
      <c r="N404" s="27">
        <f ca="1">IF(ISERROR(F386),"",VLOOKUP(B386,INDIRECT($F$8),10+(O402-1)*3,0))</f>
        <v>15</v>
      </c>
    </row>
    <row r="405" spans="1:24" ht="12" customHeight="1" x14ac:dyDescent="0.2">
      <c r="A405" s="27"/>
      <c r="B405" s="26"/>
      <c r="C405" s="26"/>
      <c r="D405" s="27"/>
      <c r="E405" s="26"/>
      <c r="F405" s="26"/>
      <c r="G405" s="27"/>
      <c r="H405" s="28"/>
      <c r="I405" s="27"/>
      <c r="J405" s="28"/>
      <c r="K405" s="26"/>
      <c r="L405" s="27"/>
      <c r="M405" s="26"/>
      <c r="N405" s="27"/>
    </row>
    <row r="406" spans="1:24" ht="12" customHeight="1" x14ac:dyDescent="0.2">
      <c r="A406" s="27"/>
      <c r="B406" s="26"/>
      <c r="C406" s="26"/>
      <c r="D406" s="27"/>
      <c r="E406" s="26"/>
      <c r="F406" s="26"/>
      <c r="G406" s="27"/>
      <c r="H406" s="28"/>
      <c r="I406" s="27"/>
      <c r="J406" s="28"/>
      <c r="K406" s="26"/>
      <c r="L406" s="27"/>
      <c r="M406" s="26"/>
      <c r="N406" s="27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YOGITA BELWAL</v>
      </c>
    </row>
    <row r="408" spans="1:24" ht="12" customHeight="1" x14ac:dyDescent="0.2">
      <c r="A408" s="24" t="str">
        <f ca="1">IF(ISERROR(F407),"",A387)</f>
        <v>Name:</v>
      </c>
      <c r="B408" s="24" t="str">
        <f ca="1">IFERROR(VLOOKUP(B407,INDIRECT($F$8),4,0),"")</f>
        <v>YOGITA BELWAL</v>
      </c>
      <c r="C408" s="24"/>
      <c r="D408" s="24" t="str">
        <f ca="1">IF(ISERROR(F407),"",D387)</f>
        <v>Father's Name:</v>
      </c>
      <c r="E408" s="24" t="str">
        <f ca="1">IFERROR(VLOOKUP(B407,INDIRECT($F$8),5,0),"")</f>
        <v>VIRENDRA SINGH</v>
      </c>
      <c r="F408" s="24"/>
      <c r="G408" s="24" t="str">
        <f ca="1">IF(ISERROR(F407),"",G387)</f>
        <v>University Roll No:</v>
      </c>
      <c r="H408" s="24"/>
      <c r="I408" s="25">
        <f ca="1">IFERROR(VLOOKUP(B407,INDIRECT($F$8),2,0),"")</f>
        <v>250090111020</v>
      </c>
      <c r="J408" s="25"/>
      <c r="K408" s="24" t="str">
        <f ca="1">IF(ISERROR(F407),"",K387)</f>
        <v>University Enrol. No:</v>
      </c>
      <c r="L408" s="24"/>
      <c r="M408" s="25" t="str">
        <f ca="1">IFERROR(VLOOKUP(B407,INDIRECT($F$8),3,0),"")</f>
        <v>UTU/2501103766</v>
      </c>
      <c r="N408" s="25"/>
    </row>
    <row r="409" spans="1:24" ht="12" customHeight="1" x14ac:dyDescent="0.2">
      <c r="A409" s="24"/>
      <c r="B409" s="24"/>
      <c r="C409" s="24"/>
      <c r="D409" s="24"/>
      <c r="E409" s="24"/>
      <c r="F409" s="24"/>
      <c r="G409" s="24"/>
      <c r="H409" s="24"/>
      <c r="I409" s="25"/>
      <c r="J409" s="25"/>
      <c r="K409" s="24"/>
      <c r="L409" s="24"/>
      <c r="M409" s="25"/>
      <c r="N409" s="25"/>
    </row>
    <row r="410" spans="1:24" ht="12" customHeight="1" x14ac:dyDescent="0.2">
      <c r="A410" s="26" t="str">
        <f ca="1">IF(ISERROR(F407),"",A389)</f>
        <v>Subject Code</v>
      </c>
      <c r="B410" s="26" t="str">
        <f ca="1">IF(ISERROR(F407),"",B389)</f>
        <v>Subject Name</v>
      </c>
      <c r="C410" s="26"/>
      <c r="D410" s="26"/>
      <c r="E410" s="26"/>
      <c r="F410" s="26" t="str">
        <f ca="1">IF(ISERROR(F407),"",F389)</f>
        <v>Credits</v>
      </c>
      <c r="G410" s="26" t="str">
        <f ca="1">IF(ISERROR(F407),"",G389)</f>
        <v>External Marks</v>
      </c>
      <c r="H410" s="26"/>
      <c r="I410" s="26" t="str">
        <f ca="1">IF(ISERROR(F407),"",I389)</f>
        <v>Sessional Marks</v>
      </c>
      <c r="J410" s="26"/>
      <c r="K410" s="26" t="str">
        <f ca="1">IF(ISERROR(F407),"",K389)</f>
        <v>Total Marks</v>
      </c>
      <c r="L410" s="26"/>
      <c r="M410" s="26" t="str">
        <f ca="1">IF(ISERROR(F407),"",M389)</f>
        <v>Grade</v>
      </c>
      <c r="N410" s="26" t="str">
        <f ca="1">IF(ISERROR(F407),"",N389)</f>
        <v>Grade Points</v>
      </c>
    </row>
    <row r="411" spans="1:24" ht="12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001</v>
      </c>
      <c r="B412" s="31" t="str">
        <f ca="1">IF(ISERROR(F407),"",VLOOKUP(D407,INDIRECT($F$8),6+(O412-1)*3,0))</f>
        <v>Engineering Physics</v>
      </c>
      <c r="C412" s="31"/>
      <c r="D412" s="31"/>
      <c r="E412" s="31"/>
      <c r="F412" s="7">
        <f ca="1">IF(ISERROR(F407),"",VLOOKUP(E407,INDIRECT($F$8),6+(O412-1)*3,0))</f>
        <v>4</v>
      </c>
      <c r="G412" s="29" t="str">
        <f ca="1">IF(ISERROR(F407),"",_xlfn.TEXTJOIN("/",FALSE,P412,S412))</f>
        <v>37/100</v>
      </c>
      <c r="H412" s="29"/>
      <c r="I412" s="29" t="str">
        <f ca="1">IF(ISERROR(F407),"",_xlfn.TEXTJOIN("/",FALSE,Q412,T412))</f>
        <v>23/50</v>
      </c>
      <c r="J412" s="29"/>
      <c r="K412" s="29" t="str">
        <f ca="1">IF(ISERROR(F407),"",_xlfn.TEXTJOIN("/",FALSE,R412,U412))</f>
        <v>60/150</v>
      </c>
      <c r="L412" s="29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P</v>
      </c>
      <c r="N412" s="8">
        <f ca="1">INDEX($Z$2:$Z$17,MATCH(M412,$Y$2:$Y$17,0))</f>
        <v>4.5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37</v>
      </c>
      <c r="Q412" s="1">
        <f ca="1">IF(ISERROR(F407),"",VLOOKUP(B407,INDIRECT($F$8),7+(O412-1)*3))</f>
        <v>23</v>
      </c>
      <c r="R412" s="1">
        <f ca="1">IF(ISERROR(F407),"",SUM(P412:Q412))</f>
        <v>60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4</v>
      </c>
      <c r="X412" s="1" t="str">
        <f ca="1">IF(ISERROR(F407),"",IF(W412=0,"",_xlfn.TEXTJOIN("",FALSE," G+",W412," in ",A412)))</f>
        <v xml:space="preserve"> G+4 in AHT 001</v>
      </c>
    </row>
    <row r="413" spans="1:24" ht="12" customHeight="1" x14ac:dyDescent="0.2">
      <c r="A413" s="7" t="str">
        <f ca="1">IF(ISERROR(F407),"",VLOOKUP(C407,INDIRECT($F$8),6+(O413-1)*3,0))</f>
        <v>AHT 003</v>
      </c>
      <c r="B413" s="31" t="str">
        <f ca="1">IF(ISERROR(F407),"",VLOOKUP(D407,INDIRECT($F$8),6+(O413-1)*3,0))</f>
        <v>Introduction to Engineering Mathematics</v>
      </c>
      <c r="C413" s="31"/>
      <c r="D413" s="31"/>
      <c r="E413" s="31"/>
      <c r="F413" s="7">
        <f ca="1">IF(ISERROR(F407),"",VLOOKUP(E407,INDIRECT($F$8),6+(O413-1)*3,0))</f>
        <v>4</v>
      </c>
      <c r="G413" s="29" t="str">
        <f ca="1">IF(ISERROR(F407),"",_xlfn.TEXTJOIN("/",FALSE,P413,S413))</f>
        <v>55/100</v>
      </c>
      <c r="H413" s="29"/>
      <c r="I413" s="29" t="str">
        <f ca="1">IF(ISERROR(F407),"",_xlfn.TEXTJOIN("/",FALSE,Q413,T413))</f>
        <v>32/50</v>
      </c>
      <c r="J413" s="29"/>
      <c r="K413" s="29" t="str">
        <f ca="1">IF(ISERROR(F407),"",_xlfn.TEXTJOIN("/",FALSE,R413,U413))</f>
        <v>87/150</v>
      </c>
      <c r="L413" s="29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D</v>
      </c>
      <c r="N413" s="8">
        <f t="shared" ref="N413:N422" ca="1" si="39">INDEX($Z$2:$Z$17,MATCH(M413,$Y$2:$Y$17,0))</f>
        <v>6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55</v>
      </c>
      <c r="Q413" s="1">
        <f ca="1">IF(ISERROR(F407),"",VLOOKUP(B407,INDIRECT($F$8),7+(O413-1)*3))</f>
        <v>32</v>
      </c>
      <c r="R413" s="1">
        <f ca="1">IF(ISERROR(F407),"",SUM(P413:Q413))</f>
        <v>87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EET 001</v>
      </c>
      <c r="B414" s="31" t="str">
        <f ca="1">IF(ISERROR(F407),"",VLOOKUP(D407,INDIRECT($F$8),6+(O414-1)*3,0))</f>
        <v>Basic Electrical Engineering</v>
      </c>
      <c r="C414" s="31"/>
      <c r="D414" s="31"/>
      <c r="E414" s="31"/>
      <c r="F414" s="7">
        <f ca="1">IF(ISERROR(F407),"",VLOOKUP(E407,INDIRECT($F$8),6+(O414-1)*3,0))</f>
        <v>4</v>
      </c>
      <c r="G414" s="29" t="str">
        <f ca="1">IF(ISERROR(F407),"",_xlfn.TEXTJOIN("/",FALSE,P414,S414))</f>
        <v>30/100</v>
      </c>
      <c r="H414" s="29"/>
      <c r="I414" s="29" t="str">
        <f ca="1">IF(ISERROR(F407),"",_xlfn.TEXTJOIN("/",FALSE,Q414,T414))</f>
        <v>39/50</v>
      </c>
      <c r="J414" s="29"/>
      <c r="K414" s="29" t="str">
        <f ca="1">IF(ISERROR(F407),"",_xlfn.TEXTJOIN("/",FALSE,R414,U414))</f>
        <v>69/150</v>
      </c>
      <c r="L414" s="29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E</v>
      </c>
      <c r="N414" s="8">
        <f t="shared" ca="1" si="39"/>
        <v>5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30</v>
      </c>
      <c r="Q414" s="1">
        <f ca="1">IF(ISERROR(F407),"",VLOOKUP(B407,INDIRECT($F$8),7+(O414-1)*3))</f>
        <v>39</v>
      </c>
      <c r="R414" s="1">
        <f ca="1">IF(ISERROR(F407),"",SUM(P414:Q414))</f>
        <v>69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CST 001</v>
      </c>
      <c r="B415" s="31" t="str">
        <f ca="1">IF(ISERROR(F407),"",VLOOKUP(D407,INDIRECT($F$8),6+(O415-1)*3,0))</f>
        <v>Programming for Problem Solving</v>
      </c>
      <c r="C415" s="31"/>
      <c r="D415" s="31"/>
      <c r="E415" s="31"/>
      <c r="F415" s="7">
        <f ca="1">IF(ISERROR(F407),"",VLOOKUP(E407,INDIRECT($F$8),6+(O415-1)*3,0))</f>
        <v>4</v>
      </c>
      <c r="G415" s="29" t="str">
        <f ca="1">IF(ISERROR(F407),"",_xlfn.TEXTJOIN("/",FALSE,P415,S415))</f>
        <v>40/100</v>
      </c>
      <c r="H415" s="29"/>
      <c r="I415" s="29" t="str">
        <f ca="1">IF(ISERROR(F407),"",_xlfn.TEXTJOIN("/",FALSE,Q415,T415))</f>
        <v>30/50</v>
      </c>
      <c r="J415" s="29"/>
      <c r="K415" s="29" t="str">
        <f ca="1">IF(ISERROR(F407),"",_xlfn.TEXTJOIN("/",FALSE,R415,U415))</f>
        <v>70/150</v>
      </c>
      <c r="L415" s="29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E</v>
      </c>
      <c r="N415" s="8">
        <f t="shared" ca="1" si="39"/>
        <v>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40</v>
      </c>
      <c r="Q415" s="1">
        <f ca="1">IF(ISERROR(F407),"",VLOOKUP(B407,INDIRECT($F$8),7+(O415-1)*3))</f>
        <v>30</v>
      </c>
      <c r="R415" s="1">
        <f ca="1">IF(ISERROR(F407),"",SUM(P415:Q415))</f>
        <v>70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AHT 004</v>
      </c>
      <c r="B416" s="31" t="str">
        <f ca="1">IF(ISERROR(F407),"",VLOOKUP(D407,INDIRECT($F$8),6+(O416-1)*3,0))</f>
        <v>Environmental Studies ($)</v>
      </c>
      <c r="C416" s="31"/>
      <c r="D416" s="31"/>
      <c r="E416" s="31"/>
      <c r="F416" s="7">
        <f ca="1">IF(ISERROR(F407),"",VLOOKUP(E407,INDIRECT($F$8),6+(O416-1)*3,0))</f>
        <v>0</v>
      </c>
      <c r="G416" s="29" t="str">
        <f ca="1">IF(ISERROR(F407),"",_xlfn.TEXTJOIN("/",FALSE,P416,S416))</f>
        <v>30/50</v>
      </c>
      <c r="H416" s="29"/>
      <c r="I416" s="29" t="str">
        <f ca="1">IF(ISERROR(F407),"",_xlfn.TEXTJOIN("/",FALSE,Q416,T416))</f>
        <v>18/25</v>
      </c>
      <c r="J416" s="29"/>
      <c r="K416" s="29" t="str">
        <f ca="1">IF(ISERROR(F407),"",_xlfn.TEXTJOIN("/",FALSE,R416,U416))</f>
        <v>48/75</v>
      </c>
      <c r="L416" s="29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D+</v>
      </c>
      <c r="N416" s="8">
        <f t="shared" ca="1" si="39"/>
        <v>6.5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30</v>
      </c>
      <c r="Q416" s="1">
        <f ca="1">IF(ISERROR(F407),"",VLOOKUP(B407,INDIRECT($F$8),7+(O416-1)*3))</f>
        <v>18</v>
      </c>
      <c r="R416" s="1">
        <f ca="1">IF(ISERROR(F407),"",SUM(P416:Q416))</f>
        <v>48</v>
      </c>
      <c r="S416" s="1">
        <f ca="1">IF(ISERROR(F407),"",VLOOKUP(A407,INDIRECT($F$8),6+(O416-1)*3))</f>
        <v>50</v>
      </c>
      <c r="T416" s="1">
        <f ca="1">IF(ISERROR(F407),"",VLOOKUP(A407,INDIRECT($F$8),7+(O416-1)*3))</f>
        <v>25</v>
      </c>
      <c r="U416" s="1">
        <f ca="1">IF(ISERROR(F407),"",VLOOKUP(A407,INDIRECT($F$8),8+(O416-1)*3))</f>
        <v>75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AHP 001</v>
      </c>
      <c r="B417" s="31" t="str">
        <f ca="1">IF(ISERROR(F407),"",VLOOKUP(D407,INDIRECT($F$8),6+(O417-1)*3,0))</f>
        <v>Engineering Physics Lab</v>
      </c>
      <c r="C417" s="31"/>
      <c r="D417" s="31"/>
      <c r="E417" s="31"/>
      <c r="F417" s="7">
        <f ca="1">IF(ISERROR(F407),"",VLOOKUP(E407,INDIRECT($F$8),6+(O417-1)*3,0))</f>
        <v>1</v>
      </c>
      <c r="G417" s="29" t="str">
        <f ca="1">IF(ISERROR(F407),"",_xlfn.TEXTJOIN("/",FALSE,P417,S417))</f>
        <v>20/25</v>
      </c>
      <c r="H417" s="29"/>
      <c r="I417" s="29" t="str">
        <f ca="1">IF(ISERROR(F407),"",_xlfn.TEXTJOIN("/",FALSE,Q417,T417))</f>
        <v>22/25</v>
      </c>
      <c r="J417" s="29"/>
      <c r="K417" s="29" t="str">
        <f ca="1">IF(ISERROR(F407),"",_xlfn.TEXTJOIN("/",FALSE,R417,U417))</f>
        <v>42/50</v>
      </c>
      <c r="L417" s="29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B+</v>
      </c>
      <c r="N417" s="8">
        <f t="shared" ca="1" si="39"/>
        <v>8.5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20</v>
      </c>
      <c r="Q417" s="1">
        <f ca="1">IF(ISERROR(F407),"",VLOOKUP(B407,INDIRECT($F$8),7+(O417-1)*3))</f>
        <v>22</v>
      </c>
      <c r="R417" s="1">
        <f ca="1">IF(ISERROR(F407),"",SUM(P417:Q417))</f>
        <v>42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EEP 001</v>
      </c>
      <c r="B418" s="31" t="str">
        <f ca="1">IF(ISERROR(F407),"",VLOOKUP(D407,INDIRECT($F$8),6+(O418-1)*3,0))</f>
        <v>Basic Electrical Engineering Lab</v>
      </c>
      <c r="C418" s="31"/>
      <c r="D418" s="31"/>
      <c r="E418" s="31"/>
      <c r="F418" s="7">
        <f ca="1">IF(ISERROR(F407),"",VLOOKUP(E407,INDIRECT($F$8),6+(O418-1)*3,0))</f>
        <v>1</v>
      </c>
      <c r="G418" s="29" t="str">
        <f ca="1">IF(ISERROR(F407),"",_xlfn.TEXTJOIN("/",FALSE,P418,S418))</f>
        <v>20/25</v>
      </c>
      <c r="H418" s="29"/>
      <c r="I418" s="29" t="str">
        <f ca="1">IF(ISERROR(F407),"",_xlfn.TEXTJOIN("/",FALSE,Q418,T418))</f>
        <v>22/25</v>
      </c>
      <c r="J418" s="29"/>
      <c r="K418" s="29" t="str">
        <f ca="1">IF(ISERROR(F407),"",_xlfn.TEXTJOIN("/",FALSE,R418,U418))</f>
        <v>42/50</v>
      </c>
      <c r="L418" s="29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B+</v>
      </c>
      <c r="N418" s="8">
        <f t="shared" ca="1" si="39"/>
        <v>8.5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20</v>
      </c>
      <c r="Q418" s="1">
        <f ca="1">IF(ISERROR(F407),"",VLOOKUP(B407,INDIRECT($F$8),7+(O418-1)*3))</f>
        <v>22</v>
      </c>
      <c r="R418" s="1">
        <f ca="1">IF(ISERROR(F407),"",SUM(P418:Q418))</f>
        <v>42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CSP 001</v>
      </c>
      <c r="B419" s="31" t="str">
        <f ca="1">IF(ISERROR(F407),"",VLOOKUP(D407,INDIRECT($F$8),6+(O419-1)*3-Z419,0))</f>
        <v>Programming for Problem Solving Lab</v>
      </c>
      <c r="C419" s="31"/>
      <c r="D419" s="31"/>
      <c r="E419" s="31"/>
      <c r="F419" s="7">
        <f ca="1">IF(ISERROR(F407),"",VLOOKUP(E407,INDIRECT($F$8),6+(O419-1)*3,0))</f>
        <v>1</v>
      </c>
      <c r="G419" s="29" t="str">
        <f ca="1">IF(ISERROR(F407),"",_xlfn.TEXTJOIN("/",FALSE,P419,S419))</f>
        <v>21/25</v>
      </c>
      <c r="H419" s="29"/>
      <c r="I419" s="29" t="str">
        <f ca="1">IF(ISERROR(F407),"",_xlfn.TEXTJOIN("/",FALSE,Q419,T419))</f>
        <v>21/25</v>
      </c>
      <c r="J419" s="29"/>
      <c r="K419" s="29" t="str">
        <f ca="1">IF(ISERROR(F407),"",_xlfn.TEXTJOIN("/",FALSE,R419,U419))</f>
        <v>42/50</v>
      </c>
      <c r="L419" s="29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B+</v>
      </c>
      <c r="N419" s="8">
        <f t="shared" ca="1" si="39"/>
        <v>8.5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21</v>
      </c>
      <c r="Q419" s="1">
        <f ca="1">IF(ISERROR(F407),"",VLOOKUP(B407,INDIRECT($F$8),7+(O419-1)*3))</f>
        <v>21</v>
      </c>
      <c r="R419" s="1">
        <f ca="1">IF(ISERROR(F407),"",SUM(P419:Q419))</f>
        <v>42</v>
      </c>
      <c r="S419" s="1">
        <f ca="1">IF(ISERROR(F407),"",VLOOKUP(A407,INDIRECT($F$8),6+(O419-1)*3))</f>
        <v>25</v>
      </c>
      <c r="T419" s="1">
        <f ca="1">IF(ISERROR(F407),"",VLOOKUP(A407,INDIRECT($F$8),7+(O419-1)*3))</f>
        <v>25</v>
      </c>
      <c r="U419" s="1">
        <f ca="1">IF(ISERROR(F407),"",VLOOKUP(A407,INDIRECT($F$8),8+(O419-1)*3))</f>
        <v>50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MEP 002</v>
      </c>
      <c r="B420" s="31" t="str">
        <f ca="1">IF(ISERROR(F407),"",VLOOKUP(D407,INDIRECT($F$8),6+(O420-1)*3-Z420,0))</f>
        <v>Engineering Graphics &amp; Design Lab</v>
      </c>
      <c r="C420" s="31"/>
      <c r="D420" s="31"/>
      <c r="E420" s="31"/>
      <c r="F420" s="7">
        <f ca="1">IF(ISERROR(F407),"",VLOOKUP(E407,INDIRECT($F$8),6+(O420-1)*3,0))</f>
        <v>2</v>
      </c>
      <c r="G420" s="29" t="str">
        <f ca="1">IF(ISERROR(F407),"",_xlfn.TEXTJOIN("/",FALSE,P420,S420))</f>
        <v>43/50</v>
      </c>
      <c r="H420" s="29"/>
      <c r="I420" s="29" t="str">
        <f ca="1">IF(ISERROR(F407),"",_xlfn.TEXTJOIN("/",FALSE,Q420,T420))</f>
        <v>47/50</v>
      </c>
      <c r="J420" s="29"/>
      <c r="K420" s="29" t="str">
        <f ca="1">IF(ISERROR(F407),"",_xlfn.TEXTJOIN("/",FALSE,R420,U420))</f>
        <v>90/100</v>
      </c>
      <c r="L420" s="29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A+</v>
      </c>
      <c r="N420" s="8">
        <f t="shared" ca="1" si="39"/>
        <v>9.5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43</v>
      </c>
      <c r="Q420" s="1">
        <f ca="1">IF(ISERROR(F407),"",VLOOKUP(B407,INDIRECT($F$8),7+(O420-1)*3))</f>
        <v>47</v>
      </c>
      <c r="R420" s="1">
        <f ca="1">IF(ISERROR(F407),"",SUM(P420:Q420))</f>
        <v>90</v>
      </c>
      <c r="S420" s="1">
        <f ca="1">IF(ISERROR(F407),"",VLOOKUP(A407,INDIRECT($F$8),6+(O420-1)*3))</f>
        <v>50</v>
      </c>
      <c r="T420" s="1">
        <f ca="1">IF(ISERROR(F407),"",VLOOKUP(A407,INDIRECT($F$8),7+(O420-1)*3))</f>
        <v>50</v>
      </c>
      <c r="U420" s="1">
        <f ca="1">IF(ISERROR(F407),"",VLOOKUP(A407,INDIRECT($F$8),8+(O420-1)*3))</f>
        <v>100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AHP 003</v>
      </c>
      <c r="B421" s="31" t="str">
        <f ca="1">IF(ISERROR(F407),"",VLOOKUP(D407,INDIRECT($F$8),6+(O421-1)*3,0))</f>
        <v>Introduction to Digital Marketing Lab</v>
      </c>
      <c r="C421" s="31"/>
      <c r="D421" s="31"/>
      <c r="E421" s="31"/>
      <c r="F421" s="7">
        <f ca="1">IF(ISERROR(F407),"",VLOOKUP(E407,INDIRECT($F$8),6+(O421-1)*3,0))</f>
        <v>1</v>
      </c>
      <c r="G421" s="29" t="str">
        <f ca="1">IF(ISERROR(F407),"",_xlfn.TEXTJOIN("/",FALSE,P421,S421))</f>
        <v>21/25</v>
      </c>
      <c r="H421" s="29"/>
      <c r="I421" s="29" t="str">
        <f ca="1">IF(ISERROR(F407),"",_xlfn.TEXTJOIN("/",FALSE,Q421,T421))</f>
        <v>22/25</v>
      </c>
      <c r="J421" s="29"/>
      <c r="K421" s="29" t="str">
        <f ca="1">IF(ISERROR(F407),"",_xlfn.TEXTJOIN("/",FALSE,R421,U421))</f>
        <v>43/50</v>
      </c>
      <c r="L421" s="29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A</v>
      </c>
      <c r="N421" s="8">
        <f t="shared" ca="1" si="39"/>
        <v>9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21</v>
      </c>
      <c r="Q421" s="1">
        <f ca="1">IF(ISERROR(F407),"",VLOOKUP(B407,INDIRECT($F$8),7+(O421-1)*3))</f>
        <v>22</v>
      </c>
      <c r="R421" s="1">
        <f ca="1">IF(ISERROR(F407),"",SUM(P421:Q421))</f>
        <v>43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005</v>
      </c>
      <c r="B422" s="31" t="str">
        <f ca="1">IF(ISERROR(F407),"",VLOOKUP(D407,INDIRECT($F$8),6+(O422-1)*3,0))</f>
        <v>Self Employment &amp; Entrepreneurship Development</v>
      </c>
      <c r="C422" s="31"/>
      <c r="D422" s="31"/>
      <c r="E422" s="31"/>
      <c r="F422" s="7">
        <f ca="1">IF(ISERROR(F407),"",VLOOKUP(E407,INDIRECT($F$8),6+(O422-1)*3,0))</f>
        <v>1</v>
      </c>
      <c r="G422" s="29" t="str">
        <f ca="1">IF(ISERROR(F407),"",_xlfn.TEXTJOIN("/",FALSE,P422,S422))</f>
        <v>23/25</v>
      </c>
      <c r="H422" s="29"/>
      <c r="I422" s="29" t="str">
        <f ca="1">IF(ISERROR(F407),"",_xlfn.TEXTJOIN("/",FALSE,Q422,T422))</f>
        <v>23/25</v>
      </c>
      <c r="J422" s="29"/>
      <c r="K422" s="29" t="str">
        <f ca="1">IF(ISERROR(F407),"",_xlfn.TEXTJOIN("/",FALSE,R422,U422))</f>
        <v>46/50</v>
      </c>
      <c r="L422" s="29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A+</v>
      </c>
      <c r="N422" s="8">
        <f t="shared" ca="1" si="39"/>
        <v>9.5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23</v>
      </c>
      <c r="Q422" s="1">
        <f ca="1">IF(ISERROR(F407),"",VLOOKUP(B407,INDIRECT($F$8),7+(O422-1)*3))</f>
        <v>23</v>
      </c>
      <c r="R422" s="1">
        <f ca="1">IF(ISERROR(F407),"",SUM(P422:Q422))</f>
        <v>46</v>
      </c>
      <c r="S422" s="1">
        <f ca="1">IF(ISERROR(F407),"",VLOOKUP(A407,INDIRECT($F$8),6+(O422-1)*3))</f>
        <v>25</v>
      </c>
      <c r="T422" s="1">
        <f ca="1">IF(ISERROR(F407),"",VLOOKUP(A407,INDIRECT($F$8),7+(O422-1)*3))</f>
        <v>25</v>
      </c>
      <c r="U422" s="1">
        <f ca="1">IF(ISERROR(F407),"",VLOOKUP(A407,INDIRECT($F$8),8+(O422-1)*3))</f>
        <v>50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31" t="str">
        <f ca="1">IF(ISERROR(F407),"",VLOOKUP(D407,INDIRECT($F$8),6+(O423-1)*3-Z423,0))</f>
        <v>General Proficiency ($)</v>
      </c>
      <c r="C423" s="31"/>
      <c r="D423" s="31"/>
      <c r="E423" s="31"/>
      <c r="F423" s="7">
        <f ca="1">IF(ISERROR(F407),"",VLOOKUP(E407,INDIRECT($F$8),6+(O423-1)*3-AA423,0))</f>
        <v>0</v>
      </c>
      <c r="G423" s="29" t="str">
        <f ca="1">IF(ISERROR(F407),"","-")</f>
        <v>-</v>
      </c>
      <c r="H423" s="29"/>
      <c r="I423" s="29" t="str">
        <f ca="1">IF(ISERROR(F407),"",_xlfn.TEXTJOIN("/",FALSE,Q423,T423))</f>
        <v>47/50</v>
      </c>
      <c r="J423" s="29"/>
      <c r="K423" s="29" t="str">
        <f ca="1">IF(ISERROR(F407),"",_xlfn.TEXTJOIN("/",FALSE,R423,U423))</f>
        <v>47/50</v>
      </c>
      <c r="L423" s="29"/>
      <c r="M423" s="29" t="str">
        <f ca="1">IF(ISBLANK(R423),"",IF(ISTEXT(R423),R423,IF(R423&gt;=0.8*U423,"Excellent",IF(R423&gt;=0.6*U423,"Very Good",IF(R423&gt;=0.4*U423,"Good",IF(R423&gt;=0.2*U423,"Satisfactory","Average"))))))</f>
        <v>Excellent</v>
      </c>
      <c r="N423" s="29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7" t="str">
        <f ca="1">IF(ISERROR(F407),"",A403)</f>
        <v>Total Credits/ Marks/ Total Grade Points</v>
      </c>
      <c r="B424" s="27"/>
      <c r="C424" s="27"/>
      <c r="D424" s="27"/>
      <c r="E424" s="27"/>
      <c r="F424" s="10">
        <f ca="1">IF(ISERROR(F407),"",SUM(F412:F422))</f>
        <v>23</v>
      </c>
      <c r="G424" s="30" t="str">
        <f ca="1">IF(ISERROR(F407),"",_xlfn.TEXTJOIN("/",TRUE,SUMIF(F412:F423,"&gt;0",P412:P423),SUMIF(F412:F423,"&gt;0",S412:S423)))</f>
        <v>310/575</v>
      </c>
      <c r="H424" s="30"/>
      <c r="I424" s="30" t="str">
        <f ca="1">IF(ISERROR(F407),"",_xlfn.TEXTJOIN("/",TRUE,SUMIF(F412:F423,"&gt;0",Q412:Q423),SUMIF(F412:F423,"&gt;0",T412:T423)))</f>
        <v>281/375</v>
      </c>
      <c r="J424" s="30"/>
      <c r="K424" s="30" t="str">
        <f ca="1">IF(ISERROR(F407),"",_xlfn.TEXTJOIN("/",TRUE,SUMIF(F412:F423,"&gt;0",R412:R423),SUMIF(F412:F423,"&gt;0",U412:U423)))</f>
        <v>591/950</v>
      </c>
      <c r="L424" s="30"/>
      <c r="M424" s="27">
        <f ca="1">IF(ISERROR(F407),"",SUMPRODUCT(N412:N422,F412:F422))</f>
        <v>145</v>
      </c>
      <c r="N424" s="27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 xml:space="preserve"> G+4 in AHT 001</v>
      </c>
    </row>
    <row r="425" spans="1:24" ht="12" customHeight="1" x14ac:dyDescent="0.2">
      <c r="A425" s="27" t="str">
        <f ca="1">IF(ISERROR(F407),"",A404)</f>
        <v>Result:</v>
      </c>
      <c r="B425" s="26" t="str" cm="1">
        <f t="array" aca="1" ref="B425" ca="1">IF(SUM(COUNTIF(M412:M422,{"Ab","Dt"}))=11, "Not Promoted to IInd Semester", IF(V424="", "PASS", "CARRY OVER"))</f>
        <v>PASS</v>
      </c>
      <c r="C425" s="26"/>
      <c r="D425" s="27" t="str">
        <f ca="1">IF(ISERROR(F407),"",D404)</f>
        <v>Remark:</v>
      </c>
      <c r="E425" s="26" t="str">
        <f ca="1">IF(ISERROR(F407),"",IF(V424="",IF(X424="","",X424),_xlfn.TEXTJOIN(" ",TRUE,"BACK IN",V424)))</f>
        <v xml:space="preserve"> G+4 in AHT 001</v>
      </c>
      <c r="F425" s="26"/>
      <c r="G425" s="27" t="str">
        <f ca="1">IF(ISERROR(F407),"",G404)</f>
        <v>SGPA:</v>
      </c>
      <c r="H425" s="28">
        <f ca="1">IF(ISERROR(F407),"",M424/F424)</f>
        <v>6.3043478260869561</v>
      </c>
      <c r="I425" s="27" t="str">
        <f ca="1">IF(ISERROR(F407),"",I404)</f>
        <v>CGPA:</v>
      </c>
      <c r="J425" s="28">
        <f ca="1">IF(ISERROR(F407),"",VLOOKUP(B407,INDIRECT($F$8),12+(O423-1)*3,0))</f>
        <v>6.3043478260869561</v>
      </c>
      <c r="K425" s="26" t="str">
        <f ca="1">IF(ISERROR(F407),"",K404)</f>
        <v>Earned Credits:</v>
      </c>
      <c r="L425" s="27">
        <f ca="1">IF(ISERROR(F407),"",SUMIF(N412:N422,"&gt;0",F412:F422))</f>
        <v>23</v>
      </c>
      <c r="M425" s="26" t="str">
        <f ca="1">IF(ISERROR(F407),"",M404)</f>
        <v>Cuml. Earned Credits:</v>
      </c>
      <c r="N425" s="27">
        <f ca="1">IF(ISERROR(F407),"",VLOOKUP(B407,INDIRECT($F$8),10+(O423-1)*3,0))</f>
        <v>23</v>
      </c>
    </row>
    <row r="426" spans="1:24" ht="12" customHeight="1" x14ac:dyDescent="0.2">
      <c r="A426" s="27"/>
      <c r="B426" s="26"/>
      <c r="C426" s="26"/>
      <c r="D426" s="27"/>
      <c r="E426" s="26"/>
      <c r="F426" s="26"/>
      <c r="G426" s="27"/>
      <c r="H426" s="28"/>
      <c r="I426" s="27"/>
      <c r="J426" s="28"/>
      <c r="K426" s="26"/>
      <c r="L426" s="27"/>
      <c r="M426" s="26"/>
      <c r="N426" s="27"/>
    </row>
    <row r="427" spans="1:24" ht="12" customHeight="1" x14ac:dyDescent="0.2">
      <c r="A427" s="27"/>
      <c r="B427" s="26"/>
      <c r="C427" s="26"/>
      <c r="D427" s="27"/>
      <c r="E427" s="26"/>
      <c r="F427" s="26"/>
      <c r="G427" s="27"/>
      <c r="H427" s="28"/>
      <c r="I427" s="27"/>
      <c r="J427" s="28"/>
      <c r="K427" s="26"/>
      <c r="L427" s="27"/>
      <c r="M427" s="26"/>
      <c r="N427" s="27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e">
        <f ca="1">VLOOKUP(B428,INDIRECT($F$8),4,0)</f>
        <v>#N/A</v>
      </c>
    </row>
    <row r="429" spans="1:24" ht="12" customHeight="1" x14ac:dyDescent="0.2">
      <c r="A429" s="24" t="str">
        <f ca="1">IF(ISERROR(F428),"",A408)</f>
        <v/>
      </c>
      <c r="B429" s="24" t="str">
        <f ca="1">IFERROR(VLOOKUP(B428,INDIRECT($F$8),4,0),"")</f>
        <v/>
      </c>
      <c r="C429" s="24"/>
      <c r="D429" s="24" t="str">
        <f ca="1">IF(ISERROR(F428),"",D408)</f>
        <v/>
      </c>
      <c r="E429" s="24" t="str">
        <f ca="1">IFERROR(VLOOKUP(B428,INDIRECT($F$8),5,0),"")</f>
        <v/>
      </c>
      <c r="F429" s="24"/>
      <c r="G429" s="24" t="str">
        <f ca="1">IF(ISERROR(F428),"",G408)</f>
        <v/>
      </c>
      <c r="H429" s="24"/>
      <c r="I429" s="25" t="str">
        <f ca="1">IFERROR(VLOOKUP(B428,INDIRECT($F$8),2,0),"")</f>
        <v/>
      </c>
      <c r="J429" s="25"/>
      <c r="K429" s="24" t="str">
        <f ca="1">IF(ISERROR(F428),"",K408)</f>
        <v/>
      </c>
      <c r="L429" s="24"/>
      <c r="M429" s="25" t="str">
        <f ca="1">IFERROR(VLOOKUP(B428,INDIRECT($F$8),3,0),"")</f>
        <v/>
      </c>
      <c r="N429" s="25"/>
    </row>
    <row r="430" spans="1:24" ht="12" customHeight="1" x14ac:dyDescent="0.2">
      <c r="A430" s="24"/>
      <c r="B430" s="24"/>
      <c r="C430" s="24"/>
      <c r="D430" s="24"/>
      <c r="E430" s="24"/>
      <c r="F430" s="24"/>
      <c r="G430" s="24"/>
      <c r="H430" s="24"/>
      <c r="I430" s="25"/>
      <c r="J430" s="25"/>
      <c r="K430" s="24"/>
      <c r="L430" s="24"/>
      <c r="M430" s="25"/>
      <c r="N430" s="25"/>
    </row>
    <row r="431" spans="1:24" ht="12" customHeight="1" x14ac:dyDescent="0.2">
      <c r="A431" s="26" t="str">
        <f ca="1">IF(ISERROR(F428),"",A410)</f>
        <v/>
      </c>
      <c r="B431" s="26" t="str">
        <f ca="1">IF(ISERROR(F428),"",B410)</f>
        <v/>
      </c>
      <c r="C431" s="26"/>
      <c r="D431" s="26"/>
      <c r="E431" s="26"/>
      <c r="F431" s="26" t="str">
        <f ca="1">IF(ISERROR(F428),"",F410)</f>
        <v/>
      </c>
      <c r="G431" s="26" t="str">
        <f ca="1">IF(ISERROR(F428),"",G410)</f>
        <v/>
      </c>
      <c r="H431" s="26"/>
      <c r="I431" s="26" t="str">
        <f ca="1">IF(ISERROR(F428),"",I410)</f>
        <v/>
      </c>
      <c r="J431" s="26"/>
      <c r="K431" s="26" t="str">
        <f ca="1">IF(ISERROR(F428),"",K410)</f>
        <v/>
      </c>
      <c r="L431" s="26"/>
      <c r="M431" s="26" t="str">
        <f ca="1">IF(ISERROR(F428),"",M410)</f>
        <v/>
      </c>
      <c r="N431" s="26" t="str">
        <f ca="1">IF(ISERROR(F428),"",N410)</f>
        <v/>
      </c>
    </row>
    <row r="432" spans="1:24" ht="12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14" ht="12" customHeight="1" x14ac:dyDescent="0.2">
      <c r="A433" s="27" t="str">
        <f>IF(ISERROR(#REF!),"",#REF!)</f>
        <v/>
      </c>
      <c r="B433" s="26" t="str">
        <f>IF(ISERROR(#REF!),"",IF(#REF!="","PASS","CARRY OVER"))</f>
        <v/>
      </c>
      <c r="C433" s="26"/>
      <c r="D433" s="27" t="str">
        <f>IF(ISERROR(#REF!),"",#REF!)</f>
        <v/>
      </c>
      <c r="E433" s="26" t="str">
        <f>IF(ISERROR(#REF!),"",IF(#REF!="",IF(#REF!="","",#REF!),_xlfn.TEXTJOIN(" ",TRUE,"BACK IN",#REF!)))</f>
        <v/>
      </c>
      <c r="F433" s="26"/>
      <c r="G433" s="27" t="str">
        <f>IF(ISERROR(#REF!),"",#REF!)</f>
        <v/>
      </c>
      <c r="H433" s="28" t="str">
        <f>IF(ISERROR(#REF!),"",#REF!/#REF!)</f>
        <v/>
      </c>
      <c r="I433" s="27" t="str">
        <f>IF(ISERROR(#REF!),"",#REF!)</f>
        <v/>
      </c>
      <c r="J433" s="28" t="str">
        <f ca="1">IF(ISERROR(#REF!),"",VLOOKUP(#REF!,INDIRECT($F$8),12+(#REF!-1)*3,0))</f>
        <v/>
      </c>
      <c r="K433" s="26" t="str">
        <f>IF(ISERROR(#REF!),"",#REF!)</f>
        <v/>
      </c>
      <c r="L433" s="27" t="str">
        <f>IF(ISERROR(#REF!),"",SUMIF(#REF!,"&gt;0",#REF!))</f>
        <v/>
      </c>
      <c r="M433" s="26" t="str">
        <f>IF(ISERROR(#REF!),"",#REF!)</f>
        <v/>
      </c>
      <c r="N433" s="27" t="str">
        <f ca="1">IF(ISERROR(#REF!),"",VLOOKUP(#REF!,INDIRECT($F$8),10+(#REF!-1)*3,0))</f>
        <v/>
      </c>
    </row>
    <row r="434" spans="1:14" ht="12" customHeight="1" x14ac:dyDescent="0.2">
      <c r="A434" s="27"/>
      <c r="B434" s="26"/>
      <c r="C434" s="26"/>
      <c r="D434" s="27"/>
      <c r="E434" s="26"/>
      <c r="F434" s="26"/>
      <c r="G434" s="27"/>
      <c r="H434" s="28"/>
      <c r="I434" s="27"/>
      <c r="J434" s="28"/>
      <c r="K434" s="26"/>
      <c r="L434" s="27"/>
      <c r="M434" s="26"/>
      <c r="N434" s="27"/>
    </row>
    <row r="435" spans="1:14" ht="12" customHeight="1" x14ac:dyDescent="0.2">
      <c r="A435" s="27"/>
      <c r="B435" s="26"/>
      <c r="C435" s="26"/>
      <c r="D435" s="27"/>
      <c r="E435" s="26"/>
      <c r="F435" s="26"/>
      <c r="G435" s="27"/>
      <c r="H435" s="28"/>
      <c r="I435" s="27"/>
      <c r="J435" s="28"/>
      <c r="K435" s="26"/>
      <c r="L435" s="27"/>
      <c r="M435" s="26"/>
      <c r="N435" s="27"/>
    </row>
  </sheetData>
  <mergeCells count="1672">
    <mergeCell ref="K413:L413"/>
    <mergeCell ref="G399:H399"/>
    <mergeCell ref="I399:J399"/>
    <mergeCell ref="K399:L399"/>
    <mergeCell ref="B400:E400"/>
    <mergeCell ref="B401:E401"/>
    <mergeCell ref="G401:H401"/>
    <mergeCell ref="I401:J401"/>
    <mergeCell ref="K401:L401"/>
    <mergeCell ref="B402:E402"/>
    <mergeCell ref="G402:H402"/>
    <mergeCell ref="G395:H395"/>
    <mergeCell ref="I395:J395"/>
    <mergeCell ref="K395:L395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K396:L396"/>
    <mergeCell ref="B397:E397"/>
    <mergeCell ref="G397:H397"/>
    <mergeCell ref="I397:J397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39:N339"/>
    <mergeCell ref="A340:E340"/>
    <mergeCell ref="M340:N340"/>
    <mergeCell ref="A341:A343"/>
    <mergeCell ref="G334:H334"/>
    <mergeCell ref="I334:J334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G326:H327"/>
    <mergeCell ref="I326:J327"/>
    <mergeCell ref="K326:L327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G172:H172"/>
    <mergeCell ref="I172:J172"/>
    <mergeCell ref="K172:L172"/>
    <mergeCell ref="B184:E184"/>
    <mergeCell ref="G184:H184"/>
    <mergeCell ref="I184:J184"/>
    <mergeCell ref="K184:L184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B173:C175"/>
    <mergeCell ref="D173:D175"/>
    <mergeCell ref="E173:F175"/>
    <mergeCell ref="G173:G175"/>
    <mergeCell ref="H173:H175"/>
    <mergeCell ref="I173:I175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K329:L329"/>
    <mergeCell ref="B329:E329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B391:E391"/>
    <mergeCell ref="G391:H391"/>
    <mergeCell ref="I391:J391"/>
    <mergeCell ref="K391:L391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G382:H382"/>
    <mergeCell ref="I382:J382"/>
    <mergeCell ref="K382:L382"/>
    <mergeCell ref="B359:E359"/>
    <mergeCell ref="G359:H359"/>
    <mergeCell ref="I359:J359"/>
    <mergeCell ref="K359:L359"/>
    <mergeCell ref="I375:J375"/>
    <mergeCell ref="K375:L375"/>
    <mergeCell ref="B377:E377"/>
    <mergeCell ref="G377:H377"/>
    <mergeCell ref="I377:J377"/>
    <mergeCell ref="K377:L377"/>
    <mergeCell ref="B378:E378"/>
    <mergeCell ref="G378:H378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394:E394"/>
    <mergeCell ref="G394:H394"/>
    <mergeCell ref="I394:J394"/>
    <mergeCell ref="K394:L394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352:E352"/>
    <mergeCell ref="G352:H352"/>
    <mergeCell ref="I352:J352"/>
    <mergeCell ref="K352:L352"/>
    <mergeCell ref="B353:E353"/>
    <mergeCell ref="G353:H353"/>
    <mergeCell ref="I353:J353"/>
    <mergeCell ref="G400:H400"/>
    <mergeCell ref="I400:J400"/>
    <mergeCell ref="K400:L400"/>
    <mergeCell ref="I402:J402"/>
    <mergeCell ref="K402:L402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G135:H136"/>
    <mergeCell ref="I135:J136"/>
    <mergeCell ref="K135:L136"/>
    <mergeCell ref="M135:N136"/>
    <mergeCell ref="B118:E118"/>
    <mergeCell ref="G118:H118"/>
    <mergeCell ref="I118:J118"/>
    <mergeCell ref="K118:L118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B164:E164"/>
    <mergeCell ref="G164:H164"/>
    <mergeCell ref="I164:J164"/>
    <mergeCell ref="K164:L164"/>
    <mergeCell ref="B165:E165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A177:A178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M326:M327"/>
    <mergeCell ref="N326:N327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B330:E330"/>
    <mergeCell ref="G330:H330"/>
    <mergeCell ref="I330:J330"/>
    <mergeCell ref="K330:L330"/>
    <mergeCell ref="B331:E331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A368:A369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B368:E369"/>
    <mergeCell ref="F368:F369"/>
    <mergeCell ref="G368:H369"/>
    <mergeCell ref="I368:J369"/>
    <mergeCell ref="K368:L369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K397:L397"/>
    <mergeCell ref="B398:E398"/>
    <mergeCell ref="G398:H398"/>
    <mergeCell ref="I398:J398"/>
    <mergeCell ref="K398:L398"/>
    <mergeCell ref="B399:E399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B415:E415"/>
    <mergeCell ref="G415:H415"/>
    <mergeCell ref="I415:J415"/>
    <mergeCell ref="K415:L415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I418:J418"/>
    <mergeCell ref="K418:L418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B423:E423"/>
    <mergeCell ref="G423:H423"/>
    <mergeCell ref="I423:J423"/>
    <mergeCell ref="K423:L423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A433:A435"/>
    <mergeCell ref="B433:C435"/>
    <mergeCell ref="D433:D435"/>
    <mergeCell ref="E433:F435"/>
    <mergeCell ref="G433:G435"/>
    <mergeCell ref="H433:H435"/>
    <mergeCell ref="I433:I435"/>
    <mergeCell ref="J433:J435"/>
    <mergeCell ref="K433:K435"/>
    <mergeCell ref="L433:L435"/>
    <mergeCell ref="M433:M435"/>
    <mergeCell ref="N433:N435"/>
  </mergeCells>
  <pageMargins left="0.70866141732283472" right="0.70866141732283472" top="0.35433070866141736" bottom="0.35433070866141736" header="0.11811023622047245" footer="0.31496062992125984"/>
  <pageSetup paperSize="8" scale="98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5" manualBreakCount="5">
    <brk id="91" max="16383" man="1"/>
    <brk id="175" max="16383" man="1"/>
    <brk id="259" max="16383" man="1"/>
    <brk id="343" max="16383" man="1"/>
    <brk id="427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topLeftCell="A173" zoomScaleNormal="100" zoomScalePageLayoutView="85" workbookViewId="0">
      <selection activeCell="C17" sqref="C17:G17"/>
    </sheetView>
  </sheetViews>
  <sheetFormatPr baseColWidth="10" defaultColWidth="8.83203125" defaultRowHeight="28" customHeight="1" x14ac:dyDescent="0.2"/>
  <sheetData>
    <row r="1" spans="1:10" ht="28" customHeight="1" x14ac:dyDescent="0.2">
      <c r="A1" s="51" t="s">
        <v>81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8" customHeight="1" x14ac:dyDescent="0.2">
      <c r="A2" s="52" t="s">
        <v>20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28" customHeight="1" x14ac:dyDescent="0.2">
      <c r="A3" s="53" t="s">
        <v>21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ht="28" customHeight="1" x14ac:dyDescent="0.2">
      <c r="A4" s="13"/>
      <c r="B4" s="54" t="s">
        <v>49</v>
      </c>
      <c r="C4" s="54"/>
      <c r="D4" s="54"/>
      <c r="E4" s="54"/>
      <c r="F4" s="54"/>
      <c r="G4" s="54"/>
      <c r="H4" s="54"/>
      <c r="I4" s="54"/>
      <c r="J4" s="13"/>
    </row>
    <row r="5" spans="1:10" ht="28" customHeight="1" x14ac:dyDescent="0.2">
      <c r="A5" s="14"/>
      <c r="B5" s="55" t="s">
        <v>83</v>
      </c>
      <c r="C5" s="55"/>
      <c r="D5" s="55"/>
      <c r="E5" s="55"/>
      <c r="F5" s="55"/>
      <c r="G5" s="55"/>
      <c r="H5" s="55"/>
      <c r="I5" s="55"/>
      <c r="J5" s="14"/>
    </row>
    <row r="6" spans="1:10" ht="28" customHeight="1" x14ac:dyDescent="0.2">
      <c r="B6" s="55"/>
      <c r="C6" s="55"/>
      <c r="D6" s="55"/>
      <c r="E6" s="55"/>
      <c r="F6" s="55"/>
      <c r="G6" s="55"/>
      <c r="H6" s="55"/>
      <c r="I6" s="55"/>
      <c r="J6" s="14"/>
    </row>
    <row r="7" spans="1:10" ht="28" customHeight="1" x14ac:dyDescent="0.2">
      <c r="A7" s="48" t="s">
        <v>24</v>
      </c>
      <c r="B7" s="48"/>
      <c r="C7" s="48" t="str">
        <f ca="1">INDIRECT(_xlfn.TEXTJOIN("",TRUE,A26,"!",ADDRESS(9+(A27-1)*A23,2)))</f>
        <v>AADITYA SINGH RAWAT</v>
      </c>
      <c r="D7" s="48"/>
      <c r="E7" s="48"/>
      <c r="F7" s="48" t="s">
        <v>50</v>
      </c>
      <c r="G7" s="48"/>
      <c r="H7" s="48"/>
      <c r="I7" s="49">
        <f ca="1">INDIRECT(_xlfn.TEXTJOIN("",TRUE,A26,"!",ADDRESS(9+(A27-1)*A23,9)))</f>
        <v>250090111001</v>
      </c>
      <c r="J7" s="49"/>
    </row>
    <row r="8" spans="1:10" ht="28" customHeight="1" x14ac:dyDescent="0.2">
      <c r="A8" s="48" t="s">
        <v>25</v>
      </c>
      <c r="B8" s="48"/>
      <c r="C8" s="48" t="str">
        <f ca="1">INDIRECT(_xlfn.TEXTJOIN("",TRUE,A26,"!",ADDRESS(9+(A27-1)*A23,5)))</f>
        <v>SHYAM SINGH</v>
      </c>
      <c r="D8" s="48"/>
      <c r="E8" s="48"/>
      <c r="F8" s="50" t="s">
        <v>51</v>
      </c>
      <c r="G8" s="50"/>
      <c r="H8" s="50"/>
      <c r="I8" s="49" t="str">
        <f ca="1">INDIRECT(_xlfn.TEXTJOIN("",TRUE,A26,"!",ADDRESS(9+(A27-1)*A23,13)))</f>
        <v>UTU/2501104318</v>
      </c>
      <c r="J8" s="49"/>
    </row>
    <row r="9" spans="1:10" ht="28" customHeight="1" x14ac:dyDescent="0.2">
      <c r="A9" s="45" t="s">
        <v>28</v>
      </c>
      <c r="B9" s="45"/>
      <c r="C9" s="45" t="s">
        <v>29</v>
      </c>
      <c r="D9" s="45"/>
      <c r="E9" s="45"/>
      <c r="F9" s="45"/>
      <c r="G9" s="45"/>
      <c r="H9" s="15" t="s">
        <v>30</v>
      </c>
      <c r="I9" s="15" t="s">
        <v>10</v>
      </c>
      <c r="J9" s="15" t="s">
        <v>34</v>
      </c>
    </row>
    <row r="10" spans="1:10" ht="28" customHeight="1" x14ac:dyDescent="0.2">
      <c r="A10" s="35" t="str">
        <f ca="1">INDIRECT(_xlfn.TEXTJOIN("",TRUE,A26,"!",ADDRESS(13+(A27-1)*A23,1)))</f>
        <v>AHT 001</v>
      </c>
      <c r="B10" s="36"/>
      <c r="C10" s="37" t="str">
        <f ca="1">INDIRECT(_xlfn.TEXTJOIN("",TRUE,A26,"!",ADDRESS(13+(A27-1)*A23,2)))</f>
        <v>Engineering Physics</v>
      </c>
      <c r="D10" s="38"/>
      <c r="E10" s="38"/>
      <c r="F10" s="38"/>
      <c r="G10" s="39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P</v>
      </c>
      <c r="J10" s="20">
        <f ca="1">INDIRECT(_xlfn.TEXTJOIN("",TRUE,A26,"!",ADDRESS(13+(A27-1)*A23,14)))</f>
        <v>4.5</v>
      </c>
    </row>
    <row r="11" spans="1:10" ht="28" customHeight="1" x14ac:dyDescent="0.2">
      <c r="A11" s="35" t="str">
        <f ca="1">INDIRECT(_xlfn.TEXTJOIN("",TRUE,A26,"!",ADDRESS(14+(A27-1)*A23,1)))</f>
        <v>AHT 003</v>
      </c>
      <c r="B11" s="36"/>
      <c r="C11" s="37" t="str">
        <f ca="1">INDIRECT(_xlfn.TEXTJOIN("",TRUE,A26,"!",ADDRESS(14+(A27-1)*A23,2)))</f>
        <v>Introduction to Engineering Mathematics</v>
      </c>
      <c r="D11" s="38"/>
      <c r="E11" s="38"/>
      <c r="F11" s="38"/>
      <c r="G11" s="39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P</v>
      </c>
      <c r="J11" s="20">
        <f ca="1">INDIRECT(_xlfn.TEXTJOIN("",TRUE,A26,"!",ADDRESS(14+(A27-1)*A23,14)))</f>
        <v>4.5</v>
      </c>
    </row>
    <row r="12" spans="1:10" ht="28" customHeight="1" x14ac:dyDescent="0.2">
      <c r="A12" s="35" t="str">
        <f ca="1">INDIRECT(_xlfn.TEXTJOIN("",TRUE,A26,"!",ADDRESS(15+(A27-1)*A23,1)))</f>
        <v>EET 001</v>
      </c>
      <c r="B12" s="36"/>
      <c r="C12" s="37" t="str">
        <f ca="1">INDIRECT(_xlfn.TEXTJOIN("",TRUE,A26,"!",ADDRESS(15+(A27-1)*A23,2)))</f>
        <v>Basic Electrical Engineering</v>
      </c>
      <c r="D12" s="38"/>
      <c r="E12" s="38"/>
      <c r="F12" s="38"/>
      <c r="G12" s="39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C</v>
      </c>
      <c r="J12" s="20">
        <f ca="1">INDIRECT(_xlfn.TEXTJOIN("",TRUE,A26,"!",ADDRESS(15+(A27-1)*A23,14)))</f>
        <v>7</v>
      </c>
    </row>
    <row r="13" spans="1:10" ht="28" customHeight="1" x14ac:dyDescent="0.2">
      <c r="A13" s="35" t="str">
        <f ca="1">INDIRECT(_xlfn.TEXTJOIN("",TRUE,A26,"!",ADDRESS(16+(A27-1)*A23,1)))</f>
        <v>CST 001</v>
      </c>
      <c r="B13" s="36"/>
      <c r="C13" s="37" t="str">
        <f ca="1">INDIRECT(_xlfn.TEXTJOIN("",TRUE,A26,"!",ADDRESS(16+(A27-1)*A23,2)))</f>
        <v>Programming for Problem Solving</v>
      </c>
      <c r="D13" s="38"/>
      <c r="E13" s="38"/>
      <c r="F13" s="38"/>
      <c r="G13" s="39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E+</v>
      </c>
      <c r="J13" s="20">
        <f ca="1">INDIRECT(_xlfn.TEXTJOIN("",TRUE,A26,"!",ADDRESS(16+(A27-1)*A23,14)))</f>
        <v>5.5</v>
      </c>
    </row>
    <row r="14" spans="1:10" ht="28" customHeight="1" x14ac:dyDescent="0.2">
      <c r="A14" s="35" t="str">
        <f ca="1">INDIRECT(_xlfn.TEXTJOIN("",TRUE,A26,"!",ADDRESS(17+(A27-1)*A23,1)))</f>
        <v>AHT 004</v>
      </c>
      <c r="B14" s="36"/>
      <c r="C14" s="37" t="str">
        <f ca="1">INDIRECT(_xlfn.TEXTJOIN("",TRUE,A26,"!",ADDRESS(17+(A27-1)*A23,2)))</f>
        <v>Environmental Studies ($)</v>
      </c>
      <c r="D14" s="38"/>
      <c r="E14" s="38"/>
      <c r="F14" s="38"/>
      <c r="G14" s="39"/>
      <c r="H14" s="20">
        <f ca="1">INDIRECT(_xlfn.TEXTJOIN("",TRUE,A26,"!",ADDRESS(17+(A27-1)*A23,6)))</f>
        <v>0</v>
      </c>
      <c r="I14" s="20" t="str">
        <f ca="1">INDIRECT(_xlfn.TEXTJOIN("",TRUE,A26,"!",ADDRESS(17+(A27-1)*A23,13)))</f>
        <v>C</v>
      </c>
      <c r="J14" s="20">
        <f ca="1">INDIRECT(_xlfn.TEXTJOIN("",TRUE,A26,"!",ADDRESS(17+(A27-1)*A23,14)))</f>
        <v>7</v>
      </c>
    </row>
    <row r="15" spans="1:10" ht="28" customHeight="1" x14ac:dyDescent="0.2">
      <c r="A15" s="35" t="str">
        <f ca="1">INDIRECT(_xlfn.TEXTJOIN("",TRUE,A26,"!",ADDRESS(18+(A27-1)*A23,1)))</f>
        <v>AHP 001</v>
      </c>
      <c r="B15" s="36"/>
      <c r="C15" s="37" t="str">
        <f ca="1">INDIRECT(_xlfn.TEXTJOIN("",TRUE,A26,"!",ADDRESS(18+(A27-1)*A23,2)))</f>
        <v>Engineering Physics Lab</v>
      </c>
      <c r="D15" s="38"/>
      <c r="E15" s="38"/>
      <c r="F15" s="38"/>
      <c r="G15" s="39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B+</v>
      </c>
      <c r="J15" s="20">
        <f ca="1">INDIRECT(_xlfn.TEXTJOIN("",TRUE,A26,"!",ADDRESS(18+(A27-1)*A23,14)))</f>
        <v>8.5</v>
      </c>
    </row>
    <row r="16" spans="1:10" ht="28" customHeight="1" x14ac:dyDescent="0.2">
      <c r="A16" s="35" t="str">
        <f ca="1">INDIRECT(_xlfn.TEXTJOIN("",TRUE,A26,"!",ADDRESS(19+(A27-1)*A23,1)))</f>
        <v>EEP 001</v>
      </c>
      <c r="B16" s="36"/>
      <c r="C16" s="37" t="str">
        <f ca="1">INDIRECT(_xlfn.TEXTJOIN("",TRUE,A26,"!",ADDRESS(19+(A27-1)*A23,2)))</f>
        <v>Basic Electrical Engineering Lab</v>
      </c>
      <c r="D16" s="38"/>
      <c r="E16" s="38"/>
      <c r="F16" s="38"/>
      <c r="G16" s="39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A</v>
      </c>
      <c r="J16" s="20">
        <f ca="1">INDIRECT(_xlfn.TEXTJOIN("",TRUE,A26,"!",ADDRESS(19+(A27-1)*A23,14)))</f>
        <v>9</v>
      </c>
    </row>
    <row r="17" spans="1:10" ht="28" customHeight="1" x14ac:dyDescent="0.2">
      <c r="A17" s="35" t="str">
        <f ca="1">INDIRECT(_xlfn.TEXTJOIN("",TRUE,A26,"!",ADDRESS(20+(A27-1)*A23,1)))</f>
        <v>CSP 001</v>
      </c>
      <c r="B17" s="36"/>
      <c r="C17" s="37" t="str">
        <f ca="1">INDIRECT(_xlfn.TEXTJOIN("",TRUE,A26,"!",ADDRESS(20+(A27-1)*A23,2)))</f>
        <v>Programming for Problem Solving Lab</v>
      </c>
      <c r="D17" s="38"/>
      <c r="E17" s="38"/>
      <c r="F17" s="38"/>
      <c r="G17" s="39"/>
      <c r="H17" s="20">
        <f ca="1">INDIRECT(_xlfn.TEXTJOIN("",TRUE,A26,"!",ADDRESS(20+(A27-1)*A23,6)))</f>
        <v>1</v>
      </c>
      <c r="I17" s="20" t="str">
        <f ca="1">INDIRECT(_xlfn.TEXTJOIN("",TRUE,A26,"!",ADDRESS(20+(A27-1)*A23,13)))</f>
        <v>A</v>
      </c>
      <c r="J17" s="20">
        <f ca="1">INDIRECT(_xlfn.TEXTJOIN("",TRUE,A26,"!",ADDRESS(20+(A27-1)*A23,14)))</f>
        <v>9</v>
      </c>
    </row>
    <row r="18" spans="1:10" ht="28" customHeight="1" x14ac:dyDescent="0.2">
      <c r="A18" s="35" t="str">
        <f ca="1">INDIRECT(_xlfn.TEXTJOIN("",TRUE,A26,"!",ADDRESS(21+(A27-1)*A23,1)))</f>
        <v>MEP 002</v>
      </c>
      <c r="B18" s="36"/>
      <c r="C18" s="37" t="str">
        <f ca="1">INDIRECT(_xlfn.TEXTJOIN("",TRUE,A26,"!",ADDRESS(21+(A27-1)*A23,2)))</f>
        <v>Engineering Graphics &amp; Design Lab</v>
      </c>
      <c r="D18" s="38"/>
      <c r="E18" s="38"/>
      <c r="F18" s="38"/>
      <c r="G18" s="39"/>
      <c r="H18" s="20">
        <f ca="1">INDIRECT(_xlfn.TEXTJOIN("",TRUE,A26,"!",ADDRESS(21+(A27-1)*A23,6)))</f>
        <v>2</v>
      </c>
      <c r="I18" s="20" t="str">
        <f ca="1">INDIRECT(_xlfn.TEXTJOIN("",TRUE,A26,"!",ADDRESS(21+(A27-1)*A23,13)))</f>
        <v>B</v>
      </c>
      <c r="J18" s="20">
        <f ca="1">INDIRECT(_xlfn.TEXTJOIN("",TRUE,A26,"!",ADDRESS(21+(A27-1)*A23,14)))</f>
        <v>8</v>
      </c>
    </row>
    <row r="19" spans="1:10" ht="28" customHeight="1" x14ac:dyDescent="0.2">
      <c r="A19" s="35" t="str">
        <f ca="1">INDIRECT(_xlfn.TEXTJOIN("",TRUE,A26,"!",ADDRESS(22+(A27-1)*A23,1)))</f>
        <v>AHP 003</v>
      </c>
      <c r="B19" s="36"/>
      <c r="C19" s="37" t="str">
        <f ca="1">INDIRECT(_xlfn.TEXTJOIN("",TRUE,A26,"!",ADDRESS(22+(A27-1)*A23,2)))</f>
        <v>Introduction to Digital Marketing Lab</v>
      </c>
      <c r="D19" s="38"/>
      <c r="E19" s="38"/>
      <c r="F19" s="38"/>
      <c r="G19" s="39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A</v>
      </c>
      <c r="J19" s="20">
        <f ca="1">INDIRECT(_xlfn.TEXTJOIN("",TRUE,A26,"!",ADDRESS(22+(A27-1)*A23,14)))</f>
        <v>9</v>
      </c>
    </row>
    <row r="20" spans="1:10" ht="28" customHeight="1" x14ac:dyDescent="0.2">
      <c r="A20" s="35" t="str">
        <f ca="1">INDIRECT(_xlfn.TEXTJOIN("",TRUE,A26,"!",ADDRESS(23+(A27-1)*A23,1)))</f>
        <v>AHP 005</v>
      </c>
      <c r="B20" s="36"/>
      <c r="C20" s="37" t="str">
        <f ca="1">INDIRECT(_xlfn.TEXTJOIN("",TRUE,A26,"!",ADDRESS(23+(A27-1)*A23,2)))</f>
        <v>Self Employment &amp; Entrepreneurship Development</v>
      </c>
      <c r="D20" s="38"/>
      <c r="E20" s="38"/>
      <c r="F20" s="38"/>
      <c r="G20" s="39"/>
      <c r="H20" s="20">
        <f ca="1">INDIRECT(_xlfn.TEXTJOIN("",TRUE,A26,"!",ADDRESS(23+(A27-1)*A23,6)))</f>
        <v>1</v>
      </c>
      <c r="I20" s="20" t="str">
        <f ca="1">INDIRECT(_xlfn.TEXTJOIN("",TRUE,A26,"!",ADDRESS(23+(A27-1)*A23,13)))</f>
        <v>A</v>
      </c>
      <c r="J20" s="20">
        <f ca="1">INDIRECT(_xlfn.TEXTJOIN("",TRUE,A26,"!",ADDRESS(23+(A27-1)*A23,14)))</f>
        <v>9</v>
      </c>
    </row>
    <row r="21" spans="1:10" ht="28" customHeight="1" x14ac:dyDescent="0.2">
      <c r="A21" s="35" t="str">
        <f ca="1">INDIRECT(_xlfn.TEXTJOIN("",TRUE,A26,"!",ADDRESS(24+(A27-1)*A23,1)))</f>
        <v>GP 01</v>
      </c>
      <c r="B21" s="36"/>
      <c r="C21" s="37" t="str">
        <f ca="1">INDIRECT(_xlfn.TEXTJOIN("",TRUE,A26,"!",ADDRESS(24+(A27-1)*A23,2)))</f>
        <v>General Proficiency ($)</v>
      </c>
      <c r="D21" s="38"/>
      <c r="E21" s="38"/>
      <c r="F21" s="38"/>
      <c r="G21" s="39"/>
      <c r="H21" s="20">
        <f ca="1">INDIRECT(_xlfn.TEXTJOIN("",TRUE,A26,"!",ADDRESS(24+(A27-1)*A23,6)))</f>
        <v>0</v>
      </c>
      <c r="I21" s="40" t="str">
        <f ca="1">INDIRECT(_xlfn.TEXTJOIN("",TRUE,A26,"!",ADDRESS(24+(A27-1)*A23,13)))</f>
        <v>Excellent</v>
      </c>
      <c r="J21" s="41"/>
    </row>
    <row r="22" spans="1:10" ht="28" customHeight="1" x14ac:dyDescent="0.2">
      <c r="A22" s="42" t="s">
        <v>52</v>
      </c>
      <c r="B22" s="42"/>
      <c r="C22" s="42"/>
      <c r="D22" s="42"/>
      <c r="E22" s="42"/>
      <c r="F22" s="42"/>
      <c r="G22" s="42"/>
      <c r="H22" s="16">
        <f ca="1">SUM(H10:H21)</f>
        <v>23</v>
      </c>
      <c r="I22" s="16" t="s">
        <v>44</v>
      </c>
      <c r="J22" s="16">
        <f ca="1">SUMPRODUCT(J10:J20,H10:H20)</f>
        <v>146.5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43" t="s">
        <v>40</v>
      </c>
      <c r="B24" s="43"/>
      <c r="C24" s="21">
        <f ca="1">INDIRECT(_xlfn.TEXTJOIN("",TRUE,A26,"!",ADDRESS(5+A27*A23,12)))</f>
        <v>23</v>
      </c>
      <c r="D24" s="43" t="s">
        <v>38</v>
      </c>
      <c r="E24" s="43"/>
      <c r="F24" s="18">
        <f ca="1">INDIRECT(_xlfn.TEXTJOIN("",TRUE,A26,"!",ADDRESS(5+A27*A23,8)))</f>
        <v>6.3695652173913047</v>
      </c>
      <c r="G24" s="43" t="s">
        <v>39</v>
      </c>
      <c r="H24" s="43"/>
      <c r="I24" s="44">
        <f ca="1">INDIRECT(_xlfn.TEXTJOIN("",TRUE,A26,"!",ADDRESS(5+A27*A23,10)))</f>
        <v>6.3695652173913047</v>
      </c>
      <c r="J24" s="44"/>
    </row>
    <row r="25" spans="1:10" ht="28" customHeight="1" x14ac:dyDescent="0.2">
      <c r="A25" s="19" t="s">
        <v>36</v>
      </c>
      <c r="B25" s="45" t="str">
        <f ca="1">INDIRECT(_xlfn.TEXTJOIN("",TRUE,A26,"!",ADDRESS(5+A27*A23,2)))</f>
        <v>PASS</v>
      </c>
      <c r="C25" s="45"/>
      <c r="D25" s="46" t="s">
        <v>37</v>
      </c>
      <c r="E25" s="46"/>
      <c r="F25" s="47" t="str">
        <f ca="1">INDIRECT(_xlfn.TEXTJOIN("",TRUE,A26,"!",ADDRESS(5+A27*A23,5)))</f>
        <v/>
      </c>
      <c r="G25" s="47"/>
      <c r="H25" s="47"/>
      <c r="I25" s="47"/>
      <c r="J25" s="47"/>
    </row>
    <row r="26" spans="1:10" ht="28" customHeight="1" x14ac:dyDescent="0.2">
      <c r="A26" s="22" t="s">
        <v>53</v>
      </c>
    </row>
    <row r="27" spans="1:10" ht="28" customHeight="1" x14ac:dyDescent="0.2">
      <c r="A27" s="22">
        <v>1</v>
      </c>
    </row>
    <row r="28" spans="1:10" ht="28" customHeight="1" x14ac:dyDescent="0.2">
      <c r="A28" s="48" t="s">
        <v>24</v>
      </c>
      <c r="B28" s="48"/>
      <c r="C28" s="48" t="str">
        <f ca="1">INDIRECT(_xlfn.TEXTJOIN("",TRUE,A47,"!",ADDRESS(9+(A48-1)*A44,2)))</f>
        <v>AMAN RAIWANI</v>
      </c>
      <c r="D28" s="48"/>
      <c r="E28" s="48"/>
      <c r="F28" s="48" t="s">
        <v>50</v>
      </c>
      <c r="G28" s="48"/>
      <c r="H28" s="48"/>
      <c r="I28" s="49">
        <f ca="1">INDIRECT(_xlfn.TEXTJOIN("",TRUE,A47,"!",ADDRESS(9+(A48-1)*A44,9)))</f>
        <v>250090111002</v>
      </c>
      <c r="J28" s="49"/>
    </row>
    <row r="29" spans="1:10" ht="28" customHeight="1" x14ac:dyDescent="0.2">
      <c r="A29" s="48" t="s">
        <v>25</v>
      </c>
      <c r="B29" s="48"/>
      <c r="C29" s="48" t="str">
        <f ca="1">INDIRECT(_xlfn.TEXTJOIN("",TRUE,A47,"!",ADDRESS(9+(A48-1)*A44,5)))</f>
        <v>ANIL KUMAR</v>
      </c>
      <c r="D29" s="48"/>
      <c r="E29" s="48"/>
      <c r="F29" s="50" t="s">
        <v>51</v>
      </c>
      <c r="G29" s="50"/>
      <c r="H29" s="50"/>
      <c r="I29" s="49" t="str">
        <f ca="1">INDIRECT(_xlfn.TEXTJOIN("",TRUE,A47,"!",ADDRESS(9+(A48-1)*A44,13)))</f>
        <v>PUTU/2501104192</v>
      </c>
      <c r="J29" s="49"/>
    </row>
    <row r="30" spans="1:10" ht="28" customHeight="1" x14ac:dyDescent="0.2">
      <c r="A30" s="45" t="s">
        <v>28</v>
      </c>
      <c r="B30" s="45"/>
      <c r="C30" s="45" t="s">
        <v>29</v>
      </c>
      <c r="D30" s="45"/>
      <c r="E30" s="45"/>
      <c r="F30" s="45"/>
      <c r="G30" s="45"/>
      <c r="H30" s="15" t="s">
        <v>30</v>
      </c>
      <c r="I30" s="15" t="s">
        <v>10</v>
      </c>
      <c r="J30" s="15" t="s">
        <v>34</v>
      </c>
    </row>
    <row r="31" spans="1:10" ht="28" customHeight="1" x14ac:dyDescent="0.2">
      <c r="A31" s="35" t="str">
        <f ca="1">INDIRECT(_xlfn.TEXTJOIN("",TRUE,A47,"!",ADDRESS(13+(A48-1)*A44,1)))</f>
        <v>AHT 001</v>
      </c>
      <c r="B31" s="36"/>
      <c r="C31" s="37" t="str">
        <f ca="1">INDIRECT(_xlfn.TEXTJOIN("",TRUE,A47,"!",ADDRESS(13+(A48-1)*A44,2)))</f>
        <v>Engineering Physics</v>
      </c>
      <c r="D31" s="38"/>
      <c r="E31" s="38"/>
      <c r="F31" s="38"/>
      <c r="G31" s="39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F</v>
      </c>
      <c r="J31" s="20">
        <f ca="1">INDIRECT(_xlfn.TEXTJOIN("",TRUE,A47,"!",ADDRESS(13+(A48-1)*A44,14)))</f>
        <v>0</v>
      </c>
    </row>
    <row r="32" spans="1:10" ht="28" customHeight="1" x14ac:dyDescent="0.2">
      <c r="A32" s="35" t="str">
        <f ca="1">INDIRECT(_xlfn.TEXTJOIN("",TRUE,A47,"!",ADDRESS(14+(A48-1)*A44,1)))</f>
        <v>AHT 003</v>
      </c>
      <c r="B32" s="36"/>
      <c r="C32" s="37" t="str">
        <f ca="1">INDIRECT(_xlfn.TEXTJOIN("",TRUE,A47,"!",ADDRESS(14+(A48-1)*A44,2)))</f>
        <v>Introduction to Engineering Mathematics</v>
      </c>
      <c r="D32" s="38"/>
      <c r="E32" s="38"/>
      <c r="F32" s="38"/>
      <c r="G32" s="39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Dt</v>
      </c>
      <c r="J32" s="20">
        <f ca="1">INDIRECT(_xlfn.TEXTJOIN("",TRUE,A47,"!",ADDRESS(14+(A48-1)*A44,14)))</f>
        <v>0</v>
      </c>
    </row>
    <row r="33" spans="1:10" ht="28" customHeight="1" x14ac:dyDescent="0.2">
      <c r="A33" s="35" t="str">
        <f ca="1">INDIRECT(_xlfn.TEXTJOIN("",TRUE,A47,"!",ADDRESS(15+(A48-1)*A44,1)))</f>
        <v>EET 001</v>
      </c>
      <c r="B33" s="36"/>
      <c r="C33" s="37" t="str">
        <f ca="1">INDIRECT(_xlfn.TEXTJOIN("",TRUE,A47,"!",ADDRESS(15+(A48-1)*A44,2)))</f>
        <v>Basic Electrical Engineering</v>
      </c>
      <c r="D33" s="38"/>
      <c r="E33" s="38"/>
      <c r="F33" s="38"/>
      <c r="G33" s="39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F</v>
      </c>
      <c r="J33" s="20">
        <f ca="1">INDIRECT(_xlfn.TEXTJOIN("",TRUE,A47,"!",ADDRESS(15+(A48-1)*A44,14)))</f>
        <v>0</v>
      </c>
    </row>
    <row r="34" spans="1:10" ht="28" customHeight="1" x14ac:dyDescent="0.2">
      <c r="A34" s="35" t="str">
        <f ca="1">INDIRECT(_xlfn.TEXTJOIN("",TRUE,A47,"!",ADDRESS(16+(A48-1)*A44,1)))</f>
        <v>CST 001</v>
      </c>
      <c r="B34" s="36"/>
      <c r="C34" s="37" t="str">
        <f ca="1">INDIRECT(_xlfn.TEXTJOIN("",TRUE,A47,"!",ADDRESS(16+(A48-1)*A44,2)))</f>
        <v>Programming for Problem Solving</v>
      </c>
      <c r="D34" s="38"/>
      <c r="E34" s="38"/>
      <c r="F34" s="38"/>
      <c r="G34" s="39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F</v>
      </c>
      <c r="J34" s="20">
        <f ca="1">INDIRECT(_xlfn.TEXTJOIN("",TRUE,A47,"!",ADDRESS(16+(A48-1)*A44,14)))</f>
        <v>0</v>
      </c>
    </row>
    <row r="35" spans="1:10" ht="28" customHeight="1" x14ac:dyDescent="0.2">
      <c r="A35" s="35" t="str">
        <f ca="1">INDIRECT(_xlfn.TEXTJOIN("",TRUE,A47,"!",ADDRESS(17+(A48-1)*A44,1)))</f>
        <v>AHT 004</v>
      </c>
      <c r="B35" s="36"/>
      <c r="C35" s="37" t="str">
        <f ca="1">INDIRECT(_xlfn.TEXTJOIN("",TRUE,A47,"!",ADDRESS(17+(A48-1)*A44,2)))</f>
        <v>Environmental Studies ($)</v>
      </c>
      <c r="D35" s="38"/>
      <c r="E35" s="38"/>
      <c r="F35" s="38"/>
      <c r="G35" s="39"/>
      <c r="H35" s="20">
        <f ca="1">INDIRECT(_xlfn.TEXTJOIN("",TRUE,A47,"!",ADDRESS(17+(A48-1)*A44,6)))</f>
        <v>0</v>
      </c>
      <c r="I35" s="20" t="str">
        <f ca="1">INDIRECT(_xlfn.TEXTJOIN("",TRUE,A47,"!",ADDRESS(17+(A48-1)*A44,13)))</f>
        <v>F</v>
      </c>
      <c r="J35" s="20">
        <f ca="1">INDIRECT(_xlfn.TEXTJOIN("",TRUE,A47,"!",ADDRESS(17+(A48-1)*A44,14)))</f>
        <v>0</v>
      </c>
    </row>
    <row r="36" spans="1:10" ht="28" customHeight="1" x14ac:dyDescent="0.2">
      <c r="A36" s="35" t="str">
        <f ca="1">INDIRECT(_xlfn.TEXTJOIN("",TRUE,A47,"!",ADDRESS(18+(A48-1)*A44,1)))</f>
        <v>AHP 001</v>
      </c>
      <c r="B36" s="36"/>
      <c r="C36" s="37" t="str">
        <f ca="1">INDIRECT(_xlfn.TEXTJOIN("",TRUE,A47,"!",ADDRESS(18+(A48-1)*A44,2)))</f>
        <v>Engineering Physics Lab</v>
      </c>
      <c r="D36" s="38"/>
      <c r="E36" s="38"/>
      <c r="F36" s="38"/>
      <c r="G36" s="39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B+</v>
      </c>
      <c r="J36" s="20">
        <f ca="1">INDIRECT(_xlfn.TEXTJOIN("",TRUE,A47,"!",ADDRESS(18+(A48-1)*A44,14)))</f>
        <v>8.5</v>
      </c>
    </row>
    <row r="37" spans="1:10" ht="28" customHeight="1" x14ac:dyDescent="0.2">
      <c r="A37" s="35" t="str">
        <f ca="1">INDIRECT(_xlfn.TEXTJOIN("",TRUE,A47,"!",ADDRESS(19+(A48-1)*A44,1)))</f>
        <v>EEP 001</v>
      </c>
      <c r="B37" s="36"/>
      <c r="C37" s="37" t="str">
        <f ca="1">INDIRECT(_xlfn.TEXTJOIN("",TRUE,A47,"!",ADDRESS(19+(A48-1)*A44,2)))</f>
        <v>Basic Electrical Engineering Lab</v>
      </c>
      <c r="D37" s="38"/>
      <c r="E37" s="38"/>
      <c r="F37" s="38"/>
      <c r="G37" s="39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D+</v>
      </c>
      <c r="J37" s="20">
        <f ca="1">INDIRECT(_xlfn.TEXTJOIN("",TRUE,A47,"!",ADDRESS(19+(A48-1)*A44,14)))</f>
        <v>6.5</v>
      </c>
    </row>
    <row r="38" spans="1:10" ht="28" customHeight="1" x14ac:dyDescent="0.2">
      <c r="A38" s="35" t="str">
        <f ca="1">INDIRECT(_xlfn.TEXTJOIN("",TRUE,A47,"!",ADDRESS(20+(A48-1)*A44,1)))</f>
        <v>CSP 001</v>
      </c>
      <c r="B38" s="36"/>
      <c r="C38" s="37" t="str">
        <f ca="1">INDIRECT(_xlfn.TEXTJOIN("",TRUE,A47,"!",ADDRESS(20+(A48-1)*A44,2)))</f>
        <v>Programming for Problem Solving Lab</v>
      </c>
      <c r="D38" s="38"/>
      <c r="E38" s="38"/>
      <c r="F38" s="38"/>
      <c r="G38" s="39"/>
      <c r="H38" s="20">
        <f ca="1">INDIRECT(_xlfn.TEXTJOIN("",TRUE,A47,"!",ADDRESS(20+(A48-1)*A44,6)))</f>
        <v>1</v>
      </c>
      <c r="I38" s="20" t="str">
        <f ca="1">INDIRECT(_xlfn.TEXTJOIN("",TRUE,A47,"!",ADDRESS(20+(A48-1)*A44,13)))</f>
        <v>C</v>
      </c>
      <c r="J38" s="20">
        <f ca="1">INDIRECT(_xlfn.TEXTJOIN("",TRUE,A47,"!",ADDRESS(20+(A48-1)*A44,14)))</f>
        <v>7</v>
      </c>
    </row>
    <row r="39" spans="1:10" ht="28" customHeight="1" x14ac:dyDescent="0.2">
      <c r="A39" s="35" t="str">
        <f ca="1">INDIRECT(_xlfn.TEXTJOIN("",TRUE,A47,"!",ADDRESS(21+(A48-1)*A44,1)))</f>
        <v>MEP 002</v>
      </c>
      <c r="B39" s="36"/>
      <c r="C39" s="37" t="str">
        <f ca="1">INDIRECT(_xlfn.TEXTJOIN("",TRUE,A47,"!",ADDRESS(21+(A48-1)*A44,2)))</f>
        <v>Engineering Graphics &amp; Design Lab</v>
      </c>
      <c r="D39" s="38"/>
      <c r="E39" s="38"/>
      <c r="F39" s="38"/>
      <c r="G39" s="39"/>
      <c r="H39" s="20">
        <f ca="1">INDIRECT(_xlfn.TEXTJOIN("",TRUE,A47,"!",ADDRESS(21+(A48-1)*A44,6)))</f>
        <v>2</v>
      </c>
      <c r="I39" s="20" t="str">
        <f ca="1">INDIRECT(_xlfn.TEXTJOIN("",TRUE,A47,"!",ADDRESS(21+(A48-1)*A44,13)))</f>
        <v>C+</v>
      </c>
      <c r="J39" s="20">
        <f ca="1">INDIRECT(_xlfn.TEXTJOIN("",TRUE,A47,"!",ADDRESS(21+(A48-1)*A44,14)))</f>
        <v>7.5</v>
      </c>
    </row>
    <row r="40" spans="1:10" ht="28" customHeight="1" x14ac:dyDescent="0.2">
      <c r="A40" s="35" t="str">
        <f ca="1">INDIRECT(_xlfn.TEXTJOIN("",TRUE,A47,"!",ADDRESS(22+(A48-1)*A44,1)))</f>
        <v>AHP 003</v>
      </c>
      <c r="B40" s="36"/>
      <c r="C40" s="37" t="str">
        <f ca="1">INDIRECT(_xlfn.TEXTJOIN("",TRUE,A47,"!",ADDRESS(22+(A48-1)*A44,2)))</f>
        <v>Introduction to Digital Marketing Lab</v>
      </c>
      <c r="D40" s="38"/>
      <c r="E40" s="38"/>
      <c r="F40" s="38"/>
      <c r="G40" s="39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C+</v>
      </c>
      <c r="J40" s="20">
        <f ca="1">INDIRECT(_xlfn.TEXTJOIN("",TRUE,A47,"!",ADDRESS(22+(A48-1)*A44,14)))</f>
        <v>7.5</v>
      </c>
    </row>
    <row r="41" spans="1:10" ht="28" customHeight="1" x14ac:dyDescent="0.2">
      <c r="A41" s="35" t="str">
        <f ca="1">INDIRECT(_xlfn.TEXTJOIN("",TRUE,A47,"!",ADDRESS(23+(A48-1)*A44,1)))</f>
        <v>AHP 005</v>
      </c>
      <c r="B41" s="36"/>
      <c r="C41" s="37" t="str">
        <f ca="1">INDIRECT(_xlfn.TEXTJOIN("",TRUE,A47,"!",ADDRESS(23+(A48-1)*A44,2)))</f>
        <v>Self Employment &amp; Entrepreneurship Development</v>
      </c>
      <c r="D41" s="38"/>
      <c r="E41" s="38"/>
      <c r="F41" s="38"/>
      <c r="G41" s="39"/>
      <c r="H41" s="20">
        <f ca="1">INDIRECT(_xlfn.TEXTJOIN("",TRUE,A47,"!",ADDRESS(23+(A48-1)*A44,6)))</f>
        <v>1</v>
      </c>
      <c r="I41" s="20" t="str">
        <f ca="1">INDIRECT(_xlfn.TEXTJOIN("",TRUE,A47,"!",ADDRESS(23+(A48-1)*A44,13)))</f>
        <v>A+</v>
      </c>
      <c r="J41" s="20">
        <f ca="1">INDIRECT(_xlfn.TEXTJOIN("",TRUE,A47,"!",ADDRESS(23+(A48-1)*A44,14)))</f>
        <v>9.5</v>
      </c>
    </row>
    <row r="42" spans="1:10" ht="28" customHeight="1" x14ac:dyDescent="0.2">
      <c r="A42" s="35" t="str">
        <f ca="1">INDIRECT(_xlfn.TEXTJOIN("",TRUE,A47,"!",ADDRESS(24+(A48-1)*A44,1)))</f>
        <v>GP 01</v>
      </c>
      <c r="B42" s="36"/>
      <c r="C42" s="37" t="str">
        <f ca="1">INDIRECT(_xlfn.TEXTJOIN("",TRUE,A47,"!",ADDRESS(24+(A48-1)*A44,2)))</f>
        <v>General Proficiency ($)</v>
      </c>
      <c r="D42" s="38"/>
      <c r="E42" s="38"/>
      <c r="F42" s="38"/>
      <c r="G42" s="39"/>
      <c r="H42" s="20">
        <f ca="1">INDIRECT(_xlfn.TEXTJOIN("",TRUE,A47,"!",ADDRESS(24+(A48-1)*A44,6)))</f>
        <v>0</v>
      </c>
      <c r="I42" s="40" t="str">
        <f ca="1">INDIRECT(_xlfn.TEXTJOIN("",TRUE,A47,"!",ADDRESS(24+(A48-1)*A44,13)))</f>
        <v>Excellent</v>
      </c>
      <c r="J42" s="41"/>
    </row>
    <row r="43" spans="1:10" ht="28" customHeight="1" x14ac:dyDescent="0.2">
      <c r="A43" s="42" t="s">
        <v>52</v>
      </c>
      <c r="B43" s="42"/>
      <c r="C43" s="42"/>
      <c r="D43" s="42"/>
      <c r="E43" s="42"/>
      <c r="F43" s="42"/>
      <c r="G43" s="42"/>
      <c r="H43" s="16">
        <f ca="1">SUM(H31:H42)</f>
        <v>23</v>
      </c>
      <c r="I43" s="16" t="s">
        <v>44</v>
      </c>
      <c r="J43" s="16">
        <f ca="1">SUMPRODUCT(J31:J41,H31:H41)</f>
        <v>54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43" t="s">
        <v>40</v>
      </c>
      <c r="B45" s="43"/>
      <c r="C45" s="21">
        <f ca="1">INDIRECT(_xlfn.TEXTJOIN("",TRUE,A47,"!",ADDRESS(5+A48*A44,12)))</f>
        <v>7</v>
      </c>
      <c r="D45" s="43" t="s">
        <v>38</v>
      </c>
      <c r="E45" s="43"/>
      <c r="F45" s="18">
        <f ca="1">INDIRECT(_xlfn.TEXTJOIN("",TRUE,A47,"!",ADDRESS(5+A48*A44,8)))</f>
        <v>2.347826086956522</v>
      </c>
      <c r="G45" s="43" t="s">
        <v>39</v>
      </c>
      <c r="H45" s="43"/>
      <c r="I45" s="44">
        <f ca="1">INDIRECT(_xlfn.TEXTJOIN("",TRUE,A47,"!",ADDRESS(5+A48*A44,10)))</f>
        <v>2.347826086956522</v>
      </c>
      <c r="J45" s="44"/>
    </row>
    <row r="46" spans="1:10" ht="28" customHeight="1" x14ac:dyDescent="0.2">
      <c r="A46" s="19" t="s">
        <v>36</v>
      </c>
      <c r="B46" s="45" t="str">
        <f ca="1">INDIRECT(_xlfn.TEXTJOIN("",TRUE,A47,"!",ADDRESS(5+A48*A44,2)))</f>
        <v>CARRY OVER</v>
      </c>
      <c r="C46" s="45"/>
      <c r="D46" s="46" t="s">
        <v>37</v>
      </c>
      <c r="E46" s="46"/>
      <c r="F46" s="47" t="str">
        <f ca="1">INDIRECT(_xlfn.TEXTJOIN("",TRUE,A47,"!",ADDRESS(5+A48*A44,5)))</f>
        <v>BACK IN AHT 001, AHT 003, EET 001, CST 001, AHT 004</v>
      </c>
      <c r="G46" s="47"/>
      <c r="H46" s="47"/>
      <c r="I46" s="47"/>
      <c r="J46" s="47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48" t="s">
        <v>24</v>
      </c>
      <c r="B49" s="48"/>
      <c r="C49" s="48" t="str">
        <f ca="1">INDIRECT(_xlfn.TEXTJOIN("",TRUE,A68,"!",ADDRESS(9+(A69-1)*A65,2)))</f>
        <v>ANUSHKA DIXIT</v>
      </c>
      <c r="D49" s="48"/>
      <c r="E49" s="48"/>
      <c r="F49" s="48" t="s">
        <v>50</v>
      </c>
      <c r="G49" s="48"/>
      <c r="H49" s="48"/>
      <c r="I49" s="49">
        <f ca="1">INDIRECT(_xlfn.TEXTJOIN("",TRUE,A68,"!",ADDRESS(9+(A69-1)*A65,9)))</f>
        <v>250090111003</v>
      </c>
      <c r="J49" s="49"/>
    </row>
    <row r="50" spans="1:10" ht="28" customHeight="1" x14ac:dyDescent="0.2">
      <c r="A50" s="48" t="s">
        <v>25</v>
      </c>
      <c r="B50" s="48"/>
      <c r="C50" s="48" t="str">
        <f ca="1">INDIRECT(_xlfn.TEXTJOIN("",TRUE,A68,"!",ADDRESS(9+(A69-1)*A65,5)))</f>
        <v>DUSHYANT DIXIT</v>
      </c>
      <c r="D50" s="48"/>
      <c r="E50" s="48"/>
      <c r="F50" s="50" t="s">
        <v>51</v>
      </c>
      <c r="G50" s="50"/>
      <c r="H50" s="50"/>
      <c r="I50" s="49" t="str">
        <f ca="1">INDIRECT(_xlfn.TEXTJOIN("",TRUE,A68,"!",ADDRESS(9+(A69-1)*A65,13)))</f>
        <v>PUTU/2501104373</v>
      </c>
      <c r="J50" s="49"/>
    </row>
    <row r="51" spans="1:10" ht="28" customHeight="1" x14ac:dyDescent="0.2">
      <c r="A51" s="45" t="s">
        <v>28</v>
      </c>
      <c r="B51" s="45"/>
      <c r="C51" s="45" t="s">
        <v>29</v>
      </c>
      <c r="D51" s="45"/>
      <c r="E51" s="45"/>
      <c r="F51" s="45"/>
      <c r="G51" s="45"/>
      <c r="H51" s="15" t="s">
        <v>30</v>
      </c>
      <c r="I51" s="15" t="s">
        <v>10</v>
      </c>
      <c r="J51" s="15" t="s">
        <v>34</v>
      </c>
    </row>
    <row r="52" spans="1:10" ht="28" customHeight="1" x14ac:dyDescent="0.2">
      <c r="A52" s="35" t="str">
        <f ca="1">INDIRECT(_xlfn.TEXTJOIN("",TRUE,A68,"!",ADDRESS(13+(A69-1)*A65,1)))</f>
        <v>AHT 001</v>
      </c>
      <c r="B52" s="36"/>
      <c r="C52" s="37" t="str">
        <f ca="1">INDIRECT(_xlfn.TEXTJOIN("",TRUE,A68,"!",ADDRESS(13+(A69-1)*A65,2)))</f>
        <v>Engineering Physics</v>
      </c>
      <c r="D52" s="38"/>
      <c r="E52" s="38"/>
      <c r="F52" s="38"/>
      <c r="G52" s="39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P</v>
      </c>
      <c r="J52" s="20">
        <f ca="1">INDIRECT(_xlfn.TEXTJOIN("",TRUE,A68,"!",ADDRESS(13+(A69-1)*A65,14)))</f>
        <v>4.5</v>
      </c>
    </row>
    <row r="53" spans="1:10" ht="28" customHeight="1" x14ac:dyDescent="0.2">
      <c r="A53" s="35" t="str">
        <f ca="1">INDIRECT(_xlfn.TEXTJOIN("",TRUE,A68,"!",ADDRESS(14+(A69-1)*A65,1)))</f>
        <v>AHT 003</v>
      </c>
      <c r="B53" s="36"/>
      <c r="C53" s="37" t="str">
        <f ca="1">INDIRECT(_xlfn.TEXTJOIN("",TRUE,A68,"!",ADDRESS(14+(A69-1)*A65,2)))</f>
        <v>Introduction to Engineering Mathematics</v>
      </c>
      <c r="D53" s="38"/>
      <c r="E53" s="38"/>
      <c r="F53" s="38"/>
      <c r="G53" s="39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F</v>
      </c>
      <c r="J53" s="20">
        <f ca="1">INDIRECT(_xlfn.TEXTJOIN("",TRUE,A68,"!",ADDRESS(14+(A69-1)*A65,14)))</f>
        <v>0</v>
      </c>
    </row>
    <row r="54" spans="1:10" ht="28" customHeight="1" x14ac:dyDescent="0.2">
      <c r="A54" s="35" t="str">
        <f ca="1">INDIRECT(_xlfn.TEXTJOIN("",TRUE,A68,"!",ADDRESS(15+(A69-1)*A65,1)))</f>
        <v>EET 001</v>
      </c>
      <c r="B54" s="36"/>
      <c r="C54" s="37" t="str">
        <f ca="1">INDIRECT(_xlfn.TEXTJOIN("",TRUE,A68,"!",ADDRESS(15+(A69-1)*A65,2)))</f>
        <v>Basic Electrical Engineering</v>
      </c>
      <c r="D54" s="38"/>
      <c r="E54" s="38"/>
      <c r="F54" s="38"/>
      <c r="G54" s="39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E</v>
      </c>
      <c r="J54" s="20">
        <f ca="1">INDIRECT(_xlfn.TEXTJOIN("",TRUE,A68,"!",ADDRESS(15+(A69-1)*A65,14)))</f>
        <v>5</v>
      </c>
    </row>
    <row r="55" spans="1:10" ht="28" customHeight="1" x14ac:dyDescent="0.2">
      <c r="A55" s="35" t="str">
        <f ca="1">INDIRECT(_xlfn.TEXTJOIN("",TRUE,A68,"!",ADDRESS(16+(A69-1)*A65,1)))</f>
        <v>CST 001</v>
      </c>
      <c r="B55" s="36"/>
      <c r="C55" s="37" t="str">
        <f ca="1">INDIRECT(_xlfn.TEXTJOIN("",TRUE,A68,"!",ADDRESS(16+(A69-1)*A65,2)))</f>
        <v>Programming for Problem Solving</v>
      </c>
      <c r="D55" s="38"/>
      <c r="E55" s="38"/>
      <c r="F55" s="38"/>
      <c r="G55" s="39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P</v>
      </c>
      <c r="J55" s="20">
        <f ca="1">INDIRECT(_xlfn.TEXTJOIN("",TRUE,A68,"!",ADDRESS(16+(A69-1)*A65,14)))</f>
        <v>4.5</v>
      </c>
    </row>
    <row r="56" spans="1:10" ht="28" customHeight="1" x14ac:dyDescent="0.2">
      <c r="A56" s="35" t="str">
        <f ca="1">INDIRECT(_xlfn.TEXTJOIN("",TRUE,A68,"!",ADDRESS(17+(A69-1)*A65,1)))</f>
        <v>AHT 004</v>
      </c>
      <c r="B56" s="36"/>
      <c r="C56" s="37" t="str">
        <f ca="1">INDIRECT(_xlfn.TEXTJOIN("",TRUE,A68,"!",ADDRESS(17+(A69-1)*A65,2)))</f>
        <v>Environmental Studies ($)</v>
      </c>
      <c r="D56" s="38"/>
      <c r="E56" s="38"/>
      <c r="F56" s="38"/>
      <c r="G56" s="39"/>
      <c r="H56" s="20">
        <f ca="1">INDIRECT(_xlfn.TEXTJOIN("",TRUE,A68,"!",ADDRESS(17+(A69-1)*A65,6)))</f>
        <v>0</v>
      </c>
      <c r="I56" s="20" t="str">
        <f ca="1">INDIRECT(_xlfn.TEXTJOIN("",TRUE,A68,"!",ADDRESS(17+(A69-1)*A65,13)))</f>
        <v>D+</v>
      </c>
      <c r="J56" s="20">
        <f ca="1">INDIRECT(_xlfn.TEXTJOIN("",TRUE,A68,"!",ADDRESS(17+(A69-1)*A65,14)))</f>
        <v>6.5</v>
      </c>
    </row>
    <row r="57" spans="1:10" ht="28" customHeight="1" x14ac:dyDescent="0.2">
      <c r="A57" s="35" t="str">
        <f ca="1">INDIRECT(_xlfn.TEXTJOIN("",TRUE,A68,"!",ADDRESS(18+(A69-1)*A65,1)))</f>
        <v>AHP 001</v>
      </c>
      <c r="B57" s="36"/>
      <c r="C57" s="37" t="str">
        <f ca="1">INDIRECT(_xlfn.TEXTJOIN("",TRUE,A68,"!",ADDRESS(18+(A69-1)*A65,2)))</f>
        <v>Engineering Physics Lab</v>
      </c>
      <c r="D57" s="38"/>
      <c r="E57" s="38"/>
      <c r="F57" s="38"/>
      <c r="G57" s="39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B+</v>
      </c>
      <c r="J57" s="20">
        <f ca="1">INDIRECT(_xlfn.TEXTJOIN("",TRUE,A68,"!",ADDRESS(18+(A69-1)*A65,14)))</f>
        <v>8.5</v>
      </c>
    </row>
    <row r="58" spans="1:10" ht="28" customHeight="1" x14ac:dyDescent="0.2">
      <c r="A58" s="35" t="str">
        <f ca="1">INDIRECT(_xlfn.TEXTJOIN("",TRUE,A68,"!",ADDRESS(19+(A69-1)*A65,1)))</f>
        <v>EEP 001</v>
      </c>
      <c r="B58" s="36"/>
      <c r="C58" s="37" t="str">
        <f ca="1">INDIRECT(_xlfn.TEXTJOIN("",TRUE,A68,"!",ADDRESS(19+(A69-1)*A65,2)))</f>
        <v>Basic Electrical Engineering Lab</v>
      </c>
      <c r="D58" s="38"/>
      <c r="E58" s="38"/>
      <c r="F58" s="38"/>
      <c r="G58" s="39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C+</v>
      </c>
      <c r="J58" s="20">
        <f ca="1">INDIRECT(_xlfn.TEXTJOIN("",TRUE,A68,"!",ADDRESS(19+(A69-1)*A65,14)))</f>
        <v>7.5</v>
      </c>
    </row>
    <row r="59" spans="1:10" ht="28" customHeight="1" x14ac:dyDescent="0.2">
      <c r="A59" s="35" t="str">
        <f ca="1">INDIRECT(_xlfn.TEXTJOIN("",TRUE,A68,"!",ADDRESS(20+(A69-1)*A65,1)))</f>
        <v>CSP 001</v>
      </c>
      <c r="B59" s="36"/>
      <c r="C59" s="37" t="str">
        <f ca="1">INDIRECT(_xlfn.TEXTJOIN("",TRUE,A68,"!",ADDRESS(20+(A69-1)*A65,2)))</f>
        <v>Programming for Problem Solving Lab</v>
      </c>
      <c r="D59" s="38"/>
      <c r="E59" s="38"/>
      <c r="F59" s="38"/>
      <c r="G59" s="39"/>
      <c r="H59" s="20">
        <f ca="1">INDIRECT(_xlfn.TEXTJOIN("",TRUE,A68,"!",ADDRESS(20+(A69-1)*A65,6)))</f>
        <v>1</v>
      </c>
      <c r="I59" s="20" t="str">
        <f ca="1">INDIRECT(_xlfn.TEXTJOIN("",TRUE,A68,"!",ADDRESS(20+(A69-1)*A65,13)))</f>
        <v>B</v>
      </c>
      <c r="J59" s="20">
        <f ca="1">INDIRECT(_xlfn.TEXTJOIN("",TRUE,A68,"!",ADDRESS(20+(A69-1)*A65,14)))</f>
        <v>8</v>
      </c>
    </row>
    <row r="60" spans="1:10" ht="28" customHeight="1" x14ac:dyDescent="0.2">
      <c r="A60" s="35" t="str">
        <f ca="1">INDIRECT(_xlfn.TEXTJOIN("",TRUE,A68,"!",ADDRESS(21+(A69-1)*A65,1)))</f>
        <v>MEP 002</v>
      </c>
      <c r="B60" s="36"/>
      <c r="C60" s="37" t="str">
        <f ca="1">INDIRECT(_xlfn.TEXTJOIN("",TRUE,A68,"!",ADDRESS(21+(A69-1)*A65,2)))</f>
        <v>Engineering Graphics &amp; Design Lab</v>
      </c>
      <c r="D60" s="38"/>
      <c r="E60" s="38"/>
      <c r="F60" s="38"/>
      <c r="G60" s="39"/>
      <c r="H60" s="20">
        <f ca="1">INDIRECT(_xlfn.TEXTJOIN("",TRUE,A68,"!",ADDRESS(21+(A69-1)*A65,6)))</f>
        <v>2</v>
      </c>
      <c r="I60" s="20" t="str">
        <f ca="1">INDIRECT(_xlfn.TEXTJOIN("",TRUE,A68,"!",ADDRESS(21+(A69-1)*A65,13)))</f>
        <v>B</v>
      </c>
      <c r="J60" s="20">
        <f ca="1">INDIRECT(_xlfn.TEXTJOIN("",TRUE,A68,"!",ADDRESS(21+(A69-1)*A65,14)))</f>
        <v>8</v>
      </c>
    </row>
    <row r="61" spans="1:10" ht="28" customHeight="1" x14ac:dyDescent="0.2">
      <c r="A61" s="35" t="str">
        <f ca="1">INDIRECT(_xlfn.TEXTJOIN("",TRUE,A68,"!",ADDRESS(22+(A69-1)*A65,1)))</f>
        <v>AHP 003</v>
      </c>
      <c r="B61" s="36"/>
      <c r="C61" s="37" t="str">
        <f ca="1">INDIRECT(_xlfn.TEXTJOIN("",TRUE,A68,"!",ADDRESS(22+(A69-1)*A65,2)))</f>
        <v>Introduction to Digital Marketing Lab</v>
      </c>
      <c r="D61" s="38"/>
      <c r="E61" s="38"/>
      <c r="F61" s="38"/>
      <c r="G61" s="39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A</v>
      </c>
      <c r="J61" s="20">
        <f ca="1">INDIRECT(_xlfn.TEXTJOIN("",TRUE,A68,"!",ADDRESS(22+(A69-1)*A65,14)))</f>
        <v>9</v>
      </c>
    </row>
    <row r="62" spans="1:10" ht="28" customHeight="1" x14ac:dyDescent="0.2">
      <c r="A62" s="35" t="str">
        <f ca="1">INDIRECT(_xlfn.TEXTJOIN("",TRUE,A68,"!",ADDRESS(23+(A69-1)*A65,1)))</f>
        <v>AHP 005</v>
      </c>
      <c r="B62" s="36"/>
      <c r="C62" s="37" t="str">
        <f ca="1">INDIRECT(_xlfn.TEXTJOIN("",TRUE,A68,"!",ADDRESS(23+(A69-1)*A65,2)))</f>
        <v>Self Employment &amp; Entrepreneurship Development</v>
      </c>
      <c r="D62" s="38"/>
      <c r="E62" s="38"/>
      <c r="F62" s="38"/>
      <c r="G62" s="39"/>
      <c r="H62" s="20">
        <f ca="1">INDIRECT(_xlfn.TEXTJOIN("",TRUE,A68,"!",ADDRESS(23+(A69-1)*A65,6)))</f>
        <v>1</v>
      </c>
      <c r="I62" s="20" t="str">
        <f ca="1">INDIRECT(_xlfn.TEXTJOIN("",TRUE,A68,"!",ADDRESS(23+(A69-1)*A65,13)))</f>
        <v>B+</v>
      </c>
      <c r="J62" s="20">
        <f ca="1">INDIRECT(_xlfn.TEXTJOIN("",TRUE,A68,"!",ADDRESS(23+(A69-1)*A65,14)))</f>
        <v>8.5</v>
      </c>
    </row>
    <row r="63" spans="1:10" ht="28" customHeight="1" x14ac:dyDescent="0.2">
      <c r="A63" s="35" t="str">
        <f ca="1">INDIRECT(_xlfn.TEXTJOIN("",TRUE,A68,"!",ADDRESS(24+(A69-1)*A65,1)))</f>
        <v>GP 01</v>
      </c>
      <c r="B63" s="36"/>
      <c r="C63" s="37" t="str">
        <f ca="1">INDIRECT(_xlfn.TEXTJOIN("",TRUE,A68,"!",ADDRESS(24+(A69-1)*A65,2)))</f>
        <v>General Proficiency ($)</v>
      </c>
      <c r="D63" s="38"/>
      <c r="E63" s="38"/>
      <c r="F63" s="38"/>
      <c r="G63" s="39"/>
      <c r="H63" s="20">
        <f ca="1">INDIRECT(_xlfn.TEXTJOIN("",TRUE,A68,"!",ADDRESS(24+(A69-1)*A65,6)))</f>
        <v>0</v>
      </c>
      <c r="I63" s="40" t="str">
        <f ca="1">INDIRECT(_xlfn.TEXTJOIN("",TRUE,A68,"!",ADDRESS(24+(A69-1)*A65,13)))</f>
        <v>Excellent</v>
      </c>
      <c r="J63" s="41"/>
    </row>
    <row r="64" spans="1:10" ht="28" customHeight="1" x14ac:dyDescent="0.2">
      <c r="A64" s="42" t="s">
        <v>52</v>
      </c>
      <c r="B64" s="42"/>
      <c r="C64" s="42"/>
      <c r="D64" s="42"/>
      <c r="E64" s="42"/>
      <c r="F64" s="42"/>
      <c r="G64" s="42"/>
      <c r="H64" s="16">
        <f ca="1">SUM(H52:H63)</f>
        <v>23</v>
      </c>
      <c r="I64" s="16" t="s">
        <v>44</v>
      </c>
      <c r="J64" s="16">
        <f ca="1">SUMPRODUCT(J52:J62,H52:H62)</f>
        <v>113.5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43" t="s">
        <v>40</v>
      </c>
      <c r="B66" s="43"/>
      <c r="C66" s="21">
        <f ca="1">INDIRECT(_xlfn.TEXTJOIN("",TRUE,A68,"!",ADDRESS(5+A69*A65,12)))</f>
        <v>19</v>
      </c>
      <c r="D66" s="43" t="s">
        <v>38</v>
      </c>
      <c r="E66" s="43"/>
      <c r="F66" s="18">
        <f ca="1">INDIRECT(_xlfn.TEXTJOIN("",TRUE,A68,"!",ADDRESS(5+A69*A65,8)))</f>
        <v>4.9347826086956523</v>
      </c>
      <c r="G66" s="43" t="s">
        <v>39</v>
      </c>
      <c r="H66" s="43"/>
      <c r="I66" s="44">
        <f ca="1">INDIRECT(_xlfn.TEXTJOIN("",TRUE,A68,"!",ADDRESS(5+A69*A65,10)))</f>
        <v>4.9347826086956523</v>
      </c>
      <c r="J66" s="44"/>
    </row>
    <row r="67" spans="1:10" ht="28" customHeight="1" x14ac:dyDescent="0.2">
      <c r="A67" s="19" t="s">
        <v>36</v>
      </c>
      <c r="B67" s="45" t="str">
        <f ca="1">INDIRECT(_xlfn.TEXTJOIN("",TRUE,A68,"!",ADDRESS(5+A69*A65,2)))</f>
        <v>CARRY OVER</v>
      </c>
      <c r="C67" s="45"/>
      <c r="D67" s="46" t="s">
        <v>37</v>
      </c>
      <c r="E67" s="46"/>
      <c r="F67" s="47" t="str">
        <f ca="1">INDIRECT(_xlfn.TEXTJOIN("",TRUE,A68,"!",ADDRESS(5+A69*A65,5)))</f>
        <v>BACK IN AHT 003</v>
      </c>
      <c r="G67" s="47"/>
      <c r="H67" s="47"/>
      <c r="I67" s="47"/>
      <c r="J67" s="47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48" t="s">
        <v>24</v>
      </c>
      <c r="B70" s="48"/>
      <c r="C70" s="48" t="str">
        <f ca="1">INDIRECT(_xlfn.TEXTJOIN("",TRUE,A89,"!",ADDRESS(9+(A90-1)*A86,2)))</f>
        <v>ARNAV KUMAR</v>
      </c>
      <c r="D70" s="48"/>
      <c r="E70" s="48"/>
      <c r="F70" s="48" t="s">
        <v>50</v>
      </c>
      <c r="G70" s="48"/>
      <c r="H70" s="48"/>
      <c r="I70" s="49">
        <f ca="1">INDIRECT(_xlfn.TEXTJOIN("",TRUE,A89,"!",ADDRESS(9+(A90-1)*A86,9)))</f>
        <v>250090111004</v>
      </c>
      <c r="J70" s="49"/>
    </row>
    <row r="71" spans="1:10" ht="28" customHeight="1" x14ac:dyDescent="0.2">
      <c r="A71" s="48" t="s">
        <v>25</v>
      </c>
      <c r="B71" s="48"/>
      <c r="C71" s="48" t="str">
        <f ca="1">INDIRECT(_xlfn.TEXTJOIN("",TRUE,A89,"!",ADDRESS(9+(A90-1)*A86,5)))</f>
        <v>SATISH KUMAR</v>
      </c>
      <c r="D71" s="48"/>
      <c r="E71" s="48"/>
      <c r="F71" s="50" t="s">
        <v>51</v>
      </c>
      <c r="G71" s="50"/>
      <c r="H71" s="50"/>
      <c r="I71" s="49" t="str">
        <f ca="1">INDIRECT(_xlfn.TEXTJOIN("",TRUE,A89,"!",ADDRESS(9+(A90-1)*A86,13)))</f>
        <v>UTU/2501104325</v>
      </c>
      <c r="J71" s="49"/>
    </row>
    <row r="72" spans="1:10" ht="28" customHeight="1" x14ac:dyDescent="0.2">
      <c r="A72" s="45" t="s">
        <v>28</v>
      </c>
      <c r="B72" s="45"/>
      <c r="C72" s="45" t="s">
        <v>29</v>
      </c>
      <c r="D72" s="45"/>
      <c r="E72" s="45"/>
      <c r="F72" s="45"/>
      <c r="G72" s="45"/>
      <c r="H72" s="15" t="s">
        <v>30</v>
      </c>
      <c r="I72" s="15" t="s">
        <v>10</v>
      </c>
      <c r="J72" s="15" t="s">
        <v>34</v>
      </c>
    </row>
    <row r="73" spans="1:10" ht="28" customHeight="1" x14ac:dyDescent="0.2">
      <c r="A73" s="35" t="str">
        <f ca="1">INDIRECT(_xlfn.TEXTJOIN("",TRUE,A89,"!",ADDRESS(13+(A90-1)*A86,1)))</f>
        <v>AHT 001</v>
      </c>
      <c r="B73" s="36"/>
      <c r="C73" s="37" t="str">
        <f ca="1">INDIRECT(_xlfn.TEXTJOIN("",TRUE,A89,"!",ADDRESS(13+(A90-1)*A86,2)))</f>
        <v>Engineering Physics</v>
      </c>
      <c r="D73" s="38"/>
      <c r="E73" s="38"/>
      <c r="F73" s="38"/>
      <c r="G73" s="39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F</v>
      </c>
      <c r="J73" s="20">
        <f ca="1">INDIRECT(_xlfn.TEXTJOIN("",TRUE,A89,"!",ADDRESS(13+(A90-1)*A86,14)))</f>
        <v>0</v>
      </c>
    </row>
    <row r="74" spans="1:10" ht="28" customHeight="1" x14ac:dyDescent="0.2">
      <c r="A74" s="35" t="str">
        <f ca="1">INDIRECT(_xlfn.TEXTJOIN("",TRUE,A89,"!",ADDRESS(14+(A90-1)*A86,1)))</f>
        <v>AHT 003</v>
      </c>
      <c r="B74" s="36"/>
      <c r="C74" s="37" t="str">
        <f ca="1">INDIRECT(_xlfn.TEXTJOIN("",TRUE,A89,"!",ADDRESS(14+(A90-1)*A86,2)))</f>
        <v>Introduction to Engineering Mathematics</v>
      </c>
      <c r="D74" s="38"/>
      <c r="E74" s="38"/>
      <c r="F74" s="38"/>
      <c r="G74" s="39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F</v>
      </c>
      <c r="J74" s="20">
        <f ca="1">INDIRECT(_xlfn.TEXTJOIN("",TRUE,A89,"!",ADDRESS(14+(A90-1)*A86,14)))</f>
        <v>0</v>
      </c>
    </row>
    <row r="75" spans="1:10" ht="28" customHeight="1" x14ac:dyDescent="0.2">
      <c r="A75" s="35" t="str">
        <f ca="1">INDIRECT(_xlfn.TEXTJOIN("",TRUE,A89,"!",ADDRESS(15+(A90-1)*A86,1)))</f>
        <v>EET 001</v>
      </c>
      <c r="B75" s="36"/>
      <c r="C75" s="37" t="str">
        <f ca="1">INDIRECT(_xlfn.TEXTJOIN("",TRUE,A89,"!",ADDRESS(15+(A90-1)*A86,2)))</f>
        <v>Basic Electrical Engineering</v>
      </c>
      <c r="D75" s="38"/>
      <c r="E75" s="38"/>
      <c r="F75" s="38"/>
      <c r="G75" s="39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F</v>
      </c>
      <c r="J75" s="20">
        <f ca="1">INDIRECT(_xlfn.TEXTJOIN("",TRUE,A89,"!",ADDRESS(15+(A90-1)*A86,14)))</f>
        <v>0</v>
      </c>
    </row>
    <row r="76" spans="1:10" ht="28" customHeight="1" x14ac:dyDescent="0.2">
      <c r="A76" s="35" t="str">
        <f ca="1">INDIRECT(_xlfn.TEXTJOIN("",TRUE,A89,"!",ADDRESS(16+(A90-1)*A86,1)))</f>
        <v>CST 001</v>
      </c>
      <c r="B76" s="36"/>
      <c r="C76" s="37" t="str">
        <f ca="1">INDIRECT(_xlfn.TEXTJOIN("",TRUE,A89,"!",ADDRESS(16+(A90-1)*A86,2)))</f>
        <v>Programming for Problem Solving</v>
      </c>
      <c r="D76" s="38"/>
      <c r="E76" s="38"/>
      <c r="F76" s="38"/>
      <c r="G76" s="39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F</v>
      </c>
      <c r="J76" s="20">
        <f ca="1">INDIRECT(_xlfn.TEXTJOIN("",TRUE,A89,"!",ADDRESS(16+(A90-1)*A86,14)))</f>
        <v>0</v>
      </c>
    </row>
    <row r="77" spans="1:10" ht="28" customHeight="1" x14ac:dyDescent="0.2">
      <c r="A77" s="35" t="str">
        <f ca="1">INDIRECT(_xlfn.TEXTJOIN("",TRUE,A89,"!",ADDRESS(17+(A90-1)*A86,1)))</f>
        <v>AHT 004</v>
      </c>
      <c r="B77" s="36"/>
      <c r="C77" s="37" t="str">
        <f ca="1">INDIRECT(_xlfn.TEXTJOIN("",TRUE,A89,"!",ADDRESS(17+(A90-1)*A86,2)))</f>
        <v>Environmental Studies ($)</v>
      </c>
      <c r="D77" s="38"/>
      <c r="E77" s="38"/>
      <c r="F77" s="38"/>
      <c r="G77" s="39"/>
      <c r="H77" s="20">
        <f ca="1">INDIRECT(_xlfn.TEXTJOIN("",TRUE,A89,"!",ADDRESS(17+(A90-1)*A86,6)))</f>
        <v>0</v>
      </c>
      <c r="I77" s="20" t="str">
        <f ca="1">INDIRECT(_xlfn.TEXTJOIN("",TRUE,A89,"!",ADDRESS(17+(A90-1)*A86,13)))</f>
        <v>E</v>
      </c>
      <c r="J77" s="20">
        <f ca="1">INDIRECT(_xlfn.TEXTJOIN("",TRUE,A89,"!",ADDRESS(17+(A90-1)*A86,14)))</f>
        <v>5</v>
      </c>
    </row>
    <row r="78" spans="1:10" ht="28" customHeight="1" x14ac:dyDescent="0.2">
      <c r="A78" s="35" t="str">
        <f ca="1">INDIRECT(_xlfn.TEXTJOIN("",TRUE,A89,"!",ADDRESS(18+(A90-1)*A86,1)))</f>
        <v>AHP 001</v>
      </c>
      <c r="B78" s="36"/>
      <c r="C78" s="37" t="str">
        <f ca="1">INDIRECT(_xlfn.TEXTJOIN("",TRUE,A89,"!",ADDRESS(18+(A90-1)*A86,2)))</f>
        <v>Engineering Physics Lab</v>
      </c>
      <c r="D78" s="38"/>
      <c r="E78" s="38"/>
      <c r="F78" s="38"/>
      <c r="G78" s="39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B+</v>
      </c>
      <c r="J78" s="20">
        <f ca="1">INDIRECT(_xlfn.TEXTJOIN("",TRUE,A89,"!",ADDRESS(18+(A90-1)*A86,14)))</f>
        <v>8.5</v>
      </c>
    </row>
    <row r="79" spans="1:10" ht="28" customHeight="1" x14ac:dyDescent="0.2">
      <c r="A79" s="35" t="str">
        <f ca="1">INDIRECT(_xlfn.TEXTJOIN("",TRUE,A89,"!",ADDRESS(19+(A90-1)*A86,1)))</f>
        <v>EEP 001</v>
      </c>
      <c r="B79" s="36"/>
      <c r="C79" s="37" t="str">
        <f ca="1">INDIRECT(_xlfn.TEXTJOIN("",TRUE,A89,"!",ADDRESS(19+(A90-1)*A86,2)))</f>
        <v>Basic Electrical Engineering Lab</v>
      </c>
      <c r="D79" s="38"/>
      <c r="E79" s="38"/>
      <c r="F79" s="38"/>
      <c r="G79" s="39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C</v>
      </c>
      <c r="J79" s="20">
        <f ca="1">INDIRECT(_xlfn.TEXTJOIN("",TRUE,A89,"!",ADDRESS(19+(A90-1)*A86,14)))</f>
        <v>7</v>
      </c>
    </row>
    <row r="80" spans="1:10" ht="28" customHeight="1" x14ac:dyDescent="0.2">
      <c r="A80" s="35" t="str">
        <f ca="1">INDIRECT(_xlfn.TEXTJOIN("",TRUE,A89,"!",ADDRESS(20+(A90-1)*A86,1)))</f>
        <v>CSP 001</v>
      </c>
      <c r="B80" s="36"/>
      <c r="C80" s="37" t="str">
        <f ca="1">INDIRECT(_xlfn.TEXTJOIN("",TRUE,A89,"!",ADDRESS(20+(A90-1)*A86,2)))</f>
        <v>Programming for Problem Solving Lab</v>
      </c>
      <c r="D80" s="38"/>
      <c r="E80" s="38"/>
      <c r="F80" s="38"/>
      <c r="G80" s="39"/>
      <c r="H80" s="20">
        <f ca="1">INDIRECT(_xlfn.TEXTJOIN("",TRUE,A89,"!",ADDRESS(20+(A90-1)*A86,6)))</f>
        <v>1</v>
      </c>
      <c r="I80" s="20" t="str">
        <f ca="1">INDIRECT(_xlfn.TEXTJOIN("",TRUE,A89,"!",ADDRESS(20+(A90-1)*A86,13)))</f>
        <v>B+</v>
      </c>
      <c r="J80" s="20">
        <f ca="1">INDIRECT(_xlfn.TEXTJOIN("",TRUE,A89,"!",ADDRESS(20+(A90-1)*A86,14)))</f>
        <v>8.5</v>
      </c>
    </row>
    <row r="81" spans="1:10" ht="28" customHeight="1" x14ac:dyDescent="0.2">
      <c r="A81" s="35" t="str">
        <f ca="1">INDIRECT(_xlfn.TEXTJOIN("",TRUE,A89,"!",ADDRESS(21+(A90-1)*A86,1)))</f>
        <v>MEP 002</v>
      </c>
      <c r="B81" s="36"/>
      <c r="C81" s="37" t="str">
        <f ca="1">INDIRECT(_xlfn.TEXTJOIN("",TRUE,A89,"!",ADDRESS(21+(A90-1)*A86,2)))</f>
        <v>Engineering Graphics &amp; Design Lab</v>
      </c>
      <c r="D81" s="38"/>
      <c r="E81" s="38"/>
      <c r="F81" s="38"/>
      <c r="G81" s="39"/>
      <c r="H81" s="20">
        <f ca="1">INDIRECT(_xlfn.TEXTJOIN("",TRUE,A89,"!",ADDRESS(21+(A90-1)*A86,6)))</f>
        <v>2</v>
      </c>
      <c r="I81" s="20" t="str">
        <f ca="1">INDIRECT(_xlfn.TEXTJOIN("",TRUE,A89,"!",ADDRESS(21+(A90-1)*A86,13)))</f>
        <v>B</v>
      </c>
      <c r="J81" s="20">
        <f ca="1">INDIRECT(_xlfn.TEXTJOIN("",TRUE,A89,"!",ADDRESS(21+(A90-1)*A86,14)))</f>
        <v>8</v>
      </c>
    </row>
    <row r="82" spans="1:10" ht="28" customHeight="1" x14ac:dyDescent="0.2">
      <c r="A82" s="35" t="str">
        <f ca="1">INDIRECT(_xlfn.TEXTJOIN("",TRUE,A89,"!",ADDRESS(22+(A90-1)*A86,1)))</f>
        <v>AHP 003</v>
      </c>
      <c r="B82" s="36"/>
      <c r="C82" s="37" t="str">
        <f ca="1">INDIRECT(_xlfn.TEXTJOIN("",TRUE,A89,"!",ADDRESS(22+(A90-1)*A86,2)))</f>
        <v>Introduction to Digital Marketing Lab</v>
      </c>
      <c r="D82" s="38"/>
      <c r="E82" s="38"/>
      <c r="F82" s="38"/>
      <c r="G82" s="39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B</v>
      </c>
      <c r="J82" s="20">
        <f ca="1">INDIRECT(_xlfn.TEXTJOIN("",TRUE,A89,"!",ADDRESS(22+(A90-1)*A86,14)))</f>
        <v>8</v>
      </c>
    </row>
    <row r="83" spans="1:10" ht="28" customHeight="1" x14ac:dyDescent="0.2">
      <c r="A83" s="35" t="str">
        <f ca="1">INDIRECT(_xlfn.TEXTJOIN("",TRUE,A89,"!",ADDRESS(23+(A90-1)*A86,1)))</f>
        <v>AHP 005</v>
      </c>
      <c r="B83" s="36"/>
      <c r="C83" s="37" t="str">
        <f ca="1">INDIRECT(_xlfn.TEXTJOIN("",TRUE,A89,"!",ADDRESS(23+(A90-1)*A86,2)))</f>
        <v>Self Employment &amp; Entrepreneurship Development</v>
      </c>
      <c r="D83" s="38"/>
      <c r="E83" s="38"/>
      <c r="F83" s="38"/>
      <c r="G83" s="39"/>
      <c r="H83" s="20">
        <f ca="1">INDIRECT(_xlfn.TEXTJOIN("",TRUE,A89,"!",ADDRESS(23+(A90-1)*A86,6)))</f>
        <v>1</v>
      </c>
      <c r="I83" s="20" t="str">
        <f ca="1">INDIRECT(_xlfn.TEXTJOIN("",TRUE,A89,"!",ADDRESS(23+(A90-1)*A86,13)))</f>
        <v>A</v>
      </c>
      <c r="J83" s="20">
        <f ca="1">INDIRECT(_xlfn.TEXTJOIN("",TRUE,A89,"!",ADDRESS(23+(A90-1)*A86,14)))</f>
        <v>9</v>
      </c>
    </row>
    <row r="84" spans="1:10" ht="28" customHeight="1" x14ac:dyDescent="0.2">
      <c r="A84" s="35" t="str">
        <f ca="1">INDIRECT(_xlfn.TEXTJOIN("",TRUE,A89,"!",ADDRESS(24+(A90-1)*A86,1)))</f>
        <v>GP 01</v>
      </c>
      <c r="B84" s="36"/>
      <c r="C84" s="37" t="str">
        <f ca="1">INDIRECT(_xlfn.TEXTJOIN("",TRUE,A89,"!",ADDRESS(24+(A90-1)*A86,2)))</f>
        <v>General Proficiency ($)</v>
      </c>
      <c r="D84" s="38"/>
      <c r="E84" s="38"/>
      <c r="F84" s="38"/>
      <c r="G84" s="39"/>
      <c r="H84" s="20">
        <f ca="1">INDIRECT(_xlfn.TEXTJOIN("",TRUE,A89,"!",ADDRESS(24+(A90-1)*A86,6)))</f>
        <v>0</v>
      </c>
      <c r="I84" s="40" t="str">
        <f ca="1">INDIRECT(_xlfn.TEXTJOIN("",TRUE,A89,"!",ADDRESS(24+(A90-1)*A86,13)))</f>
        <v>Excellent</v>
      </c>
      <c r="J84" s="41"/>
    </row>
    <row r="85" spans="1:10" ht="28" customHeight="1" x14ac:dyDescent="0.2">
      <c r="A85" s="42" t="s">
        <v>52</v>
      </c>
      <c r="B85" s="42"/>
      <c r="C85" s="42"/>
      <c r="D85" s="42"/>
      <c r="E85" s="42"/>
      <c r="F85" s="42"/>
      <c r="G85" s="42"/>
      <c r="H85" s="16">
        <f ca="1">SUM(H73:H84)</f>
        <v>23</v>
      </c>
      <c r="I85" s="16" t="s">
        <v>44</v>
      </c>
      <c r="J85" s="16">
        <f ca="1">SUMPRODUCT(J73:J83,H73:H83)</f>
        <v>57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43" t="s">
        <v>40</v>
      </c>
      <c r="B87" s="43"/>
      <c r="C87" s="21">
        <f ca="1">INDIRECT(_xlfn.TEXTJOIN("",TRUE,A89,"!",ADDRESS(5+A90*A86,12)))</f>
        <v>7</v>
      </c>
      <c r="D87" s="43" t="s">
        <v>38</v>
      </c>
      <c r="E87" s="43"/>
      <c r="F87" s="18">
        <f ca="1">INDIRECT(_xlfn.TEXTJOIN("",TRUE,A89,"!",ADDRESS(5+A90*A86,8)))</f>
        <v>2.4782608695652173</v>
      </c>
      <c r="G87" s="43" t="s">
        <v>39</v>
      </c>
      <c r="H87" s="43"/>
      <c r="I87" s="44">
        <f ca="1">INDIRECT(_xlfn.TEXTJOIN("",TRUE,A89,"!",ADDRESS(5+A90*A86,10)))</f>
        <v>2.4782608695652173</v>
      </c>
      <c r="J87" s="44"/>
    </row>
    <row r="88" spans="1:10" ht="28" customHeight="1" x14ac:dyDescent="0.2">
      <c r="A88" s="19" t="s">
        <v>36</v>
      </c>
      <c r="B88" s="45" t="str">
        <f ca="1">INDIRECT(_xlfn.TEXTJOIN("",TRUE,A89,"!",ADDRESS(5+A90*A86,2)))</f>
        <v>CARRY OVER</v>
      </c>
      <c r="C88" s="45"/>
      <c r="D88" s="46" t="s">
        <v>37</v>
      </c>
      <c r="E88" s="46"/>
      <c r="F88" s="47" t="str">
        <f ca="1">INDIRECT(_xlfn.TEXTJOIN("",TRUE,A89,"!",ADDRESS(5+A90*A86,5)))</f>
        <v>BACK IN AHT 001, AHT 003, EET 001, CST 001</v>
      </c>
      <c r="G88" s="47"/>
      <c r="H88" s="47"/>
      <c r="I88" s="47"/>
      <c r="J88" s="47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48" t="s">
        <v>24</v>
      </c>
      <c r="B91" s="48"/>
      <c r="C91" s="48" t="str">
        <f ca="1">INDIRECT(_xlfn.TEXTJOIN("",TRUE,A110,"!",ADDRESS(9+(A111-1)*A107,2)))</f>
        <v>AYUSH CHANDRA</v>
      </c>
      <c r="D91" s="48"/>
      <c r="E91" s="48"/>
      <c r="F91" s="48" t="s">
        <v>50</v>
      </c>
      <c r="G91" s="48"/>
      <c r="H91" s="48"/>
      <c r="I91" s="49">
        <f ca="1">INDIRECT(_xlfn.TEXTJOIN("",TRUE,A110,"!",ADDRESS(9+(A111-1)*A107,9)))</f>
        <v>250090111005</v>
      </c>
      <c r="J91" s="49"/>
    </row>
    <row r="92" spans="1:10" ht="28" customHeight="1" x14ac:dyDescent="0.2">
      <c r="A92" s="48" t="s">
        <v>25</v>
      </c>
      <c r="B92" s="48"/>
      <c r="C92" s="48" t="str">
        <f ca="1">INDIRECT(_xlfn.TEXTJOIN("",TRUE,A110,"!",ADDRESS(9+(A111-1)*A107,5)))</f>
        <v>ANIL DUTT KANSWAL</v>
      </c>
      <c r="D92" s="48"/>
      <c r="E92" s="48"/>
      <c r="F92" s="50" t="s">
        <v>51</v>
      </c>
      <c r="G92" s="50"/>
      <c r="H92" s="50"/>
      <c r="I92" s="49" t="str">
        <f ca="1">INDIRECT(_xlfn.TEXTJOIN("",TRUE,A110,"!",ADDRESS(9+(A111-1)*A107,13)))</f>
        <v>UTU/2501103843</v>
      </c>
      <c r="J92" s="49"/>
    </row>
    <row r="93" spans="1:10" ht="28" customHeight="1" x14ac:dyDescent="0.2">
      <c r="A93" s="45" t="s">
        <v>28</v>
      </c>
      <c r="B93" s="45"/>
      <c r="C93" s="45" t="s">
        <v>29</v>
      </c>
      <c r="D93" s="45"/>
      <c r="E93" s="45"/>
      <c r="F93" s="45"/>
      <c r="G93" s="45"/>
      <c r="H93" s="15" t="s">
        <v>30</v>
      </c>
      <c r="I93" s="15" t="s">
        <v>10</v>
      </c>
      <c r="J93" s="15" t="s">
        <v>34</v>
      </c>
    </row>
    <row r="94" spans="1:10" ht="28" customHeight="1" x14ac:dyDescent="0.2">
      <c r="A94" s="35" t="str">
        <f ca="1">INDIRECT(_xlfn.TEXTJOIN("",TRUE,A110,"!",ADDRESS(13+(A111-1)*A107,1)))</f>
        <v>AHT 001</v>
      </c>
      <c r="B94" s="36"/>
      <c r="C94" s="37" t="str">
        <f ca="1">INDIRECT(_xlfn.TEXTJOIN("",TRUE,A110,"!",ADDRESS(13+(A111-1)*A107,2)))</f>
        <v>Engineering Physics</v>
      </c>
      <c r="D94" s="38"/>
      <c r="E94" s="38"/>
      <c r="F94" s="38"/>
      <c r="G94" s="39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E</v>
      </c>
      <c r="J94" s="20">
        <f ca="1">INDIRECT(_xlfn.TEXTJOIN("",TRUE,A110,"!",ADDRESS(13+(A111-1)*A107,14)))</f>
        <v>5</v>
      </c>
    </row>
    <row r="95" spans="1:10" ht="28" customHeight="1" x14ac:dyDescent="0.2">
      <c r="A95" s="35" t="str">
        <f ca="1">INDIRECT(_xlfn.TEXTJOIN("",TRUE,A110,"!",ADDRESS(14+(A111-1)*A107,1)))</f>
        <v>AHT 003</v>
      </c>
      <c r="B95" s="36"/>
      <c r="C95" s="37" t="str">
        <f ca="1">INDIRECT(_xlfn.TEXTJOIN("",TRUE,A110,"!",ADDRESS(14+(A111-1)*A107,2)))</f>
        <v>Introduction to Engineering Mathematics</v>
      </c>
      <c r="D95" s="38"/>
      <c r="E95" s="38"/>
      <c r="F95" s="38"/>
      <c r="G95" s="39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E</v>
      </c>
      <c r="J95" s="20">
        <f ca="1">INDIRECT(_xlfn.TEXTJOIN("",TRUE,A110,"!",ADDRESS(14+(A111-1)*A107,14)))</f>
        <v>5</v>
      </c>
    </row>
    <row r="96" spans="1:10" ht="28" customHeight="1" x14ac:dyDescent="0.2">
      <c r="A96" s="35" t="str">
        <f ca="1">INDIRECT(_xlfn.TEXTJOIN("",TRUE,A110,"!",ADDRESS(15+(A111-1)*A107,1)))</f>
        <v>EET 001</v>
      </c>
      <c r="B96" s="36"/>
      <c r="C96" s="37" t="str">
        <f ca="1">INDIRECT(_xlfn.TEXTJOIN("",TRUE,A110,"!",ADDRESS(15+(A111-1)*A107,2)))</f>
        <v>Basic Electrical Engineering</v>
      </c>
      <c r="D96" s="38"/>
      <c r="E96" s="38"/>
      <c r="F96" s="38"/>
      <c r="G96" s="39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P</v>
      </c>
      <c r="J96" s="20">
        <f ca="1">INDIRECT(_xlfn.TEXTJOIN("",TRUE,A110,"!",ADDRESS(15+(A111-1)*A107,14)))</f>
        <v>4.5</v>
      </c>
    </row>
    <row r="97" spans="1:10" ht="28" customHeight="1" x14ac:dyDescent="0.2">
      <c r="A97" s="35" t="str">
        <f ca="1">INDIRECT(_xlfn.TEXTJOIN("",TRUE,A110,"!",ADDRESS(16+(A111-1)*A107,1)))</f>
        <v>CST 001</v>
      </c>
      <c r="B97" s="36"/>
      <c r="C97" s="37" t="str">
        <f ca="1">INDIRECT(_xlfn.TEXTJOIN("",TRUE,A110,"!",ADDRESS(16+(A111-1)*A107,2)))</f>
        <v>Programming for Problem Solving</v>
      </c>
      <c r="D97" s="38"/>
      <c r="E97" s="38"/>
      <c r="F97" s="38"/>
      <c r="G97" s="39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D+</v>
      </c>
      <c r="J97" s="20">
        <f ca="1">INDIRECT(_xlfn.TEXTJOIN("",TRUE,A110,"!",ADDRESS(16+(A111-1)*A107,14)))</f>
        <v>6.5</v>
      </c>
    </row>
    <row r="98" spans="1:10" ht="28" customHeight="1" x14ac:dyDescent="0.2">
      <c r="A98" s="35" t="str">
        <f ca="1">INDIRECT(_xlfn.TEXTJOIN("",TRUE,A110,"!",ADDRESS(17+(A111-1)*A107,1)))</f>
        <v>AHT 004</v>
      </c>
      <c r="B98" s="36"/>
      <c r="C98" s="37" t="str">
        <f ca="1">INDIRECT(_xlfn.TEXTJOIN("",TRUE,A110,"!",ADDRESS(17+(A111-1)*A107,2)))</f>
        <v>Environmental Studies ($)</v>
      </c>
      <c r="D98" s="38"/>
      <c r="E98" s="38"/>
      <c r="F98" s="38"/>
      <c r="G98" s="39"/>
      <c r="H98" s="20">
        <f ca="1">INDIRECT(_xlfn.TEXTJOIN("",TRUE,A110,"!",ADDRESS(17+(A111-1)*A107,6)))</f>
        <v>0</v>
      </c>
      <c r="I98" s="20" t="str">
        <f ca="1">INDIRECT(_xlfn.TEXTJOIN("",TRUE,A110,"!",ADDRESS(17+(A111-1)*A107,13)))</f>
        <v>B</v>
      </c>
      <c r="J98" s="20">
        <f ca="1">INDIRECT(_xlfn.TEXTJOIN("",TRUE,A110,"!",ADDRESS(17+(A111-1)*A107,14)))</f>
        <v>8</v>
      </c>
    </row>
    <row r="99" spans="1:10" ht="28" customHeight="1" x14ac:dyDescent="0.2">
      <c r="A99" s="35" t="str">
        <f ca="1">INDIRECT(_xlfn.TEXTJOIN("",TRUE,A110,"!",ADDRESS(18+(A111-1)*A107,1)))</f>
        <v>AHP 001</v>
      </c>
      <c r="B99" s="36"/>
      <c r="C99" s="37" t="str">
        <f ca="1">INDIRECT(_xlfn.TEXTJOIN("",TRUE,A110,"!",ADDRESS(18+(A111-1)*A107,2)))</f>
        <v>Engineering Physics Lab</v>
      </c>
      <c r="D99" s="38"/>
      <c r="E99" s="38"/>
      <c r="F99" s="38"/>
      <c r="G99" s="39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A</v>
      </c>
      <c r="J99" s="20">
        <f ca="1">INDIRECT(_xlfn.TEXTJOIN("",TRUE,A110,"!",ADDRESS(18+(A111-1)*A107,14)))</f>
        <v>9</v>
      </c>
    </row>
    <row r="100" spans="1:10" ht="28" customHeight="1" x14ac:dyDescent="0.2">
      <c r="A100" s="35" t="str">
        <f ca="1">INDIRECT(_xlfn.TEXTJOIN("",TRUE,A110,"!",ADDRESS(19+(A111-1)*A107,1)))</f>
        <v>EEP 001</v>
      </c>
      <c r="B100" s="36"/>
      <c r="C100" s="37" t="str">
        <f ca="1">INDIRECT(_xlfn.TEXTJOIN("",TRUE,A110,"!",ADDRESS(19+(A111-1)*A107,2)))</f>
        <v>Basic Electrical Engineering Lab</v>
      </c>
      <c r="D100" s="38"/>
      <c r="E100" s="38"/>
      <c r="F100" s="38"/>
      <c r="G100" s="39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B+</v>
      </c>
      <c r="J100" s="20">
        <f ca="1">INDIRECT(_xlfn.TEXTJOIN("",TRUE,A110,"!",ADDRESS(19+(A111-1)*A107,14)))</f>
        <v>8.5</v>
      </c>
    </row>
    <row r="101" spans="1:10" ht="28" customHeight="1" x14ac:dyDescent="0.2">
      <c r="A101" s="35" t="str">
        <f ca="1">INDIRECT(_xlfn.TEXTJOIN("",TRUE,A110,"!",ADDRESS(20+(A111-1)*A107,1)))</f>
        <v>CSP 001</v>
      </c>
      <c r="B101" s="36"/>
      <c r="C101" s="37" t="str">
        <f ca="1">INDIRECT(_xlfn.TEXTJOIN("",TRUE,A110,"!",ADDRESS(20+(A111-1)*A107,2)))</f>
        <v>Programming for Problem Solving Lab</v>
      </c>
      <c r="D101" s="38"/>
      <c r="E101" s="38"/>
      <c r="F101" s="38"/>
      <c r="G101" s="39"/>
      <c r="H101" s="20">
        <f ca="1">INDIRECT(_xlfn.TEXTJOIN("",TRUE,A110,"!",ADDRESS(20+(A111-1)*A107,6)))</f>
        <v>1</v>
      </c>
      <c r="I101" s="20" t="str">
        <f ca="1">INDIRECT(_xlfn.TEXTJOIN("",TRUE,A110,"!",ADDRESS(20+(A111-1)*A107,13)))</f>
        <v>A</v>
      </c>
      <c r="J101" s="20">
        <f ca="1">INDIRECT(_xlfn.TEXTJOIN("",TRUE,A110,"!",ADDRESS(20+(A111-1)*A107,14)))</f>
        <v>9</v>
      </c>
    </row>
    <row r="102" spans="1:10" ht="28" customHeight="1" x14ac:dyDescent="0.2">
      <c r="A102" s="35" t="str">
        <f ca="1">INDIRECT(_xlfn.TEXTJOIN("",TRUE,A110,"!",ADDRESS(21+(A111-1)*A107,1)))</f>
        <v>MEP 002</v>
      </c>
      <c r="B102" s="36"/>
      <c r="C102" s="37" t="str">
        <f ca="1">INDIRECT(_xlfn.TEXTJOIN("",TRUE,A110,"!",ADDRESS(21+(A111-1)*A107,2)))</f>
        <v>Engineering Graphics &amp; Design Lab</v>
      </c>
      <c r="D102" s="38"/>
      <c r="E102" s="38"/>
      <c r="F102" s="38"/>
      <c r="G102" s="39"/>
      <c r="H102" s="20">
        <f ca="1">INDIRECT(_xlfn.TEXTJOIN("",TRUE,A110,"!",ADDRESS(21+(A111-1)*A107,6)))</f>
        <v>2</v>
      </c>
      <c r="I102" s="20" t="str">
        <f ca="1">INDIRECT(_xlfn.TEXTJOIN("",TRUE,A110,"!",ADDRESS(21+(A111-1)*A107,13)))</f>
        <v>B+</v>
      </c>
      <c r="J102" s="20">
        <f ca="1">INDIRECT(_xlfn.TEXTJOIN("",TRUE,A110,"!",ADDRESS(21+(A111-1)*A107,14)))</f>
        <v>8.5</v>
      </c>
    </row>
    <row r="103" spans="1:10" ht="28" customHeight="1" x14ac:dyDescent="0.2">
      <c r="A103" s="35" t="str">
        <f ca="1">INDIRECT(_xlfn.TEXTJOIN("",TRUE,A110,"!",ADDRESS(22+(A111-1)*A107,1)))</f>
        <v>AHP 003</v>
      </c>
      <c r="B103" s="36"/>
      <c r="C103" s="37" t="str">
        <f ca="1">INDIRECT(_xlfn.TEXTJOIN("",TRUE,A110,"!",ADDRESS(22+(A111-1)*A107,2)))</f>
        <v>Introduction to Digital Marketing Lab</v>
      </c>
      <c r="D103" s="38"/>
      <c r="E103" s="38"/>
      <c r="F103" s="38"/>
      <c r="G103" s="39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C+</v>
      </c>
      <c r="J103" s="20">
        <f ca="1">INDIRECT(_xlfn.TEXTJOIN("",TRUE,A110,"!",ADDRESS(22+(A111-1)*A107,14)))</f>
        <v>7.5</v>
      </c>
    </row>
    <row r="104" spans="1:10" ht="28" customHeight="1" x14ac:dyDescent="0.2">
      <c r="A104" s="35" t="str">
        <f ca="1">INDIRECT(_xlfn.TEXTJOIN("",TRUE,A110,"!",ADDRESS(23+(A111-1)*A107,1)))</f>
        <v>AHP 005</v>
      </c>
      <c r="B104" s="36"/>
      <c r="C104" s="37" t="str">
        <f ca="1">INDIRECT(_xlfn.TEXTJOIN("",TRUE,A110,"!",ADDRESS(23+(A111-1)*A107,2)))</f>
        <v>Self Employment &amp; Entrepreneurship Development</v>
      </c>
      <c r="D104" s="38"/>
      <c r="E104" s="38"/>
      <c r="F104" s="38"/>
      <c r="G104" s="39"/>
      <c r="H104" s="20">
        <f ca="1">INDIRECT(_xlfn.TEXTJOIN("",TRUE,A110,"!",ADDRESS(23+(A111-1)*A107,6)))</f>
        <v>1</v>
      </c>
      <c r="I104" s="20" t="str">
        <f ca="1">INDIRECT(_xlfn.TEXTJOIN("",TRUE,A110,"!",ADDRESS(23+(A111-1)*A107,13)))</f>
        <v>A+</v>
      </c>
      <c r="J104" s="20">
        <f ca="1">INDIRECT(_xlfn.TEXTJOIN("",TRUE,A110,"!",ADDRESS(23+(A111-1)*A107,14)))</f>
        <v>9.5</v>
      </c>
    </row>
    <row r="105" spans="1:10" ht="28" customHeight="1" x14ac:dyDescent="0.2">
      <c r="A105" s="35" t="str">
        <f ca="1">INDIRECT(_xlfn.TEXTJOIN("",TRUE,A110,"!",ADDRESS(24+(A111-1)*A107,1)))</f>
        <v>GP 01</v>
      </c>
      <c r="B105" s="36"/>
      <c r="C105" s="37" t="str">
        <f ca="1">INDIRECT(_xlfn.TEXTJOIN("",TRUE,A110,"!",ADDRESS(24+(A111-1)*A107,2)))</f>
        <v>General Proficiency ($)</v>
      </c>
      <c r="D105" s="38"/>
      <c r="E105" s="38"/>
      <c r="F105" s="38"/>
      <c r="G105" s="39"/>
      <c r="H105" s="20">
        <f ca="1">INDIRECT(_xlfn.TEXTJOIN("",TRUE,A110,"!",ADDRESS(24+(A111-1)*A107,6)))</f>
        <v>0</v>
      </c>
      <c r="I105" s="40" t="str">
        <f ca="1">INDIRECT(_xlfn.TEXTJOIN("",TRUE,A110,"!",ADDRESS(24+(A111-1)*A107,13)))</f>
        <v>Excellent</v>
      </c>
      <c r="J105" s="41"/>
    </row>
    <row r="106" spans="1:10" ht="28" customHeight="1" x14ac:dyDescent="0.2">
      <c r="A106" s="42" t="s">
        <v>52</v>
      </c>
      <c r="B106" s="42"/>
      <c r="C106" s="42"/>
      <c r="D106" s="42"/>
      <c r="E106" s="42"/>
      <c r="F106" s="42"/>
      <c r="G106" s="42"/>
      <c r="H106" s="16">
        <f ca="1">SUM(H94:H105)</f>
        <v>23</v>
      </c>
      <c r="I106" s="16" t="s">
        <v>44</v>
      </c>
      <c r="J106" s="16">
        <f ca="1">SUMPRODUCT(J94:J104,H94:H104)</f>
        <v>144.5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43" t="s">
        <v>40</v>
      </c>
      <c r="B108" s="43"/>
      <c r="C108" s="21">
        <f ca="1">INDIRECT(_xlfn.TEXTJOIN("",TRUE,A110,"!",ADDRESS(5+A111*A107,12)))</f>
        <v>23</v>
      </c>
      <c r="D108" s="43" t="s">
        <v>38</v>
      </c>
      <c r="E108" s="43"/>
      <c r="F108" s="18">
        <f ca="1">INDIRECT(_xlfn.TEXTJOIN("",TRUE,A110,"!",ADDRESS(5+A111*A107,8)))</f>
        <v>6.2826086956521738</v>
      </c>
      <c r="G108" s="43" t="s">
        <v>39</v>
      </c>
      <c r="H108" s="43"/>
      <c r="I108" s="44">
        <f ca="1">INDIRECT(_xlfn.TEXTJOIN("",TRUE,A110,"!",ADDRESS(5+A111*A107,10)))</f>
        <v>6.2826086956521738</v>
      </c>
      <c r="J108" s="44"/>
    </row>
    <row r="109" spans="1:10" ht="28" customHeight="1" x14ac:dyDescent="0.2">
      <c r="A109" s="19" t="s">
        <v>36</v>
      </c>
      <c r="B109" s="45" t="str">
        <f ca="1">INDIRECT(_xlfn.TEXTJOIN("",TRUE,A110,"!",ADDRESS(5+A111*A107,2)))</f>
        <v>PASS</v>
      </c>
      <c r="C109" s="45"/>
      <c r="D109" s="46" t="s">
        <v>37</v>
      </c>
      <c r="E109" s="46"/>
      <c r="F109" s="47" t="str">
        <f ca="1">INDIRECT(_xlfn.TEXTJOIN("",TRUE,A110,"!",ADDRESS(5+A111*A107,5)))</f>
        <v/>
      </c>
      <c r="G109" s="47"/>
      <c r="H109" s="47"/>
      <c r="I109" s="47"/>
      <c r="J109" s="47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48" t="s">
        <v>24</v>
      </c>
      <c r="B112" s="48"/>
      <c r="C112" s="48" t="str">
        <f ca="1">INDIRECT(_xlfn.TEXTJOIN("",TRUE,A131,"!",ADDRESS(9+(A132-1)*A128,2)))</f>
        <v>HARSHIT GOSWAMI</v>
      </c>
      <c r="D112" s="48"/>
      <c r="E112" s="48"/>
      <c r="F112" s="48" t="s">
        <v>50</v>
      </c>
      <c r="G112" s="48"/>
      <c r="H112" s="48"/>
      <c r="I112" s="49">
        <f ca="1">INDIRECT(_xlfn.TEXTJOIN("",TRUE,A131,"!",ADDRESS(9+(A132-1)*A128,9)))</f>
        <v>250090111006</v>
      </c>
      <c r="J112" s="49"/>
    </row>
    <row r="113" spans="1:10" ht="28" customHeight="1" x14ac:dyDescent="0.2">
      <c r="A113" s="48" t="s">
        <v>25</v>
      </c>
      <c r="B113" s="48"/>
      <c r="C113" s="48" t="str">
        <f ca="1">INDIRECT(_xlfn.TEXTJOIN("",TRUE,A131,"!",ADDRESS(9+(A132-1)*A128,5)))</f>
        <v>RAJENDRA NATH GOSWAMI</v>
      </c>
      <c r="D113" s="48"/>
      <c r="E113" s="48"/>
      <c r="F113" s="50" t="s">
        <v>51</v>
      </c>
      <c r="G113" s="50"/>
      <c r="H113" s="50"/>
      <c r="I113" s="49" t="str">
        <f ca="1">INDIRECT(_xlfn.TEXTJOIN("",TRUE,A131,"!",ADDRESS(9+(A132-1)*A128,13)))</f>
        <v>UTU/2501104079</v>
      </c>
      <c r="J113" s="49"/>
    </row>
    <row r="114" spans="1:10" ht="28" customHeight="1" x14ac:dyDescent="0.2">
      <c r="A114" s="45" t="s">
        <v>28</v>
      </c>
      <c r="B114" s="45"/>
      <c r="C114" s="45" t="s">
        <v>29</v>
      </c>
      <c r="D114" s="45"/>
      <c r="E114" s="45"/>
      <c r="F114" s="45"/>
      <c r="G114" s="45"/>
      <c r="H114" s="15" t="s">
        <v>30</v>
      </c>
      <c r="I114" s="15" t="s">
        <v>10</v>
      </c>
      <c r="J114" s="15" t="s">
        <v>34</v>
      </c>
    </row>
    <row r="115" spans="1:10" ht="28" customHeight="1" x14ac:dyDescent="0.2">
      <c r="A115" s="35" t="str">
        <f ca="1">INDIRECT(_xlfn.TEXTJOIN("",TRUE,A131,"!",ADDRESS(13+(A132-1)*A128,1)))</f>
        <v>AHT 001</v>
      </c>
      <c r="B115" s="36"/>
      <c r="C115" s="37" t="str">
        <f ca="1">INDIRECT(_xlfn.TEXTJOIN("",TRUE,A131,"!",ADDRESS(13+(A132-1)*A128,2)))</f>
        <v>Engineering Physics</v>
      </c>
      <c r="D115" s="38"/>
      <c r="E115" s="38"/>
      <c r="F115" s="38"/>
      <c r="G115" s="39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F</v>
      </c>
      <c r="J115" s="20">
        <f ca="1">INDIRECT(_xlfn.TEXTJOIN("",TRUE,A131,"!",ADDRESS(13+(A132-1)*A128,14)))</f>
        <v>0</v>
      </c>
    </row>
    <row r="116" spans="1:10" ht="28" customHeight="1" x14ac:dyDescent="0.2">
      <c r="A116" s="35" t="str">
        <f ca="1">INDIRECT(_xlfn.TEXTJOIN("",TRUE,A131,"!",ADDRESS(14+(A132-1)*A128,1)))</f>
        <v>AHT 003</v>
      </c>
      <c r="B116" s="36"/>
      <c r="C116" s="37" t="str">
        <f ca="1">INDIRECT(_xlfn.TEXTJOIN("",TRUE,A131,"!",ADDRESS(14+(A132-1)*A128,2)))</f>
        <v>Introduction to Engineering Mathematics</v>
      </c>
      <c r="D116" s="38"/>
      <c r="E116" s="38"/>
      <c r="F116" s="38"/>
      <c r="G116" s="39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Dt</v>
      </c>
      <c r="J116" s="20">
        <f ca="1">INDIRECT(_xlfn.TEXTJOIN("",TRUE,A131,"!",ADDRESS(14+(A132-1)*A128,14)))</f>
        <v>0</v>
      </c>
    </row>
    <row r="117" spans="1:10" ht="28" customHeight="1" x14ac:dyDescent="0.2">
      <c r="A117" s="35" t="str">
        <f ca="1">INDIRECT(_xlfn.TEXTJOIN("",TRUE,A131,"!",ADDRESS(15+(A132-1)*A128,1)))</f>
        <v>EET 001</v>
      </c>
      <c r="B117" s="36"/>
      <c r="C117" s="37" t="str">
        <f ca="1">INDIRECT(_xlfn.TEXTJOIN("",TRUE,A131,"!",ADDRESS(15+(A132-1)*A128,2)))</f>
        <v>Basic Electrical Engineering</v>
      </c>
      <c r="D117" s="38"/>
      <c r="E117" s="38"/>
      <c r="F117" s="38"/>
      <c r="G117" s="39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F</v>
      </c>
      <c r="J117" s="20">
        <f ca="1">INDIRECT(_xlfn.TEXTJOIN("",TRUE,A131,"!",ADDRESS(15+(A132-1)*A128,14)))</f>
        <v>0</v>
      </c>
    </row>
    <row r="118" spans="1:10" ht="28" customHeight="1" x14ac:dyDescent="0.2">
      <c r="A118" s="35" t="str">
        <f ca="1">INDIRECT(_xlfn.TEXTJOIN("",TRUE,A131,"!",ADDRESS(16+(A132-1)*A128,1)))</f>
        <v>CST 001</v>
      </c>
      <c r="B118" s="36"/>
      <c r="C118" s="37" t="str">
        <f ca="1">INDIRECT(_xlfn.TEXTJOIN("",TRUE,A131,"!",ADDRESS(16+(A132-1)*A128,2)))</f>
        <v>Programming for Problem Solving</v>
      </c>
      <c r="D118" s="38"/>
      <c r="E118" s="38"/>
      <c r="F118" s="38"/>
      <c r="G118" s="39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F</v>
      </c>
      <c r="J118" s="20">
        <f ca="1">INDIRECT(_xlfn.TEXTJOIN("",TRUE,A131,"!",ADDRESS(16+(A132-1)*A128,14)))</f>
        <v>0</v>
      </c>
    </row>
    <row r="119" spans="1:10" ht="28" customHeight="1" x14ac:dyDescent="0.2">
      <c r="A119" s="35" t="str">
        <f ca="1">INDIRECT(_xlfn.TEXTJOIN("",TRUE,A131,"!",ADDRESS(17+(A132-1)*A128,1)))</f>
        <v>AHT 004</v>
      </c>
      <c r="B119" s="36"/>
      <c r="C119" s="37" t="str">
        <f ca="1">INDIRECT(_xlfn.TEXTJOIN("",TRUE,A131,"!",ADDRESS(17+(A132-1)*A128,2)))</f>
        <v>Environmental Studies ($)</v>
      </c>
      <c r="D119" s="38"/>
      <c r="E119" s="38"/>
      <c r="F119" s="38"/>
      <c r="G119" s="39"/>
      <c r="H119" s="20">
        <f ca="1">INDIRECT(_xlfn.TEXTJOIN("",TRUE,A131,"!",ADDRESS(17+(A132-1)*A128,6)))</f>
        <v>0</v>
      </c>
      <c r="I119" s="20" t="str">
        <f ca="1">INDIRECT(_xlfn.TEXTJOIN("",TRUE,A131,"!",ADDRESS(17+(A132-1)*A128,13)))</f>
        <v>F</v>
      </c>
      <c r="J119" s="20">
        <f ca="1">INDIRECT(_xlfn.TEXTJOIN("",TRUE,A131,"!",ADDRESS(17+(A132-1)*A128,14)))</f>
        <v>0</v>
      </c>
    </row>
    <row r="120" spans="1:10" ht="28" customHeight="1" x14ac:dyDescent="0.2">
      <c r="A120" s="35" t="str">
        <f ca="1">INDIRECT(_xlfn.TEXTJOIN("",TRUE,A131,"!",ADDRESS(18+(A132-1)*A128,1)))</f>
        <v>AHP 001</v>
      </c>
      <c r="B120" s="36"/>
      <c r="C120" s="37" t="str">
        <f ca="1">INDIRECT(_xlfn.TEXTJOIN("",TRUE,A131,"!",ADDRESS(18+(A132-1)*A128,2)))</f>
        <v>Engineering Physics Lab</v>
      </c>
      <c r="D120" s="38"/>
      <c r="E120" s="38"/>
      <c r="F120" s="38"/>
      <c r="G120" s="39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C</v>
      </c>
      <c r="J120" s="20">
        <f ca="1">INDIRECT(_xlfn.TEXTJOIN("",TRUE,A131,"!",ADDRESS(18+(A132-1)*A128,14)))</f>
        <v>7</v>
      </c>
    </row>
    <row r="121" spans="1:10" ht="28" customHeight="1" x14ac:dyDescent="0.2">
      <c r="A121" s="35" t="str">
        <f ca="1">INDIRECT(_xlfn.TEXTJOIN("",TRUE,A131,"!",ADDRESS(19+(A132-1)*A128,1)))</f>
        <v>EEP 001</v>
      </c>
      <c r="B121" s="36"/>
      <c r="C121" s="37" t="str">
        <f ca="1">INDIRECT(_xlfn.TEXTJOIN("",TRUE,A131,"!",ADDRESS(19+(A132-1)*A128,2)))</f>
        <v>Basic Electrical Engineering Lab</v>
      </c>
      <c r="D121" s="38"/>
      <c r="E121" s="38"/>
      <c r="F121" s="38"/>
      <c r="G121" s="39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D</v>
      </c>
      <c r="J121" s="20">
        <f ca="1">INDIRECT(_xlfn.TEXTJOIN("",TRUE,A131,"!",ADDRESS(19+(A132-1)*A128,14)))</f>
        <v>6</v>
      </c>
    </row>
    <row r="122" spans="1:10" ht="28" customHeight="1" x14ac:dyDescent="0.2">
      <c r="A122" s="35" t="str">
        <f ca="1">INDIRECT(_xlfn.TEXTJOIN("",TRUE,A131,"!",ADDRESS(20+(A132-1)*A128,1)))</f>
        <v>CSP 001</v>
      </c>
      <c r="B122" s="36"/>
      <c r="C122" s="37" t="str">
        <f ca="1">INDIRECT(_xlfn.TEXTJOIN("",TRUE,A131,"!",ADDRESS(20+(A132-1)*A128,2)))</f>
        <v>Programming for Problem Solving Lab</v>
      </c>
      <c r="D122" s="38"/>
      <c r="E122" s="38"/>
      <c r="F122" s="38"/>
      <c r="G122" s="39"/>
      <c r="H122" s="20">
        <f ca="1">INDIRECT(_xlfn.TEXTJOIN("",TRUE,A131,"!",ADDRESS(20+(A132-1)*A128,6)))</f>
        <v>1</v>
      </c>
      <c r="I122" s="20" t="str">
        <f ca="1">INDIRECT(_xlfn.TEXTJOIN("",TRUE,A131,"!",ADDRESS(20+(A132-1)*A128,13)))</f>
        <v>C+</v>
      </c>
      <c r="J122" s="20">
        <f ca="1">INDIRECT(_xlfn.TEXTJOIN("",TRUE,A131,"!",ADDRESS(20+(A132-1)*A128,14)))</f>
        <v>7.5</v>
      </c>
    </row>
    <row r="123" spans="1:10" ht="28" customHeight="1" x14ac:dyDescent="0.2">
      <c r="A123" s="35" t="str">
        <f ca="1">INDIRECT(_xlfn.TEXTJOIN("",TRUE,A131,"!",ADDRESS(21+(A132-1)*A128,1)))</f>
        <v>MEP 002</v>
      </c>
      <c r="B123" s="36"/>
      <c r="C123" s="37" t="str">
        <f ca="1">INDIRECT(_xlfn.TEXTJOIN("",TRUE,A131,"!",ADDRESS(21+(A132-1)*A128,2)))</f>
        <v>Engineering Graphics &amp; Design Lab</v>
      </c>
      <c r="D123" s="38"/>
      <c r="E123" s="38"/>
      <c r="F123" s="38"/>
      <c r="G123" s="39"/>
      <c r="H123" s="20">
        <f ca="1">INDIRECT(_xlfn.TEXTJOIN("",TRUE,A131,"!",ADDRESS(21+(A132-1)*A128,6)))</f>
        <v>2</v>
      </c>
      <c r="I123" s="20" t="str">
        <f ca="1">INDIRECT(_xlfn.TEXTJOIN("",TRUE,A131,"!",ADDRESS(21+(A132-1)*A128,13)))</f>
        <v>B</v>
      </c>
      <c r="J123" s="20">
        <f ca="1">INDIRECT(_xlfn.TEXTJOIN("",TRUE,A131,"!",ADDRESS(21+(A132-1)*A128,14)))</f>
        <v>8</v>
      </c>
    </row>
    <row r="124" spans="1:10" ht="28" customHeight="1" x14ac:dyDescent="0.2">
      <c r="A124" s="35" t="str">
        <f ca="1">INDIRECT(_xlfn.TEXTJOIN("",TRUE,A131,"!",ADDRESS(22+(A132-1)*A128,1)))</f>
        <v>AHP 003</v>
      </c>
      <c r="B124" s="36"/>
      <c r="C124" s="37" t="str">
        <f ca="1">INDIRECT(_xlfn.TEXTJOIN("",TRUE,A131,"!",ADDRESS(22+(A132-1)*A128,2)))</f>
        <v>Introduction to Digital Marketing Lab</v>
      </c>
      <c r="D124" s="38"/>
      <c r="E124" s="38"/>
      <c r="F124" s="38"/>
      <c r="G124" s="39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Ab</v>
      </c>
      <c r="J124" s="20">
        <f ca="1">INDIRECT(_xlfn.TEXTJOIN("",TRUE,A131,"!",ADDRESS(22+(A132-1)*A128,14)))</f>
        <v>0</v>
      </c>
    </row>
    <row r="125" spans="1:10" ht="28" customHeight="1" x14ac:dyDescent="0.2">
      <c r="A125" s="35" t="str">
        <f ca="1">INDIRECT(_xlfn.TEXTJOIN("",TRUE,A131,"!",ADDRESS(23+(A132-1)*A128,1)))</f>
        <v>AHP 005</v>
      </c>
      <c r="B125" s="36"/>
      <c r="C125" s="37" t="str">
        <f ca="1">INDIRECT(_xlfn.TEXTJOIN("",TRUE,A131,"!",ADDRESS(23+(A132-1)*A128,2)))</f>
        <v>Self Employment &amp; Entrepreneurship Development</v>
      </c>
      <c r="D125" s="38"/>
      <c r="E125" s="38"/>
      <c r="F125" s="38"/>
      <c r="G125" s="39"/>
      <c r="H125" s="20">
        <f ca="1">INDIRECT(_xlfn.TEXTJOIN("",TRUE,A131,"!",ADDRESS(23+(A132-1)*A128,6)))</f>
        <v>1</v>
      </c>
      <c r="I125" s="20" t="str">
        <f ca="1">INDIRECT(_xlfn.TEXTJOIN("",TRUE,A131,"!",ADDRESS(23+(A132-1)*A128,13)))</f>
        <v>B+</v>
      </c>
      <c r="J125" s="20">
        <f ca="1">INDIRECT(_xlfn.TEXTJOIN("",TRUE,A131,"!",ADDRESS(23+(A132-1)*A128,14)))</f>
        <v>8.5</v>
      </c>
    </row>
    <row r="126" spans="1:10" ht="28" customHeight="1" x14ac:dyDescent="0.2">
      <c r="A126" s="35" t="str">
        <f ca="1">INDIRECT(_xlfn.TEXTJOIN("",TRUE,A131,"!",ADDRESS(24+(A132-1)*A128,1)))</f>
        <v>GP 01</v>
      </c>
      <c r="B126" s="36"/>
      <c r="C126" s="37" t="str">
        <f ca="1">INDIRECT(_xlfn.TEXTJOIN("",TRUE,A131,"!",ADDRESS(24+(A132-1)*A128,2)))</f>
        <v>General Proficiency ($)</v>
      </c>
      <c r="D126" s="38"/>
      <c r="E126" s="38"/>
      <c r="F126" s="38"/>
      <c r="G126" s="39"/>
      <c r="H126" s="20">
        <f ca="1">INDIRECT(_xlfn.TEXTJOIN("",TRUE,A131,"!",ADDRESS(24+(A132-1)*A128,6)))</f>
        <v>0</v>
      </c>
      <c r="I126" s="40" t="str">
        <f ca="1">INDIRECT(_xlfn.TEXTJOIN("",TRUE,A131,"!",ADDRESS(24+(A132-1)*A128,13)))</f>
        <v>Excellent</v>
      </c>
      <c r="J126" s="41"/>
    </row>
    <row r="127" spans="1:10" ht="28" customHeight="1" x14ac:dyDescent="0.2">
      <c r="A127" s="42" t="s">
        <v>52</v>
      </c>
      <c r="B127" s="42"/>
      <c r="C127" s="42"/>
      <c r="D127" s="42"/>
      <c r="E127" s="42"/>
      <c r="F127" s="42"/>
      <c r="G127" s="42"/>
      <c r="H127" s="16">
        <f ca="1">SUM(H115:H126)</f>
        <v>23</v>
      </c>
      <c r="I127" s="16" t="s">
        <v>44</v>
      </c>
      <c r="J127" s="16">
        <f ca="1">SUMPRODUCT(J115:J125,H115:H125)</f>
        <v>45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43" t="s">
        <v>40</v>
      </c>
      <c r="B129" s="43"/>
      <c r="C129" s="21">
        <f ca="1">INDIRECT(_xlfn.TEXTJOIN("",TRUE,A131,"!",ADDRESS(5+A132*A128,12)))</f>
        <v>6</v>
      </c>
      <c r="D129" s="43" t="s">
        <v>38</v>
      </c>
      <c r="E129" s="43"/>
      <c r="F129" s="18">
        <f ca="1">INDIRECT(_xlfn.TEXTJOIN("",TRUE,A131,"!",ADDRESS(5+A132*A128,8)))</f>
        <v>1.9565217391304348</v>
      </c>
      <c r="G129" s="43" t="s">
        <v>39</v>
      </c>
      <c r="H129" s="43"/>
      <c r="I129" s="44">
        <f ca="1">INDIRECT(_xlfn.TEXTJOIN("",TRUE,A131,"!",ADDRESS(5+A132*A128,10)))</f>
        <v>1.9565217391304348</v>
      </c>
      <c r="J129" s="44"/>
    </row>
    <row r="130" spans="1:10" ht="28" customHeight="1" x14ac:dyDescent="0.2">
      <c r="A130" s="19" t="s">
        <v>36</v>
      </c>
      <c r="B130" s="45" t="str">
        <f ca="1">INDIRECT(_xlfn.TEXTJOIN("",TRUE,A131,"!",ADDRESS(5+A132*A128,2)))</f>
        <v>CARRY OVER</v>
      </c>
      <c r="C130" s="45"/>
      <c r="D130" s="46" t="s">
        <v>37</v>
      </c>
      <c r="E130" s="46"/>
      <c r="F130" s="47" t="str">
        <f ca="1">INDIRECT(_xlfn.TEXTJOIN("",TRUE,A131,"!",ADDRESS(5+A132*A128,5)))</f>
        <v>BACK IN AHT 001, AHT 003, EET 001, CST 001, AHT 004, AHP 003</v>
      </c>
      <c r="G130" s="47"/>
      <c r="H130" s="47"/>
      <c r="I130" s="47"/>
      <c r="J130" s="47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48" t="s">
        <v>24</v>
      </c>
      <c r="B133" s="48"/>
      <c r="C133" s="48" t="str">
        <f ca="1">INDIRECT(_xlfn.TEXTJOIN("",TRUE,A152,"!",ADDRESS(9+(A153-1)*A149,2)))</f>
        <v>KANIKA BHATT</v>
      </c>
      <c r="D133" s="48"/>
      <c r="E133" s="48"/>
      <c r="F133" s="48" t="s">
        <v>50</v>
      </c>
      <c r="G133" s="48"/>
      <c r="H133" s="48"/>
      <c r="I133" s="49">
        <f ca="1">INDIRECT(_xlfn.TEXTJOIN("",TRUE,A152,"!",ADDRESS(9+(A153-1)*A149,9)))</f>
        <v>250090111007</v>
      </c>
      <c r="J133" s="49"/>
    </row>
    <row r="134" spans="1:10" ht="28" customHeight="1" x14ac:dyDescent="0.2">
      <c r="A134" s="48" t="s">
        <v>25</v>
      </c>
      <c r="B134" s="48"/>
      <c r="C134" s="48" t="str">
        <f ca="1">INDIRECT(_xlfn.TEXTJOIN("",TRUE,A152,"!",ADDRESS(9+(A153-1)*A149,5)))</f>
        <v>SHAMBHU PRASAD BHATT</v>
      </c>
      <c r="D134" s="48"/>
      <c r="E134" s="48"/>
      <c r="F134" s="50" t="s">
        <v>51</v>
      </c>
      <c r="G134" s="50"/>
      <c r="H134" s="50"/>
      <c r="I134" s="49" t="str">
        <f ca="1">INDIRECT(_xlfn.TEXTJOIN("",TRUE,A152,"!",ADDRESS(9+(A153-1)*A149,13)))</f>
        <v>UTU/2501103847</v>
      </c>
      <c r="J134" s="49"/>
    </row>
    <row r="135" spans="1:10" ht="28" customHeight="1" x14ac:dyDescent="0.2">
      <c r="A135" s="45" t="s">
        <v>28</v>
      </c>
      <c r="B135" s="45"/>
      <c r="C135" s="45" t="s">
        <v>29</v>
      </c>
      <c r="D135" s="45"/>
      <c r="E135" s="45"/>
      <c r="F135" s="45"/>
      <c r="G135" s="45"/>
      <c r="H135" s="15" t="s">
        <v>30</v>
      </c>
      <c r="I135" s="15" t="s">
        <v>10</v>
      </c>
      <c r="J135" s="15" t="s">
        <v>34</v>
      </c>
    </row>
    <row r="136" spans="1:10" ht="28" customHeight="1" x14ac:dyDescent="0.2">
      <c r="A136" s="35" t="str">
        <f ca="1">INDIRECT(_xlfn.TEXTJOIN("",TRUE,A152,"!",ADDRESS(13+(A153-1)*A149,1)))</f>
        <v>AHT 001</v>
      </c>
      <c r="B136" s="36"/>
      <c r="C136" s="37" t="str">
        <f ca="1">INDIRECT(_xlfn.TEXTJOIN("",TRUE,A152,"!",ADDRESS(13+(A153-1)*A149,2)))</f>
        <v>Engineering Physics</v>
      </c>
      <c r="D136" s="38"/>
      <c r="E136" s="38"/>
      <c r="F136" s="38"/>
      <c r="G136" s="39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E</v>
      </c>
      <c r="J136" s="20">
        <f ca="1">INDIRECT(_xlfn.TEXTJOIN("",TRUE,A152,"!",ADDRESS(13+(A153-1)*A149,14)))</f>
        <v>5</v>
      </c>
    </row>
    <row r="137" spans="1:10" ht="28" customHeight="1" x14ac:dyDescent="0.2">
      <c r="A137" s="35" t="str">
        <f ca="1">INDIRECT(_xlfn.TEXTJOIN("",TRUE,A152,"!",ADDRESS(14+(A153-1)*A149,1)))</f>
        <v>AHT 003</v>
      </c>
      <c r="B137" s="36"/>
      <c r="C137" s="37" t="str">
        <f ca="1">INDIRECT(_xlfn.TEXTJOIN("",TRUE,A152,"!",ADDRESS(14+(A153-1)*A149,2)))</f>
        <v>Introduction to Engineering Mathematics</v>
      </c>
      <c r="D137" s="38"/>
      <c r="E137" s="38"/>
      <c r="F137" s="38"/>
      <c r="G137" s="39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P</v>
      </c>
      <c r="J137" s="20">
        <f ca="1">INDIRECT(_xlfn.TEXTJOIN("",TRUE,A152,"!",ADDRESS(14+(A153-1)*A149,14)))</f>
        <v>4.5</v>
      </c>
    </row>
    <row r="138" spans="1:10" ht="28" customHeight="1" x14ac:dyDescent="0.2">
      <c r="A138" s="35" t="str">
        <f ca="1">INDIRECT(_xlfn.TEXTJOIN("",TRUE,A152,"!",ADDRESS(15+(A153-1)*A149,1)))</f>
        <v>EET 001</v>
      </c>
      <c r="B138" s="36"/>
      <c r="C138" s="37" t="str">
        <f ca="1">INDIRECT(_xlfn.TEXTJOIN("",TRUE,A152,"!",ADDRESS(15+(A153-1)*A149,2)))</f>
        <v>Basic Electrical Engineering</v>
      </c>
      <c r="D138" s="38"/>
      <c r="E138" s="38"/>
      <c r="F138" s="38"/>
      <c r="G138" s="39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E</v>
      </c>
      <c r="J138" s="20">
        <f ca="1">INDIRECT(_xlfn.TEXTJOIN("",TRUE,A152,"!",ADDRESS(15+(A153-1)*A149,14)))</f>
        <v>5</v>
      </c>
    </row>
    <row r="139" spans="1:10" ht="28" customHeight="1" x14ac:dyDescent="0.2">
      <c r="A139" s="35" t="str">
        <f ca="1">INDIRECT(_xlfn.TEXTJOIN("",TRUE,A152,"!",ADDRESS(16+(A153-1)*A149,1)))</f>
        <v>CST 001</v>
      </c>
      <c r="B139" s="36"/>
      <c r="C139" s="37" t="str">
        <f ca="1">INDIRECT(_xlfn.TEXTJOIN("",TRUE,A152,"!",ADDRESS(16+(A153-1)*A149,2)))</f>
        <v>Programming for Problem Solving</v>
      </c>
      <c r="D139" s="38"/>
      <c r="E139" s="38"/>
      <c r="F139" s="38"/>
      <c r="G139" s="39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D</v>
      </c>
      <c r="J139" s="20">
        <f ca="1">INDIRECT(_xlfn.TEXTJOIN("",TRUE,A152,"!",ADDRESS(16+(A153-1)*A149,14)))</f>
        <v>6</v>
      </c>
    </row>
    <row r="140" spans="1:10" ht="28" customHeight="1" x14ac:dyDescent="0.2">
      <c r="A140" s="35" t="str">
        <f ca="1">INDIRECT(_xlfn.TEXTJOIN("",TRUE,A152,"!",ADDRESS(17+(A153-1)*A149,1)))</f>
        <v>AHT 004</v>
      </c>
      <c r="B140" s="36"/>
      <c r="C140" s="37" t="str">
        <f ca="1">INDIRECT(_xlfn.TEXTJOIN("",TRUE,A152,"!",ADDRESS(17+(A153-1)*A149,2)))</f>
        <v>Environmental Studies ($)</v>
      </c>
      <c r="D140" s="38"/>
      <c r="E140" s="38"/>
      <c r="F140" s="38"/>
      <c r="G140" s="39"/>
      <c r="H140" s="20">
        <f ca="1">INDIRECT(_xlfn.TEXTJOIN("",TRUE,A152,"!",ADDRESS(17+(A153-1)*A149,6)))</f>
        <v>0</v>
      </c>
      <c r="I140" s="20" t="str">
        <f ca="1">INDIRECT(_xlfn.TEXTJOIN("",TRUE,A152,"!",ADDRESS(17+(A153-1)*A149,13)))</f>
        <v>D</v>
      </c>
      <c r="J140" s="20">
        <f ca="1">INDIRECT(_xlfn.TEXTJOIN("",TRUE,A152,"!",ADDRESS(17+(A153-1)*A149,14)))</f>
        <v>6</v>
      </c>
    </row>
    <row r="141" spans="1:10" ht="28" customHeight="1" x14ac:dyDescent="0.2">
      <c r="A141" s="35" t="str">
        <f ca="1">INDIRECT(_xlfn.TEXTJOIN("",TRUE,A152,"!",ADDRESS(18+(A153-1)*A149,1)))</f>
        <v>AHP 001</v>
      </c>
      <c r="B141" s="36"/>
      <c r="C141" s="37" t="str">
        <f ca="1">INDIRECT(_xlfn.TEXTJOIN("",TRUE,A152,"!",ADDRESS(18+(A153-1)*A149,2)))</f>
        <v>Engineering Physics Lab</v>
      </c>
      <c r="D141" s="38"/>
      <c r="E141" s="38"/>
      <c r="F141" s="38"/>
      <c r="G141" s="39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A+</v>
      </c>
      <c r="J141" s="20">
        <f ca="1">INDIRECT(_xlfn.TEXTJOIN("",TRUE,A152,"!",ADDRESS(18+(A153-1)*A149,14)))</f>
        <v>9.5</v>
      </c>
    </row>
    <row r="142" spans="1:10" ht="28" customHeight="1" x14ac:dyDescent="0.2">
      <c r="A142" s="35" t="str">
        <f ca="1">INDIRECT(_xlfn.TEXTJOIN("",TRUE,A152,"!",ADDRESS(19+(A153-1)*A149,1)))</f>
        <v>EEP 001</v>
      </c>
      <c r="B142" s="36"/>
      <c r="C142" s="37" t="str">
        <f ca="1">INDIRECT(_xlfn.TEXTJOIN("",TRUE,A152,"!",ADDRESS(19+(A153-1)*A149,2)))</f>
        <v>Basic Electrical Engineering Lab</v>
      </c>
      <c r="D142" s="38"/>
      <c r="E142" s="38"/>
      <c r="F142" s="38"/>
      <c r="G142" s="39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A</v>
      </c>
      <c r="J142" s="20">
        <f ca="1">INDIRECT(_xlfn.TEXTJOIN("",TRUE,A152,"!",ADDRESS(19+(A153-1)*A149,14)))</f>
        <v>9</v>
      </c>
    </row>
    <row r="143" spans="1:10" ht="28" customHeight="1" x14ac:dyDescent="0.2">
      <c r="A143" s="35" t="str">
        <f ca="1">INDIRECT(_xlfn.TEXTJOIN("",TRUE,A152,"!",ADDRESS(20+(A153-1)*A149,1)))</f>
        <v>CSP 001</v>
      </c>
      <c r="B143" s="36"/>
      <c r="C143" s="37" t="str">
        <f ca="1">INDIRECT(_xlfn.TEXTJOIN("",TRUE,A152,"!",ADDRESS(20+(A153-1)*A149,2)))</f>
        <v>Programming for Problem Solving Lab</v>
      </c>
      <c r="D143" s="38"/>
      <c r="E143" s="38"/>
      <c r="F143" s="38"/>
      <c r="G143" s="39"/>
      <c r="H143" s="20">
        <f ca="1">INDIRECT(_xlfn.TEXTJOIN("",TRUE,A152,"!",ADDRESS(20+(A153-1)*A149,6)))</f>
        <v>1</v>
      </c>
      <c r="I143" s="20" t="str">
        <f ca="1">INDIRECT(_xlfn.TEXTJOIN("",TRUE,A152,"!",ADDRESS(20+(A153-1)*A149,13)))</f>
        <v>A+</v>
      </c>
      <c r="J143" s="20">
        <f ca="1">INDIRECT(_xlfn.TEXTJOIN("",TRUE,A152,"!",ADDRESS(20+(A153-1)*A149,14)))</f>
        <v>9.5</v>
      </c>
    </row>
    <row r="144" spans="1:10" ht="28" customHeight="1" x14ac:dyDescent="0.2">
      <c r="A144" s="35" t="str">
        <f ca="1">INDIRECT(_xlfn.TEXTJOIN("",TRUE,A152,"!",ADDRESS(21+(A153-1)*A149,1)))</f>
        <v>MEP 002</v>
      </c>
      <c r="B144" s="36"/>
      <c r="C144" s="37" t="str">
        <f ca="1">INDIRECT(_xlfn.TEXTJOIN("",TRUE,A152,"!",ADDRESS(21+(A153-1)*A149,2)))</f>
        <v>Engineering Graphics &amp; Design Lab</v>
      </c>
      <c r="D144" s="38"/>
      <c r="E144" s="38"/>
      <c r="F144" s="38"/>
      <c r="G144" s="39"/>
      <c r="H144" s="20">
        <f ca="1">INDIRECT(_xlfn.TEXTJOIN("",TRUE,A152,"!",ADDRESS(21+(A153-1)*A149,6)))</f>
        <v>2</v>
      </c>
      <c r="I144" s="20" t="str">
        <f ca="1">INDIRECT(_xlfn.TEXTJOIN("",TRUE,A152,"!",ADDRESS(21+(A153-1)*A149,13)))</f>
        <v>A+</v>
      </c>
      <c r="J144" s="20">
        <f ca="1">INDIRECT(_xlfn.TEXTJOIN("",TRUE,A152,"!",ADDRESS(21+(A153-1)*A149,14)))</f>
        <v>9.5</v>
      </c>
    </row>
    <row r="145" spans="1:10" ht="28" customHeight="1" x14ac:dyDescent="0.2">
      <c r="A145" s="35" t="str">
        <f ca="1">INDIRECT(_xlfn.TEXTJOIN("",TRUE,A152,"!",ADDRESS(22+(A153-1)*A149,1)))</f>
        <v>AHP 003</v>
      </c>
      <c r="B145" s="36"/>
      <c r="C145" s="37" t="str">
        <f ca="1">INDIRECT(_xlfn.TEXTJOIN("",TRUE,A152,"!",ADDRESS(22+(A153-1)*A149,2)))</f>
        <v>Introduction to Digital Marketing Lab</v>
      </c>
      <c r="D145" s="38"/>
      <c r="E145" s="38"/>
      <c r="F145" s="38"/>
      <c r="G145" s="39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C+</v>
      </c>
      <c r="J145" s="20">
        <f ca="1">INDIRECT(_xlfn.TEXTJOIN("",TRUE,A152,"!",ADDRESS(22+(A153-1)*A149,14)))</f>
        <v>7.5</v>
      </c>
    </row>
    <row r="146" spans="1:10" ht="28" customHeight="1" x14ac:dyDescent="0.2">
      <c r="A146" s="35" t="str">
        <f ca="1">INDIRECT(_xlfn.TEXTJOIN("",TRUE,A152,"!",ADDRESS(23+(A153-1)*A149,1)))</f>
        <v>AHP 005</v>
      </c>
      <c r="B146" s="36"/>
      <c r="C146" s="37" t="str">
        <f ca="1">INDIRECT(_xlfn.TEXTJOIN("",TRUE,A152,"!",ADDRESS(23+(A153-1)*A149,2)))</f>
        <v>Self Employment &amp; Entrepreneurship Development</v>
      </c>
      <c r="D146" s="38"/>
      <c r="E146" s="38"/>
      <c r="F146" s="38"/>
      <c r="G146" s="39"/>
      <c r="H146" s="20">
        <f ca="1">INDIRECT(_xlfn.TEXTJOIN("",TRUE,A152,"!",ADDRESS(23+(A153-1)*A149,6)))</f>
        <v>1</v>
      </c>
      <c r="I146" s="20" t="str">
        <f ca="1">INDIRECT(_xlfn.TEXTJOIN("",TRUE,A152,"!",ADDRESS(23+(A153-1)*A149,13)))</f>
        <v>A+</v>
      </c>
      <c r="J146" s="20">
        <f ca="1">INDIRECT(_xlfn.TEXTJOIN("",TRUE,A152,"!",ADDRESS(23+(A153-1)*A149,14)))</f>
        <v>9.5</v>
      </c>
    </row>
    <row r="147" spans="1:10" ht="28" customHeight="1" x14ac:dyDescent="0.2">
      <c r="A147" s="35" t="str">
        <f ca="1">INDIRECT(_xlfn.TEXTJOIN("",TRUE,A152,"!",ADDRESS(24+(A153-1)*A149,1)))</f>
        <v>GP 01</v>
      </c>
      <c r="B147" s="36"/>
      <c r="C147" s="37" t="str">
        <f ca="1">INDIRECT(_xlfn.TEXTJOIN("",TRUE,A152,"!",ADDRESS(24+(A153-1)*A149,2)))</f>
        <v>General Proficiency ($)</v>
      </c>
      <c r="D147" s="38"/>
      <c r="E147" s="38"/>
      <c r="F147" s="38"/>
      <c r="G147" s="39"/>
      <c r="H147" s="20">
        <f ca="1">INDIRECT(_xlfn.TEXTJOIN("",TRUE,A152,"!",ADDRESS(24+(A153-1)*A149,6)))</f>
        <v>0</v>
      </c>
      <c r="I147" s="40" t="str">
        <f ca="1">INDIRECT(_xlfn.TEXTJOIN("",TRUE,A152,"!",ADDRESS(24+(A153-1)*A149,13)))</f>
        <v>Excellent</v>
      </c>
      <c r="J147" s="41"/>
    </row>
    <row r="148" spans="1:10" ht="28" customHeight="1" x14ac:dyDescent="0.2">
      <c r="A148" s="42" t="s">
        <v>52</v>
      </c>
      <c r="B148" s="42"/>
      <c r="C148" s="42"/>
      <c r="D148" s="42"/>
      <c r="E148" s="42"/>
      <c r="F148" s="42"/>
      <c r="G148" s="42"/>
      <c r="H148" s="16">
        <f ca="1">SUM(H136:H147)</f>
        <v>23</v>
      </c>
      <c r="I148" s="16" t="s">
        <v>44</v>
      </c>
      <c r="J148" s="16">
        <f ca="1">SUMPRODUCT(J136:J146,H136:H146)</f>
        <v>146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43" t="s">
        <v>40</v>
      </c>
      <c r="B150" s="43"/>
      <c r="C150" s="21">
        <f ca="1">INDIRECT(_xlfn.TEXTJOIN("",TRUE,A152,"!",ADDRESS(5+A153*A149,12)))</f>
        <v>23</v>
      </c>
      <c r="D150" s="43" t="s">
        <v>38</v>
      </c>
      <c r="E150" s="43"/>
      <c r="F150" s="18">
        <f ca="1">INDIRECT(_xlfn.TEXTJOIN("",TRUE,A152,"!",ADDRESS(5+A153*A149,8)))</f>
        <v>6.3478260869565215</v>
      </c>
      <c r="G150" s="43" t="s">
        <v>39</v>
      </c>
      <c r="H150" s="43"/>
      <c r="I150" s="44">
        <f ca="1">INDIRECT(_xlfn.TEXTJOIN("",TRUE,A152,"!",ADDRESS(5+A153*A149,10)))</f>
        <v>6.3478260869565215</v>
      </c>
      <c r="J150" s="44"/>
    </row>
    <row r="151" spans="1:10" ht="28" customHeight="1" x14ac:dyDescent="0.2">
      <c r="A151" s="19" t="s">
        <v>36</v>
      </c>
      <c r="B151" s="45" t="str">
        <f ca="1">INDIRECT(_xlfn.TEXTJOIN("",TRUE,A152,"!",ADDRESS(5+A153*A149,2)))</f>
        <v>PASS</v>
      </c>
      <c r="C151" s="45"/>
      <c r="D151" s="46" t="s">
        <v>37</v>
      </c>
      <c r="E151" s="46"/>
      <c r="F151" s="47" t="str">
        <f ca="1">INDIRECT(_xlfn.TEXTJOIN("",TRUE,A152,"!",ADDRESS(5+A153*A149,5)))</f>
        <v/>
      </c>
      <c r="G151" s="47"/>
      <c r="H151" s="47"/>
      <c r="I151" s="47"/>
      <c r="J151" s="47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48" t="s">
        <v>24</v>
      </c>
      <c r="B154" s="48"/>
      <c r="C154" s="48" t="str">
        <f ca="1">INDIRECT(_xlfn.TEXTJOIN("",TRUE,A173,"!",ADDRESS(9+(A174-1)*A170,2)))</f>
        <v>KRRISH THAKUR</v>
      </c>
      <c r="D154" s="48"/>
      <c r="E154" s="48"/>
      <c r="F154" s="48" t="s">
        <v>50</v>
      </c>
      <c r="G154" s="48"/>
      <c r="H154" s="48"/>
      <c r="I154" s="49">
        <f ca="1">INDIRECT(_xlfn.TEXTJOIN("",TRUE,A173,"!",ADDRESS(9+(A174-1)*A170,9)))</f>
        <v>250090111008</v>
      </c>
      <c r="J154" s="49"/>
    </row>
    <row r="155" spans="1:10" ht="28" customHeight="1" x14ac:dyDescent="0.2">
      <c r="A155" s="48" t="s">
        <v>25</v>
      </c>
      <c r="B155" s="48"/>
      <c r="C155" s="48" t="str">
        <f ca="1">INDIRECT(_xlfn.TEXTJOIN("",TRUE,A173,"!",ADDRESS(9+(A174-1)*A170,5)))</f>
        <v>SUDHIR THAKUR</v>
      </c>
      <c r="D155" s="48"/>
      <c r="E155" s="48"/>
      <c r="F155" s="50" t="s">
        <v>51</v>
      </c>
      <c r="G155" s="50"/>
      <c r="H155" s="50"/>
      <c r="I155" s="49" t="str">
        <f ca="1">INDIRECT(_xlfn.TEXTJOIN("",TRUE,A173,"!",ADDRESS(9+(A174-1)*A170,13)))</f>
        <v>UTU/2501103872</v>
      </c>
      <c r="J155" s="49"/>
    </row>
    <row r="156" spans="1:10" ht="28" customHeight="1" x14ac:dyDescent="0.2">
      <c r="A156" s="45" t="s">
        <v>28</v>
      </c>
      <c r="B156" s="45"/>
      <c r="C156" s="45" t="s">
        <v>29</v>
      </c>
      <c r="D156" s="45"/>
      <c r="E156" s="45"/>
      <c r="F156" s="45"/>
      <c r="G156" s="45"/>
      <c r="H156" s="15" t="s">
        <v>30</v>
      </c>
      <c r="I156" s="15" t="s">
        <v>10</v>
      </c>
      <c r="J156" s="15" t="s">
        <v>34</v>
      </c>
    </row>
    <row r="157" spans="1:10" ht="28" customHeight="1" x14ac:dyDescent="0.2">
      <c r="A157" s="35" t="str">
        <f ca="1">INDIRECT(_xlfn.TEXTJOIN("",TRUE,A173,"!",ADDRESS(13+(A174-1)*A170,1)))</f>
        <v>AHT 001</v>
      </c>
      <c r="B157" s="36"/>
      <c r="C157" s="37" t="str">
        <f ca="1">INDIRECT(_xlfn.TEXTJOIN("",TRUE,A173,"!",ADDRESS(13+(A174-1)*A170,2)))</f>
        <v>Engineering Physics</v>
      </c>
      <c r="D157" s="38"/>
      <c r="E157" s="38"/>
      <c r="F157" s="38"/>
      <c r="G157" s="39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F</v>
      </c>
      <c r="J157" s="20">
        <f ca="1">INDIRECT(_xlfn.TEXTJOIN("",TRUE,A173,"!",ADDRESS(13+(A174-1)*A170,14)))</f>
        <v>0</v>
      </c>
    </row>
    <row r="158" spans="1:10" ht="28" customHeight="1" x14ac:dyDescent="0.2">
      <c r="A158" s="35" t="str">
        <f ca="1">INDIRECT(_xlfn.TEXTJOIN("",TRUE,A173,"!",ADDRESS(14+(A174-1)*A170,1)))</f>
        <v>AHT 003</v>
      </c>
      <c r="B158" s="36"/>
      <c r="C158" s="37" t="str">
        <f ca="1">INDIRECT(_xlfn.TEXTJOIN("",TRUE,A173,"!",ADDRESS(14+(A174-1)*A170,2)))</f>
        <v>Introduction to Engineering Mathematics</v>
      </c>
      <c r="D158" s="38"/>
      <c r="E158" s="38"/>
      <c r="F158" s="38"/>
      <c r="G158" s="39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Dt</v>
      </c>
      <c r="J158" s="20">
        <f ca="1">INDIRECT(_xlfn.TEXTJOIN("",TRUE,A173,"!",ADDRESS(14+(A174-1)*A170,14)))</f>
        <v>0</v>
      </c>
    </row>
    <row r="159" spans="1:10" ht="28" customHeight="1" x14ac:dyDescent="0.2">
      <c r="A159" s="35" t="str">
        <f ca="1">INDIRECT(_xlfn.TEXTJOIN("",TRUE,A173,"!",ADDRESS(15+(A174-1)*A170,1)))</f>
        <v>EET 001</v>
      </c>
      <c r="B159" s="36"/>
      <c r="C159" s="37" t="str">
        <f ca="1">INDIRECT(_xlfn.TEXTJOIN("",TRUE,A173,"!",ADDRESS(15+(A174-1)*A170,2)))</f>
        <v>Basic Electrical Engineering</v>
      </c>
      <c r="D159" s="38"/>
      <c r="E159" s="38"/>
      <c r="F159" s="38"/>
      <c r="G159" s="39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F</v>
      </c>
      <c r="J159" s="20">
        <f ca="1">INDIRECT(_xlfn.TEXTJOIN("",TRUE,A173,"!",ADDRESS(15+(A174-1)*A170,14)))</f>
        <v>0</v>
      </c>
    </row>
    <row r="160" spans="1:10" ht="28" customHeight="1" x14ac:dyDescent="0.2">
      <c r="A160" s="35" t="str">
        <f ca="1">INDIRECT(_xlfn.TEXTJOIN("",TRUE,A173,"!",ADDRESS(16+(A174-1)*A170,1)))</f>
        <v>CST 001</v>
      </c>
      <c r="B160" s="36"/>
      <c r="C160" s="37" t="str">
        <f ca="1">INDIRECT(_xlfn.TEXTJOIN("",TRUE,A173,"!",ADDRESS(16+(A174-1)*A170,2)))</f>
        <v>Programming for Problem Solving</v>
      </c>
      <c r="D160" s="38"/>
      <c r="E160" s="38"/>
      <c r="F160" s="38"/>
      <c r="G160" s="39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F</v>
      </c>
      <c r="J160" s="20">
        <f ca="1">INDIRECT(_xlfn.TEXTJOIN("",TRUE,A173,"!",ADDRESS(16+(A174-1)*A170,14)))</f>
        <v>0</v>
      </c>
    </row>
    <row r="161" spans="1:10" ht="28" customHeight="1" x14ac:dyDescent="0.2">
      <c r="A161" s="35" t="str">
        <f ca="1">INDIRECT(_xlfn.TEXTJOIN("",TRUE,A173,"!",ADDRESS(17+(A174-1)*A170,1)))</f>
        <v>AHT 004</v>
      </c>
      <c r="B161" s="36"/>
      <c r="C161" s="37" t="str">
        <f ca="1">INDIRECT(_xlfn.TEXTJOIN("",TRUE,A173,"!",ADDRESS(17+(A174-1)*A170,2)))</f>
        <v>Environmental Studies ($)</v>
      </c>
      <c r="D161" s="38"/>
      <c r="E161" s="38"/>
      <c r="F161" s="38"/>
      <c r="G161" s="39"/>
      <c r="H161" s="20">
        <f ca="1">INDIRECT(_xlfn.TEXTJOIN("",TRUE,A173,"!",ADDRESS(17+(A174-1)*A170,6)))</f>
        <v>0</v>
      </c>
      <c r="I161" s="20" t="str">
        <f ca="1">INDIRECT(_xlfn.TEXTJOIN("",TRUE,A173,"!",ADDRESS(17+(A174-1)*A170,13)))</f>
        <v>F</v>
      </c>
      <c r="J161" s="20">
        <f ca="1">INDIRECT(_xlfn.TEXTJOIN("",TRUE,A173,"!",ADDRESS(17+(A174-1)*A170,14)))</f>
        <v>0</v>
      </c>
    </row>
    <row r="162" spans="1:10" ht="28" customHeight="1" x14ac:dyDescent="0.2">
      <c r="A162" s="35" t="str">
        <f ca="1">INDIRECT(_xlfn.TEXTJOIN("",TRUE,A173,"!",ADDRESS(18+(A174-1)*A170,1)))</f>
        <v>AHP 001</v>
      </c>
      <c r="B162" s="36"/>
      <c r="C162" s="37" t="str">
        <f ca="1">INDIRECT(_xlfn.TEXTJOIN("",TRUE,A173,"!",ADDRESS(18+(A174-1)*A170,2)))</f>
        <v>Engineering Physics Lab</v>
      </c>
      <c r="D162" s="38"/>
      <c r="E162" s="38"/>
      <c r="F162" s="38"/>
      <c r="G162" s="39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C+</v>
      </c>
      <c r="J162" s="20">
        <f ca="1">INDIRECT(_xlfn.TEXTJOIN("",TRUE,A173,"!",ADDRESS(18+(A174-1)*A170,14)))</f>
        <v>7.5</v>
      </c>
    </row>
    <row r="163" spans="1:10" ht="28" customHeight="1" x14ac:dyDescent="0.2">
      <c r="A163" s="35" t="str">
        <f ca="1">INDIRECT(_xlfn.TEXTJOIN("",TRUE,A173,"!",ADDRESS(19+(A174-1)*A170,1)))</f>
        <v>EEP 001</v>
      </c>
      <c r="B163" s="36"/>
      <c r="C163" s="37" t="str">
        <f ca="1">INDIRECT(_xlfn.TEXTJOIN("",TRUE,A173,"!",ADDRESS(19+(A174-1)*A170,2)))</f>
        <v>Basic Electrical Engineering Lab</v>
      </c>
      <c r="D163" s="38"/>
      <c r="E163" s="38"/>
      <c r="F163" s="38"/>
      <c r="G163" s="39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Dt</v>
      </c>
      <c r="J163" s="20">
        <f ca="1">INDIRECT(_xlfn.TEXTJOIN("",TRUE,A173,"!",ADDRESS(19+(A174-1)*A170,14)))</f>
        <v>0</v>
      </c>
    </row>
    <row r="164" spans="1:10" ht="28" customHeight="1" x14ac:dyDescent="0.2">
      <c r="A164" s="35" t="str">
        <f ca="1">INDIRECT(_xlfn.TEXTJOIN("",TRUE,A173,"!",ADDRESS(20+(A174-1)*A170,1)))</f>
        <v>CSP 001</v>
      </c>
      <c r="B164" s="36"/>
      <c r="C164" s="37" t="str">
        <f ca="1">INDIRECT(_xlfn.TEXTJOIN("",TRUE,A173,"!",ADDRESS(20+(A174-1)*A170,2)))</f>
        <v>Programming for Problem Solving Lab</v>
      </c>
      <c r="D164" s="38"/>
      <c r="E164" s="38"/>
      <c r="F164" s="38"/>
      <c r="G164" s="39"/>
      <c r="H164" s="20">
        <f ca="1">INDIRECT(_xlfn.TEXTJOIN("",TRUE,A173,"!",ADDRESS(20+(A174-1)*A170,6)))</f>
        <v>1</v>
      </c>
      <c r="I164" s="20" t="str">
        <f ca="1">INDIRECT(_xlfn.TEXTJOIN("",TRUE,A173,"!",ADDRESS(20+(A174-1)*A170,13)))</f>
        <v>C</v>
      </c>
      <c r="J164" s="20">
        <f ca="1">INDIRECT(_xlfn.TEXTJOIN("",TRUE,A173,"!",ADDRESS(20+(A174-1)*A170,14)))</f>
        <v>7</v>
      </c>
    </row>
    <row r="165" spans="1:10" ht="28" customHeight="1" x14ac:dyDescent="0.2">
      <c r="A165" s="35" t="str">
        <f ca="1">INDIRECT(_xlfn.TEXTJOIN("",TRUE,A173,"!",ADDRESS(21+(A174-1)*A170,1)))</f>
        <v>MEP 002</v>
      </c>
      <c r="B165" s="36"/>
      <c r="C165" s="37" t="str">
        <f ca="1">INDIRECT(_xlfn.TEXTJOIN("",TRUE,A173,"!",ADDRESS(21+(A174-1)*A170,2)))</f>
        <v>Engineering Graphics &amp; Design Lab</v>
      </c>
      <c r="D165" s="38"/>
      <c r="E165" s="38"/>
      <c r="F165" s="38"/>
      <c r="G165" s="39"/>
      <c r="H165" s="20">
        <f ca="1">INDIRECT(_xlfn.TEXTJOIN("",TRUE,A173,"!",ADDRESS(21+(A174-1)*A170,6)))</f>
        <v>2</v>
      </c>
      <c r="I165" s="20" t="str">
        <f ca="1">INDIRECT(_xlfn.TEXTJOIN("",TRUE,A173,"!",ADDRESS(21+(A174-1)*A170,13)))</f>
        <v>B</v>
      </c>
      <c r="J165" s="20">
        <f ca="1">INDIRECT(_xlfn.TEXTJOIN("",TRUE,A173,"!",ADDRESS(21+(A174-1)*A170,14)))</f>
        <v>8</v>
      </c>
    </row>
    <row r="166" spans="1:10" ht="28" customHeight="1" x14ac:dyDescent="0.2">
      <c r="A166" s="35" t="str">
        <f ca="1">INDIRECT(_xlfn.TEXTJOIN("",TRUE,A173,"!",ADDRESS(22+(A174-1)*A170,1)))</f>
        <v>AHP 003</v>
      </c>
      <c r="B166" s="36"/>
      <c r="C166" s="37" t="str">
        <f ca="1">INDIRECT(_xlfn.TEXTJOIN("",TRUE,A173,"!",ADDRESS(22+(A174-1)*A170,2)))</f>
        <v>Introduction to Digital Marketing Lab</v>
      </c>
      <c r="D166" s="38"/>
      <c r="E166" s="38"/>
      <c r="F166" s="38"/>
      <c r="G166" s="39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D+</v>
      </c>
      <c r="J166" s="20">
        <f ca="1">INDIRECT(_xlfn.TEXTJOIN("",TRUE,A173,"!",ADDRESS(22+(A174-1)*A170,14)))</f>
        <v>6.5</v>
      </c>
    </row>
    <row r="167" spans="1:10" ht="28" customHeight="1" x14ac:dyDescent="0.2">
      <c r="A167" s="35" t="str">
        <f ca="1">INDIRECT(_xlfn.TEXTJOIN("",TRUE,A173,"!",ADDRESS(23+(A174-1)*A170,1)))</f>
        <v>AHP 005</v>
      </c>
      <c r="B167" s="36"/>
      <c r="C167" s="37" t="str">
        <f ca="1">INDIRECT(_xlfn.TEXTJOIN("",TRUE,A173,"!",ADDRESS(23+(A174-1)*A170,2)))</f>
        <v>Self Employment &amp; Entrepreneurship Development</v>
      </c>
      <c r="D167" s="38"/>
      <c r="E167" s="38"/>
      <c r="F167" s="38"/>
      <c r="G167" s="39"/>
      <c r="H167" s="20">
        <f ca="1">INDIRECT(_xlfn.TEXTJOIN("",TRUE,A173,"!",ADDRESS(23+(A174-1)*A170,6)))</f>
        <v>1</v>
      </c>
      <c r="I167" s="20" t="str">
        <f ca="1">INDIRECT(_xlfn.TEXTJOIN("",TRUE,A173,"!",ADDRESS(23+(A174-1)*A170,13)))</f>
        <v>B+</v>
      </c>
      <c r="J167" s="20">
        <f ca="1">INDIRECT(_xlfn.TEXTJOIN("",TRUE,A173,"!",ADDRESS(23+(A174-1)*A170,14)))</f>
        <v>8.5</v>
      </c>
    </row>
    <row r="168" spans="1:10" ht="28" customHeight="1" x14ac:dyDescent="0.2">
      <c r="A168" s="35" t="str">
        <f ca="1">INDIRECT(_xlfn.TEXTJOIN("",TRUE,A173,"!",ADDRESS(24+(A174-1)*A170,1)))</f>
        <v>GP 01</v>
      </c>
      <c r="B168" s="36"/>
      <c r="C168" s="37" t="str">
        <f ca="1">INDIRECT(_xlfn.TEXTJOIN("",TRUE,A173,"!",ADDRESS(24+(A174-1)*A170,2)))</f>
        <v>General Proficiency ($)</v>
      </c>
      <c r="D168" s="38"/>
      <c r="E168" s="38"/>
      <c r="F168" s="38"/>
      <c r="G168" s="39"/>
      <c r="H168" s="20">
        <f ca="1">INDIRECT(_xlfn.TEXTJOIN("",TRUE,A173,"!",ADDRESS(24+(A174-1)*A170,6)))</f>
        <v>0</v>
      </c>
      <c r="I168" s="40" t="str">
        <f ca="1">INDIRECT(_xlfn.TEXTJOIN("",TRUE,A173,"!",ADDRESS(24+(A174-1)*A170,13)))</f>
        <v>Excellent</v>
      </c>
      <c r="J168" s="41"/>
    </row>
    <row r="169" spans="1:10" ht="28" customHeight="1" x14ac:dyDescent="0.2">
      <c r="A169" s="42" t="s">
        <v>52</v>
      </c>
      <c r="B169" s="42"/>
      <c r="C169" s="42"/>
      <c r="D169" s="42"/>
      <c r="E169" s="42"/>
      <c r="F169" s="42"/>
      <c r="G169" s="42"/>
      <c r="H169" s="16">
        <f ca="1">SUM(H157:H168)</f>
        <v>23</v>
      </c>
      <c r="I169" s="16" t="s">
        <v>44</v>
      </c>
      <c r="J169" s="16">
        <f ca="1">SUMPRODUCT(J157:J167,H157:H167)</f>
        <v>45.5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43" t="s">
        <v>40</v>
      </c>
      <c r="B171" s="43"/>
      <c r="C171" s="21">
        <f ca="1">INDIRECT(_xlfn.TEXTJOIN("",TRUE,A173,"!",ADDRESS(5+A174*A170,12)))</f>
        <v>6</v>
      </c>
      <c r="D171" s="43" t="s">
        <v>38</v>
      </c>
      <c r="E171" s="43"/>
      <c r="F171" s="18">
        <f ca="1">INDIRECT(_xlfn.TEXTJOIN("",TRUE,A173,"!",ADDRESS(5+A174*A170,8)))</f>
        <v>1.9782608695652173</v>
      </c>
      <c r="G171" s="43" t="s">
        <v>39</v>
      </c>
      <c r="H171" s="43"/>
      <c r="I171" s="44">
        <f ca="1">INDIRECT(_xlfn.TEXTJOIN("",TRUE,A173,"!",ADDRESS(5+A174*A170,10)))</f>
        <v>1.9782608695652173</v>
      </c>
      <c r="J171" s="44"/>
    </row>
    <row r="172" spans="1:10" ht="52.5" customHeight="1" x14ac:dyDescent="0.2">
      <c r="A172" s="19" t="s">
        <v>36</v>
      </c>
      <c r="B172" s="45" t="str">
        <f ca="1">INDIRECT(_xlfn.TEXTJOIN("",TRUE,A173,"!",ADDRESS(5+A174*A170,2)))</f>
        <v>CARRY OVER</v>
      </c>
      <c r="C172" s="45"/>
      <c r="D172" s="46" t="s">
        <v>37</v>
      </c>
      <c r="E172" s="46"/>
      <c r="F172" s="47" t="str">
        <f ca="1">INDIRECT(_xlfn.TEXTJOIN("",TRUE,A173,"!",ADDRESS(5+A174*A170,5)))</f>
        <v>BACK IN AHT 001, AHT 003, EET 001, CST 001, AHT 004, EEP 001</v>
      </c>
      <c r="G172" s="47"/>
      <c r="H172" s="47"/>
      <c r="I172" s="47"/>
      <c r="J172" s="47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48" t="s">
        <v>24</v>
      </c>
      <c r="B175" s="48"/>
      <c r="C175" s="48" t="str">
        <f ca="1">INDIRECT(_xlfn.TEXTJOIN("",TRUE,A194,"!",ADDRESS(9+(A195-1)*A191,2)))</f>
        <v>MANSI PATWAL</v>
      </c>
      <c r="D175" s="48"/>
      <c r="E175" s="48"/>
      <c r="F175" s="48" t="s">
        <v>50</v>
      </c>
      <c r="G175" s="48"/>
      <c r="H175" s="48"/>
      <c r="I175" s="49">
        <f ca="1">INDIRECT(_xlfn.TEXTJOIN("",TRUE,A194,"!",ADDRESS(9+(A195-1)*A191,9)))</f>
        <v>250090111009</v>
      </c>
      <c r="J175" s="49"/>
    </row>
    <row r="176" spans="1:10" ht="28" customHeight="1" x14ac:dyDescent="0.2">
      <c r="A176" s="48" t="s">
        <v>25</v>
      </c>
      <c r="B176" s="48"/>
      <c r="C176" s="48" t="str">
        <f ca="1">INDIRECT(_xlfn.TEXTJOIN("",TRUE,A194,"!",ADDRESS(9+(A195-1)*A191,5)))</f>
        <v>SUNIL PATWAL</v>
      </c>
      <c r="D176" s="48"/>
      <c r="E176" s="48"/>
      <c r="F176" s="50" t="s">
        <v>51</v>
      </c>
      <c r="G176" s="50"/>
      <c r="H176" s="50"/>
      <c r="I176" s="49" t="str">
        <f ca="1">INDIRECT(_xlfn.TEXTJOIN("",TRUE,A194,"!",ADDRESS(9+(A195-1)*A191,13)))</f>
        <v>UTU/2501103935</v>
      </c>
      <c r="J176" s="49"/>
    </row>
    <row r="177" spans="1:10" ht="28" customHeight="1" x14ac:dyDescent="0.2">
      <c r="A177" s="45" t="s">
        <v>28</v>
      </c>
      <c r="B177" s="45"/>
      <c r="C177" s="45" t="s">
        <v>29</v>
      </c>
      <c r="D177" s="45"/>
      <c r="E177" s="45"/>
      <c r="F177" s="45"/>
      <c r="G177" s="45"/>
      <c r="H177" s="15" t="s">
        <v>30</v>
      </c>
      <c r="I177" s="15" t="s">
        <v>10</v>
      </c>
      <c r="J177" s="15" t="s">
        <v>34</v>
      </c>
    </row>
    <row r="178" spans="1:10" ht="28" customHeight="1" x14ac:dyDescent="0.2">
      <c r="A178" s="35" t="str">
        <f ca="1">INDIRECT(_xlfn.TEXTJOIN("",TRUE,A194,"!",ADDRESS(13+(A195-1)*A191,1)))</f>
        <v>AHT 001</v>
      </c>
      <c r="B178" s="36"/>
      <c r="C178" s="37" t="str">
        <f ca="1">INDIRECT(_xlfn.TEXTJOIN("",TRUE,A194,"!",ADDRESS(13+(A195-1)*A191,2)))</f>
        <v>Engineering Physics</v>
      </c>
      <c r="D178" s="38"/>
      <c r="E178" s="38"/>
      <c r="F178" s="38"/>
      <c r="G178" s="39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F</v>
      </c>
      <c r="J178" s="20">
        <f ca="1">INDIRECT(_xlfn.TEXTJOIN("",TRUE,A194,"!",ADDRESS(13+(A195-1)*A191,14)))</f>
        <v>0</v>
      </c>
    </row>
    <row r="179" spans="1:10" ht="28" customHeight="1" x14ac:dyDescent="0.2">
      <c r="A179" s="35" t="str">
        <f ca="1">INDIRECT(_xlfn.TEXTJOIN("",TRUE,A194,"!",ADDRESS(14+(A195-1)*A191,1)))</f>
        <v>AHT 003</v>
      </c>
      <c r="B179" s="36"/>
      <c r="C179" s="37" t="str">
        <f ca="1">INDIRECT(_xlfn.TEXTJOIN("",TRUE,A194,"!",ADDRESS(14+(A195-1)*A191,2)))</f>
        <v>Introduction to Engineering Mathematics</v>
      </c>
      <c r="D179" s="38"/>
      <c r="E179" s="38"/>
      <c r="F179" s="38"/>
      <c r="G179" s="39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F</v>
      </c>
      <c r="J179" s="20">
        <f ca="1">INDIRECT(_xlfn.TEXTJOIN("",TRUE,A194,"!",ADDRESS(14+(A195-1)*A191,14)))</f>
        <v>0</v>
      </c>
    </row>
    <row r="180" spans="1:10" ht="28" customHeight="1" x14ac:dyDescent="0.2">
      <c r="A180" s="35" t="str">
        <f ca="1">INDIRECT(_xlfn.TEXTJOIN("",TRUE,A194,"!",ADDRESS(15+(A195-1)*A191,1)))</f>
        <v>EET 001</v>
      </c>
      <c r="B180" s="36"/>
      <c r="C180" s="37" t="str">
        <f ca="1">INDIRECT(_xlfn.TEXTJOIN("",TRUE,A194,"!",ADDRESS(15+(A195-1)*A191,2)))</f>
        <v>Basic Electrical Engineering</v>
      </c>
      <c r="D180" s="38"/>
      <c r="E180" s="38"/>
      <c r="F180" s="38"/>
      <c r="G180" s="39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F</v>
      </c>
      <c r="J180" s="20">
        <f ca="1">INDIRECT(_xlfn.TEXTJOIN("",TRUE,A194,"!",ADDRESS(15+(A195-1)*A191,14)))</f>
        <v>0</v>
      </c>
    </row>
    <row r="181" spans="1:10" ht="28" customHeight="1" x14ac:dyDescent="0.2">
      <c r="A181" s="35" t="str">
        <f ca="1">INDIRECT(_xlfn.TEXTJOIN("",TRUE,A194,"!",ADDRESS(16+(A195-1)*A191,1)))</f>
        <v>CST 001</v>
      </c>
      <c r="B181" s="36"/>
      <c r="C181" s="37" t="str">
        <f ca="1">INDIRECT(_xlfn.TEXTJOIN("",TRUE,A194,"!",ADDRESS(16+(A195-1)*A191,2)))</f>
        <v>Programming for Problem Solving</v>
      </c>
      <c r="D181" s="38"/>
      <c r="E181" s="38"/>
      <c r="F181" s="38"/>
      <c r="G181" s="39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F</v>
      </c>
      <c r="J181" s="20">
        <f ca="1">INDIRECT(_xlfn.TEXTJOIN("",TRUE,A194,"!",ADDRESS(16+(A195-1)*A191,14)))</f>
        <v>0</v>
      </c>
    </row>
    <row r="182" spans="1:10" ht="28" customHeight="1" x14ac:dyDescent="0.2">
      <c r="A182" s="35" t="str">
        <f ca="1">INDIRECT(_xlfn.TEXTJOIN("",TRUE,A194,"!",ADDRESS(17+(A195-1)*A191,1)))</f>
        <v>AHT 004</v>
      </c>
      <c r="B182" s="36"/>
      <c r="C182" s="37" t="str">
        <f ca="1">INDIRECT(_xlfn.TEXTJOIN("",TRUE,A194,"!",ADDRESS(17+(A195-1)*A191,2)))</f>
        <v>Environmental Studies ($)</v>
      </c>
      <c r="D182" s="38"/>
      <c r="E182" s="38"/>
      <c r="F182" s="38"/>
      <c r="G182" s="39"/>
      <c r="H182" s="20">
        <f ca="1">INDIRECT(_xlfn.TEXTJOIN("",TRUE,A194,"!",ADDRESS(17+(A195-1)*A191,6)))</f>
        <v>0</v>
      </c>
      <c r="I182" s="20" t="str">
        <f ca="1">INDIRECT(_xlfn.TEXTJOIN("",TRUE,A194,"!",ADDRESS(17+(A195-1)*A191,13)))</f>
        <v>E</v>
      </c>
      <c r="J182" s="20">
        <f ca="1">INDIRECT(_xlfn.TEXTJOIN("",TRUE,A194,"!",ADDRESS(17+(A195-1)*A191,14)))</f>
        <v>5</v>
      </c>
    </row>
    <row r="183" spans="1:10" ht="28" customHeight="1" x14ac:dyDescent="0.2">
      <c r="A183" s="35" t="str">
        <f ca="1">INDIRECT(_xlfn.TEXTJOIN("",TRUE,A194,"!",ADDRESS(18+(A195-1)*A191,1)))</f>
        <v>AHP 001</v>
      </c>
      <c r="B183" s="36"/>
      <c r="C183" s="37" t="str">
        <f ca="1">INDIRECT(_xlfn.TEXTJOIN("",TRUE,A194,"!",ADDRESS(18+(A195-1)*A191,2)))</f>
        <v>Engineering Physics Lab</v>
      </c>
      <c r="D183" s="38"/>
      <c r="E183" s="38"/>
      <c r="F183" s="38"/>
      <c r="G183" s="39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B</v>
      </c>
      <c r="J183" s="20">
        <f ca="1">INDIRECT(_xlfn.TEXTJOIN("",TRUE,A194,"!",ADDRESS(18+(A195-1)*A191,14)))</f>
        <v>8</v>
      </c>
    </row>
    <row r="184" spans="1:10" ht="28" customHeight="1" x14ac:dyDescent="0.2">
      <c r="A184" s="35" t="str">
        <f ca="1">INDIRECT(_xlfn.TEXTJOIN("",TRUE,A194,"!",ADDRESS(19+(A195-1)*A191,1)))</f>
        <v>EEP 001</v>
      </c>
      <c r="B184" s="36"/>
      <c r="C184" s="37" t="str">
        <f ca="1">INDIRECT(_xlfn.TEXTJOIN("",TRUE,A194,"!",ADDRESS(19+(A195-1)*A191,2)))</f>
        <v>Basic Electrical Engineering Lab</v>
      </c>
      <c r="D184" s="38"/>
      <c r="E184" s="38"/>
      <c r="F184" s="38"/>
      <c r="G184" s="39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C+</v>
      </c>
      <c r="J184" s="20">
        <f ca="1">INDIRECT(_xlfn.TEXTJOIN("",TRUE,A194,"!",ADDRESS(19+(A195-1)*A191,14)))</f>
        <v>7.5</v>
      </c>
    </row>
    <row r="185" spans="1:10" ht="28" customHeight="1" x14ac:dyDescent="0.2">
      <c r="A185" s="35" t="str">
        <f ca="1">INDIRECT(_xlfn.TEXTJOIN("",TRUE,A194,"!",ADDRESS(20+(A195-1)*A191,1)))</f>
        <v>CSP 001</v>
      </c>
      <c r="B185" s="36"/>
      <c r="C185" s="37" t="str">
        <f ca="1">INDIRECT(_xlfn.TEXTJOIN("",TRUE,A194,"!",ADDRESS(20+(A195-1)*A191,2)))</f>
        <v>Programming for Problem Solving Lab</v>
      </c>
      <c r="D185" s="38"/>
      <c r="E185" s="38"/>
      <c r="F185" s="38"/>
      <c r="G185" s="39"/>
      <c r="H185" s="20">
        <f ca="1">INDIRECT(_xlfn.TEXTJOIN("",TRUE,A194,"!",ADDRESS(20+(A195-1)*A191,6)))</f>
        <v>1</v>
      </c>
      <c r="I185" s="20" t="str">
        <f ca="1">INDIRECT(_xlfn.TEXTJOIN("",TRUE,A194,"!",ADDRESS(20+(A195-1)*A191,13)))</f>
        <v>C+</v>
      </c>
      <c r="J185" s="20">
        <f ca="1">INDIRECT(_xlfn.TEXTJOIN("",TRUE,A194,"!",ADDRESS(20+(A195-1)*A191,14)))</f>
        <v>7.5</v>
      </c>
    </row>
    <row r="186" spans="1:10" ht="28" customHeight="1" x14ac:dyDescent="0.2">
      <c r="A186" s="35" t="str">
        <f ca="1">INDIRECT(_xlfn.TEXTJOIN("",TRUE,A194,"!",ADDRESS(21+(A195-1)*A191,1)))</f>
        <v>MEP 002</v>
      </c>
      <c r="B186" s="36"/>
      <c r="C186" s="37" t="str">
        <f ca="1">INDIRECT(_xlfn.TEXTJOIN("",TRUE,A194,"!",ADDRESS(21+(A195-1)*A191,2)))</f>
        <v>Engineering Graphics &amp; Design Lab</v>
      </c>
      <c r="D186" s="38"/>
      <c r="E186" s="38"/>
      <c r="F186" s="38"/>
      <c r="G186" s="39"/>
      <c r="H186" s="20">
        <f ca="1">INDIRECT(_xlfn.TEXTJOIN("",TRUE,A194,"!",ADDRESS(21+(A195-1)*A191,6)))</f>
        <v>2</v>
      </c>
      <c r="I186" s="20" t="str">
        <f ca="1">INDIRECT(_xlfn.TEXTJOIN("",TRUE,A194,"!",ADDRESS(21+(A195-1)*A191,13)))</f>
        <v>B</v>
      </c>
      <c r="J186" s="20">
        <f ca="1">INDIRECT(_xlfn.TEXTJOIN("",TRUE,A194,"!",ADDRESS(21+(A195-1)*A191,14)))</f>
        <v>8</v>
      </c>
    </row>
    <row r="187" spans="1:10" ht="28" customHeight="1" x14ac:dyDescent="0.2">
      <c r="A187" s="35" t="str">
        <f ca="1">INDIRECT(_xlfn.TEXTJOIN("",TRUE,A194,"!",ADDRESS(22+(A195-1)*A191,1)))</f>
        <v>AHP 003</v>
      </c>
      <c r="B187" s="36"/>
      <c r="C187" s="37" t="str">
        <f ca="1">INDIRECT(_xlfn.TEXTJOIN("",TRUE,A194,"!",ADDRESS(22+(A195-1)*A191,2)))</f>
        <v>Introduction to Digital Marketing Lab</v>
      </c>
      <c r="D187" s="38"/>
      <c r="E187" s="38"/>
      <c r="F187" s="38"/>
      <c r="G187" s="39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D+</v>
      </c>
      <c r="J187" s="20">
        <f ca="1">INDIRECT(_xlfn.TEXTJOIN("",TRUE,A194,"!",ADDRESS(22+(A195-1)*A191,14)))</f>
        <v>6.5</v>
      </c>
    </row>
    <row r="188" spans="1:10" ht="28" customHeight="1" x14ac:dyDescent="0.2">
      <c r="A188" s="35" t="str">
        <f ca="1">INDIRECT(_xlfn.TEXTJOIN("",TRUE,A194,"!",ADDRESS(23+(A195-1)*A191,1)))</f>
        <v>AHP 005</v>
      </c>
      <c r="B188" s="36"/>
      <c r="C188" s="37" t="str">
        <f ca="1">INDIRECT(_xlfn.TEXTJOIN("",TRUE,A194,"!",ADDRESS(23+(A195-1)*A191,2)))</f>
        <v>Self Employment &amp; Entrepreneurship Development</v>
      </c>
      <c r="D188" s="38"/>
      <c r="E188" s="38"/>
      <c r="F188" s="38"/>
      <c r="G188" s="39"/>
      <c r="H188" s="20">
        <f ca="1">INDIRECT(_xlfn.TEXTJOIN("",TRUE,A194,"!",ADDRESS(23+(A195-1)*A191,6)))</f>
        <v>1</v>
      </c>
      <c r="I188" s="20" t="str">
        <f ca="1">INDIRECT(_xlfn.TEXTJOIN("",TRUE,A194,"!",ADDRESS(23+(A195-1)*A191,13)))</f>
        <v>B+</v>
      </c>
      <c r="J188" s="20">
        <f ca="1">INDIRECT(_xlfn.TEXTJOIN("",TRUE,A194,"!",ADDRESS(23+(A195-1)*A191,14)))</f>
        <v>8.5</v>
      </c>
    </row>
    <row r="189" spans="1:10" ht="28" customHeight="1" x14ac:dyDescent="0.2">
      <c r="A189" s="35" t="str">
        <f ca="1">INDIRECT(_xlfn.TEXTJOIN("",TRUE,A194,"!",ADDRESS(24+(A195-1)*A191,1)))</f>
        <v>GP 01</v>
      </c>
      <c r="B189" s="36"/>
      <c r="C189" s="37" t="str">
        <f ca="1">INDIRECT(_xlfn.TEXTJOIN("",TRUE,A194,"!",ADDRESS(24+(A195-1)*A191,2)))</f>
        <v>General Proficiency ($)</v>
      </c>
      <c r="D189" s="38"/>
      <c r="E189" s="38"/>
      <c r="F189" s="38"/>
      <c r="G189" s="39"/>
      <c r="H189" s="20">
        <f ca="1">INDIRECT(_xlfn.TEXTJOIN("",TRUE,A194,"!",ADDRESS(24+(A195-1)*A191,6)))</f>
        <v>0</v>
      </c>
      <c r="I189" s="40" t="str">
        <f ca="1">INDIRECT(_xlfn.TEXTJOIN("",TRUE,A194,"!",ADDRESS(24+(A195-1)*A191,13)))</f>
        <v>Excellent</v>
      </c>
      <c r="J189" s="41"/>
    </row>
    <row r="190" spans="1:10" ht="28" customHeight="1" x14ac:dyDescent="0.2">
      <c r="A190" s="42" t="s">
        <v>52</v>
      </c>
      <c r="B190" s="42"/>
      <c r="C190" s="42"/>
      <c r="D190" s="42"/>
      <c r="E190" s="42"/>
      <c r="F190" s="42"/>
      <c r="G190" s="42"/>
      <c r="H190" s="16">
        <f ca="1">SUM(H178:H189)</f>
        <v>23</v>
      </c>
      <c r="I190" s="16" t="s">
        <v>44</v>
      </c>
      <c r="J190" s="16">
        <f ca="1">SUMPRODUCT(J178:J188,H178:H188)</f>
        <v>54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43" t="s">
        <v>40</v>
      </c>
      <c r="B192" s="43"/>
      <c r="C192" s="21">
        <f ca="1">INDIRECT(_xlfn.TEXTJOIN("",TRUE,A194,"!",ADDRESS(5+A195*A191,12)))</f>
        <v>7</v>
      </c>
      <c r="D192" s="43" t="s">
        <v>38</v>
      </c>
      <c r="E192" s="43"/>
      <c r="F192" s="18">
        <f ca="1">INDIRECT(_xlfn.TEXTJOIN("",TRUE,A194,"!",ADDRESS(5+A195*A191,8)))</f>
        <v>2.347826086956522</v>
      </c>
      <c r="G192" s="43" t="s">
        <v>39</v>
      </c>
      <c r="H192" s="43"/>
      <c r="I192" s="44">
        <f ca="1">INDIRECT(_xlfn.TEXTJOIN("",TRUE,A194,"!",ADDRESS(5+A195*A191,10)))</f>
        <v>2.347826086956522</v>
      </c>
      <c r="J192" s="44"/>
    </row>
    <row r="193" spans="1:10" ht="28" customHeight="1" x14ac:dyDescent="0.2">
      <c r="A193" s="19" t="s">
        <v>36</v>
      </c>
      <c r="B193" s="45" t="str">
        <f ca="1">INDIRECT(_xlfn.TEXTJOIN("",TRUE,A194,"!",ADDRESS(5+A195*A191,2)))</f>
        <v>CARRY OVER</v>
      </c>
      <c r="C193" s="45"/>
      <c r="D193" s="46" t="s">
        <v>37</v>
      </c>
      <c r="E193" s="46"/>
      <c r="F193" s="47" t="str">
        <f ca="1">INDIRECT(_xlfn.TEXTJOIN("",TRUE,A194,"!",ADDRESS(5+A195*A191,5)))</f>
        <v>BACK IN AHT 001, AHT 003, EET 001, CST 001</v>
      </c>
      <c r="G193" s="47"/>
      <c r="H193" s="47"/>
      <c r="I193" s="47"/>
      <c r="J193" s="47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48" t="s">
        <v>24</v>
      </c>
      <c r="B196" s="48"/>
      <c r="C196" s="48" t="str">
        <f ca="1">INDIRECT(_xlfn.TEXTJOIN("",TRUE,A215,"!",ADDRESS(9+(A216-1)*A212,2)))</f>
        <v>MOHD KASHIF</v>
      </c>
      <c r="D196" s="48"/>
      <c r="E196" s="48"/>
      <c r="F196" s="48" t="s">
        <v>50</v>
      </c>
      <c r="G196" s="48"/>
      <c r="H196" s="48"/>
      <c r="I196" s="49">
        <f ca="1">INDIRECT(_xlfn.TEXTJOIN("",TRUE,A215,"!",ADDRESS(9+(A216-1)*A212,9)))</f>
        <v>250090111010</v>
      </c>
      <c r="J196" s="49"/>
    </row>
    <row r="197" spans="1:10" ht="28" customHeight="1" x14ac:dyDescent="0.2">
      <c r="A197" s="48" t="s">
        <v>25</v>
      </c>
      <c r="B197" s="48"/>
      <c r="C197" s="48" t="str">
        <f ca="1">INDIRECT(_xlfn.TEXTJOIN("",TRUE,A215,"!",ADDRESS(9+(A216-1)*A212,5)))</f>
        <v>MOHD ANEES</v>
      </c>
      <c r="D197" s="48"/>
      <c r="E197" s="48"/>
      <c r="F197" s="50" t="s">
        <v>51</v>
      </c>
      <c r="G197" s="50"/>
      <c r="H197" s="50"/>
      <c r="I197" s="49" t="str">
        <f ca="1">INDIRECT(_xlfn.TEXTJOIN("",TRUE,A215,"!",ADDRESS(9+(A216-1)*A212,13)))</f>
        <v>UTU/2501104037</v>
      </c>
      <c r="J197" s="49"/>
    </row>
    <row r="198" spans="1:10" ht="28" customHeight="1" x14ac:dyDescent="0.2">
      <c r="A198" s="45" t="s">
        <v>28</v>
      </c>
      <c r="B198" s="45"/>
      <c r="C198" s="45" t="s">
        <v>29</v>
      </c>
      <c r="D198" s="45"/>
      <c r="E198" s="45"/>
      <c r="F198" s="45"/>
      <c r="G198" s="45"/>
      <c r="H198" s="15" t="s">
        <v>30</v>
      </c>
      <c r="I198" s="15" t="s">
        <v>10</v>
      </c>
      <c r="J198" s="15" t="s">
        <v>34</v>
      </c>
    </row>
    <row r="199" spans="1:10" ht="28" customHeight="1" x14ac:dyDescent="0.2">
      <c r="A199" s="35" t="str">
        <f ca="1">INDIRECT(_xlfn.TEXTJOIN("",TRUE,A215,"!",ADDRESS(13+(A216-1)*A212,1)))</f>
        <v>AHT 001</v>
      </c>
      <c r="B199" s="36"/>
      <c r="C199" s="37" t="str">
        <f ca="1">INDIRECT(_xlfn.TEXTJOIN("",TRUE,A215,"!",ADDRESS(13+(A216-1)*A212,2)))</f>
        <v>Engineering Physics</v>
      </c>
      <c r="D199" s="38"/>
      <c r="E199" s="38"/>
      <c r="F199" s="38"/>
      <c r="G199" s="39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F</v>
      </c>
      <c r="J199" s="20">
        <f ca="1">INDIRECT(_xlfn.TEXTJOIN("",TRUE,A215,"!",ADDRESS(13+(A216-1)*A212,14)))</f>
        <v>0</v>
      </c>
    </row>
    <row r="200" spans="1:10" ht="28" customHeight="1" x14ac:dyDescent="0.2">
      <c r="A200" s="35" t="str">
        <f ca="1">INDIRECT(_xlfn.TEXTJOIN("",TRUE,A215,"!",ADDRESS(14+(A216-1)*A212,1)))</f>
        <v>AHT 003</v>
      </c>
      <c r="B200" s="36"/>
      <c r="C200" s="37" t="str">
        <f ca="1">INDIRECT(_xlfn.TEXTJOIN("",TRUE,A215,"!",ADDRESS(14+(A216-1)*A212,2)))</f>
        <v>Introduction to Engineering Mathematics</v>
      </c>
      <c r="D200" s="38"/>
      <c r="E200" s="38"/>
      <c r="F200" s="38"/>
      <c r="G200" s="39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F</v>
      </c>
      <c r="J200" s="20">
        <f ca="1">INDIRECT(_xlfn.TEXTJOIN("",TRUE,A215,"!",ADDRESS(14+(A216-1)*A212,14)))</f>
        <v>0</v>
      </c>
    </row>
    <row r="201" spans="1:10" ht="28" customHeight="1" x14ac:dyDescent="0.2">
      <c r="A201" s="35" t="str">
        <f ca="1">INDIRECT(_xlfn.TEXTJOIN("",TRUE,A215,"!",ADDRESS(15+(A216-1)*A212,1)))</f>
        <v>EET 001</v>
      </c>
      <c r="B201" s="36"/>
      <c r="C201" s="37" t="str">
        <f ca="1">INDIRECT(_xlfn.TEXTJOIN("",TRUE,A215,"!",ADDRESS(15+(A216-1)*A212,2)))</f>
        <v>Basic Electrical Engineering</v>
      </c>
      <c r="D201" s="38"/>
      <c r="E201" s="38"/>
      <c r="F201" s="38"/>
      <c r="G201" s="39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F</v>
      </c>
      <c r="J201" s="20">
        <f ca="1">INDIRECT(_xlfn.TEXTJOIN("",TRUE,A215,"!",ADDRESS(15+(A216-1)*A212,14)))</f>
        <v>0</v>
      </c>
    </row>
    <row r="202" spans="1:10" ht="28" customHeight="1" x14ac:dyDescent="0.2">
      <c r="A202" s="35" t="str">
        <f ca="1">INDIRECT(_xlfn.TEXTJOIN("",TRUE,A215,"!",ADDRESS(16+(A216-1)*A212,1)))</f>
        <v>CST 001</v>
      </c>
      <c r="B202" s="36"/>
      <c r="C202" s="37" t="str">
        <f ca="1">INDIRECT(_xlfn.TEXTJOIN("",TRUE,A215,"!",ADDRESS(16+(A216-1)*A212,2)))</f>
        <v>Programming for Problem Solving</v>
      </c>
      <c r="D202" s="38"/>
      <c r="E202" s="38"/>
      <c r="F202" s="38"/>
      <c r="G202" s="39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F</v>
      </c>
      <c r="J202" s="20">
        <f ca="1">INDIRECT(_xlfn.TEXTJOIN("",TRUE,A215,"!",ADDRESS(16+(A216-1)*A212,14)))</f>
        <v>0</v>
      </c>
    </row>
    <row r="203" spans="1:10" ht="28" customHeight="1" x14ac:dyDescent="0.2">
      <c r="A203" s="35" t="str">
        <f ca="1">INDIRECT(_xlfn.TEXTJOIN("",TRUE,A215,"!",ADDRESS(17+(A216-1)*A212,1)))</f>
        <v>AHT 004</v>
      </c>
      <c r="B203" s="36"/>
      <c r="C203" s="37" t="str">
        <f ca="1">INDIRECT(_xlfn.TEXTJOIN("",TRUE,A215,"!",ADDRESS(17+(A216-1)*A212,2)))</f>
        <v>Environmental Studies ($)</v>
      </c>
      <c r="D203" s="38"/>
      <c r="E203" s="38"/>
      <c r="F203" s="38"/>
      <c r="G203" s="39"/>
      <c r="H203" s="20">
        <f ca="1">INDIRECT(_xlfn.TEXTJOIN("",TRUE,A215,"!",ADDRESS(17+(A216-1)*A212,6)))</f>
        <v>0</v>
      </c>
      <c r="I203" s="20" t="str">
        <f ca="1">INDIRECT(_xlfn.TEXTJOIN("",TRUE,A215,"!",ADDRESS(17+(A216-1)*A212,13)))</f>
        <v>E</v>
      </c>
      <c r="J203" s="20">
        <f ca="1">INDIRECT(_xlfn.TEXTJOIN("",TRUE,A215,"!",ADDRESS(17+(A216-1)*A212,14)))</f>
        <v>5</v>
      </c>
    </row>
    <row r="204" spans="1:10" ht="28" customHeight="1" x14ac:dyDescent="0.2">
      <c r="A204" s="35" t="str">
        <f ca="1">INDIRECT(_xlfn.TEXTJOIN("",TRUE,A215,"!",ADDRESS(18+(A216-1)*A212,1)))</f>
        <v>AHP 001</v>
      </c>
      <c r="B204" s="36"/>
      <c r="C204" s="37" t="str">
        <f ca="1">INDIRECT(_xlfn.TEXTJOIN("",TRUE,A215,"!",ADDRESS(18+(A216-1)*A212,2)))</f>
        <v>Engineering Physics Lab</v>
      </c>
      <c r="D204" s="38"/>
      <c r="E204" s="38"/>
      <c r="F204" s="38"/>
      <c r="G204" s="39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B+</v>
      </c>
      <c r="J204" s="20">
        <f ca="1">INDIRECT(_xlfn.TEXTJOIN("",TRUE,A215,"!",ADDRESS(18+(A216-1)*A212,14)))</f>
        <v>8.5</v>
      </c>
    </row>
    <row r="205" spans="1:10" ht="28" customHeight="1" x14ac:dyDescent="0.2">
      <c r="A205" s="35" t="str">
        <f ca="1">INDIRECT(_xlfn.TEXTJOIN("",TRUE,A215,"!",ADDRESS(19+(A216-1)*A212,1)))</f>
        <v>EEP 001</v>
      </c>
      <c r="B205" s="36"/>
      <c r="C205" s="37" t="str">
        <f ca="1">INDIRECT(_xlfn.TEXTJOIN("",TRUE,A215,"!",ADDRESS(19+(A216-1)*A212,2)))</f>
        <v>Basic Electrical Engineering Lab</v>
      </c>
      <c r="D205" s="38"/>
      <c r="E205" s="38"/>
      <c r="F205" s="38"/>
      <c r="G205" s="39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D+</v>
      </c>
      <c r="J205" s="20">
        <f ca="1">INDIRECT(_xlfn.TEXTJOIN("",TRUE,A215,"!",ADDRESS(19+(A216-1)*A212,14)))</f>
        <v>6.5</v>
      </c>
    </row>
    <row r="206" spans="1:10" ht="28" customHeight="1" x14ac:dyDescent="0.2">
      <c r="A206" s="35" t="str">
        <f ca="1">INDIRECT(_xlfn.TEXTJOIN("",TRUE,A215,"!",ADDRESS(20+(A216-1)*A212,1)))</f>
        <v>CSP 001</v>
      </c>
      <c r="B206" s="36"/>
      <c r="C206" s="37" t="str">
        <f ca="1">INDIRECT(_xlfn.TEXTJOIN("",TRUE,A215,"!",ADDRESS(20+(A216-1)*A212,2)))</f>
        <v>Programming for Problem Solving Lab</v>
      </c>
      <c r="D206" s="38"/>
      <c r="E206" s="38"/>
      <c r="F206" s="38"/>
      <c r="G206" s="39"/>
      <c r="H206" s="20">
        <f ca="1">INDIRECT(_xlfn.TEXTJOIN("",TRUE,A215,"!",ADDRESS(20+(A216-1)*A212,6)))</f>
        <v>1</v>
      </c>
      <c r="I206" s="20" t="str">
        <f ca="1">INDIRECT(_xlfn.TEXTJOIN("",TRUE,A215,"!",ADDRESS(20+(A216-1)*A212,13)))</f>
        <v>C+</v>
      </c>
      <c r="J206" s="20">
        <f ca="1">INDIRECT(_xlfn.TEXTJOIN("",TRUE,A215,"!",ADDRESS(20+(A216-1)*A212,14)))</f>
        <v>7.5</v>
      </c>
    </row>
    <row r="207" spans="1:10" ht="28" customHeight="1" x14ac:dyDescent="0.2">
      <c r="A207" s="35" t="str">
        <f ca="1">INDIRECT(_xlfn.TEXTJOIN("",TRUE,A215,"!",ADDRESS(21+(A216-1)*A212,1)))</f>
        <v>MEP 002</v>
      </c>
      <c r="B207" s="36"/>
      <c r="C207" s="37" t="str">
        <f ca="1">INDIRECT(_xlfn.TEXTJOIN("",TRUE,A215,"!",ADDRESS(21+(A216-1)*A212,2)))</f>
        <v>Engineering Graphics &amp; Design Lab</v>
      </c>
      <c r="D207" s="38"/>
      <c r="E207" s="38"/>
      <c r="F207" s="38"/>
      <c r="G207" s="39"/>
      <c r="H207" s="20">
        <f ca="1">INDIRECT(_xlfn.TEXTJOIN("",TRUE,A215,"!",ADDRESS(21+(A216-1)*A212,6)))</f>
        <v>2</v>
      </c>
      <c r="I207" s="20" t="str">
        <f ca="1">INDIRECT(_xlfn.TEXTJOIN("",TRUE,A215,"!",ADDRESS(21+(A216-1)*A212,13)))</f>
        <v>B+</v>
      </c>
      <c r="J207" s="20">
        <f ca="1">INDIRECT(_xlfn.TEXTJOIN("",TRUE,A215,"!",ADDRESS(21+(A216-1)*A212,14)))</f>
        <v>8.5</v>
      </c>
    </row>
    <row r="208" spans="1:10" ht="28" customHeight="1" x14ac:dyDescent="0.2">
      <c r="A208" s="35" t="str">
        <f ca="1">INDIRECT(_xlfn.TEXTJOIN("",TRUE,A215,"!",ADDRESS(22+(A216-1)*A212,1)))</f>
        <v>AHP 003</v>
      </c>
      <c r="B208" s="36"/>
      <c r="C208" s="37" t="str">
        <f ca="1">INDIRECT(_xlfn.TEXTJOIN("",TRUE,A215,"!",ADDRESS(22+(A216-1)*A212,2)))</f>
        <v>Introduction to Digital Marketing Lab</v>
      </c>
      <c r="D208" s="38"/>
      <c r="E208" s="38"/>
      <c r="F208" s="38"/>
      <c r="G208" s="39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D+</v>
      </c>
      <c r="J208" s="20">
        <f ca="1">INDIRECT(_xlfn.TEXTJOIN("",TRUE,A215,"!",ADDRESS(22+(A216-1)*A212,14)))</f>
        <v>6.5</v>
      </c>
    </row>
    <row r="209" spans="1:10" ht="28" customHeight="1" x14ac:dyDescent="0.2">
      <c r="A209" s="35" t="str">
        <f ca="1">INDIRECT(_xlfn.TEXTJOIN("",TRUE,A215,"!",ADDRESS(23+(A216-1)*A212,1)))</f>
        <v>AHP 005</v>
      </c>
      <c r="B209" s="36"/>
      <c r="C209" s="37" t="str">
        <f ca="1">INDIRECT(_xlfn.TEXTJOIN("",TRUE,A215,"!",ADDRESS(23+(A216-1)*A212,2)))</f>
        <v>Self Employment &amp; Entrepreneurship Development</v>
      </c>
      <c r="D209" s="38"/>
      <c r="E209" s="38"/>
      <c r="F209" s="38"/>
      <c r="G209" s="39"/>
      <c r="H209" s="20">
        <f ca="1">INDIRECT(_xlfn.TEXTJOIN("",TRUE,A215,"!",ADDRESS(23+(A216-1)*A212,6)))</f>
        <v>1</v>
      </c>
      <c r="I209" s="20" t="str">
        <f ca="1">INDIRECT(_xlfn.TEXTJOIN("",TRUE,A215,"!",ADDRESS(23+(A216-1)*A212,13)))</f>
        <v>B+</v>
      </c>
      <c r="J209" s="20">
        <f ca="1">INDIRECT(_xlfn.TEXTJOIN("",TRUE,A215,"!",ADDRESS(23+(A216-1)*A212,14)))</f>
        <v>8.5</v>
      </c>
    </row>
    <row r="210" spans="1:10" ht="28" customHeight="1" x14ac:dyDescent="0.2">
      <c r="A210" s="35" t="str">
        <f ca="1">INDIRECT(_xlfn.TEXTJOIN("",TRUE,A215,"!",ADDRESS(24+(A216-1)*A212,1)))</f>
        <v>GP 01</v>
      </c>
      <c r="B210" s="36"/>
      <c r="C210" s="37" t="str">
        <f ca="1">INDIRECT(_xlfn.TEXTJOIN("",TRUE,A215,"!",ADDRESS(24+(A216-1)*A212,2)))</f>
        <v>General Proficiency ($)</v>
      </c>
      <c r="D210" s="38"/>
      <c r="E210" s="38"/>
      <c r="F210" s="38"/>
      <c r="G210" s="39"/>
      <c r="H210" s="20">
        <f ca="1">INDIRECT(_xlfn.TEXTJOIN("",TRUE,A215,"!",ADDRESS(24+(A216-1)*A212,6)))</f>
        <v>0</v>
      </c>
      <c r="I210" s="40" t="str">
        <f ca="1">INDIRECT(_xlfn.TEXTJOIN("",TRUE,A215,"!",ADDRESS(24+(A216-1)*A212,13)))</f>
        <v>Excellent</v>
      </c>
      <c r="J210" s="41"/>
    </row>
    <row r="211" spans="1:10" ht="28" customHeight="1" x14ac:dyDescent="0.2">
      <c r="A211" s="42" t="s">
        <v>52</v>
      </c>
      <c r="B211" s="42"/>
      <c r="C211" s="42"/>
      <c r="D211" s="42"/>
      <c r="E211" s="42"/>
      <c r="F211" s="42"/>
      <c r="G211" s="42"/>
      <c r="H211" s="16">
        <f ca="1">SUM(H199:H210)</f>
        <v>23</v>
      </c>
      <c r="I211" s="16" t="s">
        <v>44</v>
      </c>
      <c r="J211" s="16">
        <f ca="1">SUMPRODUCT(J199:J209,H199:H209)</f>
        <v>54.5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43" t="s">
        <v>40</v>
      </c>
      <c r="B213" s="43"/>
      <c r="C213" s="21">
        <f ca="1">INDIRECT(_xlfn.TEXTJOIN("",TRUE,A215,"!",ADDRESS(5+A216*A212,12)))</f>
        <v>7</v>
      </c>
      <c r="D213" s="43" t="s">
        <v>38</v>
      </c>
      <c r="E213" s="43"/>
      <c r="F213" s="18">
        <f ca="1">INDIRECT(_xlfn.TEXTJOIN("",TRUE,A215,"!",ADDRESS(5+A216*A212,8)))</f>
        <v>2.3695652173913042</v>
      </c>
      <c r="G213" s="43" t="s">
        <v>39</v>
      </c>
      <c r="H213" s="43"/>
      <c r="I213" s="44">
        <f ca="1">INDIRECT(_xlfn.TEXTJOIN("",TRUE,A215,"!",ADDRESS(5+A216*A212,10)))</f>
        <v>2.3695652173913042</v>
      </c>
      <c r="J213" s="44"/>
    </row>
    <row r="214" spans="1:10" ht="28" customHeight="1" x14ac:dyDescent="0.2">
      <c r="A214" s="19" t="s">
        <v>36</v>
      </c>
      <c r="B214" s="45" t="str">
        <f ca="1">INDIRECT(_xlfn.TEXTJOIN("",TRUE,A215,"!",ADDRESS(5+A216*A212,2)))</f>
        <v>CARRY OVER</v>
      </c>
      <c r="C214" s="45"/>
      <c r="D214" s="46" t="s">
        <v>37</v>
      </c>
      <c r="E214" s="46"/>
      <c r="F214" s="47" t="str">
        <f ca="1">INDIRECT(_xlfn.TEXTJOIN("",TRUE,A215,"!",ADDRESS(5+A216*A212,5)))</f>
        <v>BACK IN AHT 001, AHT 003, EET 001, CST 001</v>
      </c>
      <c r="G214" s="47"/>
      <c r="H214" s="47"/>
      <c r="I214" s="47"/>
      <c r="J214" s="47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48" t="s">
        <v>24</v>
      </c>
      <c r="B217" s="48"/>
      <c r="C217" s="48" t="str">
        <f ca="1">INDIRECT(_xlfn.TEXTJOIN("",TRUE,A236,"!",ADDRESS(9+(A237-1)*A233,2)))</f>
        <v>OM NEGI</v>
      </c>
      <c r="D217" s="48"/>
      <c r="E217" s="48"/>
      <c r="F217" s="48" t="s">
        <v>50</v>
      </c>
      <c r="G217" s="48"/>
      <c r="H217" s="48"/>
      <c r="I217" s="49">
        <f ca="1">INDIRECT(_xlfn.TEXTJOIN("",TRUE,A236,"!",ADDRESS(9+(A237-1)*A233,9)))</f>
        <v>250090111011</v>
      </c>
      <c r="J217" s="49"/>
    </row>
    <row r="218" spans="1:10" ht="28" customHeight="1" x14ac:dyDescent="0.2">
      <c r="A218" s="48" t="s">
        <v>25</v>
      </c>
      <c r="B218" s="48"/>
      <c r="C218" s="48" t="str">
        <f ca="1">INDIRECT(_xlfn.TEXTJOIN("",TRUE,A236,"!",ADDRESS(9+(A237-1)*A233,5)))</f>
        <v>PRADEEP SINGH</v>
      </c>
      <c r="D218" s="48"/>
      <c r="E218" s="48"/>
      <c r="F218" s="50" t="s">
        <v>51</v>
      </c>
      <c r="G218" s="50"/>
      <c r="H218" s="50"/>
      <c r="I218" s="49" t="str">
        <f ca="1">INDIRECT(_xlfn.TEXTJOIN("",TRUE,A236,"!",ADDRESS(9+(A237-1)*A233,13)))</f>
        <v>UTU/2501103608</v>
      </c>
      <c r="J218" s="49"/>
    </row>
    <row r="219" spans="1:10" ht="28" customHeight="1" x14ac:dyDescent="0.2">
      <c r="A219" s="45" t="s">
        <v>28</v>
      </c>
      <c r="B219" s="45"/>
      <c r="C219" s="45" t="s">
        <v>29</v>
      </c>
      <c r="D219" s="45"/>
      <c r="E219" s="45"/>
      <c r="F219" s="45"/>
      <c r="G219" s="45"/>
      <c r="H219" s="15" t="s">
        <v>30</v>
      </c>
      <c r="I219" s="15" t="s">
        <v>10</v>
      </c>
      <c r="J219" s="15" t="s">
        <v>34</v>
      </c>
    </row>
    <row r="220" spans="1:10" ht="28" customHeight="1" x14ac:dyDescent="0.2">
      <c r="A220" s="35" t="str">
        <f ca="1">INDIRECT(_xlfn.TEXTJOIN("",TRUE,A236,"!",ADDRESS(13+(A237-1)*A233,1)))</f>
        <v>AHT 001</v>
      </c>
      <c r="B220" s="36"/>
      <c r="C220" s="37" t="str">
        <f ca="1">INDIRECT(_xlfn.TEXTJOIN("",TRUE,A236,"!",ADDRESS(13+(A237-1)*A233,2)))</f>
        <v>Engineering Physics</v>
      </c>
      <c r="D220" s="38"/>
      <c r="E220" s="38"/>
      <c r="F220" s="38"/>
      <c r="G220" s="39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F</v>
      </c>
      <c r="J220" s="20">
        <f ca="1">INDIRECT(_xlfn.TEXTJOIN("",TRUE,A236,"!",ADDRESS(13+(A237-1)*A233,14)))</f>
        <v>0</v>
      </c>
    </row>
    <row r="221" spans="1:10" ht="28" customHeight="1" x14ac:dyDescent="0.2">
      <c r="A221" s="35" t="str">
        <f ca="1">INDIRECT(_xlfn.TEXTJOIN("",TRUE,A236,"!",ADDRESS(14+(A237-1)*A233,1)))</f>
        <v>AHT 003</v>
      </c>
      <c r="B221" s="36"/>
      <c r="C221" s="37" t="str">
        <f ca="1">INDIRECT(_xlfn.TEXTJOIN("",TRUE,A236,"!",ADDRESS(14+(A237-1)*A233,2)))</f>
        <v>Introduction to Engineering Mathematics</v>
      </c>
      <c r="D221" s="38"/>
      <c r="E221" s="38"/>
      <c r="F221" s="38"/>
      <c r="G221" s="39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F</v>
      </c>
      <c r="J221" s="20">
        <f ca="1">INDIRECT(_xlfn.TEXTJOIN("",TRUE,A236,"!",ADDRESS(14+(A237-1)*A233,14)))</f>
        <v>0</v>
      </c>
    </row>
    <row r="222" spans="1:10" ht="28" customHeight="1" x14ac:dyDescent="0.2">
      <c r="A222" s="35" t="str">
        <f ca="1">INDIRECT(_xlfn.TEXTJOIN("",TRUE,A236,"!",ADDRESS(15+(A237-1)*A233,1)))</f>
        <v>EET 001</v>
      </c>
      <c r="B222" s="36"/>
      <c r="C222" s="37" t="str">
        <f ca="1">INDIRECT(_xlfn.TEXTJOIN("",TRUE,A236,"!",ADDRESS(15+(A237-1)*A233,2)))</f>
        <v>Basic Electrical Engineering</v>
      </c>
      <c r="D222" s="38"/>
      <c r="E222" s="38"/>
      <c r="F222" s="38"/>
      <c r="G222" s="39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F</v>
      </c>
      <c r="J222" s="20">
        <f ca="1">INDIRECT(_xlfn.TEXTJOIN("",TRUE,A236,"!",ADDRESS(15+(A237-1)*A233,14)))</f>
        <v>0</v>
      </c>
    </row>
    <row r="223" spans="1:10" ht="28" customHeight="1" x14ac:dyDescent="0.2">
      <c r="A223" s="35" t="str">
        <f ca="1">INDIRECT(_xlfn.TEXTJOIN("",TRUE,A236,"!",ADDRESS(16+(A237-1)*A233,1)))</f>
        <v>CST 001</v>
      </c>
      <c r="B223" s="36"/>
      <c r="C223" s="37" t="str">
        <f ca="1">INDIRECT(_xlfn.TEXTJOIN("",TRUE,A236,"!",ADDRESS(16+(A237-1)*A233,2)))</f>
        <v>Programming for Problem Solving</v>
      </c>
      <c r="D223" s="38"/>
      <c r="E223" s="38"/>
      <c r="F223" s="38"/>
      <c r="G223" s="39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F</v>
      </c>
      <c r="J223" s="20">
        <f ca="1">INDIRECT(_xlfn.TEXTJOIN("",TRUE,A236,"!",ADDRESS(16+(A237-1)*A233,14)))</f>
        <v>0</v>
      </c>
    </row>
    <row r="224" spans="1:10" ht="28" customHeight="1" x14ac:dyDescent="0.2">
      <c r="A224" s="35" t="str">
        <f ca="1">INDIRECT(_xlfn.TEXTJOIN("",TRUE,A236,"!",ADDRESS(17+(A237-1)*A233,1)))</f>
        <v>AHT 004</v>
      </c>
      <c r="B224" s="36"/>
      <c r="C224" s="37" t="str">
        <f ca="1">INDIRECT(_xlfn.TEXTJOIN("",TRUE,A236,"!",ADDRESS(17+(A237-1)*A233,2)))</f>
        <v>Environmental Studies ($)</v>
      </c>
      <c r="D224" s="38"/>
      <c r="E224" s="38"/>
      <c r="F224" s="38"/>
      <c r="G224" s="39"/>
      <c r="H224" s="20">
        <f ca="1">INDIRECT(_xlfn.TEXTJOIN("",TRUE,A236,"!",ADDRESS(17+(A237-1)*A233,6)))</f>
        <v>0</v>
      </c>
      <c r="I224" s="20" t="str">
        <f ca="1">INDIRECT(_xlfn.TEXTJOIN("",TRUE,A236,"!",ADDRESS(17+(A237-1)*A233,13)))</f>
        <v>F</v>
      </c>
      <c r="J224" s="20">
        <f ca="1">INDIRECT(_xlfn.TEXTJOIN("",TRUE,A236,"!",ADDRESS(17+(A237-1)*A233,14)))</f>
        <v>0</v>
      </c>
    </row>
    <row r="225" spans="1:10" ht="28" customHeight="1" x14ac:dyDescent="0.2">
      <c r="A225" s="35" t="str">
        <f ca="1">INDIRECT(_xlfn.TEXTJOIN("",TRUE,A236,"!",ADDRESS(18+(A237-1)*A233,1)))</f>
        <v>AHP 001</v>
      </c>
      <c r="B225" s="36"/>
      <c r="C225" s="37" t="str">
        <f ca="1">INDIRECT(_xlfn.TEXTJOIN("",TRUE,A236,"!",ADDRESS(18+(A237-1)*A233,2)))</f>
        <v>Engineering Physics Lab</v>
      </c>
      <c r="D225" s="38"/>
      <c r="E225" s="38"/>
      <c r="F225" s="38"/>
      <c r="G225" s="39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C+</v>
      </c>
      <c r="J225" s="20">
        <f ca="1">INDIRECT(_xlfn.TEXTJOIN("",TRUE,A236,"!",ADDRESS(18+(A237-1)*A233,14)))</f>
        <v>7.5</v>
      </c>
    </row>
    <row r="226" spans="1:10" ht="28" customHeight="1" x14ac:dyDescent="0.2">
      <c r="A226" s="35" t="str">
        <f ca="1">INDIRECT(_xlfn.TEXTJOIN("",TRUE,A236,"!",ADDRESS(19+(A237-1)*A233,1)))</f>
        <v>EEP 001</v>
      </c>
      <c r="B226" s="36"/>
      <c r="C226" s="37" t="str">
        <f ca="1">INDIRECT(_xlfn.TEXTJOIN("",TRUE,A236,"!",ADDRESS(19+(A237-1)*A233,2)))</f>
        <v>Basic Electrical Engineering Lab</v>
      </c>
      <c r="D226" s="38"/>
      <c r="E226" s="38"/>
      <c r="F226" s="38"/>
      <c r="G226" s="39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E+</v>
      </c>
      <c r="J226" s="20">
        <f ca="1">INDIRECT(_xlfn.TEXTJOIN("",TRUE,A236,"!",ADDRESS(19+(A237-1)*A233,14)))</f>
        <v>5.5</v>
      </c>
    </row>
    <row r="227" spans="1:10" ht="28" customHeight="1" x14ac:dyDescent="0.2">
      <c r="A227" s="35" t="str">
        <f ca="1">INDIRECT(_xlfn.TEXTJOIN("",TRUE,A236,"!",ADDRESS(20+(A237-1)*A233,1)))</f>
        <v>CSP 001</v>
      </c>
      <c r="B227" s="36"/>
      <c r="C227" s="37" t="str">
        <f ca="1">INDIRECT(_xlfn.TEXTJOIN("",TRUE,A236,"!",ADDRESS(20+(A237-1)*A233,2)))</f>
        <v>Programming for Problem Solving Lab</v>
      </c>
      <c r="D227" s="38"/>
      <c r="E227" s="38"/>
      <c r="F227" s="38"/>
      <c r="G227" s="39"/>
      <c r="H227" s="20">
        <f ca="1">INDIRECT(_xlfn.TEXTJOIN("",TRUE,A236,"!",ADDRESS(20+(A237-1)*A233,6)))</f>
        <v>1</v>
      </c>
      <c r="I227" s="20" t="str">
        <f ca="1">INDIRECT(_xlfn.TEXTJOIN("",TRUE,A236,"!",ADDRESS(20+(A237-1)*A233,13)))</f>
        <v>C+</v>
      </c>
      <c r="J227" s="20">
        <f ca="1">INDIRECT(_xlfn.TEXTJOIN("",TRUE,A236,"!",ADDRESS(20+(A237-1)*A233,14)))</f>
        <v>7.5</v>
      </c>
    </row>
    <row r="228" spans="1:10" ht="28" customHeight="1" x14ac:dyDescent="0.2">
      <c r="A228" s="35" t="str">
        <f ca="1">INDIRECT(_xlfn.TEXTJOIN("",TRUE,A236,"!",ADDRESS(21+(A237-1)*A233,1)))</f>
        <v>MEP 002</v>
      </c>
      <c r="B228" s="36"/>
      <c r="C228" s="37" t="str">
        <f ca="1">INDIRECT(_xlfn.TEXTJOIN("",TRUE,A236,"!",ADDRESS(21+(A237-1)*A233,2)))</f>
        <v>Engineering Graphics &amp; Design Lab</v>
      </c>
      <c r="D228" s="38"/>
      <c r="E228" s="38"/>
      <c r="F228" s="38"/>
      <c r="G228" s="39"/>
      <c r="H228" s="20">
        <f ca="1">INDIRECT(_xlfn.TEXTJOIN("",TRUE,A236,"!",ADDRESS(21+(A237-1)*A233,6)))</f>
        <v>2</v>
      </c>
      <c r="I228" s="20" t="str">
        <f ca="1">INDIRECT(_xlfn.TEXTJOIN("",TRUE,A236,"!",ADDRESS(21+(A237-1)*A233,13)))</f>
        <v>B</v>
      </c>
      <c r="J228" s="20">
        <f ca="1">INDIRECT(_xlfn.TEXTJOIN("",TRUE,A236,"!",ADDRESS(21+(A237-1)*A233,14)))</f>
        <v>8</v>
      </c>
    </row>
    <row r="229" spans="1:10" ht="28" customHeight="1" x14ac:dyDescent="0.2">
      <c r="A229" s="35" t="str">
        <f ca="1">INDIRECT(_xlfn.TEXTJOIN("",TRUE,A236,"!",ADDRESS(22+(A237-1)*A233,1)))</f>
        <v>AHP 003</v>
      </c>
      <c r="B229" s="36"/>
      <c r="C229" s="37" t="str">
        <f ca="1">INDIRECT(_xlfn.TEXTJOIN("",TRUE,A236,"!",ADDRESS(22+(A237-1)*A233,2)))</f>
        <v>Introduction to Digital Marketing Lab</v>
      </c>
      <c r="D229" s="38"/>
      <c r="E229" s="38"/>
      <c r="F229" s="38"/>
      <c r="G229" s="39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C</v>
      </c>
      <c r="J229" s="20">
        <f ca="1">INDIRECT(_xlfn.TEXTJOIN("",TRUE,A236,"!",ADDRESS(22+(A237-1)*A233,14)))</f>
        <v>7</v>
      </c>
    </row>
    <row r="230" spans="1:10" ht="28" customHeight="1" x14ac:dyDescent="0.2">
      <c r="A230" s="35" t="str">
        <f ca="1">INDIRECT(_xlfn.TEXTJOIN("",TRUE,A236,"!",ADDRESS(23+(A237-1)*A233,1)))</f>
        <v>AHP 005</v>
      </c>
      <c r="B230" s="36"/>
      <c r="C230" s="37" t="str">
        <f ca="1">INDIRECT(_xlfn.TEXTJOIN("",TRUE,A236,"!",ADDRESS(23+(A237-1)*A233,2)))</f>
        <v>Self Employment &amp; Entrepreneurship Development</v>
      </c>
      <c r="D230" s="38"/>
      <c r="E230" s="38"/>
      <c r="F230" s="38"/>
      <c r="G230" s="39"/>
      <c r="H230" s="20">
        <f ca="1">INDIRECT(_xlfn.TEXTJOIN("",TRUE,A236,"!",ADDRESS(23+(A237-1)*A233,6)))</f>
        <v>1</v>
      </c>
      <c r="I230" s="20" t="str">
        <f ca="1">INDIRECT(_xlfn.TEXTJOIN("",TRUE,A236,"!",ADDRESS(23+(A237-1)*A233,13)))</f>
        <v>B+</v>
      </c>
      <c r="J230" s="20">
        <f ca="1">INDIRECT(_xlfn.TEXTJOIN("",TRUE,A236,"!",ADDRESS(23+(A237-1)*A233,14)))</f>
        <v>8.5</v>
      </c>
    </row>
    <row r="231" spans="1:10" ht="28" customHeight="1" x14ac:dyDescent="0.2">
      <c r="A231" s="35" t="str">
        <f ca="1">INDIRECT(_xlfn.TEXTJOIN("",TRUE,A236,"!",ADDRESS(24+(A237-1)*A233,1)))</f>
        <v>GP 01</v>
      </c>
      <c r="B231" s="36"/>
      <c r="C231" s="37" t="str">
        <f ca="1">INDIRECT(_xlfn.TEXTJOIN("",TRUE,A236,"!",ADDRESS(24+(A237-1)*A233,2)))</f>
        <v>General Proficiency ($)</v>
      </c>
      <c r="D231" s="38"/>
      <c r="E231" s="38"/>
      <c r="F231" s="38"/>
      <c r="G231" s="39"/>
      <c r="H231" s="20">
        <f ca="1">INDIRECT(_xlfn.TEXTJOIN("",TRUE,A236,"!",ADDRESS(24+(A237-1)*A233,6)))</f>
        <v>0</v>
      </c>
      <c r="I231" s="40" t="str">
        <f ca="1">INDIRECT(_xlfn.TEXTJOIN("",TRUE,A236,"!",ADDRESS(24+(A237-1)*A233,13)))</f>
        <v>Excellent</v>
      </c>
      <c r="J231" s="41"/>
    </row>
    <row r="232" spans="1:10" ht="28" customHeight="1" x14ac:dyDescent="0.2">
      <c r="A232" s="42" t="s">
        <v>52</v>
      </c>
      <c r="B232" s="42"/>
      <c r="C232" s="42"/>
      <c r="D232" s="42"/>
      <c r="E232" s="42"/>
      <c r="F232" s="42"/>
      <c r="G232" s="42"/>
      <c r="H232" s="16">
        <f ca="1">SUM(H220:H231)</f>
        <v>23</v>
      </c>
      <c r="I232" s="16" t="s">
        <v>44</v>
      </c>
      <c r="J232" s="16">
        <f ca="1">SUMPRODUCT(J220:J230,H220:H230)</f>
        <v>52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43" t="s">
        <v>40</v>
      </c>
      <c r="B234" s="43"/>
      <c r="C234" s="21">
        <f ca="1">INDIRECT(_xlfn.TEXTJOIN("",TRUE,A236,"!",ADDRESS(5+A237*A233,12)))</f>
        <v>7</v>
      </c>
      <c r="D234" s="43" t="s">
        <v>38</v>
      </c>
      <c r="E234" s="43"/>
      <c r="F234" s="18">
        <f ca="1">INDIRECT(_xlfn.TEXTJOIN("",TRUE,A236,"!",ADDRESS(5+A237*A233,8)))</f>
        <v>2.2608695652173911</v>
      </c>
      <c r="G234" s="43" t="s">
        <v>39</v>
      </c>
      <c r="H234" s="43"/>
      <c r="I234" s="44">
        <f ca="1">INDIRECT(_xlfn.TEXTJOIN("",TRUE,A236,"!",ADDRESS(5+A237*A233,10)))</f>
        <v>2.2608695652173911</v>
      </c>
      <c r="J234" s="44"/>
    </row>
    <row r="235" spans="1:10" ht="28" customHeight="1" x14ac:dyDescent="0.2">
      <c r="A235" s="19" t="s">
        <v>36</v>
      </c>
      <c r="B235" s="45" t="str">
        <f ca="1">INDIRECT(_xlfn.TEXTJOIN("",TRUE,A236,"!",ADDRESS(5+A237*A233,2)))</f>
        <v>CARRY OVER</v>
      </c>
      <c r="C235" s="45"/>
      <c r="D235" s="46" t="s">
        <v>37</v>
      </c>
      <c r="E235" s="46"/>
      <c r="F235" s="47" t="str">
        <f ca="1">INDIRECT(_xlfn.TEXTJOIN("",TRUE,A236,"!",ADDRESS(5+A237*A233,5)))</f>
        <v>BACK IN AHT 001, AHT 003, EET 001, CST 001, AHT 004</v>
      </c>
      <c r="G235" s="47"/>
      <c r="H235" s="47"/>
      <c r="I235" s="47"/>
      <c r="J235" s="47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48" t="s">
        <v>24</v>
      </c>
      <c r="B238" s="48"/>
      <c r="C238" s="48" t="str">
        <f ca="1">INDIRECT(_xlfn.TEXTJOIN("",TRUE,A257,"!",ADDRESS(9+(A258-1)*A254,2)))</f>
        <v>PRATYUSH PANWAR</v>
      </c>
      <c r="D238" s="48"/>
      <c r="E238" s="48"/>
      <c r="F238" s="48" t="s">
        <v>50</v>
      </c>
      <c r="G238" s="48"/>
      <c r="H238" s="48"/>
      <c r="I238" s="49">
        <f ca="1">INDIRECT(_xlfn.TEXTJOIN("",TRUE,A257,"!",ADDRESS(9+(A258-1)*A254,9)))</f>
        <v>250090111012</v>
      </c>
      <c r="J238" s="49"/>
    </row>
    <row r="239" spans="1:10" ht="28" customHeight="1" x14ac:dyDescent="0.2">
      <c r="A239" s="48" t="s">
        <v>25</v>
      </c>
      <c r="B239" s="48"/>
      <c r="C239" s="48" t="str">
        <f ca="1">INDIRECT(_xlfn.TEXTJOIN("",TRUE,A257,"!",ADDRESS(9+(A258-1)*A254,5)))</f>
        <v>MUKESH PANWAR</v>
      </c>
      <c r="D239" s="48"/>
      <c r="E239" s="48"/>
      <c r="F239" s="50" t="s">
        <v>51</v>
      </c>
      <c r="G239" s="50"/>
      <c r="H239" s="50"/>
      <c r="I239" s="49" t="str">
        <f ca="1">INDIRECT(_xlfn.TEXTJOIN("",TRUE,A257,"!",ADDRESS(9+(A258-1)*A254,13)))</f>
        <v>UTU/2501103618</v>
      </c>
      <c r="J239" s="49"/>
    </row>
    <row r="240" spans="1:10" ht="28" customHeight="1" x14ac:dyDescent="0.2">
      <c r="A240" s="45" t="s">
        <v>28</v>
      </c>
      <c r="B240" s="45"/>
      <c r="C240" s="45" t="s">
        <v>29</v>
      </c>
      <c r="D240" s="45"/>
      <c r="E240" s="45"/>
      <c r="F240" s="45"/>
      <c r="G240" s="45"/>
      <c r="H240" s="15" t="s">
        <v>30</v>
      </c>
      <c r="I240" s="15" t="s">
        <v>10</v>
      </c>
      <c r="J240" s="15" t="s">
        <v>34</v>
      </c>
    </row>
    <row r="241" spans="1:10" ht="28" customHeight="1" x14ac:dyDescent="0.2">
      <c r="A241" s="35" t="str">
        <f ca="1">INDIRECT(_xlfn.TEXTJOIN("",TRUE,A257,"!",ADDRESS(13+(A258-1)*A254,1)))</f>
        <v>AHT 001</v>
      </c>
      <c r="B241" s="36"/>
      <c r="C241" s="37" t="str">
        <f ca="1">INDIRECT(_xlfn.TEXTJOIN("",TRUE,A257,"!",ADDRESS(13+(A258-1)*A254,2)))</f>
        <v>Engineering Physics</v>
      </c>
      <c r="D241" s="38"/>
      <c r="E241" s="38"/>
      <c r="F241" s="38"/>
      <c r="G241" s="39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F</v>
      </c>
      <c r="J241" s="20">
        <f ca="1">INDIRECT(_xlfn.TEXTJOIN("",TRUE,A257,"!",ADDRESS(13+(A258-1)*A254,14)))</f>
        <v>0</v>
      </c>
    </row>
    <row r="242" spans="1:10" ht="28" customHeight="1" x14ac:dyDescent="0.2">
      <c r="A242" s="35" t="str">
        <f ca="1">INDIRECT(_xlfn.TEXTJOIN("",TRUE,A257,"!",ADDRESS(14+(A258-1)*A254,1)))</f>
        <v>AHT 003</v>
      </c>
      <c r="B242" s="36"/>
      <c r="C242" s="37" t="str">
        <f ca="1">INDIRECT(_xlfn.TEXTJOIN("",TRUE,A257,"!",ADDRESS(14+(A258-1)*A254,2)))</f>
        <v>Introduction to Engineering Mathematics</v>
      </c>
      <c r="D242" s="38"/>
      <c r="E242" s="38"/>
      <c r="F242" s="38"/>
      <c r="G242" s="39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F</v>
      </c>
      <c r="J242" s="20">
        <f ca="1">INDIRECT(_xlfn.TEXTJOIN("",TRUE,A257,"!",ADDRESS(14+(A258-1)*A254,14)))</f>
        <v>0</v>
      </c>
    </row>
    <row r="243" spans="1:10" ht="28" customHeight="1" x14ac:dyDescent="0.2">
      <c r="A243" s="35" t="str">
        <f ca="1">INDIRECT(_xlfn.TEXTJOIN("",TRUE,A257,"!",ADDRESS(15+(A258-1)*A254,1)))</f>
        <v>EET 001</v>
      </c>
      <c r="B243" s="36"/>
      <c r="C243" s="37" t="str">
        <f ca="1">INDIRECT(_xlfn.TEXTJOIN("",TRUE,A257,"!",ADDRESS(15+(A258-1)*A254,2)))</f>
        <v>Basic Electrical Engineering</v>
      </c>
      <c r="D243" s="38"/>
      <c r="E243" s="38"/>
      <c r="F243" s="38"/>
      <c r="G243" s="39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F</v>
      </c>
      <c r="J243" s="20">
        <f ca="1">INDIRECT(_xlfn.TEXTJOIN("",TRUE,A257,"!",ADDRESS(15+(A258-1)*A254,14)))</f>
        <v>0</v>
      </c>
    </row>
    <row r="244" spans="1:10" ht="28" customHeight="1" x14ac:dyDescent="0.2">
      <c r="A244" s="35" t="str">
        <f ca="1">INDIRECT(_xlfn.TEXTJOIN("",TRUE,A257,"!",ADDRESS(16+(A258-1)*A254,1)))</f>
        <v>CST 001</v>
      </c>
      <c r="B244" s="36"/>
      <c r="C244" s="37" t="str">
        <f ca="1">INDIRECT(_xlfn.TEXTJOIN("",TRUE,A257,"!",ADDRESS(16+(A258-1)*A254,2)))</f>
        <v>Programming for Problem Solving</v>
      </c>
      <c r="D244" s="38"/>
      <c r="E244" s="38"/>
      <c r="F244" s="38"/>
      <c r="G244" s="39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F</v>
      </c>
      <c r="J244" s="20">
        <f ca="1">INDIRECT(_xlfn.TEXTJOIN("",TRUE,A257,"!",ADDRESS(16+(A258-1)*A254,14)))</f>
        <v>0</v>
      </c>
    </row>
    <row r="245" spans="1:10" ht="28" customHeight="1" x14ac:dyDescent="0.2">
      <c r="A245" s="35" t="str">
        <f ca="1">INDIRECT(_xlfn.TEXTJOIN("",TRUE,A257,"!",ADDRESS(17+(A258-1)*A254,1)))</f>
        <v>AHT 004</v>
      </c>
      <c r="B245" s="36"/>
      <c r="C245" s="37" t="str">
        <f ca="1">INDIRECT(_xlfn.TEXTJOIN("",TRUE,A257,"!",ADDRESS(17+(A258-1)*A254,2)))</f>
        <v>Environmental Studies ($)</v>
      </c>
      <c r="D245" s="38"/>
      <c r="E245" s="38"/>
      <c r="F245" s="38"/>
      <c r="G245" s="39"/>
      <c r="H245" s="20">
        <f ca="1">INDIRECT(_xlfn.TEXTJOIN("",TRUE,A257,"!",ADDRESS(17+(A258-1)*A254,6)))</f>
        <v>0</v>
      </c>
      <c r="I245" s="20" t="str">
        <f ca="1">INDIRECT(_xlfn.TEXTJOIN("",TRUE,A257,"!",ADDRESS(17+(A258-1)*A254,13)))</f>
        <v>P</v>
      </c>
      <c r="J245" s="20">
        <f ca="1">INDIRECT(_xlfn.TEXTJOIN("",TRUE,A257,"!",ADDRESS(17+(A258-1)*A254,14)))</f>
        <v>4.5</v>
      </c>
    </row>
    <row r="246" spans="1:10" ht="28" customHeight="1" x14ac:dyDescent="0.2">
      <c r="A246" s="35" t="str">
        <f ca="1">INDIRECT(_xlfn.TEXTJOIN("",TRUE,A257,"!",ADDRESS(18+(A258-1)*A254,1)))</f>
        <v>AHP 001</v>
      </c>
      <c r="B246" s="36"/>
      <c r="C246" s="37" t="str">
        <f ca="1">INDIRECT(_xlfn.TEXTJOIN("",TRUE,A257,"!",ADDRESS(18+(A258-1)*A254,2)))</f>
        <v>Engineering Physics Lab</v>
      </c>
      <c r="D246" s="38"/>
      <c r="E246" s="38"/>
      <c r="F246" s="38"/>
      <c r="G246" s="39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B+</v>
      </c>
      <c r="J246" s="20">
        <f ca="1">INDIRECT(_xlfn.TEXTJOIN("",TRUE,A257,"!",ADDRESS(18+(A258-1)*A254,14)))</f>
        <v>8.5</v>
      </c>
    </row>
    <row r="247" spans="1:10" ht="28" customHeight="1" x14ac:dyDescent="0.2">
      <c r="A247" s="35" t="str">
        <f ca="1">INDIRECT(_xlfn.TEXTJOIN("",TRUE,A257,"!",ADDRESS(19+(A258-1)*A254,1)))</f>
        <v>EEP 001</v>
      </c>
      <c r="B247" s="36"/>
      <c r="C247" s="37" t="str">
        <f ca="1">INDIRECT(_xlfn.TEXTJOIN("",TRUE,A257,"!",ADDRESS(19+(A258-1)*A254,2)))</f>
        <v>Basic Electrical Engineering Lab</v>
      </c>
      <c r="D247" s="38"/>
      <c r="E247" s="38"/>
      <c r="F247" s="38"/>
      <c r="G247" s="39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D+</v>
      </c>
      <c r="J247" s="20">
        <f ca="1">INDIRECT(_xlfn.TEXTJOIN("",TRUE,A257,"!",ADDRESS(19+(A258-1)*A254,14)))</f>
        <v>6.5</v>
      </c>
    </row>
    <row r="248" spans="1:10" ht="28" customHeight="1" x14ac:dyDescent="0.2">
      <c r="A248" s="35" t="str">
        <f ca="1">INDIRECT(_xlfn.TEXTJOIN("",TRUE,A257,"!",ADDRESS(20+(A258-1)*A254,1)))</f>
        <v>CSP 001</v>
      </c>
      <c r="B248" s="36"/>
      <c r="C248" s="37" t="str">
        <f ca="1">INDIRECT(_xlfn.TEXTJOIN("",TRUE,A257,"!",ADDRESS(20+(A258-1)*A254,2)))</f>
        <v>Programming for Problem Solving Lab</v>
      </c>
      <c r="D248" s="38"/>
      <c r="E248" s="38"/>
      <c r="F248" s="38"/>
      <c r="G248" s="39"/>
      <c r="H248" s="20">
        <f ca="1">INDIRECT(_xlfn.TEXTJOIN("",TRUE,A257,"!",ADDRESS(20+(A258-1)*A254,6)))</f>
        <v>1</v>
      </c>
      <c r="I248" s="20" t="str">
        <f ca="1">INDIRECT(_xlfn.TEXTJOIN("",TRUE,A257,"!",ADDRESS(20+(A258-1)*A254,13)))</f>
        <v>C</v>
      </c>
      <c r="J248" s="20">
        <f ca="1">INDIRECT(_xlfn.TEXTJOIN("",TRUE,A257,"!",ADDRESS(20+(A258-1)*A254,14)))</f>
        <v>7</v>
      </c>
    </row>
    <row r="249" spans="1:10" ht="28" customHeight="1" x14ac:dyDescent="0.2">
      <c r="A249" s="35" t="str">
        <f ca="1">INDIRECT(_xlfn.TEXTJOIN("",TRUE,A257,"!",ADDRESS(21+(A258-1)*A254,1)))</f>
        <v>MEP 002</v>
      </c>
      <c r="B249" s="36"/>
      <c r="C249" s="37" t="str">
        <f ca="1">INDIRECT(_xlfn.TEXTJOIN("",TRUE,A257,"!",ADDRESS(21+(A258-1)*A254,2)))</f>
        <v>Engineering Graphics &amp; Design Lab</v>
      </c>
      <c r="D249" s="38"/>
      <c r="E249" s="38"/>
      <c r="F249" s="38"/>
      <c r="G249" s="39"/>
      <c r="H249" s="20">
        <f ca="1">INDIRECT(_xlfn.TEXTJOIN("",TRUE,A257,"!",ADDRESS(21+(A258-1)*A254,6)))</f>
        <v>2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8.5</v>
      </c>
    </row>
    <row r="250" spans="1:10" ht="28" customHeight="1" x14ac:dyDescent="0.2">
      <c r="A250" s="35" t="str">
        <f ca="1">INDIRECT(_xlfn.TEXTJOIN("",TRUE,A257,"!",ADDRESS(22+(A258-1)*A254,1)))</f>
        <v>AHP 003</v>
      </c>
      <c r="B250" s="36"/>
      <c r="C250" s="37" t="str">
        <f ca="1">INDIRECT(_xlfn.TEXTJOIN("",TRUE,A257,"!",ADDRESS(22+(A258-1)*A254,2)))</f>
        <v>Introduction to Digital Marketing Lab</v>
      </c>
      <c r="D250" s="38"/>
      <c r="E250" s="38"/>
      <c r="F250" s="38"/>
      <c r="G250" s="39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B+</v>
      </c>
      <c r="J250" s="20">
        <f ca="1">INDIRECT(_xlfn.TEXTJOIN("",TRUE,A257,"!",ADDRESS(22+(A258-1)*A254,14)))</f>
        <v>8.5</v>
      </c>
    </row>
    <row r="251" spans="1:10" ht="28" customHeight="1" x14ac:dyDescent="0.2">
      <c r="A251" s="35" t="str">
        <f ca="1">INDIRECT(_xlfn.TEXTJOIN("",TRUE,A257,"!",ADDRESS(23+(A258-1)*A254,1)))</f>
        <v>AHP 005</v>
      </c>
      <c r="B251" s="36"/>
      <c r="C251" s="37" t="str">
        <f ca="1">INDIRECT(_xlfn.TEXTJOIN("",TRUE,A257,"!",ADDRESS(23+(A258-1)*A254,2)))</f>
        <v>Self Employment &amp; Entrepreneurship Development</v>
      </c>
      <c r="D251" s="38"/>
      <c r="E251" s="38"/>
      <c r="F251" s="38"/>
      <c r="G251" s="39"/>
      <c r="H251" s="20">
        <f ca="1">INDIRECT(_xlfn.TEXTJOIN("",TRUE,A257,"!",ADDRESS(23+(A258-1)*A254,6)))</f>
        <v>1</v>
      </c>
      <c r="I251" s="20" t="str">
        <f ca="1">INDIRECT(_xlfn.TEXTJOIN("",TRUE,A257,"!",ADDRESS(23+(A258-1)*A254,13)))</f>
        <v>B+</v>
      </c>
      <c r="J251" s="20">
        <f ca="1">INDIRECT(_xlfn.TEXTJOIN("",TRUE,A257,"!",ADDRESS(23+(A258-1)*A254,14)))</f>
        <v>8.5</v>
      </c>
    </row>
    <row r="252" spans="1:10" ht="28" customHeight="1" x14ac:dyDescent="0.2">
      <c r="A252" s="35" t="str">
        <f ca="1">INDIRECT(_xlfn.TEXTJOIN("",TRUE,A257,"!",ADDRESS(24+(A258-1)*A254,1)))</f>
        <v>GP 01</v>
      </c>
      <c r="B252" s="36"/>
      <c r="C252" s="37" t="str">
        <f ca="1">INDIRECT(_xlfn.TEXTJOIN("",TRUE,A257,"!",ADDRESS(24+(A258-1)*A254,2)))</f>
        <v>General Proficiency ($)</v>
      </c>
      <c r="D252" s="38"/>
      <c r="E252" s="38"/>
      <c r="F252" s="38"/>
      <c r="G252" s="39"/>
      <c r="H252" s="20">
        <f ca="1">INDIRECT(_xlfn.TEXTJOIN("",TRUE,A257,"!",ADDRESS(24+(A258-1)*A254,6)))</f>
        <v>0</v>
      </c>
      <c r="I252" s="40" t="str">
        <f ca="1">INDIRECT(_xlfn.TEXTJOIN("",TRUE,A257,"!",ADDRESS(24+(A258-1)*A254,13)))</f>
        <v>Excellent</v>
      </c>
      <c r="J252" s="41"/>
    </row>
    <row r="253" spans="1:10" ht="28" customHeight="1" x14ac:dyDescent="0.2">
      <c r="A253" s="42" t="s">
        <v>52</v>
      </c>
      <c r="B253" s="42"/>
      <c r="C253" s="42"/>
      <c r="D253" s="42"/>
      <c r="E253" s="42"/>
      <c r="F253" s="42"/>
      <c r="G253" s="42"/>
      <c r="H253" s="16">
        <f ca="1">SUM(H241:H252)</f>
        <v>23</v>
      </c>
      <c r="I253" s="16" t="s">
        <v>44</v>
      </c>
      <c r="J253" s="16">
        <f ca="1">SUMPRODUCT(J241:J251,H241:H251)</f>
        <v>56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43" t="s">
        <v>40</v>
      </c>
      <c r="B255" s="43"/>
      <c r="C255" s="21">
        <f ca="1">INDIRECT(_xlfn.TEXTJOIN("",TRUE,A257,"!",ADDRESS(5+A258*A254,12)))</f>
        <v>7</v>
      </c>
      <c r="D255" s="43" t="s">
        <v>38</v>
      </c>
      <c r="E255" s="43"/>
      <c r="F255" s="18">
        <f ca="1">INDIRECT(_xlfn.TEXTJOIN("",TRUE,A257,"!",ADDRESS(5+A258*A254,8)))</f>
        <v>2.4347826086956523</v>
      </c>
      <c r="G255" s="43" t="s">
        <v>39</v>
      </c>
      <c r="H255" s="43"/>
      <c r="I255" s="44">
        <f ca="1">INDIRECT(_xlfn.TEXTJOIN("",TRUE,A257,"!",ADDRESS(5+A258*A254,10)))</f>
        <v>2.4347826086956523</v>
      </c>
      <c r="J255" s="44"/>
    </row>
    <row r="256" spans="1:10" ht="28" customHeight="1" x14ac:dyDescent="0.2">
      <c r="A256" s="19" t="s">
        <v>36</v>
      </c>
      <c r="B256" s="45" t="str">
        <f ca="1">INDIRECT(_xlfn.TEXTJOIN("",TRUE,A257,"!",ADDRESS(5+A258*A254,2)))</f>
        <v>CARRY OVER</v>
      </c>
      <c r="C256" s="45"/>
      <c r="D256" s="46" t="s">
        <v>37</v>
      </c>
      <c r="E256" s="46"/>
      <c r="F256" s="47" t="str">
        <f ca="1">INDIRECT(_xlfn.TEXTJOIN("",TRUE,A257,"!",ADDRESS(5+A258*A254,5)))</f>
        <v>BACK IN AHT 001, AHT 003, EET 001, CST 001</v>
      </c>
      <c r="G256" s="47"/>
      <c r="H256" s="47"/>
      <c r="I256" s="47"/>
      <c r="J256" s="47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48" t="s">
        <v>24</v>
      </c>
      <c r="B259" s="48"/>
      <c r="C259" s="48" t="str">
        <f ca="1">INDIRECT(_xlfn.TEXTJOIN("",TRUE,A278,"!",ADDRESS(9+(A279-1)*A275,2)))</f>
        <v>PRIYANSHU RANA</v>
      </c>
      <c r="D259" s="48"/>
      <c r="E259" s="48"/>
      <c r="F259" s="48" t="s">
        <v>50</v>
      </c>
      <c r="G259" s="48"/>
      <c r="H259" s="48"/>
      <c r="I259" s="49">
        <f ca="1">INDIRECT(_xlfn.TEXTJOIN("",TRUE,A278,"!",ADDRESS(9+(A279-1)*A275,9)))</f>
        <v>250090111013</v>
      </c>
      <c r="J259" s="49"/>
    </row>
    <row r="260" spans="1:10" ht="28" customHeight="1" x14ac:dyDescent="0.2">
      <c r="A260" s="48" t="s">
        <v>25</v>
      </c>
      <c r="B260" s="48"/>
      <c r="C260" s="48" t="str">
        <f ca="1">INDIRECT(_xlfn.TEXTJOIN("",TRUE,A278,"!",ADDRESS(9+(A279-1)*A275,5)))</f>
        <v>MR. PRADEEP SING RANA</v>
      </c>
      <c r="D260" s="48"/>
      <c r="E260" s="48"/>
      <c r="F260" s="50" t="s">
        <v>51</v>
      </c>
      <c r="G260" s="50"/>
      <c r="H260" s="50"/>
      <c r="I260" s="49" t="str">
        <f ca="1">INDIRECT(_xlfn.TEXTJOIN("",TRUE,A278,"!",ADDRESS(9+(A279-1)*A275,13)))</f>
        <v>UTU/2501104093</v>
      </c>
      <c r="J260" s="49"/>
    </row>
    <row r="261" spans="1:10" ht="28" customHeight="1" x14ac:dyDescent="0.2">
      <c r="A261" s="45" t="s">
        <v>28</v>
      </c>
      <c r="B261" s="45"/>
      <c r="C261" s="45" t="s">
        <v>29</v>
      </c>
      <c r="D261" s="45"/>
      <c r="E261" s="45"/>
      <c r="F261" s="45"/>
      <c r="G261" s="45"/>
      <c r="H261" s="15" t="s">
        <v>30</v>
      </c>
      <c r="I261" s="15" t="s">
        <v>10</v>
      </c>
      <c r="J261" s="15" t="s">
        <v>34</v>
      </c>
    </row>
    <row r="262" spans="1:10" ht="28" customHeight="1" x14ac:dyDescent="0.2">
      <c r="A262" s="35" t="str">
        <f ca="1">INDIRECT(_xlfn.TEXTJOIN("",TRUE,A278,"!",ADDRESS(13+(A279-1)*A275,1)))</f>
        <v>AHT 001</v>
      </c>
      <c r="B262" s="36"/>
      <c r="C262" s="37" t="str">
        <f ca="1">INDIRECT(_xlfn.TEXTJOIN("",TRUE,A278,"!",ADDRESS(13+(A279-1)*A275,2)))</f>
        <v>Engineering Physics</v>
      </c>
      <c r="D262" s="38"/>
      <c r="E262" s="38"/>
      <c r="F262" s="38"/>
      <c r="G262" s="39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P</v>
      </c>
      <c r="J262" s="20">
        <f ca="1">INDIRECT(_xlfn.TEXTJOIN("",TRUE,A278,"!",ADDRESS(13+(A279-1)*A275,14)))</f>
        <v>4.5</v>
      </c>
    </row>
    <row r="263" spans="1:10" ht="28" customHeight="1" x14ac:dyDescent="0.2">
      <c r="A263" s="35" t="str">
        <f ca="1">INDIRECT(_xlfn.TEXTJOIN("",TRUE,A278,"!",ADDRESS(14+(A279-1)*A275,1)))</f>
        <v>AHT 003</v>
      </c>
      <c r="B263" s="36"/>
      <c r="C263" s="37" t="str">
        <f ca="1">INDIRECT(_xlfn.TEXTJOIN("",TRUE,A278,"!",ADDRESS(14+(A279-1)*A275,2)))</f>
        <v>Introduction to Engineering Mathematics</v>
      </c>
      <c r="D263" s="38"/>
      <c r="E263" s="38"/>
      <c r="F263" s="38"/>
      <c r="G263" s="39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F</v>
      </c>
      <c r="J263" s="20">
        <f ca="1">INDIRECT(_xlfn.TEXTJOIN("",TRUE,A278,"!",ADDRESS(14+(A279-1)*A275,14)))</f>
        <v>0</v>
      </c>
    </row>
    <row r="264" spans="1:10" ht="28" customHeight="1" x14ac:dyDescent="0.2">
      <c r="A264" s="35" t="str">
        <f ca="1">INDIRECT(_xlfn.TEXTJOIN("",TRUE,A278,"!",ADDRESS(15+(A279-1)*A275,1)))</f>
        <v>EET 001</v>
      </c>
      <c r="B264" s="36"/>
      <c r="C264" s="37" t="str">
        <f ca="1">INDIRECT(_xlfn.TEXTJOIN("",TRUE,A278,"!",ADDRESS(15+(A279-1)*A275,2)))</f>
        <v>Basic Electrical Engineering</v>
      </c>
      <c r="D264" s="38"/>
      <c r="E264" s="38"/>
      <c r="F264" s="38"/>
      <c r="G264" s="39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P</v>
      </c>
      <c r="J264" s="20">
        <f ca="1">INDIRECT(_xlfn.TEXTJOIN("",TRUE,A278,"!",ADDRESS(15+(A279-1)*A275,14)))</f>
        <v>4.5</v>
      </c>
    </row>
    <row r="265" spans="1:10" ht="28" customHeight="1" x14ac:dyDescent="0.2">
      <c r="A265" s="35" t="str">
        <f ca="1">INDIRECT(_xlfn.TEXTJOIN("",TRUE,A278,"!",ADDRESS(16+(A279-1)*A275,1)))</f>
        <v>CST 001</v>
      </c>
      <c r="B265" s="36"/>
      <c r="C265" s="37" t="str">
        <f ca="1">INDIRECT(_xlfn.TEXTJOIN("",TRUE,A278,"!",ADDRESS(16+(A279-1)*A275,2)))</f>
        <v>Programming for Problem Solving</v>
      </c>
      <c r="D265" s="38"/>
      <c r="E265" s="38"/>
      <c r="F265" s="38"/>
      <c r="G265" s="39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F</v>
      </c>
      <c r="J265" s="20">
        <f ca="1">INDIRECT(_xlfn.TEXTJOIN("",TRUE,A278,"!",ADDRESS(16+(A279-1)*A275,14)))</f>
        <v>0</v>
      </c>
    </row>
    <row r="266" spans="1:10" ht="28" customHeight="1" x14ac:dyDescent="0.2">
      <c r="A266" s="35" t="str">
        <f ca="1">INDIRECT(_xlfn.TEXTJOIN("",TRUE,A278,"!",ADDRESS(17+(A279-1)*A275,1)))</f>
        <v>AHT 004</v>
      </c>
      <c r="B266" s="36"/>
      <c r="C266" s="37" t="str">
        <f ca="1">INDIRECT(_xlfn.TEXTJOIN("",TRUE,A278,"!",ADDRESS(17+(A279-1)*A275,2)))</f>
        <v>Environmental Studies ($)</v>
      </c>
      <c r="D266" s="38"/>
      <c r="E266" s="38"/>
      <c r="F266" s="38"/>
      <c r="G266" s="39"/>
      <c r="H266" s="20">
        <f ca="1">INDIRECT(_xlfn.TEXTJOIN("",TRUE,A278,"!",ADDRESS(17+(A279-1)*A275,6)))</f>
        <v>0</v>
      </c>
      <c r="I266" s="20" t="str">
        <f ca="1">INDIRECT(_xlfn.TEXTJOIN("",TRUE,A278,"!",ADDRESS(17+(A279-1)*A275,13)))</f>
        <v>E</v>
      </c>
      <c r="J266" s="20">
        <f ca="1">INDIRECT(_xlfn.TEXTJOIN("",TRUE,A278,"!",ADDRESS(17+(A279-1)*A275,14)))</f>
        <v>5</v>
      </c>
    </row>
    <row r="267" spans="1:10" ht="28" customHeight="1" x14ac:dyDescent="0.2">
      <c r="A267" s="35" t="str">
        <f ca="1">INDIRECT(_xlfn.TEXTJOIN("",TRUE,A278,"!",ADDRESS(18+(A279-1)*A275,1)))</f>
        <v>AHP 001</v>
      </c>
      <c r="B267" s="36"/>
      <c r="C267" s="37" t="str">
        <f ca="1">INDIRECT(_xlfn.TEXTJOIN("",TRUE,A278,"!",ADDRESS(18+(A279-1)*A275,2)))</f>
        <v>Engineering Physics Lab</v>
      </c>
      <c r="D267" s="38"/>
      <c r="E267" s="38"/>
      <c r="F267" s="38"/>
      <c r="G267" s="39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C+</v>
      </c>
      <c r="J267" s="20">
        <f ca="1">INDIRECT(_xlfn.TEXTJOIN("",TRUE,A278,"!",ADDRESS(18+(A279-1)*A275,14)))</f>
        <v>7.5</v>
      </c>
    </row>
    <row r="268" spans="1:10" ht="28" customHeight="1" x14ac:dyDescent="0.2">
      <c r="A268" s="35" t="str">
        <f ca="1">INDIRECT(_xlfn.TEXTJOIN("",TRUE,A278,"!",ADDRESS(19+(A279-1)*A275,1)))</f>
        <v>EEP 001</v>
      </c>
      <c r="B268" s="36"/>
      <c r="C268" s="37" t="str">
        <f ca="1">INDIRECT(_xlfn.TEXTJOIN("",TRUE,A278,"!",ADDRESS(19+(A279-1)*A275,2)))</f>
        <v>Basic Electrical Engineering Lab</v>
      </c>
      <c r="D268" s="38"/>
      <c r="E268" s="38"/>
      <c r="F268" s="38"/>
      <c r="G268" s="39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C+</v>
      </c>
      <c r="J268" s="20">
        <f ca="1">INDIRECT(_xlfn.TEXTJOIN("",TRUE,A278,"!",ADDRESS(19+(A279-1)*A275,14)))</f>
        <v>7.5</v>
      </c>
    </row>
    <row r="269" spans="1:10" ht="28" customHeight="1" x14ac:dyDescent="0.2">
      <c r="A269" s="35" t="str">
        <f ca="1">INDIRECT(_xlfn.TEXTJOIN("",TRUE,A278,"!",ADDRESS(20+(A279-1)*A275,1)))</f>
        <v>CSP 001</v>
      </c>
      <c r="B269" s="36"/>
      <c r="C269" s="37" t="str">
        <f ca="1">INDIRECT(_xlfn.TEXTJOIN("",TRUE,A278,"!",ADDRESS(20+(A279-1)*A275,2)))</f>
        <v>Programming for Problem Solving Lab</v>
      </c>
      <c r="D269" s="38"/>
      <c r="E269" s="38"/>
      <c r="F269" s="38"/>
      <c r="G269" s="39"/>
      <c r="H269" s="20">
        <f ca="1">INDIRECT(_xlfn.TEXTJOIN("",TRUE,A278,"!",ADDRESS(20+(A279-1)*A275,6)))</f>
        <v>1</v>
      </c>
      <c r="I269" s="20" t="str">
        <f ca="1">INDIRECT(_xlfn.TEXTJOIN("",TRUE,A278,"!",ADDRESS(20+(A279-1)*A275,13)))</f>
        <v>C+</v>
      </c>
      <c r="J269" s="20">
        <f ca="1">INDIRECT(_xlfn.TEXTJOIN("",TRUE,A278,"!",ADDRESS(20+(A279-1)*A275,14)))</f>
        <v>7.5</v>
      </c>
    </row>
    <row r="270" spans="1:10" ht="28" customHeight="1" x14ac:dyDescent="0.2">
      <c r="A270" s="35" t="str">
        <f ca="1">INDIRECT(_xlfn.TEXTJOIN("",TRUE,A278,"!",ADDRESS(21+(A279-1)*A275,1)))</f>
        <v>MEP 002</v>
      </c>
      <c r="B270" s="36"/>
      <c r="C270" s="37" t="str">
        <f ca="1">INDIRECT(_xlfn.TEXTJOIN("",TRUE,A278,"!",ADDRESS(21+(A279-1)*A275,2)))</f>
        <v>Engineering Graphics &amp; Design Lab</v>
      </c>
      <c r="D270" s="38"/>
      <c r="E270" s="38"/>
      <c r="F270" s="38"/>
      <c r="G270" s="39"/>
      <c r="H270" s="20">
        <f ca="1">INDIRECT(_xlfn.TEXTJOIN("",TRUE,A278,"!",ADDRESS(21+(A279-1)*A275,6)))</f>
        <v>2</v>
      </c>
      <c r="I270" s="20" t="str">
        <f ca="1">INDIRECT(_xlfn.TEXTJOIN("",TRUE,A278,"!",ADDRESS(21+(A279-1)*A275,13)))</f>
        <v>B</v>
      </c>
      <c r="J270" s="20">
        <f ca="1">INDIRECT(_xlfn.TEXTJOIN("",TRUE,A278,"!",ADDRESS(21+(A279-1)*A275,14)))</f>
        <v>8</v>
      </c>
    </row>
    <row r="271" spans="1:10" ht="28" customHeight="1" x14ac:dyDescent="0.2">
      <c r="A271" s="35" t="str">
        <f ca="1">INDIRECT(_xlfn.TEXTJOIN("",TRUE,A278,"!",ADDRESS(22+(A279-1)*A275,1)))</f>
        <v>AHP 003</v>
      </c>
      <c r="B271" s="36"/>
      <c r="C271" s="37" t="str">
        <f ca="1">INDIRECT(_xlfn.TEXTJOIN("",TRUE,A278,"!",ADDRESS(22+(A279-1)*A275,2)))</f>
        <v>Introduction to Digital Marketing Lab</v>
      </c>
      <c r="D271" s="38"/>
      <c r="E271" s="38"/>
      <c r="F271" s="38"/>
      <c r="G271" s="39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D+</v>
      </c>
      <c r="J271" s="20">
        <f ca="1">INDIRECT(_xlfn.TEXTJOIN("",TRUE,A278,"!",ADDRESS(22+(A279-1)*A275,14)))</f>
        <v>6.5</v>
      </c>
    </row>
    <row r="272" spans="1:10" ht="28" customHeight="1" x14ac:dyDescent="0.2">
      <c r="A272" s="35" t="str">
        <f ca="1">INDIRECT(_xlfn.TEXTJOIN("",TRUE,A278,"!",ADDRESS(23+(A279-1)*A275,1)))</f>
        <v>AHP 005</v>
      </c>
      <c r="B272" s="36"/>
      <c r="C272" s="37" t="str">
        <f ca="1">INDIRECT(_xlfn.TEXTJOIN("",TRUE,A278,"!",ADDRESS(23+(A279-1)*A275,2)))</f>
        <v>Self Employment &amp; Entrepreneurship Development</v>
      </c>
      <c r="D272" s="38"/>
      <c r="E272" s="38"/>
      <c r="F272" s="38"/>
      <c r="G272" s="39"/>
      <c r="H272" s="20">
        <f ca="1">INDIRECT(_xlfn.TEXTJOIN("",TRUE,A278,"!",ADDRESS(23+(A279-1)*A275,6)))</f>
        <v>1</v>
      </c>
      <c r="I272" s="20" t="str">
        <f ca="1">INDIRECT(_xlfn.TEXTJOIN("",TRUE,A278,"!",ADDRESS(23+(A279-1)*A275,13)))</f>
        <v>B+</v>
      </c>
      <c r="J272" s="20">
        <f ca="1">INDIRECT(_xlfn.TEXTJOIN("",TRUE,A278,"!",ADDRESS(23+(A279-1)*A275,14)))</f>
        <v>8.5</v>
      </c>
    </row>
    <row r="273" spans="1:10" ht="28" customHeight="1" x14ac:dyDescent="0.2">
      <c r="A273" s="35" t="str">
        <f ca="1">INDIRECT(_xlfn.TEXTJOIN("",TRUE,A278,"!",ADDRESS(24+(A279-1)*A275,1)))</f>
        <v>GP 01</v>
      </c>
      <c r="B273" s="36"/>
      <c r="C273" s="37" t="str">
        <f ca="1">INDIRECT(_xlfn.TEXTJOIN("",TRUE,A278,"!",ADDRESS(24+(A279-1)*A275,2)))</f>
        <v>General Proficiency ($)</v>
      </c>
      <c r="D273" s="38"/>
      <c r="E273" s="38"/>
      <c r="F273" s="38"/>
      <c r="G273" s="39"/>
      <c r="H273" s="20">
        <f ca="1">INDIRECT(_xlfn.TEXTJOIN("",TRUE,A278,"!",ADDRESS(24+(A279-1)*A275,6)))</f>
        <v>0</v>
      </c>
      <c r="I273" s="40" t="str">
        <f ca="1">INDIRECT(_xlfn.TEXTJOIN("",TRUE,A278,"!",ADDRESS(24+(A279-1)*A275,13)))</f>
        <v>Excellent</v>
      </c>
      <c r="J273" s="41"/>
    </row>
    <row r="274" spans="1:10" ht="28" customHeight="1" x14ac:dyDescent="0.2">
      <c r="A274" s="42" t="s">
        <v>52</v>
      </c>
      <c r="B274" s="42"/>
      <c r="C274" s="42"/>
      <c r="D274" s="42"/>
      <c r="E274" s="42"/>
      <c r="F274" s="42"/>
      <c r="G274" s="42"/>
      <c r="H274" s="16">
        <f ca="1">SUM(H262:H273)</f>
        <v>23</v>
      </c>
      <c r="I274" s="16" t="s">
        <v>44</v>
      </c>
      <c r="J274" s="16">
        <f ca="1">SUMPRODUCT(J262:J272,H262:H272)</f>
        <v>89.5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43" t="s">
        <v>40</v>
      </c>
      <c r="B276" s="43"/>
      <c r="C276" s="21">
        <f ca="1">INDIRECT(_xlfn.TEXTJOIN("",TRUE,A278,"!",ADDRESS(5+A279*A275,12)))</f>
        <v>15</v>
      </c>
      <c r="D276" s="43" t="s">
        <v>38</v>
      </c>
      <c r="E276" s="43"/>
      <c r="F276" s="18">
        <f ca="1">INDIRECT(_xlfn.TEXTJOIN("",TRUE,A278,"!",ADDRESS(5+A279*A275,8)))</f>
        <v>3.8913043478260869</v>
      </c>
      <c r="G276" s="43" t="s">
        <v>39</v>
      </c>
      <c r="H276" s="43"/>
      <c r="I276" s="44">
        <f ca="1">INDIRECT(_xlfn.TEXTJOIN("",TRUE,A278,"!",ADDRESS(5+A279*A275,10)))</f>
        <v>3.8913043478260869</v>
      </c>
      <c r="J276" s="44"/>
    </row>
    <row r="277" spans="1:10" ht="28" customHeight="1" x14ac:dyDescent="0.2">
      <c r="A277" s="19" t="s">
        <v>36</v>
      </c>
      <c r="B277" s="45" t="str">
        <f ca="1">INDIRECT(_xlfn.TEXTJOIN("",TRUE,A278,"!",ADDRESS(5+A279*A275,2)))</f>
        <v>CARRY OVER</v>
      </c>
      <c r="C277" s="45"/>
      <c r="D277" s="46" t="s">
        <v>37</v>
      </c>
      <c r="E277" s="46"/>
      <c r="F277" s="47" t="str">
        <f ca="1">INDIRECT(_xlfn.TEXTJOIN("",TRUE,A278,"!",ADDRESS(5+A279*A275,5)))</f>
        <v>BACK IN AHT 003, CST 001</v>
      </c>
      <c r="G277" s="47"/>
      <c r="H277" s="47"/>
      <c r="I277" s="47"/>
      <c r="J277" s="47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48" t="s">
        <v>24</v>
      </c>
      <c r="B280" s="48"/>
      <c r="C280" s="48" t="str">
        <f ca="1">INDIRECT(_xlfn.TEXTJOIN("",TRUE,A299,"!",ADDRESS(9+(A300-1)*A296,2)))</f>
        <v>SANIDHYA LAKHERA</v>
      </c>
      <c r="D280" s="48"/>
      <c r="E280" s="48"/>
      <c r="F280" s="48" t="s">
        <v>50</v>
      </c>
      <c r="G280" s="48"/>
      <c r="H280" s="48"/>
      <c r="I280" s="49">
        <f ca="1">INDIRECT(_xlfn.TEXTJOIN("",TRUE,A299,"!",ADDRESS(9+(A300-1)*A296,9)))</f>
        <v>250090111014</v>
      </c>
      <c r="J280" s="49"/>
    </row>
    <row r="281" spans="1:10" ht="28" customHeight="1" x14ac:dyDescent="0.2">
      <c r="A281" s="48" t="s">
        <v>25</v>
      </c>
      <c r="B281" s="48"/>
      <c r="C281" s="48" t="str">
        <f ca="1">INDIRECT(_xlfn.TEXTJOIN("",TRUE,A299,"!",ADDRESS(9+(A300-1)*A296,5)))</f>
        <v>TULSI RAM LAKHERA</v>
      </c>
      <c r="D281" s="48"/>
      <c r="E281" s="48"/>
      <c r="F281" s="50" t="s">
        <v>51</v>
      </c>
      <c r="G281" s="50"/>
      <c r="H281" s="50"/>
      <c r="I281" s="49" t="str">
        <f ca="1">INDIRECT(_xlfn.TEXTJOIN("",TRUE,A299,"!",ADDRESS(9+(A300-1)*A296,13)))</f>
        <v>UTU/2501104374</v>
      </c>
      <c r="J281" s="49"/>
    </row>
    <row r="282" spans="1:10" ht="28" customHeight="1" x14ac:dyDescent="0.2">
      <c r="A282" s="45" t="s">
        <v>28</v>
      </c>
      <c r="B282" s="45"/>
      <c r="C282" s="45" t="s">
        <v>29</v>
      </c>
      <c r="D282" s="45"/>
      <c r="E282" s="45"/>
      <c r="F282" s="45"/>
      <c r="G282" s="45"/>
      <c r="H282" s="15" t="s">
        <v>30</v>
      </c>
      <c r="I282" s="15" t="s">
        <v>10</v>
      </c>
      <c r="J282" s="15" t="s">
        <v>34</v>
      </c>
    </row>
    <row r="283" spans="1:10" ht="28" customHeight="1" x14ac:dyDescent="0.2">
      <c r="A283" s="35" t="str">
        <f ca="1">INDIRECT(_xlfn.TEXTJOIN("",TRUE,A299,"!",ADDRESS(13+(A300-1)*A296,1)))</f>
        <v>AHT 001</v>
      </c>
      <c r="B283" s="36"/>
      <c r="C283" s="37" t="str">
        <f ca="1">INDIRECT(_xlfn.TEXTJOIN("",TRUE,A299,"!",ADDRESS(13+(A300-1)*A296,2)))</f>
        <v>Engineering Physics</v>
      </c>
      <c r="D283" s="38"/>
      <c r="E283" s="38"/>
      <c r="F283" s="38"/>
      <c r="G283" s="39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P</v>
      </c>
      <c r="J283" s="20">
        <f ca="1">INDIRECT(_xlfn.TEXTJOIN("",TRUE,A299,"!",ADDRESS(13+(A300-1)*A296,14)))</f>
        <v>4.5</v>
      </c>
    </row>
    <row r="284" spans="1:10" ht="28" customHeight="1" x14ac:dyDescent="0.2">
      <c r="A284" s="35" t="str">
        <f ca="1">INDIRECT(_xlfn.TEXTJOIN("",TRUE,A299,"!",ADDRESS(14+(A300-1)*A296,1)))</f>
        <v>AHT 003</v>
      </c>
      <c r="B284" s="36"/>
      <c r="C284" s="37" t="str">
        <f ca="1">INDIRECT(_xlfn.TEXTJOIN("",TRUE,A299,"!",ADDRESS(14+(A300-1)*A296,2)))</f>
        <v>Introduction to Engineering Mathematics</v>
      </c>
      <c r="D284" s="38"/>
      <c r="E284" s="38"/>
      <c r="F284" s="38"/>
      <c r="G284" s="39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F</v>
      </c>
      <c r="J284" s="20">
        <f ca="1">INDIRECT(_xlfn.TEXTJOIN("",TRUE,A299,"!",ADDRESS(14+(A300-1)*A296,14)))</f>
        <v>0</v>
      </c>
    </row>
    <row r="285" spans="1:10" ht="28" customHeight="1" x14ac:dyDescent="0.2">
      <c r="A285" s="35" t="str">
        <f ca="1">INDIRECT(_xlfn.TEXTJOIN("",TRUE,A299,"!",ADDRESS(15+(A300-1)*A296,1)))</f>
        <v>EET 001</v>
      </c>
      <c r="B285" s="36"/>
      <c r="C285" s="37" t="str">
        <f ca="1">INDIRECT(_xlfn.TEXTJOIN("",TRUE,A299,"!",ADDRESS(15+(A300-1)*A296,2)))</f>
        <v>Basic Electrical Engineering</v>
      </c>
      <c r="D285" s="38"/>
      <c r="E285" s="38"/>
      <c r="F285" s="38"/>
      <c r="G285" s="39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F</v>
      </c>
      <c r="J285" s="20">
        <f ca="1">INDIRECT(_xlfn.TEXTJOIN("",TRUE,A299,"!",ADDRESS(15+(A300-1)*A296,14)))</f>
        <v>0</v>
      </c>
    </row>
    <row r="286" spans="1:10" ht="28" customHeight="1" x14ac:dyDescent="0.2">
      <c r="A286" s="35" t="str">
        <f ca="1">INDIRECT(_xlfn.TEXTJOIN("",TRUE,A299,"!",ADDRESS(16+(A300-1)*A296,1)))</f>
        <v>CST 001</v>
      </c>
      <c r="B286" s="36"/>
      <c r="C286" s="37" t="str">
        <f ca="1">INDIRECT(_xlfn.TEXTJOIN("",TRUE,A299,"!",ADDRESS(16+(A300-1)*A296,2)))</f>
        <v>Programming for Problem Solving</v>
      </c>
      <c r="D286" s="38"/>
      <c r="E286" s="38"/>
      <c r="F286" s="38"/>
      <c r="G286" s="39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E</v>
      </c>
      <c r="J286" s="20">
        <f ca="1">INDIRECT(_xlfn.TEXTJOIN("",TRUE,A299,"!",ADDRESS(16+(A300-1)*A296,14)))</f>
        <v>5</v>
      </c>
    </row>
    <row r="287" spans="1:10" ht="28" customHeight="1" x14ac:dyDescent="0.2">
      <c r="A287" s="35" t="str">
        <f ca="1">INDIRECT(_xlfn.TEXTJOIN("",TRUE,A299,"!",ADDRESS(17+(A300-1)*A296,1)))</f>
        <v>AHT 004</v>
      </c>
      <c r="B287" s="36"/>
      <c r="C287" s="37" t="str">
        <f ca="1">INDIRECT(_xlfn.TEXTJOIN("",TRUE,A299,"!",ADDRESS(17+(A300-1)*A296,2)))</f>
        <v>Environmental Studies ($)</v>
      </c>
      <c r="D287" s="38"/>
      <c r="E287" s="38"/>
      <c r="F287" s="38"/>
      <c r="G287" s="39"/>
      <c r="H287" s="20">
        <f ca="1">INDIRECT(_xlfn.TEXTJOIN("",TRUE,A299,"!",ADDRESS(17+(A300-1)*A296,6)))</f>
        <v>0</v>
      </c>
      <c r="I287" s="20" t="str">
        <f ca="1">INDIRECT(_xlfn.TEXTJOIN("",TRUE,A299,"!",ADDRESS(17+(A300-1)*A296,13)))</f>
        <v>D+</v>
      </c>
      <c r="J287" s="20">
        <f ca="1">INDIRECT(_xlfn.TEXTJOIN("",TRUE,A299,"!",ADDRESS(17+(A300-1)*A296,14)))</f>
        <v>6.5</v>
      </c>
    </row>
    <row r="288" spans="1:10" ht="28" customHeight="1" x14ac:dyDescent="0.2">
      <c r="A288" s="35" t="str">
        <f ca="1">INDIRECT(_xlfn.TEXTJOIN("",TRUE,A299,"!",ADDRESS(18+(A300-1)*A296,1)))</f>
        <v>AHP 001</v>
      </c>
      <c r="B288" s="36"/>
      <c r="C288" s="37" t="str">
        <f ca="1">INDIRECT(_xlfn.TEXTJOIN("",TRUE,A299,"!",ADDRESS(18+(A300-1)*A296,2)))</f>
        <v>Engineering Physics Lab</v>
      </c>
      <c r="D288" s="38"/>
      <c r="E288" s="38"/>
      <c r="F288" s="38"/>
      <c r="G288" s="39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B+</v>
      </c>
      <c r="J288" s="20">
        <f ca="1">INDIRECT(_xlfn.TEXTJOIN("",TRUE,A299,"!",ADDRESS(18+(A300-1)*A296,14)))</f>
        <v>8.5</v>
      </c>
    </row>
    <row r="289" spans="1:10" ht="28" customHeight="1" x14ac:dyDescent="0.2">
      <c r="A289" s="35" t="str">
        <f ca="1">INDIRECT(_xlfn.TEXTJOIN("",TRUE,A299,"!",ADDRESS(19+(A300-1)*A296,1)))</f>
        <v>EEP 001</v>
      </c>
      <c r="B289" s="36"/>
      <c r="C289" s="37" t="str">
        <f ca="1">INDIRECT(_xlfn.TEXTJOIN("",TRUE,A299,"!",ADDRESS(19+(A300-1)*A296,2)))</f>
        <v>Basic Electrical Engineering Lab</v>
      </c>
      <c r="D289" s="38"/>
      <c r="E289" s="38"/>
      <c r="F289" s="38"/>
      <c r="G289" s="39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D</v>
      </c>
      <c r="J289" s="20">
        <f ca="1">INDIRECT(_xlfn.TEXTJOIN("",TRUE,A299,"!",ADDRESS(19+(A300-1)*A296,14)))</f>
        <v>6</v>
      </c>
    </row>
    <row r="290" spans="1:10" ht="28" customHeight="1" x14ac:dyDescent="0.2">
      <c r="A290" s="35" t="str">
        <f ca="1">INDIRECT(_xlfn.TEXTJOIN("",TRUE,A299,"!",ADDRESS(20+(A300-1)*A296,1)))</f>
        <v>CSP 001</v>
      </c>
      <c r="B290" s="36"/>
      <c r="C290" s="37" t="str">
        <f ca="1">INDIRECT(_xlfn.TEXTJOIN("",TRUE,A299,"!",ADDRESS(20+(A300-1)*A296,2)))</f>
        <v>Programming for Problem Solving Lab</v>
      </c>
      <c r="D290" s="38"/>
      <c r="E290" s="38"/>
      <c r="F290" s="38"/>
      <c r="G290" s="39"/>
      <c r="H290" s="20">
        <f ca="1">INDIRECT(_xlfn.TEXTJOIN("",TRUE,A299,"!",ADDRESS(20+(A300-1)*A296,6)))</f>
        <v>1</v>
      </c>
      <c r="I290" s="20" t="str">
        <f ca="1">INDIRECT(_xlfn.TEXTJOIN("",TRUE,A299,"!",ADDRESS(20+(A300-1)*A296,13)))</f>
        <v>A</v>
      </c>
      <c r="J290" s="20">
        <f ca="1">INDIRECT(_xlfn.TEXTJOIN("",TRUE,A299,"!",ADDRESS(20+(A300-1)*A296,14)))</f>
        <v>9</v>
      </c>
    </row>
    <row r="291" spans="1:10" ht="28" customHeight="1" x14ac:dyDescent="0.2">
      <c r="A291" s="35" t="str">
        <f ca="1">INDIRECT(_xlfn.TEXTJOIN("",TRUE,A299,"!",ADDRESS(21+(A300-1)*A296,1)))</f>
        <v>MEP 002</v>
      </c>
      <c r="B291" s="36"/>
      <c r="C291" s="37" t="str">
        <f ca="1">INDIRECT(_xlfn.TEXTJOIN("",TRUE,A299,"!",ADDRESS(21+(A300-1)*A296,2)))</f>
        <v>Engineering Graphics &amp; Design Lab</v>
      </c>
      <c r="D291" s="38"/>
      <c r="E291" s="38"/>
      <c r="F291" s="38"/>
      <c r="G291" s="39"/>
      <c r="H291" s="20">
        <f ca="1">INDIRECT(_xlfn.TEXTJOIN("",TRUE,A299,"!",ADDRESS(21+(A300-1)*A296,6)))</f>
        <v>2</v>
      </c>
      <c r="I291" s="20" t="str">
        <f ca="1">INDIRECT(_xlfn.TEXTJOIN("",TRUE,A299,"!",ADDRESS(21+(A300-1)*A296,13)))</f>
        <v>B+</v>
      </c>
      <c r="J291" s="20">
        <f ca="1">INDIRECT(_xlfn.TEXTJOIN("",TRUE,A299,"!",ADDRESS(21+(A300-1)*A296,14)))</f>
        <v>8.5</v>
      </c>
    </row>
    <row r="292" spans="1:10" ht="28" customHeight="1" x14ac:dyDescent="0.2">
      <c r="A292" s="35" t="str">
        <f ca="1">INDIRECT(_xlfn.TEXTJOIN("",TRUE,A299,"!",ADDRESS(22+(A300-1)*A296,1)))</f>
        <v>AHP 003</v>
      </c>
      <c r="B292" s="36"/>
      <c r="C292" s="37" t="str">
        <f ca="1">INDIRECT(_xlfn.TEXTJOIN("",TRUE,A299,"!",ADDRESS(22+(A300-1)*A296,2)))</f>
        <v>Introduction to Digital Marketing Lab</v>
      </c>
      <c r="D292" s="38"/>
      <c r="E292" s="38"/>
      <c r="F292" s="38"/>
      <c r="G292" s="39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C</v>
      </c>
      <c r="J292" s="20">
        <f ca="1">INDIRECT(_xlfn.TEXTJOIN("",TRUE,A299,"!",ADDRESS(22+(A300-1)*A296,14)))</f>
        <v>7</v>
      </c>
    </row>
    <row r="293" spans="1:10" ht="28" customHeight="1" x14ac:dyDescent="0.2">
      <c r="A293" s="35" t="str">
        <f ca="1">INDIRECT(_xlfn.TEXTJOIN("",TRUE,A299,"!",ADDRESS(23+(A300-1)*A296,1)))</f>
        <v>AHP 005</v>
      </c>
      <c r="B293" s="36"/>
      <c r="C293" s="37" t="str">
        <f ca="1">INDIRECT(_xlfn.TEXTJOIN("",TRUE,A299,"!",ADDRESS(23+(A300-1)*A296,2)))</f>
        <v>Self Employment &amp; Entrepreneurship Development</v>
      </c>
      <c r="D293" s="38"/>
      <c r="E293" s="38"/>
      <c r="F293" s="38"/>
      <c r="G293" s="39"/>
      <c r="H293" s="20">
        <f ca="1">INDIRECT(_xlfn.TEXTJOIN("",TRUE,A299,"!",ADDRESS(23+(A300-1)*A296,6)))</f>
        <v>1</v>
      </c>
      <c r="I293" s="20" t="str">
        <f ca="1">INDIRECT(_xlfn.TEXTJOIN("",TRUE,A299,"!",ADDRESS(23+(A300-1)*A296,13)))</f>
        <v>A+</v>
      </c>
      <c r="J293" s="20">
        <f ca="1">INDIRECT(_xlfn.TEXTJOIN("",TRUE,A299,"!",ADDRESS(23+(A300-1)*A296,14)))</f>
        <v>9.5</v>
      </c>
    </row>
    <row r="294" spans="1:10" ht="28" customHeight="1" x14ac:dyDescent="0.2">
      <c r="A294" s="35" t="str">
        <f ca="1">INDIRECT(_xlfn.TEXTJOIN("",TRUE,A299,"!",ADDRESS(24+(A300-1)*A296,1)))</f>
        <v>GP 01</v>
      </c>
      <c r="B294" s="36"/>
      <c r="C294" s="37" t="str">
        <f ca="1">INDIRECT(_xlfn.TEXTJOIN("",TRUE,A299,"!",ADDRESS(24+(A300-1)*A296,2)))</f>
        <v>General Proficiency ($)</v>
      </c>
      <c r="D294" s="38"/>
      <c r="E294" s="38"/>
      <c r="F294" s="38"/>
      <c r="G294" s="39"/>
      <c r="H294" s="20">
        <f ca="1">INDIRECT(_xlfn.TEXTJOIN("",TRUE,A299,"!",ADDRESS(24+(A300-1)*A296,6)))</f>
        <v>0</v>
      </c>
      <c r="I294" s="40" t="str">
        <f ca="1">INDIRECT(_xlfn.TEXTJOIN("",TRUE,A299,"!",ADDRESS(24+(A300-1)*A296,13)))</f>
        <v>Excellent</v>
      </c>
      <c r="J294" s="41"/>
    </row>
    <row r="295" spans="1:10" ht="28" customHeight="1" x14ac:dyDescent="0.2">
      <c r="A295" s="42" t="s">
        <v>52</v>
      </c>
      <c r="B295" s="42"/>
      <c r="C295" s="42"/>
      <c r="D295" s="42"/>
      <c r="E295" s="42"/>
      <c r="F295" s="42"/>
      <c r="G295" s="42"/>
      <c r="H295" s="16">
        <f ca="1">SUM(H283:H294)</f>
        <v>23</v>
      </c>
      <c r="I295" s="16" t="s">
        <v>44</v>
      </c>
      <c r="J295" s="16">
        <f ca="1">SUMPRODUCT(J283:J293,H283:H293)</f>
        <v>95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43" t="s">
        <v>40</v>
      </c>
      <c r="B297" s="43"/>
      <c r="C297" s="21">
        <f ca="1">INDIRECT(_xlfn.TEXTJOIN("",TRUE,A299,"!",ADDRESS(5+A300*A296,12)))</f>
        <v>15</v>
      </c>
      <c r="D297" s="43" t="s">
        <v>38</v>
      </c>
      <c r="E297" s="43"/>
      <c r="F297" s="18">
        <f ca="1">INDIRECT(_xlfn.TEXTJOIN("",TRUE,A299,"!",ADDRESS(5+A300*A296,8)))</f>
        <v>4.1304347826086953</v>
      </c>
      <c r="G297" s="43" t="s">
        <v>39</v>
      </c>
      <c r="H297" s="43"/>
      <c r="I297" s="44">
        <f ca="1">INDIRECT(_xlfn.TEXTJOIN("",TRUE,A299,"!",ADDRESS(5+A300*A296,10)))</f>
        <v>4.1304347826086953</v>
      </c>
      <c r="J297" s="44"/>
    </row>
    <row r="298" spans="1:10" ht="28" customHeight="1" x14ac:dyDescent="0.2">
      <c r="A298" s="19" t="s">
        <v>36</v>
      </c>
      <c r="B298" s="45" t="str">
        <f ca="1">INDIRECT(_xlfn.TEXTJOIN("",TRUE,A299,"!",ADDRESS(5+A300*A296,2)))</f>
        <v>CARRY OVER</v>
      </c>
      <c r="C298" s="45"/>
      <c r="D298" s="46" t="s">
        <v>37</v>
      </c>
      <c r="E298" s="46"/>
      <c r="F298" s="47" t="str">
        <f ca="1">INDIRECT(_xlfn.TEXTJOIN("",TRUE,A299,"!",ADDRESS(5+A300*A296,5)))</f>
        <v>BACK IN AHT 003, EET 001</v>
      </c>
      <c r="G298" s="47"/>
      <c r="H298" s="47"/>
      <c r="I298" s="47"/>
      <c r="J298" s="47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48" t="s">
        <v>24</v>
      </c>
      <c r="B301" s="48"/>
      <c r="C301" s="48" t="str">
        <f ca="1">INDIRECT(_xlfn.TEXTJOIN("",TRUE,A320,"!",ADDRESS(9+(A321-1)*A317,2)))</f>
        <v>SIDDHARTH RAWAT</v>
      </c>
      <c r="D301" s="48"/>
      <c r="E301" s="48"/>
      <c r="F301" s="48" t="s">
        <v>50</v>
      </c>
      <c r="G301" s="48"/>
      <c r="H301" s="48"/>
      <c r="I301" s="49">
        <f ca="1">INDIRECT(_xlfn.TEXTJOIN("",TRUE,A320,"!",ADDRESS(9+(A321-1)*A317,9)))</f>
        <v>250090111015</v>
      </c>
      <c r="J301" s="49"/>
    </row>
    <row r="302" spans="1:10" ht="28" customHeight="1" x14ac:dyDescent="0.2">
      <c r="A302" s="48" t="s">
        <v>25</v>
      </c>
      <c r="B302" s="48"/>
      <c r="C302" s="48" t="str">
        <f ca="1">INDIRECT(_xlfn.TEXTJOIN("",TRUE,A320,"!",ADDRESS(9+(A321-1)*A317,5)))</f>
        <v>PARMESH RAWAT</v>
      </c>
      <c r="D302" s="48"/>
      <c r="E302" s="48"/>
      <c r="F302" s="50" t="s">
        <v>51</v>
      </c>
      <c r="G302" s="50"/>
      <c r="H302" s="50"/>
      <c r="I302" s="49" t="str">
        <f ca="1">INDIRECT(_xlfn.TEXTJOIN("",TRUE,A320,"!",ADDRESS(9+(A321-1)*A317,13)))</f>
        <v>PUTU/2501104321</v>
      </c>
      <c r="J302" s="49"/>
    </row>
    <row r="303" spans="1:10" ht="28" customHeight="1" x14ac:dyDescent="0.2">
      <c r="A303" s="45" t="s">
        <v>28</v>
      </c>
      <c r="B303" s="45"/>
      <c r="C303" s="45" t="s">
        <v>29</v>
      </c>
      <c r="D303" s="45"/>
      <c r="E303" s="45"/>
      <c r="F303" s="45"/>
      <c r="G303" s="45"/>
      <c r="H303" s="15" t="s">
        <v>30</v>
      </c>
      <c r="I303" s="15" t="s">
        <v>10</v>
      </c>
      <c r="J303" s="15" t="s">
        <v>34</v>
      </c>
    </row>
    <row r="304" spans="1:10" ht="28" customHeight="1" x14ac:dyDescent="0.2">
      <c r="A304" s="35" t="str">
        <f ca="1">INDIRECT(_xlfn.TEXTJOIN("",TRUE,A320,"!",ADDRESS(13+(A321-1)*A317,1)))</f>
        <v>AHT 001</v>
      </c>
      <c r="B304" s="36"/>
      <c r="C304" s="37" t="str">
        <f ca="1">INDIRECT(_xlfn.TEXTJOIN("",TRUE,A320,"!",ADDRESS(13+(A321-1)*A317,2)))</f>
        <v>Engineering Physics</v>
      </c>
      <c r="D304" s="38"/>
      <c r="E304" s="38"/>
      <c r="F304" s="38"/>
      <c r="G304" s="39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F</v>
      </c>
      <c r="J304" s="20">
        <f ca="1">INDIRECT(_xlfn.TEXTJOIN("",TRUE,A320,"!",ADDRESS(13+(A321-1)*A317,14)))</f>
        <v>0</v>
      </c>
    </row>
    <row r="305" spans="1:10" ht="28" customHeight="1" x14ac:dyDescent="0.2">
      <c r="A305" s="35" t="str">
        <f ca="1">INDIRECT(_xlfn.TEXTJOIN("",TRUE,A320,"!",ADDRESS(14+(A321-1)*A317,1)))</f>
        <v>AHT 003</v>
      </c>
      <c r="B305" s="36"/>
      <c r="C305" s="37" t="str">
        <f ca="1">INDIRECT(_xlfn.TEXTJOIN("",TRUE,A320,"!",ADDRESS(14+(A321-1)*A317,2)))</f>
        <v>Introduction to Engineering Mathematics</v>
      </c>
      <c r="D305" s="38"/>
      <c r="E305" s="38"/>
      <c r="F305" s="38"/>
      <c r="G305" s="39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F</v>
      </c>
      <c r="J305" s="20">
        <f ca="1">INDIRECT(_xlfn.TEXTJOIN("",TRUE,A320,"!",ADDRESS(14+(A321-1)*A317,14)))</f>
        <v>0</v>
      </c>
    </row>
    <row r="306" spans="1:10" ht="28" customHeight="1" x14ac:dyDescent="0.2">
      <c r="A306" s="35" t="str">
        <f ca="1">INDIRECT(_xlfn.TEXTJOIN("",TRUE,A320,"!",ADDRESS(15+(A321-1)*A317,1)))</f>
        <v>EET 001</v>
      </c>
      <c r="B306" s="36"/>
      <c r="C306" s="37" t="str">
        <f ca="1">INDIRECT(_xlfn.TEXTJOIN("",TRUE,A320,"!",ADDRESS(15+(A321-1)*A317,2)))</f>
        <v>Basic Electrical Engineering</v>
      </c>
      <c r="D306" s="38"/>
      <c r="E306" s="38"/>
      <c r="F306" s="38"/>
      <c r="G306" s="39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E+</v>
      </c>
      <c r="J306" s="20">
        <f ca="1">INDIRECT(_xlfn.TEXTJOIN("",TRUE,A320,"!",ADDRESS(15+(A321-1)*A317,14)))</f>
        <v>5.5</v>
      </c>
    </row>
    <row r="307" spans="1:10" ht="28" customHeight="1" x14ac:dyDescent="0.2">
      <c r="A307" s="35" t="str">
        <f ca="1">INDIRECT(_xlfn.TEXTJOIN("",TRUE,A320,"!",ADDRESS(16+(A321-1)*A317,1)))</f>
        <v>CST 001</v>
      </c>
      <c r="B307" s="36"/>
      <c r="C307" s="37" t="str">
        <f ca="1">INDIRECT(_xlfn.TEXTJOIN("",TRUE,A320,"!",ADDRESS(16+(A321-1)*A317,2)))</f>
        <v>Programming for Problem Solving</v>
      </c>
      <c r="D307" s="38"/>
      <c r="E307" s="38"/>
      <c r="F307" s="38"/>
      <c r="G307" s="39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P</v>
      </c>
      <c r="J307" s="20">
        <f ca="1">INDIRECT(_xlfn.TEXTJOIN("",TRUE,A320,"!",ADDRESS(16+(A321-1)*A317,14)))</f>
        <v>4.5</v>
      </c>
    </row>
    <row r="308" spans="1:10" ht="28" customHeight="1" x14ac:dyDescent="0.2">
      <c r="A308" s="35" t="str">
        <f ca="1">INDIRECT(_xlfn.TEXTJOIN("",TRUE,A320,"!",ADDRESS(17+(A321-1)*A317,1)))</f>
        <v>AHT 004</v>
      </c>
      <c r="B308" s="36"/>
      <c r="C308" s="37" t="str">
        <f ca="1">INDIRECT(_xlfn.TEXTJOIN("",TRUE,A320,"!",ADDRESS(17+(A321-1)*A317,2)))</f>
        <v>Environmental Studies ($)</v>
      </c>
      <c r="D308" s="38"/>
      <c r="E308" s="38"/>
      <c r="F308" s="38"/>
      <c r="G308" s="39"/>
      <c r="H308" s="20">
        <f ca="1">INDIRECT(_xlfn.TEXTJOIN("",TRUE,A320,"!",ADDRESS(17+(A321-1)*A317,6)))</f>
        <v>0</v>
      </c>
      <c r="I308" s="20" t="str">
        <f ca="1">INDIRECT(_xlfn.TEXTJOIN("",TRUE,A320,"!",ADDRESS(17+(A321-1)*A317,13)))</f>
        <v>E+</v>
      </c>
      <c r="J308" s="20">
        <f ca="1">INDIRECT(_xlfn.TEXTJOIN("",TRUE,A320,"!",ADDRESS(17+(A321-1)*A317,14)))</f>
        <v>5.5</v>
      </c>
    </row>
    <row r="309" spans="1:10" ht="28" customHeight="1" x14ac:dyDescent="0.2">
      <c r="A309" s="35" t="str">
        <f ca="1">INDIRECT(_xlfn.TEXTJOIN("",TRUE,A320,"!",ADDRESS(18+(A321-1)*A317,1)))</f>
        <v>AHP 001</v>
      </c>
      <c r="B309" s="36"/>
      <c r="C309" s="37" t="str">
        <f ca="1">INDIRECT(_xlfn.TEXTJOIN("",TRUE,A320,"!",ADDRESS(18+(A321-1)*A317,2)))</f>
        <v>Engineering Physics Lab</v>
      </c>
      <c r="D309" s="38"/>
      <c r="E309" s="38"/>
      <c r="F309" s="38"/>
      <c r="G309" s="39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B+</v>
      </c>
      <c r="J309" s="20">
        <f ca="1">INDIRECT(_xlfn.TEXTJOIN("",TRUE,A320,"!",ADDRESS(18+(A321-1)*A317,14)))</f>
        <v>8.5</v>
      </c>
    </row>
    <row r="310" spans="1:10" ht="28" customHeight="1" x14ac:dyDescent="0.2">
      <c r="A310" s="35" t="str">
        <f ca="1">INDIRECT(_xlfn.TEXTJOIN("",TRUE,A320,"!",ADDRESS(19+(A321-1)*A317,1)))</f>
        <v>EEP 001</v>
      </c>
      <c r="B310" s="36"/>
      <c r="C310" s="37" t="str">
        <f ca="1">INDIRECT(_xlfn.TEXTJOIN("",TRUE,A320,"!",ADDRESS(19+(A321-1)*A317,2)))</f>
        <v>Basic Electrical Engineering Lab</v>
      </c>
      <c r="D310" s="38"/>
      <c r="E310" s="38"/>
      <c r="F310" s="38"/>
      <c r="G310" s="39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C+</v>
      </c>
      <c r="J310" s="20">
        <f ca="1">INDIRECT(_xlfn.TEXTJOIN("",TRUE,A320,"!",ADDRESS(19+(A321-1)*A317,14)))</f>
        <v>7.5</v>
      </c>
    </row>
    <row r="311" spans="1:10" ht="28" customHeight="1" x14ac:dyDescent="0.2">
      <c r="A311" s="35" t="str">
        <f ca="1">INDIRECT(_xlfn.TEXTJOIN("",TRUE,A320,"!",ADDRESS(20+(A321-1)*A317,1)))</f>
        <v>CSP 001</v>
      </c>
      <c r="B311" s="36"/>
      <c r="C311" s="37" t="str">
        <f ca="1">INDIRECT(_xlfn.TEXTJOIN("",TRUE,A320,"!",ADDRESS(20+(A321-1)*A317,2)))</f>
        <v>Programming for Problem Solving Lab</v>
      </c>
      <c r="D311" s="38"/>
      <c r="E311" s="38"/>
      <c r="F311" s="38"/>
      <c r="G311" s="39"/>
      <c r="H311" s="20">
        <f ca="1">INDIRECT(_xlfn.TEXTJOIN("",TRUE,A320,"!",ADDRESS(20+(A321-1)*A317,6)))</f>
        <v>1</v>
      </c>
      <c r="I311" s="20" t="str">
        <f ca="1">INDIRECT(_xlfn.TEXTJOIN("",TRUE,A320,"!",ADDRESS(20+(A321-1)*A317,13)))</f>
        <v>B</v>
      </c>
      <c r="J311" s="20">
        <f ca="1">INDIRECT(_xlfn.TEXTJOIN("",TRUE,A320,"!",ADDRESS(20+(A321-1)*A317,14)))</f>
        <v>8</v>
      </c>
    </row>
    <row r="312" spans="1:10" ht="28" customHeight="1" x14ac:dyDescent="0.2">
      <c r="A312" s="35" t="str">
        <f ca="1">INDIRECT(_xlfn.TEXTJOIN("",TRUE,A320,"!",ADDRESS(21+(A321-1)*A317,1)))</f>
        <v>MEP 002</v>
      </c>
      <c r="B312" s="36"/>
      <c r="C312" s="37" t="str">
        <f ca="1">INDIRECT(_xlfn.TEXTJOIN("",TRUE,A320,"!",ADDRESS(21+(A321-1)*A317,2)))</f>
        <v>Engineering Graphics &amp; Design Lab</v>
      </c>
      <c r="D312" s="38"/>
      <c r="E312" s="38"/>
      <c r="F312" s="38"/>
      <c r="G312" s="39"/>
      <c r="H312" s="20">
        <f ca="1">INDIRECT(_xlfn.TEXTJOIN("",TRUE,A320,"!",ADDRESS(21+(A321-1)*A317,6)))</f>
        <v>2</v>
      </c>
      <c r="I312" s="20" t="str">
        <f ca="1">INDIRECT(_xlfn.TEXTJOIN("",TRUE,A320,"!",ADDRESS(21+(A321-1)*A317,13)))</f>
        <v>B</v>
      </c>
      <c r="J312" s="20">
        <f ca="1">INDIRECT(_xlfn.TEXTJOIN("",TRUE,A320,"!",ADDRESS(21+(A321-1)*A317,14)))</f>
        <v>8</v>
      </c>
    </row>
    <row r="313" spans="1:10" ht="28" customHeight="1" x14ac:dyDescent="0.2">
      <c r="A313" s="35" t="str">
        <f ca="1">INDIRECT(_xlfn.TEXTJOIN("",TRUE,A320,"!",ADDRESS(22+(A321-1)*A317,1)))</f>
        <v>AHP 003</v>
      </c>
      <c r="B313" s="36"/>
      <c r="C313" s="37" t="str">
        <f ca="1">INDIRECT(_xlfn.TEXTJOIN("",TRUE,A320,"!",ADDRESS(22+(A321-1)*A317,2)))</f>
        <v>Introduction to Digital Marketing Lab</v>
      </c>
      <c r="D313" s="38"/>
      <c r="E313" s="38"/>
      <c r="F313" s="38"/>
      <c r="G313" s="39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D+</v>
      </c>
      <c r="J313" s="20">
        <f ca="1">INDIRECT(_xlfn.TEXTJOIN("",TRUE,A320,"!",ADDRESS(22+(A321-1)*A317,14)))</f>
        <v>6.5</v>
      </c>
    </row>
    <row r="314" spans="1:10" ht="28" customHeight="1" x14ac:dyDescent="0.2">
      <c r="A314" s="35" t="str">
        <f ca="1">INDIRECT(_xlfn.TEXTJOIN("",TRUE,A320,"!",ADDRESS(23+(A321-1)*A317,1)))</f>
        <v>AHP 005</v>
      </c>
      <c r="B314" s="36"/>
      <c r="C314" s="37" t="str">
        <f ca="1">INDIRECT(_xlfn.TEXTJOIN("",TRUE,A320,"!",ADDRESS(23+(A321-1)*A317,2)))</f>
        <v>Self Employment &amp; Entrepreneurship Development</v>
      </c>
      <c r="D314" s="38"/>
      <c r="E314" s="38"/>
      <c r="F314" s="38"/>
      <c r="G314" s="39"/>
      <c r="H314" s="20">
        <f ca="1">INDIRECT(_xlfn.TEXTJOIN("",TRUE,A320,"!",ADDRESS(23+(A321-1)*A317,6)))</f>
        <v>1</v>
      </c>
      <c r="I314" s="20" t="str">
        <f ca="1">INDIRECT(_xlfn.TEXTJOIN("",TRUE,A320,"!",ADDRESS(23+(A321-1)*A317,13)))</f>
        <v>B+</v>
      </c>
      <c r="J314" s="20">
        <f ca="1">INDIRECT(_xlfn.TEXTJOIN("",TRUE,A320,"!",ADDRESS(23+(A321-1)*A317,14)))</f>
        <v>8.5</v>
      </c>
    </row>
    <row r="315" spans="1:10" ht="28" customHeight="1" x14ac:dyDescent="0.2">
      <c r="A315" s="35" t="str">
        <f ca="1">INDIRECT(_xlfn.TEXTJOIN("",TRUE,A320,"!",ADDRESS(24+(A321-1)*A317,1)))</f>
        <v>GP 01</v>
      </c>
      <c r="B315" s="36"/>
      <c r="C315" s="37" t="str">
        <f ca="1">INDIRECT(_xlfn.TEXTJOIN("",TRUE,A320,"!",ADDRESS(24+(A321-1)*A317,2)))</f>
        <v>General Proficiency ($)</v>
      </c>
      <c r="D315" s="38"/>
      <c r="E315" s="38"/>
      <c r="F315" s="38"/>
      <c r="G315" s="39"/>
      <c r="H315" s="20">
        <f ca="1">INDIRECT(_xlfn.TEXTJOIN("",TRUE,A320,"!",ADDRESS(24+(A321-1)*A317,6)))</f>
        <v>0</v>
      </c>
      <c r="I315" s="40" t="str">
        <f ca="1">INDIRECT(_xlfn.TEXTJOIN("",TRUE,A320,"!",ADDRESS(24+(A321-1)*A317,13)))</f>
        <v>Excellent</v>
      </c>
      <c r="J315" s="41"/>
    </row>
    <row r="316" spans="1:10" ht="28" customHeight="1" x14ac:dyDescent="0.2">
      <c r="A316" s="42" t="s">
        <v>52</v>
      </c>
      <c r="B316" s="42"/>
      <c r="C316" s="42"/>
      <c r="D316" s="42"/>
      <c r="E316" s="42"/>
      <c r="F316" s="42"/>
      <c r="G316" s="42"/>
      <c r="H316" s="16">
        <f ca="1">SUM(H304:H315)</f>
        <v>23</v>
      </c>
      <c r="I316" s="16" t="s">
        <v>44</v>
      </c>
      <c r="J316" s="16">
        <f ca="1">SUMPRODUCT(J304:J314,H304:H314)</f>
        <v>95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43" t="s">
        <v>40</v>
      </c>
      <c r="B318" s="43"/>
      <c r="C318" s="21">
        <f ca="1">INDIRECT(_xlfn.TEXTJOIN("",TRUE,A320,"!",ADDRESS(5+A321*A317,12)))</f>
        <v>15</v>
      </c>
      <c r="D318" s="43" t="s">
        <v>38</v>
      </c>
      <c r="E318" s="43"/>
      <c r="F318" s="18">
        <f ca="1">INDIRECT(_xlfn.TEXTJOIN("",TRUE,A320,"!",ADDRESS(5+A321*A317,8)))</f>
        <v>4.1304347826086953</v>
      </c>
      <c r="G318" s="43" t="s">
        <v>39</v>
      </c>
      <c r="H318" s="43"/>
      <c r="I318" s="44">
        <f ca="1">INDIRECT(_xlfn.TEXTJOIN("",TRUE,A320,"!",ADDRESS(5+A321*A317,10)))</f>
        <v>4.1304347826086953</v>
      </c>
      <c r="J318" s="44"/>
    </row>
    <row r="319" spans="1:10" ht="28" customHeight="1" x14ac:dyDescent="0.2">
      <c r="A319" s="19" t="s">
        <v>36</v>
      </c>
      <c r="B319" s="45" t="str">
        <f ca="1">INDIRECT(_xlfn.TEXTJOIN("",TRUE,A320,"!",ADDRESS(5+A321*A317,2)))</f>
        <v>CARRY OVER</v>
      </c>
      <c r="C319" s="45"/>
      <c r="D319" s="46" t="s">
        <v>37</v>
      </c>
      <c r="E319" s="46"/>
      <c r="F319" s="47" t="str">
        <f ca="1">INDIRECT(_xlfn.TEXTJOIN("",TRUE,A320,"!",ADDRESS(5+A321*A317,5)))</f>
        <v>BACK IN AHT 001, AHT 003</v>
      </c>
      <c r="G319" s="47"/>
      <c r="H319" s="47"/>
      <c r="I319" s="47"/>
      <c r="J319" s="47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48" t="s">
        <v>24</v>
      </c>
      <c r="B322" s="48"/>
      <c r="C322" s="48" t="str">
        <f ca="1">INDIRECT(_xlfn.TEXTJOIN("",TRUE,A341,"!",ADDRESS(9+(A342-1)*A338,2)))</f>
        <v>SIDHARTH SINGH SAJWAN</v>
      </c>
      <c r="D322" s="48"/>
      <c r="E322" s="48"/>
      <c r="F322" s="48" t="s">
        <v>50</v>
      </c>
      <c r="G322" s="48"/>
      <c r="H322" s="48"/>
      <c r="I322" s="49">
        <f ca="1">INDIRECT(_xlfn.TEXTJOIN("",TRUE,A341,"!",ADDRESS(9+(A342-1)*A338,9)))</f>
        <v>250090111016</v>
      </c>
      <c r="J322" s="49"/>
    </row>
    <row r="323" spans="1:10" ht="28" customHeight="1" x14ac:dyDescent="0.2">
      <c r="A323" s="48" t="s">
        <v>25</v>
      </c>
      <c r="B323" s="48"/>
      <c r="C323" s="48" t="str">
        <f ca="1">INDIRECT(_xlfn.TEXTJOIN("",TRUE,A341,"!",ADDRESS(9+(A342-1)*A338,5)))</f>
        <v>RAJENDRA SINGH SAJWAN</v>
      </c>
      <c r="D323" s="48"/>
      <c r="E323" s="48"/>
      <c r="F323" s="50" t="s">
        <v>51</v>
      </c>
      <c r="G323" s="50"/>
      <c r="H323" s="50"/>
      <c r="I323" s="49" t="str">
        <f ca="1">INDIRECT(_xlfn.TEXTJOIN("",TRUE,A341,"!",ADDRESS(9+(A342-1)*A338,13)))</f>
        <v>UTU/2501103693</v>
      </c>
      <c r="J323" s="49"/>
    </row>
    <row r="324" spans="1:10" ht="28" customHeight="1" x14ac:dyDescent="0.2">
      <c r="A324" s="45" t="s">
        <v>28</v>
      </c>
      <c r="B324" s="45"/>
      <c r="C324" s="45" t="s">
        <v>29</v>
      </c>
      <c r="D324" s="45"/>
      <c r="E324" s="45"/>
      <c r="F324" s="45"/>
      <c r="G324" s="45"/>
      <c r="H324" s="15" t="s">
        <v>30</v>
      </c>
      <c r="I324" s="15" t="s">
        <v>10</v>
      </c>
      <c r="J324" s="15" t="s">
        <v>34</v>
      </c>
    </row>
    <row r="325" spans="1:10" ht="28" customHeight="1" x14ac:dyDescent="0.2">
      <c r="A325" s="35" t="str">
        <f ca="1">INDIRECT(_xlfn.TEXTJOIN("",TRUE,A341,"!",ADDRESS(13+(A342-1)*A338,1)))</f>
        <v>AHT 001</v>
      </c>
      <c r="B325" s="36"/>
      <c r="C325" s="37" t="str">
        <f ca="1">INDIRECT(_xlfn.TEXTJOIN("",TRUE,A341,"!",ADDRESS(13+(A342-1)*A338,2)))</f>
        <v>Engineering Physics</v>
      </c>
      <c r="D325" s="38"/>
      <c r="E325" s="38"/>
      <c r="F325" s="38"/>
      <c r="G325" s="39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F</v>
      </c>
      <c r="J325" s="20">
        <f ca="1">INDIRECT(_xlfn.TEXTJOIN("",TRUE,A341,"!",ADDRESS(13+(A342-1)*A338,14)))</f>
        <v>0</v>
      </c>
    </row>
    <row r="326" spans="1:10" ht="28" customHeight="1" x14ac:dyDescent="0.2">
      <c r="A326" s="35" t="str">
        <f ca="1">INDIRECT(_xlfn.TEXTJOIN("",TRUE,A341,"!",ADDRESS(14+(A342-1)*A338,1)))</f>
        <v>AHT 003</v>
      </c>
      <c r="B326" s="36"/>
      <c r="C326" s="37" t="str">
        <f ca="1">INDIRECT(_xlfn.TEXTJOIN("",TRUE,A341,"!",ADDRESS(14+(A342-1)*A338,2)))</f>
        <v>Introduction to Engineering Mathematics</v>
      </c>
      <c r="D326" s="38"/>
      <c r="E326" s="38"/>
      <c r="F326" s="38"/>
      <c r="G326" s="39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F</v>
      </c>
      <c r="J326" s="20">
        <f ca="1">INDIRECT(_xlfn.TEXTJOIN("",TRUE,A341,"!",ADDRESS(14+(A342-1)*A338,14)))</f>
        <v>0</v>
      </c>
    </row>
    <row r="327" spans="1:10" ht="28" customHeight="1" x14ac:dyDescent="0.2">
      <c r="A327" s="35" t="str">
        <f ca="1">INDIRECT(_xlfn.TEXTJOIN("",TRUE,A341,"!",ADDRESS(15+(A342-1)*A338,1)))</f>
        <v>EET 001</v>
      </c>
      <c r="B327" s="36"/>
      <c r="C327" s="37" t="str">
        <f ca="1">INDIRECT(_xlfn.TEXTJOIN("",TRUE,A341,"!",ADDRESS(15+(A342-1)*A338,2)))</f>
        <v>Basic Electrical Engineering</v>
      </c>
      <c r="D327" s="38"/>
      <c r="E327" s="38"/>
      <c r="F327" s="38"/>
      <c r="G327" s="39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F</v>
      </c>
      <c r="J327" s="20">
        <f ca="1">INDIRECT(_xlfn.TEXTJOIN("",TRUE,A341,"!",ADDRESS(15+(A342-1)*A338,14)))</f>
        <v>0</v>
      </c>
    </row>
    <row r="328" spans="1:10" ht="28" customHeight="1" x14ac:dyDescent="0.2">
      <c r="A328" s="35" t="str">
        <f ca="1">INDIRECT(_xlfn.TEXTJOIN("",TRUE,A341,"!",ADDRESS(16+(A342-1)*A338,1)))</f>
        <v>CST 001</v>
      </c>
      <c r="B328" s="36"/>
      <c r="C328" s="37" t="str">
        <f ca="1">INDIRECT(_xlfn.TEXTJOIN("",TRUE,A341,"!",ADDRESS(16+(A342-1)*A338,2)))</f>
        <v>Programming for Problem Solving</v>
      </c>
      <c r="D328" s="38"/>
      <c r="E328" s="38"/>
      <c r="F328" s="38"/>
      <c r="G328" s="39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F</v>
      </c>
      <c r="J328" s="20">
        <f ca="1">INDIRECT(_xlfn.TEXTJOIN("",TRUE,A341,"!",ADDRESS(16+(A342-1)*A338,14)))</f>
        <v>0</v>
      </c>
    </row>
    <row r="329" spans="1:10" ht="28" customHeight="1" x14ac:dyDescent="0.2">
      <c r="A329" s="35" t="str">
        <f ca="1">INDIRECT(_xlfn.TEXTJOIN("",TRUE,A341,"!",ADDRESS(17+(A342-1)*A338,1)))</f>
        <v>AHT 004</v>
      </c>
      <c r="B329" s="36"/>
      <c r="C329" s="37" t="str">
        <f ca="1">INDIRECT(_xlfn.TEXTJOIN("",TRUE,A341,"!",ADDRESS(17+(A342-1)*A338,2)))</f>
        <v>Environmental Studies ($)</v>
      </c>
      <c r="D329" s="38"/>
      <c r="E329" s="38"/>
      <c r="F329" s="38"/>
      <c r="G329" s="39"/>
      <c r="H329" s="20">
        <f ca="1">INDIRECT(_xlfn.TEXTJOIN("",TRUE,A341,"!",ADDRESS(17+(A342-1)*A338,6)))</f>
        <v>0</v>
      </c>
      <c r="I329" s="20" t="str">
        <f ca="1">INDIRECT(_xlfn.TEXTJOIN("",TRUE,A341,"!",ADDRESS(17+(A342-1)*A338,13)))</f>
        <v>D</v>
      </c>
      <c r="J329" s="20">
        <f ca="1">INDIRECT(_xlfn.TEXTJOIN("",TRUE,A341,"!",ADDRESS(17+(A342-1)*A338,14)))</f>
        <v>6</v>
      </c>
    </row>
    <row r="330" spans="1:10" ht="28" customHeight="1" x14ac:dyDescent="0.2">
      <c r="A330" s="35" t="str">
        <f ca="1">INDIRECT(_xlfn.TEXTJOIN("",TRUE,A341,"!",ADDRESS(18+(A342-1)*A338,1)))</f>
        <v>AHP 001</v>
      </c>
      <c r="B330" s="36"/>
      <c r="C330" s="37" t="str">
        <f ca="1">INDIRECT(_xlfn.TEXTJOIN("",TRUE,A341,"!",ADDRESS(18+(A342-1)*A338,2)))</f>
        <v>Engineering Physics Lab</v>
      </c>
      <c r="D330" s="38"/>
      <c r="E330" s="38"/>
      <c r="F330" s="38"/>
      <c r="G330" s="39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B+</v>
      </c>
      <c r="J330" s="20">
        <f ca="1">INDIRECT(_xlfn.TEXTJOIN("",TRUE,A341,"!",ADDRESS(18+(A342-1)*A338,14)))</f>
        <v>8.5</v>
      </c>
    </row>
    <row r="331" spans="1:10" ht="28" customHeight="1" x14ac:dyDescent="0.2">
      <c r="A331" s="35" t="str">
        <f ca="1">INDIRECT(_xlfn.TEXTJOIN("",TRUE,A341,"!",ADDRESS(19+(A342-1)*A338,1)))</f>
        <v>EEP 001</v>
      </c>
      <c r="B331" s="36"/>
      <c r="C331" s="37" t="str">
        <f ca="1">INDIRECT(_xlfn.TEXTJOIN("",TRUE,A341,"!",ADDRESS(19+(A342-1)*A338,2)))</f>
        <v>Basic Electrical Engineering Lab</v>
      </c>
      <c r="D331" s="38"/>
      <c r="E331" s="38"/>
      <c r="F331" s="38"/>
      <c r="G331" s="39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B</v>
      </c>
      <c r="J331" s="20">
        <f ca="1">INDIRECT(_xlfn.TEXTJOIN("",TRUE,A341,"!",ADDRESS(19+(A342-1)*A338,14)))</f>
        <v>8</v>
      </c>
    </row>
    <row r="332" spans="1:10" ht="28" customHeight="1" x14ac:dyDescent="0.2">
      <c r="A332" s="35" t="str">
        <f ca="1">INDIRECT(_xlfn.TEXTJOIN("",TRUE,A341,"!",ADDRESS(20+(A342-1)*A338,1)))</f>
        <v>CSP 001</v>
      </c>
      <c r="B332" s="36"/>
      <c r="C332" s="37" t="str">
        <f ca="1">INDIRECT(_xlfn.TEXTJOIN("",TRUE,A341,"!",ADDRESS(20+(A342-1)*A338,2)))</f>
        <v>Programming for Problem Solving Lab</v>
      </c>
      <c r="D332" s="38"/>
      <c r="E332" s="38"/>
      <c r="F332" s="38"/>
      <c r="G332" s="39"/>
      <c r="H332" s="20">
        <f ca="1">INDIRECT(_xlfn.TEXTJOIN("",TRUE,A341,"!",ADDRESS(20+(A342-1)*A338,6)))</f>
        <v>1</v>
      </c>
      <c r="I332" s="20" t="str">
        <f ca="1">INDIRECT(_xlfn.TEXTJOIN("",TRUE,A341,"!",ADDRESS(20+(A342-1)*A338,13)))</f>
        <v>B+</v>
      </c>
      <c r="J332" s="20">
        <f ca="1">INDIRECT(_xlfn.TEXTJOIN("",TRUE,A341,"!",ADDRESS(20+(A342-1)*A338,14)))</f>
        <v>8.5</v>
      </c>
    </row>
    <row r="333" spans="1:10" ht="28" customHeight="1" x14ac:dyDescent="0.2">
      <c r="A333" s="35" t="str">
        <f ca="1">INDIRECT(_xlfn.TEXTJOIN("",TRUE,A341,"!",ADDRESS(21+(A342-1)*A338,1)))</f>
        <v>MEP 002</v>
      </c>
      <c r="B333" s="36"/>
      <c r="C333" s="37" t="str">
        <f ca="1">INDIRECT(_xlfn.TEXTJOIN("",TRUE,A341,"!",ADDRESS(21+(A342-1)*A338,2)))</f>
        <v>Engineering Graphics &amp; Design Lab</v>
      </c>
      <c r="D333" s="38"/>
      <c r="E333" s="38"/>
      <c r="F333" s="38"/>
      <c r="G333" s="39"/>
      <c r="H333" s="20">
        <f ca="1">INDIRECT(_xlfn.TEXTJOIN("",TRUE,A341,"!",ADDRESS(21+(A342-1)*A338,6)))</f>
        <v>2</v>
      </c>
      <c r="I333" s="20" t="str">
        <f ca="1">INDIRECT(_xlfn.TEXTJOIN("",TRUE,A341,"!",ADDRESS(21+(A342-1)*A338,13)))</f>
        <v>A</v>
      </c>
      <c r="J333" s="20">
        <f ca="1">INDIRECT(_xlfn.TEXTJOIN("",TRUE,A341,"!",ADDRESS(21+(A342-1)*A338,14)))</f>
        <v>9</v>
      </c>
    </row>
    <row r="334" spans="1:10" ht="28" customHeight="1" x14ac:dyDescent="0.2">
      <c r="A334" s="35" t="str">
        <f ca="1">INDIRECT(_xlfn.TEXTJOIN("",TRUE,A341,"!",ADDRESS(22+(A342-1)*A338,1)))</f>
        <v>AHP 003</v>
      </c>
      <c r="B334" s="36"/>
      <c r="C334" s="37" t="str">
        <f ca="1">INDIRECT(_xlfn.TEXTJOIN("",TRUE,A341,"!",ADDRESS(22+(A342-1)*A338,2)))</f>
        <v>Introduction to Digital Marketing Lab</v>
      </c>
      <c r="D334" s="38"/>
      <c r="E334" s="38"/>
      <c r="F334" s="38"/>
      <c r="G334" s="39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A+</v>
      </c>
      <c r="J334" s="20">
        <f ca="1">INDIRECT(_xlfn.TEXTJOIN("",TRUE,A341,"!",ADDRESS(22+(A342-1)*A338,14)))</f>
        <v>9.5</v>
      </c>
    </row>
    <row r="335" spans="1:10" ht="28" customHeight="1" x14ac:dyDescent="0.2">
      <c r="A335" s="35" t="str">
        <f ca="1">INDIRECT(_xlfn.TEXTJOIN("",TRUE,A341,"!",ADDRESS(23+(A342-1)*A338,1)))</f>
        <v>AHP 005</v>
      </c>
      <c r="B335" s="36"/>
      <c r="C335" s="37" t="str">
        <f ca="1">INDIRECT(_xlfn.TEXTJOIN("",TRUE,A341,"!",ADDRESS(23+(A342-1)*A338,2)))</f>
        <v>Self Employment &amp; Entrepreneurship Development</v>
      </c>
      <c r="D335" s="38"/>
      <c r="E335" s="38"/>
      <c r="F335" s="38"/>
      <c r="G335" s="39"/>
      <c r="H335" s="20">
        <f ca="1">INDIRECT(_xlfn.TEXTJOIN("",TRUE,A341,"!",ADDRESS(23+(A342-1)*A338,6)))</f>
        <v>1</v>
      </c>
      <c r="I335" s="20" t="str">
        <f ca="1">INDIRECT(_xlfn.TEXTJOIN("",TRUE,A341,"!",ADDRESS(23+(A342-1)*A338,13)))</f>
        <v>A</v>
      </c>
      <c r="J335" s="20">
        <f ca="1">INDIRECT(_xlfn.TEXTJOIN("",TRUE,A341,"!",ADDRESS(23+(A342-1)*A338,14)))</f>
        <v>9</v>
      </c>
    </row>
    <row r="336" spans="1:10" ht="28" customHeight="1" x14ac:dyDescent="0.2">
      <c r="A336" s="35" t="str">
        <f ca="1">INDIRECT(_xlfn.TEXTJOIN("",TRUE,A341,"!",ADDRESS(24+(A342-1)*A338,1)))</f>
        <v>GP 01</v>
      </c>
      <c r="B336" s="36"/>
      <c r="C336" s="37" t="str">
        <f ca="1">INDIRECT(_xlfn.TEXTJOIN("",TRUE,A341,"!",ADDRESS(24+(A342-1)*A338,2)))</f>
        <v>General Proficiency ($)</v>
      </c>
      <c r="D336" s="38"/>
      <c r="E336" s="38"/>
      <c r="F336" s="38"/>
      <c r="G336" s="39"/>
      <c r="H336" s="20">
        <f ca="1">INDIRECT(_xlfn.TEXTJOIN("",TRUE,A341,"!",ADDRESS(24+(A342-1)*A338,6)))</f>
        <v>0</v>
      </c>
      <c r="I336" s="40" t="str">
        <f ca="1">INDIRECT(_xlfn.TEXTJOIN("",TRUE,A341,"!",ADDRESS(24+(A342-1)*A338,13)))</f>
        <v>Excellent</v>
      </c>
      <c r="J336" s="41"/>
    </row>
    <row r="337" spans="1:10" ht="28" customHeight="1" x14ac:dyDescent="0.2">
      <c r="A337" s="42" t="s">
        <v>52</v>
      </c>
      <c r="B337" s="42"/>
      <c r="C337" s="42"/>
      <c r="D337" s="42"/>
      <c r="E337" s="42"/>
      <c r="F337" s="42"/>
      <c r="G337" s="42"/>
      <c r="H337" s="16">
        <f ca="1">SUM(H325:H336)</f>
        <v>23</v>
      </c>
      <c r="I337" s="16" t="s">
        <v>44</v>
      </c>
      <c r="J337" s="16">
        <f ca="1">SUMPRODUCT(J325:J335,H325:H335)</f>
        <v>61.5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43" t="s">
        <v>40</v>
      </c>
      <c r="B339" s="43"/>
      <c r="C339" s="21">
        <f ca="1">INDIRECT(_xlfn.TEXTJOIN("",TRUE,A341,"!",ADDRESS(5+A342*A338,12)))</f>
        <v>7</v>
      </c>
      <c r="D339" s="43" t="s">
        <v>38</v>
      </c>
      <c r="E339" s="43"/>
      <c r="F339" s="18">
        <f ca="1">INDIRECT(_xlfn.TEXTJOIN("",TRUE,A341,"!",ADDRESS(5+A342*A338,8)))</f>
        <v>2.6739130434782608</v>
      </c>
      <c r="G339" s="43" t="s">
        <v>39</v>
      </c>
      <c r="H339" s="43"/>
      <c r="I339" s="44">
        <f ca="1">INDIRECT(_xlfn.TEXTJOIN("",TRUE,A341,"!",ADDRESS(5+A342*A338,10)))</f>
        <v>2.6739130434782608</v>
      </c>
      <c r="J339" s="44"/>
    </row>
    <row r="340" spans="1:10" ht="28" customHeight="1" x14ac:dyDescent="0.2">
      <c r="A340" s="19" t="s">
        <v>36</v>
      </c>
      <c r="B340" s="45" t="str">
        <f ca="1">INDIRECT(_xlfn.TEXTJOIN("",TRUE,A341,"!",ADDRESS(5+A342*A338,2)))</f>
        <v>CARRY OVER</v>
      </c>
      <c r="C340" s="45"/>
      <c r="D340" s="46" t="s">
        <v>37</v>
      </c>
      <c r="E340" s="46"/>
      <c r="F340" s="47" t="str">
        <f ca="1">INDIRECT(_xlfn.TEXTJOIN("",TRUE,A341,"!",ADDRESS(5+A342*A338,5)))</f>
        <v>BACK IN AHT 001, AHT 003, EET 001, CST 001</v>
      </c>
      <c r="G340" s="47"/>
      <c r="H340" s="47"/>
      <c r="I340" s="47"/>
      <c r="J340" s="47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48" t="s">
        <v>24</v>
      </c>
      <c r="B343" s="48"/>
      <c r="C343" s="48" t="str">
        <f ca="1">INDIRECT(_xlfn.TEXTJOIN("",TRUE,A362,"!",ADDRESS(9+(A363-1)*A359,2)))</f>
        <v>TANUJ RAWAT</v>
      </c>
      <c r="D343" s="48"/>
      <c r="E343" s="48"/>
      <c r="F343" s="48" t="s">
        <v>50</v>
      </c>
      <c r="G343" s="48"/>
      <c r="H343" s="48"/>
      <c r="I343" s="49">
        <f ca="1">INDIRECT(_xlfn.TEXTJOIN("",TRUE,A362,"!",ADDRESS(9+(A363-1)*A359,9)))</f>
        <v>250090111017</v>
      </c>
      <c r="J343" s="49"/>
    </row>
    <row r="344" spans="1:10" ht="28" customHeight="1" x14ac:dyDescent="0.2">
      <c r="A344" s="48" t="s">
        <v>25</v>
      </c>
      <c r="B344" s="48"/>
      <c r="C344" s="48" t="str">
        <f ca="1">INDIRECT(_xlfn.TEXTJOIN("",TRUE,A362,"!",ADDRESS(9+(A363-1)*A359,5)))</f>
        <v>BIJENDRA SINGH RAWAT</v>
      </c>
      <c r="D344" s="48"/>
      <c r="E344" s="48"/>
      <c r="F344" s="50" t="s">
        <v>51</v>
      </c>
      <c r="G344" s="50"/>
      <c r="H344" s="50"/>
      <c r="I344" s="49" t="str">
        <f ca="1">INDIRECT(_xlfn.TEXTJOIN("",TRUE,A362,"!",ADDRESS(9+(A363-1)*A359,13)))</f>
        <v>UTU/2501104107</v>
      </c>
      <c r="J344" s="49"/>
    </row>
    <row r="345" spans="1:10" ht="28" customHeight="1" x14ac:dyDescent="0.2">
      <c r="A345" s="45" t="s">
        <v>28</v>
      </c>
      <c r="B345" s="45"/>
      <c r="C345" s="45" t="s">
        <v>29</v>
      </c>
      <c r="D345" s="45"/>
      <c r="E345" s="45"/>
      <c r="F345" s="45"/>
      <c r="G345" s="45"/>
      <c r="H345" s="15" t="s">
        <v>30</v>
      </c>
      <c r="I345" s="15" t="s">
        <v>10</v>
      </c>
      <c r="J345" s="15" t="s">
        <v>34</v>
      </c>
    </row>
    <row r="346" spans="1:10" ht="28" customHeight="1" x14ac:dyDescent="0.2">
      <c r="A346" s="35" t="str">
        <f ca="1">INDIRECT(_xlfn.TEXTJOIN("",TRUE,A362,"!",ADDRESS(13+(A363-1)*A359,1)))</f>
        <v>AHT 001</v>
      </c>
      <c r="B346" s="36"/>
      <c r="C346" s="37" t="str">
        <f ca="1">INDIRECT(_xlfn.TEXTJOIN("",TRUE,A362,"!",ADDRESS(13+(A363-1)*A359,2)))</f>
        <v>Engineering Physics</v>
      </c>
      <c r="D346" s="38"/>
      <c r="E346" s="38"/>
      <c r="F346" s="38"/>
      <c r="G346" s="39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F</v>
      </c>
      <c r="J346" s="20">
        <f ca="1">INDIRECT(_xlfn.TEXTJOIN("",TRUE,A362,"!",ADDRESS(13+(A363-1)*A359,14)))</f>
        <v>0</v>
      </c>
    </row>
    <row r="347" spans="1:10" ht="28" customHeight="1" x14ac:dyDescent="0.2">
      <c r="A347" s="35" t="str">
        <f ca="1">INDIRECT(_xlfn.TEXTJOIN("",TRUE,A362,"!",ADDRESS(14+(A363-1)*A359,1)))</f>
        <v>AHT 003</v>
      </c>
      <c r="B347" s="36"/>
      <c r="C347" s="37" t="str">
        <f ca="1">INDIRECT(_xlfn.TEXTJOIN("",TRUE,A362,"!",ADDRESS(14+(A363-1)*A359,2)))</f>
        <v>Introduction to Engineering Mathematics</v>
      </c>
      <c r="D347" s="38"/>
      <c r="E347" s="38"/>
      <c r="F347" s="38"/>
      <c r="G347" s="39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P</v>
      </c>
      <c r="J347" s="20">
        <f ca="1">INDIRECT(_xlfn.TEXTJOIN("",TRUE,A362,"!",ADDRESS(14+(A363-1)*A359,14)))</f>
        <v>4.5</v>
      </c>
    </row>
    <row r="348" spans="1:10" ht="28" customHeight="1" x14ac:dyDescent="0.2">
      <c r="A348" s="35" t="str">
        <f ca="1">INDIRECT(_xlfn.TEXTJOIN("",TRUE,A362,"!",ADDRESS(15+(A363-1)*A359,1)))</f>
        <v>EET 001</v>
      </c>
      <c r="B348" s="36"/>
      <c r="C348" s="37" t="str">
        <f ca="1">INDIRECT(_xlfn.TEXTJOIN("",TRUE,A362,"!",ADDRESS(15+(A363-1)*A359,2)))</f>
        <v>Basic Electrical Engineering</v>
      </c>
      <c r="D348" s="38"/>
      <c r="E348" s="38"/>
      <c r="F348" s="38"/>
      <c r="G348" s="39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F</v>
      </c>
      <c r="J348" s="20">
        <f ca="1">INDIRECT(_xlfn.TEXTJOIN("",TRUE,A362,"!",ADDRESS(15+(A363-1)*A359,14)))</f>
        <v>0</v>
      </c>
    </row>
    <row r="349" spans="1:10" ht="28" customHeight="1" x14ac:dyDescent="0.2">
      <c r="A349" s="35" t="str">
        <f ca="1">INDIRECT(_xlfn.TEXTJOIN("",TRUE,A362,"!",ADDRESS(16+(A363-1)*A359,1)))</f>
        <v>CST 001</v>
      </c>
      <c r="B349" s="36"/>
      <c r="C349" s="37" t="str">
        <f ca="1">INDIRECT(_xlfn.TEXTJOIN("",TRUE,A362,"!",ADDRESS(16+(A363-1)*A359,2)))</f>
        <v>Programming for Problem Solving</v>
      </c>
      <c r="D349" s="38"/>
      <c r="E349" s="38"/>
      <c r="F349" s="38"/>
      <c r="G349" s="39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F</v>
      </c>
      <c r="J349" s="20">
        <f ca="1">INDIRECT(_xlfn.TEXTJOIN("",TRUE,A362,"!",ADDRESS(16+(A363-1)*A359,14)))</f>
        <v>0</v>
      </c>
    </row>
    <row r="350" spans="1:10" ht="28" customHeight="1" x14ac:dyDescent="0.2">
      <c r="A350" s="35" t="str">
        <f ca="1">INDIRECT(_xlfn.TEXTJOIN("",TRUE,A362,"!",ADDRESS(17+(A363-1)*A359,1)))</f>
        <v>AHT 004</v>
      </c>
      <c r="B350" s="36"/>
      <c r="C350" s="37" t="str">
        <f ca="1">INDIRECT(_xlfn.TEXTJOIN("",TRUE,A362,"!",ADDRESS(17+(A363-1)*A359,2)))</f>
        <v>Environmental Studies ($)</v>
      </c>
      <c r="D350" s="38"/>
      <c r="E350" s="38"/>
      <c r="F350" s="38"/>
      <c r="G350" s="39"/>
      <c r="H350" s="20">
        <f ca="1">INDIRECT(_xlfn.TEXTJOIN("",TRUE,A362,"!",ADDRESS(17+(A363-1)*A359,6)))</f>
        <v>0</v>
      </c>
      <c r="I350" s="20" t="str">
        <f ca="1">INDIRECT(_xlfn.TEXTJOIN("",TRUE,A362,"!",ADDRESS(17+(A363-1)*A359,13)))</f>
        <v>D+</v>
      </c>
      <c r="J350" s="20">
        <f ca="1">INDIRECT(_xlfn.TEXTJOIN("",TRUE,A362,"!",ADDRESS(17+(A363-1)*A359,14)))</f>
        <v>6.5</v>
      </c>
    </row>
    <row r="351" spans="1:10" ht="28" customHeight="1" x14ac:dyDescent="0.2">
      <c r="A351" s="35" t="str">
        <f ca="1">INDIRECT(_xlfn.TEXTJOIN("",TRUE,A362,"!",ADDRESS(18+(A363-1)*A359,1)))</f>
        <v>AHP 001</v>
      </c>
      <c r="B351" s="36"/>
      <c r="C351" s="37" t="str">
        <f ca="1">INDIRECT(_xlfn.TEXTJOIN("",TRUE,A362,"!",ADDRESS(18+(A363-1)*A359,2)))</f>
        <v>Engineering Physics Lab</v>
      </c>
      <c r="D351" s="38"/>
      <c r="E351" s="38"/>
      <c r="F351" s="38"/>
      <c r="G351" s="39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B+</v>
      </c>
      <c r="J351" s="20">
        <f ca="1">INDIRECT(_xlfn.TEXTJOIN("",TRUE,A362,"!",ADDRESS(18+(A363-1)*A359,14)))</f>
        <v>8.5</v>
      </c>
    </row>
    <row r="352" spans="1:10" ht="28" customHeight="1" x14ac:dyDescent="0.2">
      <c r="A352" s="35" t="str">
        <f ca="1">INDIRECT(_xlfn.TEXTJOIN("",TRUE,A362,"!",ADDRESS(19+(A363-1)*A359,1)))</f>
        <v>EEP 001</v>
      </c>
      <c r="B352" s="36"/>
      <c r="C352" s="37" t="str">
        <f ca="1">INDIRECT(_xlfn.TEXTJOIN("",TRUE,A362,"!",ADDRESS(19+(A363-1)*A359,2)))</f>
        <v>Basic Electrical Engineering Lab</v>
      </c>
      <c r="D352" s="38"/>
      <c r="E352" s="38"/>
      <c r="F352" s="38"/>
      <c r="G352" s="39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B</v>
      </c>
      <c r="J352" s="20">
        <f ca="1">INDIRECT(_xlfn.TEXTJOIN("",TRUE,A362,"!",ADDRESS(19+(A363-1)*A359,14)))</f>
        <v>8</v>
      </c>
    </row>
    <row r="353" spans="1:10" ht="28" customHeight="1" x14ac:dyDescent="0.2">
      <c r="A353" s="35" t="str">
        <f ca="1">INDIRECT(_xlfn.TEXTJOIN("",TRUE,A362,"!",ADDRESS(20+(A363-1)*A359,1)))</f>
        <v>CSP 001</v>
      </c>
      <c r="B353" s="36"/>
      <c r="C353" s="37" t="str">
        <f ca="1">INDIRECT(_xlfn.TEXTJOIN("",TRUE,A362,"!",ADDRESS(20+(A363-1)*A359,2)))</f>
        <v>Programming for Problem Solving Lab</v>
      </c>
      <c r="D353" s="38"/>
      <c r="E353" s="38"/>
      <c r="F353" s="38"/>
      <c r="G353" s="39"/>
      <c r="H353" s="20">
        <f ca="1">INDIRECT(_xlfn.TEXTJOIN("",TRUE,A362,"!",ADDRESS(20+(A363-1)*A359,6)))</f>
        <v>1</v>
      </c>
      <c r="I353" s="20" t="str">
        <f ca="1">INDIRECT(_xlfn.TEXTJOIN("",TRUE,A362,"!",ADDRESS(20+(A363-1)*A359,13)))</f>
        <v>C</v>
      </c>
      <c r="J353" s="20">
        <f ca="1">INDIRECT(_xlfn.TEXTJOIN("",TRUE,A362,"!",ADDRESS(20+(A363-1)*A359,14)))</f>
        <v>7</v>
      </c>
    </row>
    <row r="354" spans="1:10" ht="28" customHeight="1" x14ac:dyDescent="0.2">
      <c r="A354" s="35" t="str">
        <f ca="1">INDIRECT(_xlfn.TEXTJOIN("",TRUE,A362,"!",ADDRESS(21+(A363-1)*A359,1)))</f>
        <v>MEP 002</v>
      </c>
      <c r="B354" s="36"/>
      <c r="C354" s="37" t="str">
        <f ca="1">INDIRECT(_xlfn.TEXTJOIN("",TRUE,A362,"!",ADDRESS(21+(A363-1)*A359,2)))</f>
        <v>Engineering Graphics &amp; Design Lab</v>
      </c>
      <c r="D354" s="38"/>
      <c r="E354" s="38"/>
      <c r="F354" s="38"/>
      <c r="G354" s="39"/>
      <c r="H354" s="20">
        <f ca="1">INDIRECT(_xlfn.TEXTJOIN("",TRUE,A362,"!",ADDRESS(21+(A363-1)*A359,6)))</f>
        <v>2</v>
      </c>
      <c r="I354" s="20" t="str">
        <f ca="1">INDIRECT(_xlfn.TEXTJOIN("",TRUE,A362,"!",ADDRESS(21+(A363-1)*A359,13)))</f>
        <v>A</v>
      </c>
      <c r="J354" s="20">
        <f ca="1">INDIRECT(_xlfn.TEXTJOIN("",TRUE,A362,"!",ADDRESS(21+(A363-1)*A359,14)))</f>
        <v>9</v>
      </c>
    </row>
    <row r="355" spans="1:10" ht="28" customHeight="1" x14ac:dyDescent="0.2">
      <c r="A355" s="35" t="str">
        <f ca="1">INDIRECT(_xlfn.TEXTJOIN("",TRUE,A362,"!",ADDRESS(22+(A363-1)*A359,1)))</f>
        <v>AHP 003</v>
      </c>
      <c r="B355" s="36"/>
      <c r="C355" s="37" t="str">
        <f ca="1">INDIRECT(_xlfn.TEXTJOIN("",TRUE,A362,"!",ADDRESS(22+(A363-1)*A359,2)))</f>
        <v>Introduction to Digital Marketing Lab</v>
      </c>
      <c r="D355" s="38"/>
      <c r="E355" s="38"/>
      <c r="F355" s="38"/>
      <c r="G355" s="39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A</v>
      </c>
      <c r="J355" s="20">
        <f ca="1">INDIRECT(_xlfn.TEXTJOIN("",TRUE,A362,"!",ADDRESS(22+(A363-1)*A359,14)))</f>
        <v>9</v>
      </c>
    </row>
    <row r="356" spans="1:10" ht="28" customHeight="1" x14ac:dyDescent="0.2">
      <c r="A356" s="35" t="str">
        <f ca="1">INDIRECT(_xlfn.TEXTJOIN("",TRUE,A362,"!",ADDRESS(23+(A363-1)*A359,1)))</f>
        <v>AHP 005</v>
      </c>
      <c r="B356" s="36"/>
      <c r="C356" s="37" t="str">
        <f ca="1">INDIRECT(_xlfn.TEXTJOIN("",TRUE,A362,"!",ADDRESS(23+(A363-1)*A359,2)))</f>
        <v>Self Employment &amp; Entrepreneurship Development</v>
      </c>
      <c r="D356" s="38"/>
      <c r="E356" s="38"/>
      <c r="F356" s="38"/>
      <c r="G356" s="39"/>
      <c r="H356" s="20">
        <f ca="1">INDIRECT(_xlfn.TEXTJOIN("",TRUE,A362,"!",ADDRESS(23+(A363-1)*A359,6)))</f>
        <v>1</v>
      </c>
      <c r="I356" s="20" t="str">
        <f ca="1">INDIRECT(_xlfn.TEXTJOIN("",TRUE,A362,"!",ADDRESS(23+(A363-1)*A359,13)))</f>
        <v>A</v>
      </c>
      <c r="J356" s="20">
        <f ca="1">INDIRECT(_xlfn.TEXTJOIN("",TRUE,A362,"!",ADDRESS(23+(A363-1)*A359,14)))</f>
        <v>9</v>
      </c>
    </row>
    <row r="357" spans="1:10" ht="28" customHeight="1" x14ac:dyDescent="0.2">
      <c r="A357" s="35" t="str">
        <f ca="1">INDIRECT(_xlfn.TEXTJOIN("",TRUE,A362,"!",ADDRESS(24+(A363-1)*A359,1)))</f>
        <v>GP 01</v>
      </c>
      <c r="B357" s="36"/>
      <c r="C357" s="37" t="str">
        <f ca="1">INDIRECT(_xlfn.TEXTJOIN("",TRUE,A362,"!",ADDRESS(24+(A363-1)*A359,2)))</f>
        <v>General Proficiency ($)</v>
      </c>
      <c r="D357" s="38"/>
      <c r="E357" s="38"/>
      <c r="F357" s="38"/>
      <c r="G357" s="39"/>
      <c r="H357" s="20">
        <f ca="1">INDIRECT(_xlfn.TEXTJOIN("",TRUE,A362,"!",ADDRESS(24+(A363-1)*A359,6)))</f>
        <v>0</v>
      </c>
      <c r="I357" s="40" t="str">
        <f ca="1">INDIRECT(_xlfn.TEXTJOIN("",TRUE,A362,"!",ADDRESS(24+(A363-1)*A359,13)))</f>
        <v>Excellent</v>
      </c>
      <c r="J357" s="41"/>
    </row>
    <row r="358" spans="1:10" ht="28" customHeight="1" x14ac:dyDescent="0.2">
      <c r="A358" s="42" t="s">
        <v>52</v>
      </c>
      <c r="B358" s="42"/>
      <c r="C358" s="42"/>
      <c r="D358" s="42"/>
      <c r="E358" s="42"/>
      <c r="F358" s="42"/>
      <c r="G358" s="42"/>
      <c r="H358" s="16">
        <f ca="1">SUM(H346:H357)</f>
        <v>23</v>
      </c>
      <c r="I358" s="16" t="s">
        <v>44</v>
      </c>
      <c r="J358" s="16">
        <f ca="1">SUMPRODUCT(J346:J356,H346:H356)</f>
        <v>77.5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43" t="s">
        <v>40</v>
      </c>
      <c r="B360" s="43"/>
      <c r="C360" s="21">
        <f ca="1">INDIRECT(_xlfn.TEXTJOIN("",TRUE,A362,"!",ADDRESS(5+A363*A359,12)))</f>
        <v>11</v>
      </c>
      <c r="D360" s="43" t="s">
        <v>38</v>
      </c>
      <c r="E360" s="43"/>
      <c r="F360" s="18">
        <f ca="1">INDIRECT(_xlfn.TEXTJOIN("",TRUE,A362,"!",ADDRESS(5+A363*A359,8)))</f>
        <v>3.3695652173913042</v>
      </c>
      <c r="G360" s="43" t="s">
        <v>39</v>
      </c>
      <c r="H360" s="43"/>
      <c r="I360" s="44">
        <f ca="1">INDIRECT(_xlfn.TEXTJOIN("",TRUE,A362,"!",ADDRESS(5+A363*A359,10)))</f>
        <v>3.3695652173913042</v>
      </c>
      <c r="J360" s="44"/>
    </row>
    <row r="361" spans="1:10" ht="28" customHeight="1" x14ac:dyDescent="0.2">
      <c r="A361" s="19" t="s">
        <v>36</v>
      </c>
      <c r="B361" s="45" t="str">
        <f ca="1">INDIRECT(_xlfn.TEXTJOIN("",TRUE,A362,"!",ADDRESS(5+A363*A359,2)))</f>
        <v>CARRY OVER</v>
      </c>
      <c r="C361" s="45"/>
      <c r="D361" s="46" t="s">
        <v>37</v>
      </c>
      <c r="E361" s="46"/>
      <c r="F361" s="47" t="str">
        <f ca="1">INDIRECT(_xlfn.TEXTJOIN("",TRUE,A362,"!",ADDRESS(5+A363*A359,5)))</f>
        <v>BACK IN AHT 001, EET 001, CST 001</v>
      </c>
      <c r="G361" s="47"/>
      <c r="H361" s="47"/>
      <c r="I361" s="47"/>
      <c r="J361" s="47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48" t="s">
        <v>24</v>
      </c>
      <c r="B364" s="48"/>
      <c r="C364" s="48" t="str">
        <f ca="1">INDIRECT(_xlfn.TEXTJOIN("",TRUE,A383,"!",ADDRESS(9+(A384-1)*A380,2)))</f>
        <v>VAIBH KUMAR THAKUR</v>
      </c>
      <c r="D364" s="48"/>
      <c r="E364" s="48"/>
      <c r="F364" s="48" t="s">
        <v>50</v>
      </c>
      <c r="G364" s="48"/>
      <c r="H364" s="48"/>
      <c r="I364" s="49">
        <f ca="1">INDIRECT(_xlfn.TEXTJOIN("",TRUE,A383,"!",ADDRESS(9+(A384-1)*A380,9)))</f>
        <v>250090111018</v>
      </c>
      <c r="J364" s="49"/>
    </row>
    <row r="365" spans="1:10" ht="28" customHeight="1" x14ac:dyDescent="0.2">
      <c r="A365" s="48" t="s">
        <v>25</v>
      </c>
      <c r="B365" s="48"/>
      <c r="C365" s="48" t="str">
        <f ca="1">INDIRECT(_xlfn.TEXTJOIN("",TRUE,A383,"!",ADDRESS(9+(A384-1)*A380,5)))</f>
        <v>KAMLESH KUMAR THAKUR</v>
      </c>
      <c r="D365" s="48"/>
      <c r="E365" s="48"/>
      <c r="F365" s="50" t="s">
        <v>51</v>
      </c>
      <c r="G365" s="50"/>
      <c r="H365" s="50"/>
      <c r="I365" s="49" t="str">
        <f ca="1">INDIRECT(_xlfn.TEXTJOIN("",TRUE,A383,"!",ADDRESS(9+(A384-1)*A380,13)))</f>
        <v>UTU/2501104154</v>
      </c>
      <c r="J365" s="49"/>
    </row>
    <row r="366" spans="1:10" ht="28" customHeight="1" x14ac:dyDescent="0.2">
      <c r="A366" s="45" t="s">
        <v>28</v>
      </c>
      <c r="B366" s="45"/>
      <c r="C366" s="45" t="s">
        <v>29</v>
      </c>
      <c r="D366" s="45"/>
      <c r="E366" s="45"/>
      <c r="F366" s="45"/>
      <c r="G366" s="45"/>
      <c r="H366" s="15" t="s">
        <v>30</v>
      </c>
      <c r="I366" s="15" t="s">
        <v>10</v>
      </c>
      <c r="J366" s="15" t="s">
        <v>34</v>
      </c>
    </row>
    <row r="367" spans="1:10" ht="28" customHeight="1" x14ac:dyDescent="0.2">
      <c r="A367" s="35" t="str">
        <f ca="1">INDIRECT(_xlfn.TEXTJOIN("",TRUE,A383,"!",ADDRESS(13+(A384-1)*A380,1)))</f>
        <v>AHT 001</v>
      </c>
      <c r="B367" s="36"/>
      <c r="C367" s="37" t="str">
        <f ca="1">INDIRECT(_xlfn.TEXTJOIN("",TRUE,A383,"!",ADDRESS(13+(A384-1)*A380,2)))</f>
        <v>Engineering Physics</v>
      </c>
      <c r="D367" s="38"/>
      <c r="E367" s="38"/>
      <c r="F367" s="38"/>
      <c r="G367" s="39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D</v>
      </c>
      <c r="J367" s="20">
        <f ca="1">INDIRECT(_xlfn.TEXTJOIN("",TRUE,A383,"!",ADDRESS(13+(A384-1)*A380,14)))</f>
        <v>6</v>
      </c>
    </row>
    <row r="368" spans="1:10" ht="28" customHeight="1" x14ac:dyDescent="0.2">
      <c r="A368" s="35" t="str">
        <f ca="1">INDIRECT(_xlfn.TEXTJOIN("",TRUE,A383,"!",ADDRESS(14+(A384-1)*A380,1)))</f>
        <v>AHT 003</v>
      </c>
      <c r="B368" s="36"/>
      <c r="C368" s="37" t="str">
        <f ca="1">INDIRECT(_xlfn.TEXTJOIN("",TRUE,A383,"!",ADDRESS(14+(A384-1)*A380,2)))</f>
        <v>Introduction to Engineering Mathematics</v>
      </c>
      <c r="D368" s="38"/>
      <c r="E368" s="38"/>
      <c r="F368" s="38"/>
      <c r="G368" s="39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P</v>
      </c>
      <c r="J368" s="20">
        <f ca="1">INDIRECT(_xlfn.TEXTJOIN("",TRUE,A383,"!",ADDRESS(14+(A384-1)*A380,14)))</f>
        <v>4.5</v>
      </c>
    </row>
    <row r="369" spans="1:10" ht="28" customHeight="1" x14ac:dyDescent="0.2">
      <c r="A369" s="35" t="str">
        <f ca="1">INDIRECT(_xlfn.TEXTJOIN("",TRUE,A383,"!",ADDRESS(15+(A384-1)*A380,1)))</f>
        <v>EET 001</v>
      </c>
      <c r="B369" s="36"/>
      <c r="C369" s="37" t="str">
        <f ca="1">INDIRECT(_xlfn.TEXTJOIN("",TRUE,A383,"!",ADDRESS(15+(A384-1)*A380,2)))</f>
        <v>Basic Electrical Engineering</v>
      </c>
      <c r="D369" s="38"/>
      <c r="E369" s="38"/>
      <c r="F369" s="38"/>
      <c r="G369" s="39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B+</v>
      </c>
      <c r="J369" s="20">
        <f ca="1">INDIRECT(_xlfn.TEXTJOIN("",TRUE,A383,"!",ADDRESS(15+(A384-1)*A380,14)))</f>
        <v>8.5</v>
      </c>
    </row>
    <row r="370" spans="1:10" ht="28" customHeight="1" x14ac:dyDescent="0.2">
      <c r="A370" s="35" t="str">
        <f ca="1">INDIRECT(_xlfn.TEXTJOIN("",TRUE,A383,"!",ADDRESS(16+(A384-1)*A380,1)))</f>
        <v>CST 001</v>
      </c>
      <c r="B370" s="36"/>
      <c r="C370" s="37" t="str">
        <f ca="1">INDIRECT(_xlfn.TEXTJOIN("",TRUE,A383,"!",ADDRESS(16+(A384-1)*A380,2)))</f>
        <v>Programming for Problem Solving</v>
      </c>
      <c r="D370" s="38"/>
      <c r="E370" s="38"/>
      <c r="F370" s="38"/>
      <c r="G370" s="39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C</v>
      </c>
      <c r="J370" s="20">
        <f ca="1">INDIRECT(_xlfn.TEXTJOIN("",TRUE,A383,"!",ADDRESS(16+(A384-1)*A380,14)))</f>
        <v>7</v>
      </c>
    </row>
    <row r="371" spans="1:10" ht="28" customHeight="1" x14ac:dyDescent="0.2">
      <c r="A371" s="35" t="str">
        <f ca="1">INDIRECT(_xlfn.TEXTJOIN("",TRUE,A383,"!",ADDRESS(17+(A384-1)*A380,1)))</f>
        <v>AHT 004</v>
      </c>
      <c r="B371" s="36"/>
      <c r="C371" s="37" t="str">
        <f ca="1">INDIRECT(_xlfn.TEXTJOIN("",TRUE,A383,"!",ADDRESS(17+(A384-1)*A380,2)))</f>
        <v>Environmental Studies ($)</v>
      </c>
      <c r="D371" s="38"/>
      <c r="E371" s="38"/>
      <c r="F371" s="38"/>
      <c r="G371" s="39"/>
      <c r="H371" s="20">
        <f ca="1">INDIRECT(_xlfn.TEXTJOIN("",TRUE,A383,"!",ADDRESS(17+(A384-1)*A380,6)))</f>
        <v>0</v>
      </c>
      <c r="I371" s="20" t="str">
        <f ca="1">INDIRECT(_xlfn.TEXTJOIN("",TRUE,A383,"!",ADDRESS(17+(A384-1)*A380,13)))</f>
        <v>D</v>
      </c>
      <c r="J371" s="20">
        <f ca="1">INDIRECT(_xlfn.TEXTJOIN("",TRUE,A383,"!",ADDRESS(17+(A384-1)*A380,14)))</f>
        <v>6</v>
      </c>
    </row>
    <row r="372" spans="1:10" ht="28" customHeight="1" x14ac:dyDescent="0.2">
      <c r="A372" s="35" t="str">
        <f ca="1">INDIRECT(_xlfn.TEXTJOIN("",TRUE,A383,"!",ADDRESS(18+(A384-1)*A380,1)))</f>
        <v>AHP 001</v>
      </c>
      <c r="B372" s="36"/>
      <c r="C372" s="37" t="str">
        <f ca="1">INDIRECT(_xlfn.TEXTJOIN("",TRUE,A383,"!",ADDRESS(18+(A384-1)*A380,2)))</f>
        <v>Engineering Physics Lab</v>
      </c>
      <c r="D372" s="38"/>
      <c r="E372" s="38"/>
      <c r="F372" s="38"/>
      <c r="G372" s="39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A+</v>
      </c>
      <c r="J372" s="20">
        <f ca="1">INDIRECT(_xlfn.TEXTJOIN("",TRUE,A383,"!",ADDRESS(18+(A384-1)*A380,14)))</f>
        <v>9.5</v>
      </c>
    </row>
    <row r="373" spans="1:10" ht="28" customHeight="1" x14ac:dyDescent="0.2">
      <c r="A373" s="35" t="str">
        <f ca="1">INDIRECT(_xlfn.TEXTJOIN("",TRUE,A383,"!",ADDRESS(19+(A384-1)*A380,1)))</f>
        <v>EEP 001</v>
      </c>
      <c r="B373" s="36"/>
      <c r="C373" s="37" t="str">
        <f ca="1">INDIRECT(_xlfn.TEXTJOIN("",TRUE,A383,"!",ADDRESS(19+(A384-1)*A380,2)))</f>
        <v>Basic Electrical Engineering Lab</v>
      </c>
      <c r="D373" s="38"/>
      <c r="E373" s="38"/>
      <c r="F373" s="38"/>
      <c r="G373" s="39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B</v>
      </c>
      <c r="J373" s="20">
        <f ca="1">INDIRECT(_xlfn.TEXTJOIN("",TRUE,A383,"!",ADDRESS(19+(A384-1)*A380,14)))</f>
        <v>8</v>
      </c>
    </row>
    <row r="374" spans="1:10" ht="28" customHeight="1" x14ac:dyDescent="0.2">
      <c r="A374" s="35" t="str">
        <f ca="1">INDIRECT(_xlfn.TEXTJOIN("",TRUE,A383,"!",ADDRESS(20+(A384-1)*A380,1)))</f>
        <v>CSP 001</v>
      </c>
      <c r="B374" s="36"/>
      <c r="C374" s="37" t="str">
        <f ca="1">INDIRECT(_xlfn.TEXTJOIN("",TRUE,A383,"!",ADDRESS(20+(A384-1)*A380,2)))</f>
        <v>Programming for Problem Solving Lab</v>
      </c>
      <c r="D374" s="38"/>
      <c r="E374" s="38"/>
      <c r="F374" s="38"/>
      <c r="G374" s="39"/>
      <c r="H374" s="20">
        <f ca="1">INDIRECT(_xlfn.TEXTJOIN("",TRUE,A383,"!",ADDRESS(20+(A384-1)*A380,6)))</f>
        <v>1</v>
      </c>
      <c r="I374" s="20" t="str">
        <f ca="1">INDIRECT(_xlfn.TEXTJOIN("",TRUE,A383,"!",ADDRESS(20+(A384-1)*A380,13)))</f>
        <v>A+</v>
      </c>
      <c r="J374" s="20">
        <f ca="1">INDIRECT(_xlfn.TEXTJOIN("",TRUE,A383,"!",ADDRESS(20+(A384-1)*A380,14)))</f>
        <v>9.5</v>
      </c>
    </row>
    <row r="375" spans="1:10" ht="28" customHeight="1" x14ac:dyDescent="0.2">
      <c r="A375" s="35" t="str">
        <f ca="1">INDIRECT(_xlfn.TEXTJOIN("",TRUE,A383,"!",ADDRESS(21+(A384-1)*A380,1)))</f>
        <v>MEP 002</v>
      </c>
      <c r="B375" s="36"/>
      <c r="C375" s="37" t="str">
        <f ca="1">INDIRECT(_xlfn.TEXTJOIN("",TRUE,A383,"!",ADDRESS(21+(A384-1)*A380,2)))</f>
        <v>Engineering Graphics &amp; Design Lab</v>
      </c>
      <c r="D375" s="38"/>
      <c r="E375" s="38"/>
      <c r="F375" s="38"/>
      <c r="G375" s="39"/>
      <c r="H375" s="20">
        <f ca="1">INDIRECT(_xlfn.TEXTJOIN("",TRUE,A383,"!",ADDRESS(21+(A384-1)*A380,6)))</f>
        <v>2</v>
      </c>
      <c r="I375" s="20" t="str">
        <f ca="1">INDIRECT(_xlfn.TEXTJOIN("",TRUE,A383,"!",ADDRESS(21+(A384-1)*A380,13)))</f>
        <v>A</v>
      </c>
      <c r="J375" s="20">
        <f ca="1">INDIRECT(_xlfn.TEXTJOIN("",TRUE,A383,"!",ADDRESS(21+(A384-1)*A380,14)))</f>
        <v>9</v>
      </c>
    </row>
    <row r="376" spans="1:10" ht="28" customHeight="1" x14ac:dyDescent="0.2">
      <c r="A376" s="35" t="str">
        <f ca="1">INDIRECT(_xlfn.TEXTJOIN("",TRUE,A383,"!",ADDRESS(22+(A384-1)*A380,1)))</f>
        <v>AHP 003</v>
      </c>
      <c r="B376" s="36"/>
      <c r="C376" s="37" t="str">
        <f ca="1">INDIRECT(_xlfn.TEXTJOIN("",TRUE,A383,"!",ADDRESS(22+(A384-1)*A380,2)))</f>
        <v>Introduction to Digital Marketing Lab</v>
      </c>
      <c r="D376" s="38"/>
      <c r="E376" s="38"/>
      <c r="F376" s="38"/>
      <c r="G376" s="39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A+</v>
      </c>
      <c r="J376" s="20">
        <f ca="1">INDIRECT(_xlfn.TEXTJOIN("",TRUE,A383,"!",ADDRESS(22+(A384-1)*A380,14)))</f>
        <v>9.5</v>
      </c>
    </row>
    <row r="377" spans="1:10" ht="28" customHeight="1" x14ac:dyDescent="0.2">
      <c r="A377" s="35" t="str">
        <f ca="1">INDIRECT(_xlfn.TEXTJOIN("",TRUE,A383,"!",ADDRESS(23+(A384-1)*A380,1)))</f>
        <v>AHP 005</v>
      </c>
      <c r="B377" s="36"/>
      <c r="C377" s="37" t="str">
        <f ca="1">INDIRECT(_xlfn.TEXTJOIN("",TRUE,A383,"!",ADDRESS(23+(A384-1)*A380,2)))</f>
        <v>Self Employment &amp; Entrepreneurship Development</v>
      </c>
      <c r="D377" s="38"/>
      <c r="E377" s="38"/>
      <c r="F377" s="38"/>
      <c r="G377" s="39"/>
      <c r="H377" s="20">
        <f ca="1">INDIRECT(_xlfn.TEXTJOIN("",TRUE,A383,"!",ADDRESS(23+(A384-1)*A380,6)))</f>
        <v>1</v>
      </c>
      <c r="I377" s="20" t="str">
        <f ca="1">INDIRECT(_xlfn.TEXTJOIN("",TRUE,A383,"!",ADDRESS(23+(A384-1)*A380,13)))</f>
        <v>A</v>
      </c>
      <c r="J377" s="20">
        <f ca="1">INDIRECT(_xlfn.TEXTJOIN("",TRUE,A383,"!",ADDRESS(23+(A384-1)*A380,14)))</f>
        <v>9</v>
      </c>
    </row>
    <row r="378" spans="1:10" ht="28" customHeight="1" x14ac:dyDescent="0.2">
      <c r="A378" s="35" t="str">
        <f ca="1">INDIRECT(_xlfn.TEXTJOIN("",TRUE,A383,"!",ADDRESS(24+(A384-1)*A380,1)))</f>
        <v>GP 01</v>
      </c>
      <c r="B378" s="36"/>
      <c r="C378" s="37" t="str">
        <f ca="1">INDIRECT(_xlfn.TEXTJOIN("",TRUE,A383,"!",ADDRESS(24+(A384-1)*A380,2)))</f>
        <v>General Proficiency ($)</v>
      </c>
      <c r="D378" s="38"/>
      <c r="E378" s="38"/>
      <c r="F378" s="38"/>
      <c r="G378" s="39"/>
      <c r="H378" s="20">
        <f ca="1">INDIRECT(_xlfn.TEXTJOIN("",TRUE,A383,"!",ADDRESS(24+(A384-1)*A380,6)))</f>
        <v>0</v>
      </c>
      <c r="I378" s="40" t="str">
        <f ca="1">INDIRECT(_xlfn.TEXTJOIN("",TRUE,A383,"!",ADDRESS(24+(A384-1)*A380,13)))</f>
        <v>Excellent</v>
      </c>
      <c r="J378" s="41"/>
    </row>
    <row r="379" spans="1:10" ht="28" customHeight="1" x14ac:dyDescent="0.2">
      <c r="A379" s="42" t="s">
        <v>52</v>
      </c>
      <c r="B379" s="42"/>
      <c r="C379" s="42"/>
      <c r="D379" s="42"/>
      <c r="E379" s="42"/>
      <c r="F379" s="42"/>
      <c r="G379" s="42"/>
      <c r="H379" s="16">
        <f ca="1">SUM(H367:H378)</f>
        <v>23</v>
      </c>
      <c r="I379" s="16" t="s">
        <v>44</v>
      </c>
      <c r="J379" s="16">
        <f ca="1">SUMPRODUCT(J367:J377,H367:H377)</f>
        <v>167.5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43" t="s">
        <v>40</v>
      </c>
      <c r="B381" s="43"/>
      <c r="C381" s="21">
        <f ca="1">INDIRECT(_xlfn.TEXTJOIN("",TRUE,A383,"!",ADDRESS(5+A384*A380,12)))</f>
        <v>23</v>
      </c>
      <c r="D381" s="43" t="s">
        <v>38</v>
      </c>
      <c r="E381" s="43"/>
      <c r="F381" s="18">
        <f ca="1">INDIRECT(_xlfn.TEXTJOIN("",TRUE,A383,"!",ADDRESS(5+A384*A380,8)))</f>
        <v>7.2826086956521738</v>
      </c>
      <c r="G381" s="43" t="s">
        <v>39</v>
      </c>
      <c r="H381" s="43"/>
      <c r="I381" s="44">
        <f ca="1">INDIRECT(_xlfn.TEXTJOIN("",TRUE,A383,"!",ADDRESS(5+A384*A380,10)))</f>
        <v>7.2826086956521738</v>
      </c>
      <c r="J381" s="44"/>
    </row>
    <row r="382" spans="1:10" ht="28" customHeight="1" x14ac:dyDescent="0.2">
      <c r="A382" s="19" t="s">
        <v>36</v>
      </c>
      <c r="B382" s="45" t="str">
        <f ca="1">INDIRECT(_xlfn.TEXTJOIN("",TRUE,A383,"!",ADDRESS(5+A384*A380,2)))</f>
        <v>PASS</v>
      </c>
      <c r="C382" s="45"/>
      <c r="D382" s="46" t="s">
        <v>37</v>
      </c>
      <c r="E382" s="46"/>
      <c r="F382" s="47" t="str">
        <f ca="1">INDIRECT(_xlfn.TEXTJOIN("",TRUE,A383,"!",ADDRESS(5+A384*A380,5)))</f>
        <v xml:space="preserve"> G+1 in AHT 003</v>
      </c>
      <c r="G382" s="47"/>
      <c r="H382" s="47"/>
      <c r="I382" s="47"/>
      <c r="J382" s="47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48" t="s">
        <v>24</v>
      </c>
      <c r="B385" s="48"/>
      <c r="C385" s="48" t="str">
        <f ca="1">INDIRECT(_xlfn.TEXTJOIN("",TRUE,A404,"!",ADDRESS(9+(A405-1)*A401,2)))</f>
        <v>VIKRANT TOMAR</v>
      </c>
      <c r="D385" s="48"/>
      <c r="E385" s="48"/>
      <c r="F385" s="48" t="s">
        <v>50</v>
      </c>
      <c r="G385" s="48"/>
      <c r="H385" s="48"/>
      <c r="I385" s="49">
        <f ca="1">INDIRECT(_xlfn.TEXTJOIN("",TRUE,A404,"!",ADDRESS(9+(A405-1)*A401,9)))</f>
        <v>250090111019</v>
      </c>
      <c r="J385" s="49"/>
    </row>
    <row r="386" spans="1:10" ht="28" customHeight="1" x14ac:dyDescent="0.2">
      <c r="A386" s="48" t="s">
        <v>25</v>
      </c>
      <c r="B386" s="48"/>
      <c r="C386" s="48" t="str">
        <f ca="1">INDIRECT(_xlfn.TEXTJOIN("",TRUE,A404,"!",ADDRESS(9+(A405-1)*A401,5)))</f>
        <v>SUSHIL KUMAR</v>
      </c>
      <c r="D386" s="48"/>
      <c r="E386" s="48"/>
      <c r="F386" s="50" t="s">
        <v>51</v>
      </c>
      <c r="G386" s="50"/>
      <c r="H386" s="50"/>
      <c r="I386" s="49" t="str">
        <f ca="1">INDIRECT(_xlfn.TEXTJOIN("",TRUE,A404,"!",ADDRESS(9+(A405-1)*A401,13)))</f>
        <v>UTU/2501104348</v>
      </c>
      <c r="J386" s="49"/>
    </row>
    <row r="387" spans="1:10" ht="28" customHeight="1" x14ac:dyDescent="0.2">
      <c r="A387" s="45" t="s">
        <v>28</v>
      </c>
      <c r="B387" s="45"/>
      <c r="C387" s="45" t="s">
        <v>29</v>
      </c>
      <c r="D387" s="45"/>
      <c r="E387" s="45"/>
      <c r="F387" s="45"/>
      <c r="G387" s="45"/>
      <c r="H387" s="15" t="s">
        <v>30</v>
      </c>
      <c r="I387" s="15" t="s">
        <v>10</v>
      </c>
      <c r="J387" s="15" t="s">
        <v>34</v>
      </c>
    </row>
    <row r="388" spans="1:10" ht="28" customHeight="1" x14ac:dyDescent="0.2">
      <c r="A388" s="35" t="str">
        <f ca="1">INDIRECT(_xlfn.TEXTJOIN("",TRUE,A404,"!",ADDRESS(13+(A405-1)*A401,1)))</f>
        <v>AHT 001</v>
      </c>
      <c r="B388" s="36"/>
      <c r="C388" s="37" t="str">
        <f ca="1">INDIRECT(_xlfn.TEXTJOIN("",TRUE,A404,"!",ADDRESS(13+(A405-1)*A401,2)))</f>
        <v>Engineering Physics</v>
      </c>
      <c r="D388" s="38"/>
      <c r="E388" s="38"/>
      <c r="F388" s="38"/>
      <c r="G388" s="39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F</v>
      </c>
      <c r="J388" s="20">
        <f ca="1">INDIRECT(_xlfn.TEXTJOIN("",TRUE,A404,"!",ADDRESS(13+(A405-1)*A401,14)))</f>
        <v>0</v>
      </c>
    </row>
    <row r="389" spans="1:10" ht="28" customHeight="1" x14ac:dyDescent="0.2">
      <c r="A389" s="35" t="str">
        <f ca="1">INDIRECT(_xlfn.TEXTJOIN("",TRUE,A404,"!",ADDRESS(14+(A405-1)*A401,1)))</f>
        <v>AHT 003</v>
      </c>
      <c r="B389" s="36"/>
      <c r="C389" s="37" t="str">
        <f ca="1">INDIRECT(_xlfn.TEXTJOIN("",TRUE,A404,"!",ADDRESS(14+(A405-1)*A401,2)))</f>
        <v>Introduction to Engineering Mathematics</v>
      </c>
      <c r="D389" s="38"/>
      <c r="E389" s="38"/>
      <c r="F389" s="38"/>
      <c r="G389" s="39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F</v>
      </c>
      <c r="J389" s="20">
        <f ca="1">INDIRECT(_xlfn.TEXTJOIN("",TRUE,A404,"!",ADDRESS(14+(A405-1)*A401,14)))</f>
        <v>0</v>
      </c>
    </row>
    <row r="390" spans="1:10" ht="28" customHeight="1" x14ac:dyDescent="0.2">
      <c r="A390" s="35" t="str">
        <f ca="1">INDIRECT(_xlfn.TEXTJOIN("",TRUE,A404,"!",ADDRESS(15+(A405-1)*A401,1)))</f>
        <v>EET 001</v>
      </c>
      <c r="B390" s="36"/>
      <c r="C390" s="37" t="str">
        <f ca="1">INDIRECT(_xlfn.TEXTJOIN("",TRUE,A404,"!",ADDRESS(15+(A405-1)*A401,2)))</f>
        <v>Basic Electrical Engineering</v>
      </c>
      <c r="D390" s="38"/>
      <c r="E390" s="38"/>
      <c r="F390" s="38"/>
      <c r="G390" s="39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P</v>
      </c>
      <c r="J390" s="20">
        <f ca="1">INDIRECT(_xlfn.TEXTJOIN("",TRUE,A404,"!",ADDRESS(15+(A405-1)*A401,14)))</f>
        <v>4.5</v>
      </c>
    </row>
    <row r="391" spans="1:10" ht="28" customHeight="1" x14ac:dyDescent="0.2">
      <c r="A391" s="35" t="str">
        <f ca="1">INDIRECT(_xlfn.TEXTJOIN("",TRUE,A404,"!",ADDRESS(16+(A405-1)*A401,1)))</f>
        <v>CST 001</v>
      </c>
      <c r="B391" s="36"/>
      <c r="C391" s="37" t="str">
        <f ca="1">INDIRECT(_xlfn.TEXTJOIN("",TRUE,A404,"!",ADDRESS(16+(A405-1)*A401,2)))</f>
        <v>Programming for Problem Solving</v>
      </c>
      <c r="D391" s="38"/>
      <c r="E391" s="38"/>
      <c r="F391" s="38"/>
      <c r="G391" s="39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E</v>
      </c>
      <c r="J391" s="20">
        <f ca="1">INDIRECT(_xlfn.TEXTJOIN("",TRUE,A404,"!",ADDRESS(16+(A405-1)*A401,14)))</f>
        <v>5</v>
      </c>
    </row>
    <row r="392" spans="1:10" ht="28" customHeight="1" x14ac:dyDescent="0.2">
      <c r="A392" s="35" t="str">
        <f ca="1">INDIRECT(_xlfn.TEXTJOIN("",TRUE,A404,"!",ADDRESS(17+(A405-1)*A401,1)))</f>
        <v>AHT 004</v>
      </c>
      <c r="B392" s="36"/>
      <c r="C392" s="37" t="str">
        <f ca="1">INDIRECT(_xlfn.TEXTJOIN("",TRUE,A404,"!",ADDRESS(17+(A405-1)*A401,2)))</f>
        <v>Environmental Studies ($)</v>
      </c>
      <c r="D392" s="38"/>
      <c r="E392" s="38"/>
      <c r="F392" s="38"/>
      <c r="G392" s="39"/>
      <c r="H392" s="20">
        <f ca="1">INDIRECT(_xlfn.TEXTJOIN("",TRUE,A404,"!",ADDRESS(17+(A405-1)*A401,6)))</f>
        <v>0</v>
      </c>
      <c r="I392" s="20" t="str">
        <f ca="1">INDIRECT(_xlfn.TEXTJOIN("",TRUE,A404,"!",ADDRESS(17+(A405-1)*A401,13)))</f>
        <v>P</v>
      </c>
      <c r="J392" s="20">
        <f ca="1">INDIRECT(_xlfn.TEXTJOIN("",TRUE,A404,"!",ADDRESS(17+(A405-1)*A401,14)))</f>
        <v>4.5</v>
      </c>
    </row>
    <row r="393" spans="1:10" ht="28" customHeight="1" x14ac:dyDescent="0.2">
      <c r="A393" s="35" t="str">
        <f ca="1">INDIRECT(_xlfn.TEXTJOIN("",TRUE,A404,"!",ADDRESS(18+(A405-1)*A401,1)))</f>
        <v>AHP 001</v>
      </c>
      <c r="B393" s="36"/>
      <c r="C393" s="37" t="str">
        <f ca="1">INDIRECT(_xlfn.TEXTJOIN("",TRUE,A404,"!",ADDRESS(18+(A405-1)*A401,2)))</f>
        <v>Engineering Physics Lab</v>
      </c>
      <c r="D393" s="38"/>
      <c r="E393" s="38"/>
      <c r="F393" s="38"/>
      <c r="G393" s="39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B</v>
      </c>
      <c r="J393" s="20">
        <f ca="1">INDIRECT(_xlfn.TEXTJOIN("",TRUE,A404,"!",ADDRESS(18+(A405-1)*A401,14)))</f>
        <v>8</v>
      </c>
    </row>
    <row r="394" spans="1:10" ht="28" customHeight="1" x14ac:dyDescent="0.2">
      <c r="A394" s="35" t="str">
        <f ca="1">INDIRECT(_xlfn.TEXTJOIN("",TRUE,A404,"!",ADDRESS(19+(A405-1)*A401,1)))</f>
        <v>EEP 001</v>
      </c>
      <c r="B394" s="36"/>
      <c r="C394" s="37" t="str">
        <f ca="1">INDIRECT(_xlfn.TEXTJOIN("",TRUE,A404,"!",ADDRESS(19+(A405-1)*A401,2)))</f>
        <v>Basic Electrical Engineering Lab</v>
      </c>
      <c r="D394" s="38"/>
      <c r="E394" s="38"/>
      <c r="F394" s="38"/>
      <c r="G394" s="39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D+</v>
      </c>
      <c r="J394" s="20">
        <f ca="1">INDIRECT(_xlfn.TEXTJOIN("",TRUE,A404,"!",ADDRESS(19+(A405-1)*A401,14)))</f>
        <v>6.5</v>
      </c>
    </row>
    <row r="395" spans="1:10" ht="28" customHeight="1" x14ac:dyDescent="0.2">
      <c r="A395" s="35" t="str">
        <f ca="1">INDIRECT(_xlfn.TEXTJOIN("",TRUE,A404,"!",ADDRESS(20+(A405-1)*A401,1)))</f>
        <v>CSP 001</v>
      </c>
      <c r="B395" s="36"/>
      <c r="C395" s="37" t="str">
        <f ca="1">INDIRECT(_xlfn.TEXTJOIN("",TRUE,A404,"!",ADDRESS(20+(A405-1)*A401,2)))</f>
        <v>Programming for Problem Solving Lab</v>
      </c>
      <c r="D395" s="38"/>
      <c r="E395" s="38"/>
      <c r="F395" s="38"/>
      <c r="G395" s="39"/>
      <c r="H395" s="20">
        <f ca="1">INDIRECT(_xlfn.TEXTJOIN("",TRUE,A404,"!",ADDRESS(20+(A405-1)*A401,6)))</f>
        <v>1</v>
      </c>
      <c r="I395" s="20" t="str">
        <f ca="1">INDIRECT(_xlfn.TEXTJOIN("",TRUE,A404,"!",ADDRESS(20+(A405-1)*A401,13)))</f>
        <v>B+</v>
      </c>
      <c r="J395" s="20">
        <f ca="1">INDIRECT(_xlfn.TEXTJOIN("",TRUE,A404,"!",ADDRESS(20+(A405-1)*A401,14)))</f>
        <v>8.5</v>
      </c>
    </row>
    <row r="396" spans="1:10" ht="28" customHeight="1" x14ac:dyDescent="0.2">
      <c r="A396" s="35" t="str">
        <f ca="1">INDIRECT(_xlfn.TEXTJOIN("",TRUE,A404,"!",ADDRESS(21+(A405-1)*A401,1)))</f>
        <v>MEP 002</v>
      </c>
      <c r="B396" s="36"/>
      <c r="C396" s="37" t="str">
        <f ca="1">INDIRECT(_xlfn.TEXTJOIN("",TRUE,A404,"!",ADDRESS(21+(A405-1)*A401,2)))</f>
        <v>Engineering Graphics &amp; Design Lab</v>
      </c>
      <c r="D396" s="38"/>
      <c r="E396" s="38"/>
      <c r="F396" s="38"/>
      <c r="G396" s="39"/>
      <c r="H396" s="20">
        <f ca="1">INDIRECT(_xlfn.TEXTJOIN("",TRUE,A404,"!",ADDRESS(21+(A405-1)*A401,6)))</f>
        <v>2</v>
      </c>
      <c r="I396" s="20" t="str">
        <f ca="1">INDIRECT(_xlfn.TEXTJOIN("",TRUE,A404,"!",ADDRESS(21+(A405-1)*A401,13)))</f>
        <v>B</v>
      </c>
      <c r="J396" s="20">
        <f ca="1">INDIRECT(_xlfn.TEXTJOIN("",TRUE,A404,"!",ADDRESS(21+(A405-1)*A401,14)))</f>
        <v>8</v>
      </c>
    </row>
    <row r="397" spans="1:10" ht="28" customHeight="1" x14ac:dyDescent="0.2">
      <c r="A397" s="35" t="str">
        <f ca="1">INDIRECT(_xlfn.TEXTJOIN("",TRUE,A404,"!",ADDRESS(22+(A405-1)*A401,1)))</f>
        <v>AHP 003</v>
      </c>
      <c r="B397" s="36"/>
      <c r="C397" s="37" t="str">
        <f ca="1">INDIRECT(_xlfn.TEXTJOIN("",TRUE,A404,"!",ADDRESS(22+(A405-1)*A401,2)))</f>
        <v>Introduction to Digital Marketing Lab</v>
      </c>
      <c r="D397" s="38"/>
      <c r="E397" s="38"/>
      <c r="F397" s="38"/>
      <c r="G397" s="39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B</v>
      </c>
      <c r="J397" s="20">
        <f ca="1">INDIRECT(_xlfn.TEXTJOIN("",TRUE,A404,"!",ADDRESS(22+(A405-1)*A401,14)))</f>
        <v>8</v>
      </c>
    </row>
    <row r="398" spans="1:10" ht="28" customHeight="1" x14ac:dyDescent="0.2">
      <c r="A398" s="35" t="str">
        <f ca="1">INDIRECT(_xlfn.TEXTJOIN("",TRUE,A404,"!",ADDRESS(23+(A405-1)*A401,1)))</f>
        <v>AHP 005</v>
      </c>
      <c r="B398" s="36"/>
      <c r="C398" s="37" t="str">
        <f ca="1">INDIRECT(_xlfn.TEXTJOIN("",TRUE,A404,"!",ADDRESS(23+(A405-1)*A401,2)))</f>
        <v>Self Employment &amp; Entrepreneurship Development</v>
      </c>
      <c r="D398" s="38"/>
      <c r="E398" s="38"/>
      <c r="F398" s="38"/>
      <c r="G398" s="39"/>
      <c r="H398" s="20">
        <f ca="1">INDIRECT(_xlfn.TEXTJOIN("",TRUE,A404,"!",ADDRESS(23+(A405-1)*A401,6)))</f>
        <v>1</v>
      </c>
      <c r="I398" s="20" t="str">
        <f ca="1">INDIRECT(_xlfn.TEXTJOIN("",TRUE,A404,"!",ADDRESS(23+(A405-1)*A401,13)))</f>
        <v>B+</v>
      </c>
      <c r="J398" s="20">
        <f ca="1">INDIRECT(_xlfn.TEXTJOIN("",TRUE,A404,"!",ADDRESS(23+(A405-1)*A401,14)))</f>
        <v>8.5</v>
      </c>
    </row>
    <row r="399" spans="1:10" ht="28" customHeight="1" x14ac:dyDescent="0.2">
      <c r="A399" s="35" t="str">
        <f ca="1">INDIRECT(_xlfn.TEXTJOIN("",TRUE,A404,"!",ADDRESS(24+(A405-1)*A401,1)))</f>
        <v>GP 01</v>
      </c>
      <c r="B399" s="36"/>
      <c r="C399" s="37" t="str">
        <f ca="1">INDIRECT(_xlfn.TEXTJOIN("",TRUE,A404,"!",ADDRESS(24+(A405-1)*A401,2)))</f>
        <v>General Proficiency ($)</v>
      </c>
      <c r="D399" s="38"/>
      <c r="E399" s="38"/>
      <c r="F399" s="38"/>
      <c r="G399" s="39"/>
      <c r="H399" s="20">
        <f ca="1">INDIRECT(_xlfn.TEXTJOIN("",TRUE,A404,"!",ADDRESS(24+(A405-1)*A401,6)))</f>
        <v>0</v>
      </c>
      <c r="I399" s="40" t="str">
        <f ca="1">INDIRECT(_xlfn.TEXTJOIN("",TRUE,A404,"!",ADDRESS(24+(A405-1)*A401,13)))</f>
        <v>Excellent</v>
      </c>
      <c r="J399" s="41"/>
    </row>
    <row r="400" spans="1:10" ht="28" customHeight="1" x14ac:dyDescent="0.2">
      <c r="A400" s="42" t="s">
        <v>52</v>
      </c>
      <c r="B400" s="42"/>
      <c r="C400" s="42"/>
      <c r="D400" s="42"/>
      <c r="E400" s="42"/>
      <c r="F400" s="42"/>
      <c r="G400" s="42"/>
      <c r="H400" s="16">
        <f ca="1">SUM(H388:H399)</f>
        <v>23</v>
      </c>
      <c r="I400" s="16" t="s">
        <v>44</v>
      </c>
      <c r="J400" s="16">
        <f ca="1">SUMPRODUCT(J388:J398,H388:H398)</f>
        <v>93.5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43" t="s">
        <v>40</v>
      </c>
      <c r="B402" s="43"/>
      <c r="C402" s="21">
        <f ca="1">INDIRECT(_xlfn.TEXTJOIN("",TRUE,A404,"!",ADDRESS(5+A405*A401,12)))</f>
        <v>15</v>
      </c>
      <c r="D402" s="43" t="s">
        <v>38</v>
      </c>
      <c r="E402" s="43"/>
      <c r="F402" s="18">
        <f ca="1">INDIRECT(_xlfn.TEXTJOIN("",TRUE,A404,"!",ADDRESS(5+A405*A401,8)))</f>
        <v>4.0652173913043477</v>
      </c>
      <c r="G402" s="43" t="s">
        <v>39</v>
      </c>
      <c r="H402" s="43"/>
      <c r="I402" s="44">
        <f ca="1">INDIRECT(_xlfn.TEXTJOIN("",TRUE,A404,"!",ADDRESS(5+A405*A401,10)))</f>
        <v>4.0652173913043477</v>
      </c>
      <c r="J402" s="44"/>
    </row>
    <row r="403" spans="1:10" ht="28" customHeight="1" x14ac:dyDescent="0.2">
      <c r="A403" s="19" t="s">
        <v>36</v>
      </c>
      <c r="B403" s="45" t="str">
        <f ca="1">INDIRECT(_xlfn.TEXTJOIN("",TRUE,A404,"!",ADDRESS(5+A405*A401,2)))</f>
        <v>CARRY OVER</v>
      </c>
      <c r="C403" s="45"/>
      <c r="D403" s="46" t="s">
        <v>37</v>
      </c>
      <c r="E403" s="46"/>
      <c r="F403" s="47" t="str">
        <f ca="1">INDIRECT(_xlfn.TEXTJOIN("",TRUE,A404,"!",ADDRESS(5+A405*A401,5)))</f>
        <v>BACK IN AHT 001, AHT 003</v>
      </c>
      <c r="G403" s="47"/>
      <c r="H403" s="47"/>
      <c r="I403" s="47"/>
      <c r="J403" s="47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48" t="s">
        <v>24</v>
      </c>
      <c r="B406" s="48"/>
      <c r="C406" s="48" t="str">
        <f ca="1">INDIRECT(_xlfn.TEXTJOIN("",TRUE,A425,"!",ADDRESS(9+(A426-1)*A422,2)))</f>
        <v>YOGITA BELWAL</v>
      </c>
      <c r="D406" s="48"/>
      <c r="E406" s="48"/>
      <c r="F406" s="48" t="s">
        <v>50</v>
      </c>
      <c r="G406" s="48"/>
      <c r="H406" s="48"/>
      <c r="I406" s="49">
        <f ca="1">INDIRECT(_xlfn.TEXTJOIN("",TRUE,A425,"!",ADDRESS(9+(A426-1)*A422,9)))</f>
        <v>250090111020</v>
      </c>
      <c r="J406" s="49"/>
    </row>
    <row r="407" spans="1:10" ht="28" customHeight="1" x14ac:dyDescent="0.2">
      <c r="A407" s="48" t="s">
        <v>25</v>
      </c>
      <c r="B407" s="48"/>
      <c r="C407" s="48" t="str">
        <f ca="1">INDIRECT(_xlfn.TEXTJOIN("",TRUE,A425,"!",ADDRESS(9+(A426-1)*A422,5)))</f>
        <v>VIRENDRA SINGH</v>
      </c>
      <c r="D407" s="48"/>
      <c r="E407" s="48"/>
      <c r="F407" s="50" t="s">
        <v>51</v>
      </c>
      <c r="G407" s="50"/>
      <c r="H407" s="50"/>
      <c r="I407" s="49" t="str">
        <f ca="1">INDIRECT(_xlfn.TEXTJOIN("",TRUE,A425,"!",ADDRESS(9+(A426-1)*A422,13)))</f>
        <v>UTU/2501103766</v>
      </c>
      <c r="J407" s="49"/>
    </row>
    <row r="408" spans="1:10" ht="28" customHeight="1" x14ac:dyDescent="0.2">
      <c r="A408" s="45" t="s">
        <v>28</v>
      </c>
      <c r="B408" s="45"/>
      <c r="C408" s="45" t="s">
        <v>29</v>
      </c>
      <c r="D408" s="45"/>
      <c r="E408" s="45"/>
      <c r="F408" s="45"/>
      <c r="G408" s="45"/>
      <c r="H408" s="15" t="s">
        <v>30</v>
      </c>
      <c r="I408" s="15" t="s">
        <v>10</v>
      </c>
      <c r="J408" s="15" t="s">
        <v>34</v>
      </c>
    </row>
    <row r="409" spans="1:10" ht="28" customHeight="1" x14ac:dyDescent="0.2">
      <c r="A409" s="35" t="str">
        <f ca="1">INDIRECT(_xlfn.TEXTJOIN("",TRUE,A425,"!",ADDRESS(13+(A426-1)*A422,1)))</f>
        <v>AHT 001</v>
      </c>
      <c r="B409" s="36"/>
      <c r="C409" s="37" t="str">
        <f ca="1">INDIRECT(_xlfn.TEXTJOIN("",TRUE,A425,"!",ADDRESS(13+(A426-1)*A422,2)))</f>
        <v>Engineering Physics</v>
      </c>
      <c r="D409" s="38"/>
      <c r="E409" s="38"/>
      <c r="F409" s="38"/>
      <c r="G409" s="39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P</v>
      </c>
      <c r="J409" s="20">
        <f ca="1">INDIRECT(_xlfn.TEXTJOIN("",TRUE,A425,"!",ADDRESS(13+(A426-1)*A422,14)))</f>
        <v>4.5</v>
      </c>
    </row>
    <row r="410" spans="1:10" ht="28" customHeight="1" x14ac:dyDescent="0.2">
      <c r="A410" s="35" t="str">
        <f ca="1">INDIRECT(_xlfn.TEXTJOIN("",TRUE,A425,"!",ADDRESS(14+(A426-1)*A422,1)))</f>
        <v>AHT 003</v>
      </c>
      <c r="B410" s="36"/>
      <c r="C410" s="37" t="str">
        <f ca="1">INDIRECT(_xlfn.TEXTJOIN("",TRUE,A425,"!",ADDRESS(14+(A426-1)*A422,2)))</f>
        <v>Introduction to Engineering Mathematics</v>
      </c>
      <c r="D410" s="38"/>
      <c r="E410" s="38"/>
      <c r="F410" s="38"/>
      <c r="G410" s="39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D</v>
      </c>
      <c r="J410" s="20">
        <f ca="1">INDIRECT(_xlfn.TEXTJOIN("",TRUE,A425,"!",ADDRESS(14+(A426-1)*A422,14)))</f>
        <v>6</v>
      </c>
    </row>
    <row r="411" spans="1:10" ht="28" customHeight="1" x14ac:dyDescent="0.2">
      <c r="A411" s="35" t="str">
        <f ca="1">INDIRECT(_xlfn.TEXTJOIN("",TRUE,A425,"!",ADDRESS(15+(A426-1)*A422,1)))</f>
        <v>EET 001</v>
      </c>
      <c r="B411" s="36"/>
      <c r="C411" s="37" t="str">
        <f ca="1">INDIRECT(_xlfn.TEXTJOIN("",TRUE,A425,"!",ADDRESS(15+(A426-1)*A422,2)))</f>
        <v>Basic Electrical Engineering</v>
      </c>
      <c r="D411" s="38"/>
      <c r="E411" s="38"/>
      <c r="F411" s="38"/>
      <c r="G411" s="39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E</v>
      </c>
      <c r="J411" s="20">
        <f ca="1">INDIRECT(_xlfn.TEXTJOIN("",TRUE,A425,"!",ADDRESS(15+(A426-1)*A422,14)))</f>
        <v>5</v>
      </c>
    </row>
    <row r="412" spans="1:10" ht="28" customHeight="1" x14ac:dyDescent="0.2">
      <c r="A412" s="35" t="str">
        <f ca="1">INDIRECT(_xlfn.TEXTJOIN("",TRUE,A425,"!",ADDRESS(16+(A426-1)*A422,1)))</f>
        <v>CST 001</v>
      </c>
      <c r="B412" s="36"/>
      <c r="C412" s="37" t="str">
        <f ca="1">INDIRECT(_xlfn.TEXTJOIN("",TRUE,A425,"!",ADDRESS(16+(A426-1)*A422,2)))</f>
        <v>Programming for Problem Solving</v>
      </c>
      <c r="D412" s="38"/>
      <c r="E412" s="38"/>
      <c r="F412" s="38"/>
      <c r="G412" s="39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E</v>
      </c>
      <c r="J412" s="20">
        <f ca="1">INDIRECT(_xlfn.TEXTJOIN("",TRUE,A425,"!",ADDRESS(16+(A426-1)*A422,14)))</f>
        <v>5</v>
      </c>
    </row>
    <row r="413" spans="1:10" ht="28" customHeight="1" x14ac:dyDescent="0.2">
      <c r="A413" s="35" t="str">
        <f ca="1">INDIRECT(_xlfn.TEXTJOIN("",TRUE,A425,"!",ADDRESS(17+(A426-1)*A422,1)))</f>
        <v>AHT 004</v>
      </c>
      <c r="B413" s="36"/>
      <c r="C413" s="37" t="str">
        <f ca="1">INDIRECT(_xlfn.TEXTJOIN("",TRUE,A425,"!",ADDRESS(17+(A426-1)*A422,2)))</f>
        <v>Environmental Studies ($)</v>
      </c>
      <c r="D413" s="38"/>
      <c r="E413" s="38"/>
      <c r="F413" s="38"/>
      <c r="G413" s="39"/>
      <c r="H413" s="20">
        <f ca="1">INDIRECT(_xlfn.TEXTJOIN("",TRUE,A425,"!",ADDRESS(17+(A426-1)*A422,6)))</f>
        <v>0</v>
      </c>
      <c r="I413" s="20" t="str">
        <f ca="1">INDIRECT(_xlfn.TEXTJOIN("",TRUE,A425,"!",ADDRESS(17+(A426-1)*A422,13)))</f>
        <v>D+</v>
      </c>
      <c r="J413" s="20">
        <f ca="1">INDIRECT(_xlfn.TEXTJOIN("",TRUE,A425,"!",ADDRESS(17+(A426-1)*A422,14)))</f>
        <v>6.5</v>
      </c>
    </row>
    <row r="414" spans="1:10" ht="28" customHeight="1" x14ac:dyDescent="0.2">
      <c r="A414" s="35" t="str">
        <f ca="1">INDIRECT(_xlfn.TEXTJOIN("",TRUE,A425,"!",ADDRESS(18+(A426-1)*A422,1)))</f>
        <v>AHP 001</v>
      </c>
      <c r="B414" s="36"/>
      <c r="C414" s="37" t="str">
        <f ca="1">INDIRECT(_xlfn.TEXTJOIN("",TRUE,A425,"!",ADDRESS(18+(A426-1)*A422,2)))</f>
        <v>Engineering Physics Lab</v>
      </c>
      <c r="D414" s="38"/>
      <c r="E414" s="38"/>
      <c r="F414" s="38"/>
      <c r="G414" s="39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B+</v>
      </c>
      <c r="J414" s="20">
        <f ca="1">INDIRECT(_xlfn.TEXTJOIN("",TRUE,A425,"!",ADDRESS(18+(A426-1)*A422,14)))</f>
        <v>8.5</v>
      </c>
    </row>
    <row r="415" spans="1:10" ht="28" customHeight="1" x14ac:dyDescent="0.2">
      <c r="A415" s="35" t="str">
        <f ca="1">INDIRECT(_xlfn.TEXTJOIN("",TRUE,A425,"!",ADDRESS(19+(A426-1)*A422,1)))</f>
        <v>EEP 001</v>
      </c>
      <c r="B415" s="36"/>
      <c r="C415" s="37" t="str">
        <f ca="1">INDIRECT(_xlfn.TEXTJOIN("",TRUE,A425,"!",ADDRESS(19+(A426-1)*A422,2)))</f>
        <v>Basic Electrical Engineering Lab</v>
      </c>
      <c r="D415" s="38"/>
      <c r="E415" s="38"/>
      <c r="F415" s="38"/>
      <c r="G415" s="39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B+</v>
      </c>
      <c r="J415" s="20">
        <f ca="1">INDIRECT(_xlfn.TEXTJOIN("",TRUE,A425,"!",ADDRESS(19+(A426-1)*A422,14)))</f>
        <v>8.5</v>
      </c>
    </row>
    <row r="416" spans="1:10" ht="28" customHeight="1" x14ac:dyDescent="0.2">
      <c r="A416" s="35" t="str">
        <f ca="1">INDIRECT(_xlfn.TEXTJOIN("",TRUE,A425,"!",ADDRESS(20+(A426-1)*A422,1)))</f>
        <v>CSP 001</v>
      </c>
      <c r="B416" s="36"/>
      <c r="C416" s="37" t="str">
        <f ca="1">INDIRECT(_xlfn.TEXTJOIN("",TRUE,A425,"!",ADDRESS(20+(A426-1)*A422,2)))</f>
        <v>Programming for Problem Solving Lab</v>
      </c>
      <c r="D416" s="38"/>
      <c r="E416" s="38"/>
      <c r="F416" s="38"/>
      <c r="G416" s="39"/>
      <c r="H416" s="20">
        <f ca="1">INDIRECT(_xlfn.TEXTJOIN("",TRUE,A425,"!",ADDRESS(20+(A426-1)*A422,6)))</f>
        <v>1</v>
      </c>
      <c r="I416" s="20" t="str">
        <f ca="1">INDIRECT(_xlfn.TEXTJOIN("",TRUE,A425,"!",ADDRESS(20+(A426-1)*A422,13)))</f>
        <v>B+</v>
      </c>
      <c r="J416" s="20">
        <f ca="1">INDIRECT(_xlfn.TEXTJOIN("",TRUE,A425,"!",ADDRESS(20+(A426-1)*A422,14)))</f>
        <v>8.5</v>
      </c>
    </row>
    <row r="417" spans="1:10" ht="28" customHeight="1" x14ac:dyDescent="0.2">
      <c r="A417" s="35" t="str">
        <f ca="1">INDIRECT(_xlfn.TEXTJOIN("",TRUE,A425,"!",ADDRESS(21+(A426-1)*A422,1)))</f>
        <v>MEP 002</v>
      </c>
      <c r="B417" s="36"/>
      <c r="C417" s="37" t="str">
        <f ca="1">INDIRECT(_xlfn.TEXTJOIN("",TRUE,A425,"!",ADDRESS(21+(A426-1)*A422,2)))</f>
        <v>Engineering Graphics &amp; Design Lab</v>
      </c>
      <c r="D417" s="38"/>
      <c r="E417" s="38"/>
      <c r="F417" s="38"/>
      <c r="G417" s="39"/>
      <c r="H417" s="20">
        <f ca="1">INDIRECT(_xlfn.TEXTJOIN("",TRUE,A425,"!",ADDRESS(21+(A426-1)*A422,6)))</f>
        <v>2</v>
      </c>
      <c r="I417" s="20" t="str">
        <f ca="1">INDIRECT(_xlfn.TEXTJOIN("",TRUE,A425,"!",ADDRESS(21+(A426-1)*A422,13)))</f>
        <v>A+</v>
      </c>
      <c r="J417" s="20">
        <f ca="1">INDIRECT(_xlfn.TEXTJOIN("",TRUE,A425,"!",ADDRESS(21+(A426-1)*A422,14)))</f>
        <v>9.5</v>
      </c>
    </row>
    <row r="418" spans="1:10" ht="28" customHeight="1" x14ac:dyDescent="0.2">
      <c r="A418" s="35" t="str">
        <f ca="1">INDIRECT(_xlfn.TEXTJOIN("",TRUE,A425,"!",ADDRESS(22+(A426-1)*A422,1)))</f>
        <v>AHP 003</v>
      </c>
      <c r="B418" s="36"/>
      <c r="C418" s="37" t="str">
        <f ca="1">INDIRECT(_xlfn.TEXTJOIN("",TRUE,A425,"!",ADDRESS(22+(A426-1)*A422,2)))</f>
        <v>Introduction to Digital Marketing Lab</v>
      </c>
      <c r="D418" s="38"/>
      <c r="E418" s="38"/>
      <c r="F418" s="38"/>
      <c r="G418" s="39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</v>
      </c>
      <c r="J418" s="20">
        <f ca="1">INDIRECT(_xlfn.TEXTJOIN("",TRUE,A425,"!",ADDRESS(22+(A426-1)*A422,14)))</f>
        <v>9</v>
      </c>
    </row>
    <row r="419" spans="1:10" ht="28" customHeight="1" x14ac:dyDescent="0.2">
      <c r="A419" s="35" t="str">
        <f ca="1">INDIRECT(_xlfn.TEXTJOIN("",TRUE,A425,"!",ADDRESS(23+(A426-1)*A422,1)))</f>
        <v>AHP 005</v>
      </c>
      <c r="B419" s="36"/>
      <c r="C419" s="37" t="str">
        <f ca="1">INDIRECT(_xlfn.TEXTJOIN("",TRUE,A425,"!",ADDRESS(23+(A426-1)*A422,2)))</f>
        <v>Self Employment &amp; Entrepreneurship Development</v>
      </c>
      <c r="D419" s="38"/>
      <c r="E419" s="38"/>
      <c r="F419" s="38"/>
      <c r="G419" s="39"/>
      <c r="H419" s="20">
        <f ca="1">INDIRECT(_xlfn.TEXTJOIN("",TRUE,A425,"!",ADDRESS(23+(A426-1)*A422,6)))</f>
        <v>1</v>
      </c>
      <c r="I419" s="20" t="str">
        <f ca="1">INDIRECT(_xlfn.TEXTJOIN("",TRUE,A425,"!",ADDRESS(23+(A426-1)*A422,13)))</f>
        <v>A+</v>
      </c>
      <c r="J419" s="20">
        <f ca="1">INDIRECT(_xlfn.TEXTJOIN("",TRUE,A425,"!",ADDRESS(23+(A426-1)*A422,14)))</f>
        <v>9.5</v>
      </c>
    </row>
    <row r="420" spans="1:10" ht="28" customHeight="1" x14ac:dyDescent="0.2">
      <c r="A420" s="35" t="str">
        <f ca="1">INDIRECT(_xlfn.TEXTJOIN("",TRUE,A425,"!",ADDRESS(24+(A426-1)*A422,1)))</f>
        <v>GP 01</v>
      </c>
      <c r="B420" s="36"/>
      <c r="C420" s="37" t="str">
        <f ca="1">INDIRECT(_xlfn.TEXTJOIN("",TRUE,A425,"!",ADDRESS(24+(A426-1)*A422,2)))</f>
        <v>General Proficiency ($)</v>
      </c>
      <c r="D420" s="38"/>
      <c r="E420" s="38"/>
      <c r="F420" s="38"/>
      <c r="G420" s="39"/>
      <c r="H420" s="20">
        <f ca="1">INDIRECT(_xlfn.TEXTJOIN("",TRUE,A425,"!",ADDRESS(24+(A426-1)*A422,6)))</f>
        <v>0</v>
      </c>
      <c r="I420" s="40" t="str">
        <f ca="1">INDIRECT(_xlfn.TEXTJOIN("",TRUE,A425,"!",ADDRESS(24+(A426-1)*A422,13)))</f>
        <v>Excellent</v>
      </c>
      <c r="J420" s="41"/>
    </row>
    <row r="421" spans="1:10" ht="28" customHeight="1" x14ac:dyDescent="0.2">
      <c r="A421" s="42" t="s">
        <v>52</v>
      </c>
      <c r="B421" s="42"/>
      <c r="C421" s="42"/>
      <c r="D421" s="42"/>
      <c r="E421" s="42"/>
      <c r="F421" s="42"/>
      <c r="G421" s="42"/>
      <c r="H421" s="16">
        <f ca="1">SUM(H409:H420)</f>
        <v>23</v>
      </c>
      <c r="I421" s="16" t="s">
        <v>44</v>
      </c>
      <c r="J421" s="16">
        <f ca="1">SUMPRODUCT(J409:J419,H409:H419)</f>
        <v>145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43" t="s">
        <v>40</v>
      </c>
      <c r="B423" s="43"/>
      <c r="C423" s="21">
        <f ca="1">INDIRECT(_xlfn.TEXTJOIN("",TRUE,A425,"!",ADDRESS(5+A426*A422,12)))</f>
        <v>23</v>
      </c>
      <c r="D423" s="43" t="s">
        <v>38</v>
      </c>
      <c r="E423" s="43"/>
      <c r="F423" s="18">
        <f ca="1">INDIRECT(_xlfn.TEXTJOIN("",TRUE,A425,"!",ADDRESS(5+A426*A422,8)))</f>
        <v>6.3043478260869561</v>
      </c>
      <c r="G423" s="43" t="s">
        <v>39</v>
      </c>
      <c r="H423" s="43"/>
      <c r="I423" s="44">
        <f ca="1">INDIRECT(_xlfn.TEXTJOIN("",TRUE,A425,"!",ADDRESS(5+A426*A422,10)))</f>
        <v>6.3043478260869561</v>
      </c>
      <c r="J423" s="44"/>
    </row>
    <row r="424" spans="1:10" ht="28" customHeight="1" x14ac:dyDescent="0.2">
      <c r="A424" s="19" t="s">
        <v>36</v>
      </c>
      <c r="B424" s="45" t="str">
        <f ca="1">INDIRECT(_xlfn.TEXTJOIN("",TRUE,A425,"!",ADDRESS(5+A426*A422,2)))</f>
        <v>PASS</v>
      </c>
      <c r="C424" s="45"/>
      <c r="D424" s="46" t="s">
        <v>37</v>
      </c>
      <c r="E424" s="46"/>
      <c r="F424" s="47" t="str">
        <f ca="1">INDIRECT(_xlfn.TEXTJOIN("",TRUE,A425,"!",ADDRESS(5+A426*A422,5)))</f>
        <v xml:space="preserve"> G+4 in AHT 001</v>
      </c>
      <c r="G424" s="47"/>
      <c r="H424" s="47"/>
      <c r="I424" s="47"/>
      <c r="J424" s="47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48" t="s">
        <v>24</v>
      </c>
      <c r="B427" s="48"/>
      <c r="C427" s="48" t="str">
        <f ca="1">INDIRECT(_xlfn.TEXTJOIN("",TRUE,A446,"!",ADDRESS(9+(A447-1)*A443,2)))</f>
        <v/>
      </c>
      <c r="D427" s="48"/>
      <c r="E427" s="48"/>
      <c r="F427" s="48" t="s">
        <v>50</v>
      </c>
      <c r="G427" s="48"/>
      <c r="H427" s="48"/>
      <c r="I427" s="49" t="str">
        <f ca="1">INDIRECT(_xlfn.TEXTJOIN("",TRUE,A446,"!",ADDRESS(9+(A447-1)*A443,9)))</f>
        <v/>
      </c>
      <c r="J427" s="49"/>
    </row>
    <row r="428" spans="1:10" ht="28" customHeight="1" x14ac:dyDescent="0.2">
      <c r="A428" s="48" t="s">
        <v>25</v>
      </c>
      <c r="B428" s="48"/>
      <c r="C428" s="48" t="str">
        <f ca="1">INDIRECT(_xlfn.TEXTJOIN("",TRUE,A446,"!",ADDRESS(9+(A447-1)*A443,5)))</f>
        <v/>
      </c>
      <c r="D428" s="48"/>
      <c r="E428" s="48"/>
      <c r="F428" s="50" t="s">
        <v>51</v>
      </c>
      <c r="G428" s="50"/>
      <c r="H428" s="50"/>
      <c r="I428" s="49" t="str">
        <f ca="1">INDIRECT(_xlfn.TEXTJOIN("",TRUE,A446,"!",ADDRESS(9+(A447-1)*A443,13)))</f>
        <v/>
      </c>
      <c r="J428" s="49"/>
    </row>
    <row r="429" spans="1:10" ht="28" customHeight="1" x14ac:dyDescent="0.2">
      <c r="A429" s="45" t="s">
        <v>28</v>
      </c>
      <c r="B429" s="45"/>
      <c r="C429" s="45" t="s">
        <v>29</v>
      </c>
      <c r="D429" s="45"/>
      <c r="E429" s="45"/>
      <c r="F429" s="45"/>
      <c r="G429" s="45"/>
      <c r="H429" s="15" t="s">
        <v>30</v>
      </c>
      <c r="I429" s="15" t="s">
        <v>10</v>
      </c>
      <c r="J429" s="15" t="s">
        <v>34</v>
      </c>
    </row>
    <row r="430" spans="1:10" ht="28" customHeight="1" x14ac:dyDescent="0.2">
      <c r="A430" s="35" t="str">
        <f ca="1">INDIRECT(_xlfn.TEXTJOIN("",TRUE,A446,"!",ADDRESS(13+(A447-1)*A443,1)))</f>
        <v/>
      </c>
      <c r="B430" s="36"/>
      <c r="C430" s="37" t="str">
        <f ca="1">INDIRECT(_xlfn.TEXTJOIN("",TRUE,A446,"!",ADDRESS(13+(A447-1)*A443,2)))</f>
        <v/>
      </c>
      <c r="D430" s="38"/>
      <c r="E430" s="38"/>
      <c r="F430" s="38"/>
      <c r="G430" s="39"/>
      <c r="H430" s="20">
        <f ca="1">INDIRECT(_xlfn.TEXTJOIN("",TRUE,A446,"!",ADDRESS(13+(A447-1)*A443,6)))</f>
        <v>0</v>
      </c>
      <c r="I430" s="20" t="str">
        <f ca="1">INDIRECT(_xlfn.TEXTJOIN("",TRUE,A446,"!",ADDRESS(13+(A447-1)*A443,13)))</f>
        <v/>
      </c>
      <c r="J430" s="20" t="str">
        <f ca="1">INDIRECT(_xlfn.TEXTJOIN("",TRUE,A446,"!",ADDRESS(13+(A447-1)*A443,14)))</f>
        <v/>
      </c>
    </row>
    <row r="431" spans="1:10" ht="28" customHeight="1" x14ac:dyDescent="0.2">
      <c r="A431" s="35">
        <f ca="1">INDIRECT(_xlfn.TEXTJOIN("",TRUE,A446,"!",ADDRESS(14+(A447-1)*A443,1)))</f>
        <v>0</v>
      </c>
      <c r="B431" s="36"/>
      <c r="C431" s="37">
        <f ca="1">INDIRECT(_xlfn.TEXTJOIN("",TRUE,A446,"!",ADDRESS(14+(A447-1)*A443,2)))</f>
        <v>0</v>
      </c>
      <c r="D431" s="38"/>
      <c r="E431" s="38"/>
      <c r="F431" s="38"/>
      <c r="G431" s="39"/>
      <c r="H431" s="20">
        <f ca="1">INDIRECT(_xlfn.TEXTJOIN("",TRUE,A446,"!",ADDRESS(14+(A447-1)*A443,6)))</f>
        <v>0</v>
      </c>
      <c r="I431" s="20">
        <f ca="1">INDIRECT(_xlfn.TEXTJOIN("",TRUE,A446,"!",ADDRESS(14+(A447-1)*A443,13)))</f>
        <v>0</v>
      </c>
      <c r="J431" s="20">
        <f ca="1">INDIRECT(_xlfn.TEXTJOIN("",TRUE,A446,"!",ADDRESS(14+(A447-1)*A443,14)))</f>
        <v>0</v>
      </c>
    </row>
    <row r="432" spans="1:10" ht="28" customHeight="1" x14ac:dyDescent="0.2">
      <c r="A432" s="35">
        <f ca="1">INDIRECT(_xlfn.TEXTJOIN("",TRUE,A446,"!",ADDRESS(15+(A447-1)*A443,1)))</f>
        <v>0</v>
      </c>
      <c r="B432" s="36"/>
      <c r="C432" s="37">
        <f ca="1">INDIRECT(_xlfn.TEXTJOIN("",TRUE,A446,"!",ADDRESS(15+(A447-1)*A443,2)))</f>
        <v>0</v>
      </c>
      <c r="D432" s="38"/>
      <c r="E432" s="38"/>
      <c r="F432" s="38"/>
      <c r="G432" s="39"/>
      <c r="H432" s="20">
        <f ca="1">INDIRECT(_xlfn.TEXTJOIN("",TRUE,A446,"!",ADDRESS(15+(A447-1)*A443,6)))</f>
        <v>0</v>
      </c>
      <c r="I432" s="20">
        <f ca="1">INDIRECT(_xlfn.TEXTJOIN("",TRUE,A446,"!",ADDRESS(15+(A447-1)*A443,13)))</f>
        <v>0</v>
      </c>
      <c r="J432" s="20">
        <f ca="1">INDIRECT(_xlfn.TEXTJOIN("",TRUE,A446,"!",ADDRESS(15+(A447-1)*A443,14)))</f>
        <v>0</v>
      </c>
    </row>
    <row r="433" spans="1:10" ht="28" customHeight="1" x14ac:dyDescent="0.2">
      <c r="A433" s="35">
        <f ca="1">INDIRECT(_xlfn.TEXTJOIN("",TRUE,A446,"!",ADDRESS(16+(A447-1)*A443,1)))</f>
        <v>0</v>
      </c>
      <c r="B433" s="36"/>
      <c r="C433" s="37">
        <f ca="1">INDIRECT(_xlfn.TEXTJOIN("",TRUE,A446,"!",ADDRESS(16+(A447-1)*A443,2)))</f>
        <v>0</v>
      </c>
      <c r="D433" s="38"/>
      <c r="E433" s="38"/>
      <c r="F433" s="38"/>
      <c r="G433" s="39"/>
      <c r="H433" s="20">
        <f ca="1">INDIRECT(_xlfn.TEXTJOIN("",TRUE,A446,"!",ADDRESS(16+(A447-1)*A443,6)))</f>
        <v>0</v>
      </c>
      <c r="I433" s="20">
        <f ca="1">INDIRECT(_xlfn.TEXTJOIN("",TRUE,A446,"!",ADDRESS(16+(A447-1)*A443,13)))</f>
        <v>0</v>
      </c>
      <c r="J433" s="20">
        <f ca="1">INDIRECT(_xlfn.TEXTJOIN("",TRUE,A446,"!",ADDRESS(16+(A447-1)*A443,14)))</f>
        <v>0</v>
      </c>
    </row>
    <row r="434" spans="1:10" ht="28" customHeight="1" x14ac:dyDescent="0.2">
      <c r="A434" s="35">
        <f ca="1">INDIRECT(_xlfn.TEXTJOIN("",TRUE,A446,"!",ADDRESS(17+(A447-1)*A443,1)))</f>
        <v>0</v>
      </c>
      <c r="B434" s="36"/>
      <c r="C434" s="37">
        <f ca="1">INDIRECT(_xlfn.TEXTJOIN("",TRUE,A446,"!",ADDRESS(17+(A447-1)*A443,2)))</f>
        <v>0</v>
      </c>
      <c r="D434" s="38"/>
      <c r="E434" s="38"/>
      <c r="F434" s="38"/>
      <c r="G434" s="39"/>
      <c r="H434" s="20">
        <f ca="1">INDIRECT(_xlfn.TEXTJOIN("",TRUE,A446,"!",ADDRESS(17+(A447-1)*A443,6)))</f>
        <v>0</v>
      </c>
      <c r="I434" s="20">
        <f ca="1">INDIRECT(_xlfn.TEXTJOIN("",TRUE,A446,"!",ADDRESS(17+(A447-1)*A443,13)))</f>
        <v>0</v>
      </c>
      <c r="J434" s="20">
        <f ca="1">INDIRECT(_xlfn.TEXTJOIN("",TRUE,A446,"!",ADDRESS(17+(A447-1)*A443,14)))</f>
        <v>0</v>
      </c>
    </row>
    <row r="435" spans="1:10" ht="28" customHeight="1" x14ac:dyDescent="0.2">
      <c r="A435" s="35">
        <f ca="1">INDIRECT(_xlfn.TEXTJOIN("",TRUE,A446,"!",ADDRESS(18+(A447-1)*A443,1)))</f>
        <v>0</v>
      </c>
      <c r="B435" s="36"/>
      <c r="C435" s="37">
        <f ca="1">INDIRECT(_xlfn.TEXTJOIN("",TRUE,A446,"!",ADDRESS(18+(A447-1)*A443,2)))</f>
        <v>0</v>
      </c>
      <c r="D435" s="38"/>
      <c r="E435" s="38"/>
      <c r="F435" s="38"/>
      <c r="G435" s="39"/>
      <c r="H435" s="20">
        <f ca="1">INDIRECT(_xlfn.TEXTJOIN("",TRUE,A446,"!",ADDRESS(18+(A447-1)*A443,6)))</f>
        <v>0</v>
      </c>
      <c r="I435" s="20">
        <f ca="1">INDIRECT(_xlfn.TEXTJOIN("",TRUE,A446,"!",ADDRESS(18+(A447-1)*A443,13)))</f>
        <v>0</v>
      </c>
      <c r="J435" s="20">
        <f ca="1">INDIRECT(_xlfn.TEXTJOIN("",TRUE,A446,"!",ADDRESS(18+(A447-1)*A443,14)))</f>
        <v>0</v>
      </c>
    </row>
    <row r="436" spans="1:10" ht="28" customHeight="1" x14ac:dyDescent="0.2">
      <c r="A436" s="35">
        <f ca="1">INDIRECT(_xlfn.TEXTJOIN("",TRUE,A446,"!",ADDRESS(19+(A447-1)*A443,1)))</f>
        <v>0</v>
      </c>
      <c r="B436" s="36"/>
      <c r="C436" s="37">
        <f ca="1">INDIRECT(_xlfn.TEXTJOIN("",TRUE,A446,"!",ADDRESS(19+(A447-1)*A443,2)))</f>
        <v>0</v>
      </c>
      <c r="D436" s="38"/>
      <c r="E436" s="38"/>
      <c r="F436" s="38"/>
      <c r="G436" s="39"/>
      <c r="H436" s="20">
        <f ca="1">INDIRECT(_xlfn.TEXTJOIN("",TRUE,A446,"!",ADDRESS(19+(A447-1)*A443,6)))</f>
        <v>0</v>
      </c>
      <c r="I436" s="20">
        <f ca="1">INDIRECT(_xlfn.TEXTJOIN("",TRUE,A446,"!",ADDRESS(19+(A447-1)*A443,13)))</f>
        <v>0</v>
      </c>
      <c r="J436" s="20">
        <f ca="1">INDIRECT(_xlfn.TEXTJOIN("",TRUE,A446,"!",ADDRESS(19+(A447-1)*A443,14)))</f>
        <v>0</v>
      </c>
    </row>
    <row r="437" spans="1:10" ht="28" customHeight="1" x14ac:dyDescent="0.2">
      <c r="A437" s="35">
        <f ca="1">INDIRECT(_xlfn.TEXTJOIN("",TRUE,A446,"!",ADDRESS(20+(A447-1)*A443,1)))</f>
        <v>0</v>
      </c>
      <c r="B437" s="36"/>
      <c r="C437" s="37">
        <f ca="1">INDIRECT(_xlfn.TEXTJOIN("",TRUE,A446,"!",ADDRESS(20+(A447-1)*A443,2)))</f>
        <v>0</v>
      </c>
      <c r="D437" s="38"/>
      <c r="E437" s="38"/>
      <c r="F437" s="38"/>
      <c r="G437" s="39"/>
      <c r="H437" s="20">
        <f ca="1">INDIRECT(_xlfn.TEXTJOIN("",TRUE,A446,"!",ADDRESS(20+(A447-1)*A443,6)))</f>
        <v>0</v>
      </c>
      <c r="I437" s="20">
        <f ca="1">INDIRECT(_xlfn.TEXTJOIN("",TRUE,A446,"!",ADDRESS(20+(A447-1)*A443,13)))</f>
        <v>0</v>
      </c>
      <c r="J437" s="20">
        <f ca="1">INDIRECT(_xlfn.TEXTJOIN("",TRUE,A446,"!",ADDRESS(20+(A447-1)*A443,14)))</f>
        <v>0</v>
      </c>
    </row>
    <row r="438" spans="1:10" ht="28" customHeight="1" x14ac:dyDescent="0.2">
      <c r="A438" s="35">
        <f ca="1">INDIRECT(_xlfn.TEXTJOIN("",TRUE,A446,"!",ADDRESS(21+(A447-1)*A443,1)))</f>
        <v>0</v>
      </c>
      <c r="B438" s="36"/>
      <c r="C438" s="37">
        <f ca="1">INDIRECT(_xlfn.TEXTJOIN("",TRUE,A446,"!",ADDRESS(21+(A447-1)*A443,2)))</f>
        <v>0</v>
      </c>
      <c r="D438" s="38"/>
      <c r="E438" s="38"/>
      <c r="F438" s="38"/>
      <c r="G438" s="39"/>
      <c r="H438" s="20">
        <f ca="1">INDIRECT(_xlfn.TEXTJOIN("",TRUE,A446,"!",ADDRESS(21+(A447-1)*A443,6)))</f>
        <v>0</v>
      </c>
      <c r="I438" s="20">
        <f ca="1">INDIRECT(_xlfn.TEXTJOIN("",TRUE,A446,"!",ADDRESS(21+(A447-1)*A443,13)))</f>
        <v>0</v>
      </c>
      <c r="J438" s="20">
        <f ca="1">INDIRECT(_xlfn.TEXTJOIN("",TRUE,A446,"!",ADDRESS(21+(A447-1)*A443,14)))</f>
        <v>0</v>
      </c>
    </row>
    <row r="439" spans="1:10" ht="28" customHeight="1" x14ac:dyDescent="0.2">
      <c r="A439" s="35">
        <f ca="1">INDIRECT(_xlfn.TEXTJOIN("",TRUE,A446,"!",ADDRESS(22+(A447-1)*A443,1)))</f>
        <v>0</v>
      </c>
      <c r="B439" s="36"/>
      <c r="C439" s="37">
        <f ca="1">INDIRECT(_xlfn.TEXTJOIN("",TRUE,A446,"!",ADDRESS(22+(A447-1)*A443,2)))</f>
        <v>0</v>
      </c>
      <c r="D439" s="38"/>
      <c r="E439" s="38"/>
      <c r="F439" s="38"/>
      <c r="G439" s="39"/>
      <c r="H439" s="20">
        <f ca="1">INDIRECT(_xlfn.TEXTJOIN("",TRUE,A446,"!",ADDRESS(22+(A447-1)*A443,6)))</f>
        <v>0</v>
      </c>
      <c r="I439" s="20">
        <f ca="1">INDIRECT(_xlfn.TEXTJOIN("",TRUE,A446,"!",ADDRESS(22+(A447-1)*A443,13)))</f>
        <v>0</v>
      </c>
      <c r="J439" s="20">
        <f ca="1">INDIRECT(_xlfn.TEXTJOIN("",TRUE,A446,"!",ADDRESS(22+(A447-1)*A443,14)))</f>
        <v>0</v>
      </c>
    </row>
    <row r="440" spans="1:10" ht="28" customHeight="1" x14ac:dyDescent="0.2">
      <c r="A440" s="35">
        <f ca="1">INDIRECT(_xlfn.TEXTJOIN("",TRUE,A446,"!",ADDRESS(23+(A447-1)*A443,1)))</f>
        <v>0</v>
      </c>
      <c r="B440" s="36"/>
      <c r="C440" s="37">
        <f ca="1">INDIRECT(_xlfn.TEXTJOIN("",TRUE,A446,"!",ADDRESS(23+(A447-1)*A443,2)))</f>
        <v>0</v>
      </c>
      <c r="D440" s="38"/>
      <c r="E440" s="38"/>
      <c r="F440" s="38"/>
      <c r="G440" s="39"/>
      <c r="H440" s="20">
        <f ca="1">INDIRECT(_xlfn.TEXTJOIN("",TRUE,A446,"!",ADDRESS(23+(A447-1)*A443,6)))</f>
        <v>0</v>
      </c>
      <c r="I440" s="20">
        <f ca="1">INDIRECT(_xlfn.TEXTJOIN("",TRUE,A446,"!",ADDRESS(23+(A447-1)*A443,13)))</f>
        <v>0</v>
      </c>
      <c r="J440" s="20">
        <f ca="1">INDIRECT(_xlfn.TEXTJOIN("",TRUE,A446,"!",ADDRESS(23+(A447-1)*A443,14)))</f>
        <v>0</v>
      </c>
    </row>
    <row r="441" spans="1:10" ht="28" customHeight="1" x14ac:dyDescent="0.2">
      <c r="A441" s="35">
        <f ca="1">INDIRECT(_xlfn.TEXTJOIN("",TRUE,A446,"!",ADDRESS(24+(A447-1)*A443,1)))</f>
        <v>0</v>
      </c>
      <c r="B441" s="36"/>
      <c r="C441" s="37">
        <f ca="1">INDIRECT(_xlfn.TEXTJOIN("",TRUE,A446,"!",ADDRESS(24+(A447-1)*A443,2)))</f>
        <v>0</v>
      </c>
      <c r="D441" s="38"/>
      <c r="E441" s="38"/>
      <c r="F441" s="38"/>
      <c r="G441" s="39"/>
      <c r="H441" s="20">
        <f ca="1">INDIRECT(_xlfn.TEXTJOIN("",TRUE,A446,"!",ADDRESS(24+(A447-1)*A443,6)))</f>
        <v>0</v>
      </c>
      <c r="I441" s="40">
        <f ca="1">INDIRECT(_xlfn.TEXTJOIN("",TRUE,A446,"!",ADDRESS(24+(A447-1)*A443,13)))</f>
        <v>0</v>
      </c>
      <c r="J441" s="41"/>
    </row>
    <row r="442" spans="1:10" ht="28" customHeight="1" x14ac:dyDescent="0.2">
      <c r="A442" s="42" t="s">
        <v>52</v>
      </c>
      <c r="B442" s="42"/>
      <c r="C442" s="42"/>
      <c r="D442" s="42"/>
      <c r="E442" s="42"/>
      <c r="F442" s="42"/>
      <c r="G442" s="42"/>
      <c r="H442" s="16">
        <f ca="1">SUM(H430:H441)</f>
        <v>0</v>
      </c>
      <c r="I442" s="16" t="s">
        <v>44</v>
      </c>
      <c r="J442" s="16">
        <f ca="1">SUMPRODUCT(J430:J440,H430:H440)</f>
        <v>0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43" t="s">
        <v>40</v>
      </c>
      <c r="B444" s="43"/>
      <c r="C444" s="21">
        <f ca="1">INDIRECT(_xlfn.TEXTJOIN("",TRUE,A446,"!",ADDRESS(5+A447*A443,12)))</f>
        <v>0</v>
      </c>
      <c r="D444" s="43" t="s">
        <v>38</v>
      </c>
      <c r="E444" s="43"/>
      <c r="F444" s="18">
        <f ca="1">INDIRECT(_xlfn.TEXTJOIN("",TRUE,A446,"!",ADDRESS(5+A447*A443,8)))</f>
        <v>0</v>
      </c>
      <c r="G444" s="43" t="s">
        <v>39</v>
      </c>
      <c r="H444" s="43"/>
      <c r="I444" s="44">
        <f ca="1">INDIRECT(_xlfn.TEXTJOIN("",TRUE,A446,"!",ADDRESS(5+A447*A443,10)))</f>
        <v>0</v>
      </c>
      <c r="J444" s="44"/>
    </row>
    <row r="445" spans="1:10" ht="28" customHeight="1" x14ac:dyDescent="0.2">
      <c r="A445" s="19" t="s">
        <v>36</v>
      </c>
      <c r="B445" s="45">
        <f ca="1">INDIRECT(_xlfn.TEXTJOIN("",TRUE,A446,"!",ADDRESS(5+A447*A443,2)))</f>
        <v>0</v>
      </c>
      <c r="C445" s="45"/>
      <c r="D445" s="46" t="s">
        <v>37</v>
      </c>
      <c r="E445" s="46"/>
      <c r="F445" s="47">
        <f ca="1">INDIRECT(_xlfn.TEXTJOIN("",TRUE,A446,"!",ADDRESS(5+A447*A443,5)))</f>
        <v>0</v>
      </c>
      <c r="G445" s="47"/>
      <c r="H445" s="47"/>
      <c r="I445" s="47"/>
      <c r="J445" s="47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48" t="s">
        <v>24</v>
      </c>
      <c r="B448" s="48"/>
      <c r="C448" s="48">
        <f ca="1">INDIRECT(_xlfn.TEXTJOIN("",TRUE,A467,"!",ADDRESS(9+(A468-1)*A464,2)))</f>
        <v>0</v>
      </c>
      <c r="D448" s="48"/>
      <c r="E448" s="48"/>
      <c r="F448" s="48" t="s">
        <v>50</v>
      </c>
      <c r="G448" s="48"/>
      <c r="H448" s="48"/>
      <c r="I448" s="49">
        <f ca="1">INDIRECT(_xlfn.TEXTJOIN("",TRUE,A467,"!",ADDRESS(9+(A468-1)*A464,9)))</f>
        <v>0</v>
      </c>
      <c r="J448" s="49"/>
    </row>
    <row r="449" spans="1:10" ht="28" customHeight="1" x14ac:dyDescent="0.2">
      <c r="A449" s="48" t="s">
        <v>25</v>
      </c>
      <c r="B449" s="48"/>
      <c r="C449" s="48">
        <f ca="1">INDIRECT(_xlfn.TEXTJOIN("",TRUE,A467,"!",ADDRESS(9+(A468-1)*A464,5)))</f>
        <v>0</v>
      </c>
      <c r="D449" s="48"/>
      <c r="E449" s="48"/>
      <c r="F449" s="50" t="s">
        <v>51</v>
      </c>
      <c r="G449" s="50"/>
      <c r="H449" s="50"/>
      <c r="I449" s="49">
        <f ca="1">INDIRECT(_xlfn.TEXTJOIN("",TRUE,A467,"!",ADDRESS(9+(A468-1)*A464,13)))</f>
        <v>0</v>
      </c>
      <c r="J449" s="49"/>
    </row>
    <row r="450" spans="1:10" ht="28" customHeight="1" x14ac:dyDescent="0.2">
      <c r="A450" s="45" t="s">
        <v>28</v>
      </c>
      <c r="B450" s="45"/>
      <c r="C450" s="45" t="s">
        <v>29</v>
      </c>
      <c r="D450" s="45"/>
      <c r="E450" s="45"/>
      <c r="F450" s="45"/>
      <c r="G450" s="45"/>
      <c r="H450" s="15" t="s">
        <v>30</v>
      </c>
      <c r="I450" s="15" t="s">
        <v>10</v>
      </c>
      <c r="J450" s="15" t="s">
        <v>34</v>
      </c>
    </row>
    <row r="451" spans="1:10" ht="28" customHeight="1" x14ac:dyDescent="0.2">
      <c r="A451" s="35">
        <f ca="1">INDIRECT(_xlfn.TEXTJOIN("",TRUE,A467,"!",ADDRESS(13+(A468-1)*A464,1)))</f>
        <v>0</v>
      </c>
      <c r="B451" s="36"/>
      <c r="C451" s="37">
        <f ca="1">INDIRECT(_xlfn.TEXTJOIN("",TRUE,A467,"!",ADDRESS(13+(A468-1)*A464,2)))</f>
        <v>0</v>
      </c>
      <c r="D451" s="38"/>
      <c r="E451" s="38"/>
      <c r="F451" s="38"/>
      <c r="G451" s="39"/>
      <c r="H451" s="20">
        <f ca="1">INDIRECT(_xlfn.TEXTJOIN("",TRUE,A467,"!",ADDRESS(13+(A468-1)*A464,6)))</f>
        <v>0</v>
      </c>
      <c r="I451" s="20">
        <f ca="1">INDIRECT(_xlfn.TEXTJOIN("",TRUE,A467,"!",ADDRESS(13+(A468-1)*A464,13)))</f>
        <v>0</v>
      </c>
      <c r="J451" s="20">
        <f ca="1">INDIRECT(_xlfn.TEXTJOIN("",TRUE,A467,"!",ADDRESS(13+(A468-1)*A464,14)))</f>
        <v>0</v>
      </c>
    </row>
    <row r="452" spans="1:10" ht="28" customHeight="1" x14ac:dyDescent="0.2">
      <c r="A452" s="35">
        <f ca="1">INDIRECT(_xlfn.TEXTJOIN("",TRUE,A467,"!",ADDRESS(14+(A468-1)*A464,1)))</f>
        <v>0</v>
      </c>
      <c r="B452" s="36"/>
      <c r="C452" s="37">
        <f ca="1">INDIRECT(_xlfn.TEXTJOIN("",TRUE,A467,"!",ADDRESS(14+(A468-1)*A464,2)))</f>
        <v>0</v>
      </c>
      <c r="D452" s="38"/>
      <c r="E452" s="38"/>
      <c r="F452" s="38"/>
      <c r="G452" s="39"/>
      <c r="H452" s="20">
        <f ca="1">INDIRECT(_xlfn.TEXTJOIN("",TRUE,A467,"!",ADDRESS(14+(A468-1)*A464,6)))</f>
        <v>0</v>
      </c>
      <c r="I452" s="20">
        <f ca="1">INDIRECT(_xlfn.TEXTJOIN("",TRUE,A467,"!",ADDRESS(14+(A468-1)*A464,13)))</f>
        <v>0</v>
      </c>
      <c r="J452" s="20">
        <f ca="1">INDIRECT(_xlfn.TEXTJOIN("",TRUE,A467,"!",ADDRESS(14+(A468-1)*A464,14)))</f>
        <v>0</v>
      </c>
    </row>
    <row r="453" spans="1:10" ht="28" customHeight="1" x14ac:dyDescent="0.2">
      <c r="A453" s="35">
        <f ca="1">INDIRECT(_xlfn.TEXTJOIN("",TRUE,A467,"!",ADDRESS(15+(A468-1)*A464,1)))</f>
        <v>0</v>
      </c>
      <c r="B453" s="36"/>
      <c r="C453" s="37">
        <f ca="1">INDIRECT(_xlfn.TEXTJOIN("",TRUE,A467,"!",ADDRESS(15+(A468-1)*A464,2)))</f>
        <v>0</v>
      </c>
      <c r="D453" s="38"/>
      <c r="E453" s="38"/>
      <c r="F453" s="38"/>
      <c r="G453" s="39"/>
      <c r="H453" s="20">
        <f ca="1">INDIRECT(_xlfn.TEXTJOIN("",TRUE,A467,"!",ADDRESS(15+(A468-1)*A464,6)))</f>
        <v>0</v>
      </c>
      <c r="I453" s="20">
        <f ca="1">INDIRECT(_xlfn.TEXTJOIN("",TRUE,A467,"!",ADDRESS(15+(A468-1)*A464,13)))</f>
        <v>0</v>
      </c>
      <c r="J453" s="20">
        <f ca="1">INDIRECT(_xlfn.TEXTJOIN("",TRUE,A467,"!",ADDRESS(15+(A468-1)*A464,14)))</f>
        <v>0</v>
      </c>
    </row>
    <row r="454" spans="1:10" ht="28" customHeight="1" x14ac:dyDescent="0.2">
      <c r="A454" s="35">
        <f ca="1">INDIRECT(_xlfn.TEXTJOIN("",TRUE,A467,"!",ADDRESS(16+(A468-1)*A464,1)))</f>
        <v>0</v>
      </c>
      <c r="B454" s="36"/>
      <c r="C454" s="37">
        <f ca="1">INDIRECT(_xlfn.TEXTJOIN("",TRUE,A467,"!",ADDRESS(16+(A468-1)*A464,2)))</f>
        <v>0</v>
      </c>
      <c r="D454" s="38"/>
      <c r="E454" s="38"/>
      <c r="F454" s="38"/>
      <c r="G454" s="39"/>
      <c r="H454" s="20">
        <f ca="1">INDIRECT(_xlfn.TEXTJOIN("",TRUE,A467,"!",ADDRESS(16+(A468-1)*A464,6)))</f>
        <v>0</v>
      </c>
      <c r="I454" s="20">
        <f ca="1">INDIRECT(_xlfn.TEXTJOIN("",TRUE,A467,"!",ADDRESS(16+(A468-1)*A464,13)))</f>
        <v>0</v>
      </c>
      <c r="J454" s="20">
        <f ca="1">INDIRECT(_xlfn.TEXTJOIN("",TRUE,A467,"!",ADDRESS(16+(A468-1)*A464,14)))</f>
        <v>0</v>
      </c>
    </row>
    <row r="455" spans="1:10" ht="28" customHeight="1" x14ac:dyDescent="0.2">
      <c r="A455" s="35">
        <f ca="1">INDIRECT(_xlfn.TEXTJOIN("",TRUE,A467,"!",ADDRESS(17+(A468-1)*A464,1)))</f>
        <v>0</v>
      </c>
      <c r="B455" s="36"/>
      <c r="C455" s="37">
        <f ca="1">INDIRECT(_xlfn.TEXTJOIN("",TRUE,A467,"!",ADDRESS(17+(A468-1)*A464,2)))</f>
        <v>0</v>
      </c>
      <c r="D455" s="38"/>
      <c r="E455" s="38"/>
      <c r="F455" s="38"/>
      <c r="G455" s="39"/>
      <c r="H455" s="20">
        <f ca="1">INDIRECT(_xlfn.TEXTJOIN("",TRUE,A467,"!",ADDRESS(17+(A468-1)*A464,6)))</f>
        <v>0</v>
      </c>
      <c r="I455" s="20">
        <f ca="1">INDIRECT(_xlfn.TEXTJOIN("",TRUE,A467,"!",ADDRESS(17+(A468-1)*A464,13)))</f>
        <v>0</v>
      </c>
      <c r="J455" s="20">
        <f ca="1">INDIRECT(_xlfn.TEXTJOIN("",TRUE,A467,"!",ADDRESS(17+(A468-1)*A464,14)))</f>
        <v>0</v>
      </c>
    </row>
    <row r="456" spans="1:10" ht="28" customHeight="1" x14ac:dyDescent="0.2">
      <c r="A456" s="35">
        <f ca="1">INDIRECT(_xlfn.TEXTJOIN("",TRUE,A467,"!",ADDRESS(18+(A468-1)*A464,1)))</f>
        <v>0</v>
      </c>
      <c r="B456" s="36"/>
      <c r="C456" s="37">
        <f ca="1">INDIRECT(_xlfn.TEXTJOIN("",TRUE,A467,"!",ADDRESS(18+(A468-1)*A464,2)))</f>
        <v>0</v>
      </c>
      <c r="D456" s="38"/>
      <c r="E456" s="38"/>
      <c r="F456" s="38"/>
      <c r="G456" s="39"/>
      <c r="H456" s="20">
        <f ca="1">INDIRECT(_xlfn.TEXTJOIN("",TRUE,A467,"!",ADDRESS(18+(A468-1)*A464,6)))</f>
        <v>0</v>
      </c>
      <c r="I456" s="20">
        <f ca="1">INDIRECT(_xlfn.TEXTJOIN("",TRUE,A467,"!",ADDRESS(18+(A468-1)*A464,13)))</f>
        <v>0</v>
      </c>
      <c r="J456" s="20">
        <f ca="1">INDIRECT(_xlfn.TEXTJOIN("",TRUE,A467,"!",ADDRESS(18+(A468-1)*A464,14)))</f>
        <v>0</v>
      </c>
    </row>
    <row r="457" spans="1:10" ht="28" customHeight="1" x14ac:dyDescent="0.2">
      <c r="A457" s="35">
        <f ca="1">INDIRECT(_xlfn.TEXTJOIN("",TRUE,A467,"!",ADDRESS(19+(A468-1)*A464,1)))</f>
        <v>0</v>
      </c>
      <c r="B457" s="36"/>
      <c r="C457" s="37">
        <f ca="1">INDIRECT(_xlfn.TEXTJOIN("",TRUE,A467,"!",ADDRESS(19+(A468-1)*A464,2)))</f>
        <v>0</v>
      </c>
      <c r="D457" s="38"/>
      <c r="E457" s="38"/>
      <c r="F457" s="38"/>
      <c r="G457" s="39"/>
      <c r="H457" s="20">
        <f ca="1">INDIRECT(_xlfn.TEXTJOIN("",TRUE,A467,"!",ADDRESS(19+(A468-1)*A464,6)))</f>
        <v>0</v>
      </c>
      <c r="I457" s="20">
        <f ca="1">INDIRECT(_xlfn.TEXTJOIN("",TRUE,A467,"!",ADDRESS(19+(A468-1)*A464,13)))</f>
        <v>0</v>
      </c>
      <c r="J457" s="20">
        <f ca="1">INDIRECT(_xlfn.TEXTJOIN("",TRUE,A467,"!",ADDRESS(19+(A468-1)*A464,14)))</f>
        <v>0</v>
      </c>
    </row>
    <row r="458" spans="1:10" ht="28" customHeight="1" x14ac:dyDescent="0.2">
      <c r="A458" s="35">
        <f ca="1">INDIRECT(_xlfn.TEXTJOIN("",TRUE,A467,"!",ADDRESS(20+(A468-1)*A464,1)))</f>
        <v>0</v>
      </c>
      <c r="B458" s="36"/>
      <c r="C458" s="37">
        <f ca="1">INDIRECT(_xlfn.TEXTJOIN("",TRUE,A467,"!",ADDRESS(20+(A468-1)*A464,2)))</f>
        <v>0</v>
      </c>
      <c r="D458" s="38"/>
      <c r="E458" s="38"/>
      <c r="F458" s="38"/>
      <c r="G458" s="39"/>
      <c r="H458" s="20">
        <f ca="1">INDIRECT(_xlfn.TEXTJOIN("",TRUE,A467,"!",ADDRESS(20+(A468-1)*A464,6)))</f>
        <v>0</v>
      </c>
      <c r="I458" s="20">
        <f ca="1">INDIRECT(_xlfn.TEXTJOIN("",TRUE,A467,"!",ADDRESS(20+(A468-1)*A464,13)))</f>
        <v>0</v>
      </c>
      <c r="J458" s="20">
        <f ca="1">INDIRECT(_xlfn.TEXTJOIN("",TRUE,A467,"!",ADDRESS(20+(A468-1)*A464,14)))</f>
        <v>0</v>
      </c>
    </row>
    <row r="459" spans="1:10" ht="28" customHeight="1" x14ac:dyDescent="0.2">
      <c r="A459" s="35">
        <f ca="1">INDIRECT(_xlfn.TEXTJOIN("",TRUE,A467,"!",ADDRESS(21+(A468-1)*A464,1)))</f>
        <v>0</v>
      </c>
      <c r="B459" s="36"/>
      <c r="C459" s="37">
        <f ca="1">INDIRECT(_xlfn.TEXTJOIN("",TRUE,A467,"!",ADDRESS(21+(A468-1)*A464,2)))</f>
        <v>0</v>
      </c>
      <c r="D459" s="38"/>
      <c r="E459" s="38"/>
      <c r="F459" s="38"/>
      <c r="G459" s="39"/>
      <c r="H459" s="20">
        <f ca="1">INDIRECT(_xlfn.TEXTJOIN("",TRUE,A467,"!",ADDRESS(21+(A468-1)*A464,6)))</f>
        <v>0</v>
      </c>
      <c r="I459" s="20">
        <f ca="1">INDIRECT(_xlfn.TEXTJOIN("",TRUE,A467,"!",ADDRESS(21+(A468-1)*A464,13)))</f>
        <v>0</v>
      </c>
      <c r="J459" s="20">
        <f ca="1">INDIRECT(_xlfn.TEXTJOIN("",TRUE,A467,"!",ADDRESS(21+(A468-1)*A464,14)))</f>
        <v>0</v>
      </c>
    </row>
    <row r="460" spans="1:10" ht="28" customHeight="1" x14ac:dyDescent="0.2">
      <c r="A460" s="35">
        <f ca="1">INDIRECT(_xlfn.TEXTJOIN("",TRUE,A467,"!",ADDRESS(22+(A468-1)*A464,1)))</f>
        <v>0</v>
      </c>
      <c r="B460" s="36"/>
      <c r="C460" s="37">
        <f ca="1">INDIRECT(_xlfn.TEXTJOIN("",TRUE,A467,"!",ADDRESS(22+(A468-1)*A464,2)))</f>
        <v>0</v>
      </c>
      <c r="D460" s="38"/>
      <c r="E460" s="38"/>
      <c r="F460" s="38"/>
      <c r="G460" s="39"/>
      <c r="H460" s="20">
        <f ca="1">INDIRECT(_xlfn.TEXTJOIN("",TRUE,A467,"!",ADDRESS(22+(A468-1)*A464,6)))</f>
        <v>0</v>
      </c>
      <c r="I460" s="20">
        <f ca="1">INDIRECT(_xlfn.TEXTJOIN("",TRUE,A467,"!",ADDRESS(22+(A468-1)*A464,13)))</f>
        <v>0</v>
      </c>
      <c r="J460" s="20">
        <f ca="1">INDIRECT(_xlfn.TEXTJOIN("",TRUE,A467,"!",ADDRESS(22+(A468-1)*A464,14)))</f>
        <v>0</v>
      </c>
    </row>
    <row r="461" spans="1:10" ht="28" customHeight="1" x14ac:dyDescent="0.2">
      <c r="A461" s="35">
        <f ca="1">INDIRECT(_xlfn.TEXTJOIN("",TRUE,A467,"!",ADDRESS(23+(A468-1)*A464,1)))</f>
        <v>0</v>
      </c>
      <c r="B461" s="36"/>
      <c r="C461" s="37">
        <f ca="1">INDIRECT(_xlfn.TEXTJOIN("",TRUE,A467,"!",ADDRESS(23+(A468-1)*A464,2)))</f>
        <v>0</v>
      </c>
      <c r="D461" s="38"/>
      <c r="E461" s="38"/>
      <c r="F461" s="38"/>
      <c r="G461" s="39"/>
      <c r="H461" s="20">
        <f ca="1">INDIRECT(_xlfn.TEXTJOIN("",TRUE,A467,"!",ADDRESS(23+(A468-1)*A464,6)))</f>
        <v>0</v>
      </c>
      <c r="I461" s="20">
        <f ca="1">INDIRECT(_xlfn.TEXTJOIN("",TRUE,A467,"!",ADDRESS(23+(A468-1)*A464,13)))</f>
        <v>0</v>
      </c>
      <c r="J461" s="20">
        <f ca="1">INDIRECT(_xlfn.TEXTJOIN("",TRUE,A467,"!",ADDRESS(23+(A468-1)*A464,14)))</f>
        <v>0</v>
      </c>
    </row>
    <row r="462" spans="1:10" ht="28" customHeight="1" x14ac:dyDescent="0.2">
      <c r="A462" s="35">
        <f ca="1">INDIRECT(_xlfn.TEXTJOIN("",TRUE,A467,"!",ADDRESS(24+(A468-1)*A464,1)))</f>
        <v>0</v>
      </c>
      <c r="B462" s="36"/>
      <c r="C462" s="37">
        <f ca="1">INDIRECT(_xlfn.TEXTJOIN("",TRUE,A467,"!",ADDRESS(24+(A468-1)*A464,2)))</f>
        <v>0</v>
      </c>
      <c r="D462" s="38"/>
      <c r="E462" s="38"/>
      <c r="F462" s="38"/>
      <c r="G462" s="39"/>
      <c r="H462" s="20">
        <f ca="1">INDIRECT(_xlfn.TEXTJOIN("",TRUE,A467,"!",ADDRESS(24+(A468-1)*A464,6)))</f>
        <v>0</v>
      </c>
      <c r="I462" s="40">
        <f ca="1">INDIRECT(_xlfn.TEXTJOIN("",TRUE,A467,"!",ADDRESS(24+(A468-1)*A464,13)))</f>
        <v>0</v>
      </c>
      <c r="J462" s="41"/>
    </row>
    <row r="463" spans="1:10" ht="28" customHeight="1" x14ac:dyDescent="0.2">
      <c r="A463" s="42" t="s">
        <v>52</v>
      </c>
      <c r="B463" s="42"/>
      <c r="C463" s="42"/>
      <c r="D463" s="42"/>
      <c r="E463" s="42"/>
      <c r="F463" s="42"/>
      <c r="G463" s="42"/>
      <c r="H463" s="16">
        <f ca="1">SUM(H451:H462)</f>
        <v>0</v>
      </c>
      <c r="I463" s="16" t="s">
        <v>44</v>
      </c>
      <c r="J463" s="16">
        <f ca="1">SUMPRODUCT(J451:J461,H451:H461)</f>
        <v>0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43" t="s">
        <v>40</v>
      </c>
      <c r="B465" s="43"/>
      <c r="C465" s="21">
        <f ca="1">INDIRECT(_xlfn.TEXTJOIN("",TRUE,A467,"!",ADDRESS(5+A468*A464,12)))</f>
        <v>0</v>
      </c>
      <c r="D465" s="43" t="s">
        <v>38</v>
      </c>
      <c r="E465" s="43"/>
      <c r="F465" s="18">
        <f ca="1">INDIRECT(_xlfn.TEXTJOIN("",TRUE,A467,"!",ADDRESS(5+A468*A464,8)))</f>
        <v>0</v>
      </c>
      <c r="G465" s="43" t="s">
        <v>39</v>
      </c>
      <c r="H465" s="43"/>
      <c r="I465" s="44">
        <f ca="1">INDIRECT(_xlfn.TEXTJOIN("",TRUE,A467,"!",ADDRESS(5+A468*A464,10)))</f>
        <v>0</v>
      </c>
      <c r="J465" s="44"/>
    </row>
    <row r="466" spans="1:10" ht="28" customHeight="1" x14ac:dyDescent="0.2">
      <c r="A466" s="19" t="s">
        <v>36</v>
      </c>
      <c r="B466" s="45">
        <f ca="1">INDIRECT(_xlfn.TEXTJOIN("",TRUE,A467,"!",ADDRESS(5+A468*A464,2)))</f>
        <v>0</v>
      </c>
      <c r="C466" s="45"/>
      <c r="D466" s="46" t="s">
        <v>37</v>
      </c>
      <c r="E466" s="46"/>
      <c r="F466" s="47">
        <f ca="1">INDIRECT(_xlfn.TEXTJOIN("",TRUE,A467,"!",ADDRESS(5+A468*A464,5)))</f>
        <v>0</v>
      </c>
      <c r="G466" s="47"/>
      <c r="H466" s="47"/>
      <c r="I466" s="47"/>
      <c r="J466" s="47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48" t="s">
        <v>24</v>
      </c>
      <c r="B469" s="48"/>
      <c r="C469" s="48">
        <f ca="1">INDIRECT(_xlfn.TEXTJOIN("",TRUE,A488,"!",ADDRESS(9+(A489-1)*A485,2)))</f>
        <v>0</v>
      </c>
      <c r="D469" s="48"/>
      <c r="E469" s="48"/>
      <c r="F469" s="48" t="s">
        <v>50</v>
      </c>
      <c r="G469" s="48"/>
      <c r="H469" s="48"/>
      <c r="I469" s="49">
        <f ca="1">INDIRECT(_xlfn.TEXTJOIN("",TRUE,A488,"!",ADDRESS(9+(A489-1)*A485,9)))</f>
        <v>0</v>
      </c>
      <c r="J469" s="49"/>
    </row>
    <row r="470" spans="1:10" ht="28" customHeight="1" x14ac:dyDescent="0.2">
      <c r="A470" s="48" t="s">
        <v>25</v>
      </c>
      <c r="B470" s="48"/>
      <c r="C470" s="48">
        <f ca="1">INDIRECT(_xlfn.TEXTJOIN("",TRUE,A488,"!",ADDRESS(9+(A489-1)*A485,5)))</f>
        <v>0</v>
      </c>
      <c r="D470" s="48"/>
      <c r="E470" s="48"/>
      <c r="F470" s="50" t="s">
        <v>51</v>
      </c>
      <c r="G470" s="50"/>
      <c r="H470" s="50"/>
      <c r="I470" s="49">
        <f ca="1">INDIRECT(_xlfn.TEXTJOIN("",TRUE,A488,"!",ADDRESS(9+(A489-1)*A485,13)))</f>
        <v>0</v>
      </c>
      <c r="J470" s="49"/>
    </row>
    <row r="471" spans="1:10" ht="28" customHeight="1" x14ac:dyDescent="0.2">
      <c r="A471" s="45" t="s">
        <v>28</v>
      </c>
      <c r="B471" s="45"/>
      <c r="C471" s="45" t="s">
        <v>29</v>
      </c>
      <c r="D471" s="45"/>
      <c r="E471" s="45"/>
      <c r="F471" s="45"/>
      <c r="G471" s="45"/>
      <c r="H471" s="15" t="s">
        <v>30</v>
      </c>
      <c r="I471" s="15" t="s">
        <v>10</v>
      </c>
      <c r="J471" s="15" t="s">
        <v>34</v>
      </c>
    </row>
    <row r="472" spans="1:10" ht="28" customHeight="1" x14ac:dyDescent="0.2">
      <c r="A472" s="35">
        <f ca="1">INDIRECT(_xlfn.TEXTJOIN("",TRUE,A488,"!",ADDRESS(13+(A489-1)*A485,1)))</f>
        <v>0</v>
      </c>
      <c r="B472" s="36"/>
      <c r="C472" s="37">
        <f ca="1">INDIRECT(_xlfn.TEXTJOIN("",TRUE,A488,"!",ADDRESS(13+(A489-1)*A485,2)))</f>
        <v>0</v>
      </c>
      <c r="D472" s="38"/>
      <c r="E472" s="38"/>
      <c r="F472" s="38"/>
      <c r="G472" s="39"/>
      <c r="H472" s="20">
        <f ca="1">INDIRECT(_xlfn.TEXTJOIN("",TRUE,A488,"!",ADDRESS(13+(A489-1)*A485,6)))</f>
        <v>0</v>
      </c>
      <c r="I472" s="20">
        <f ca="1">INDIRECT(_xlfn.TEXTJOIN("",TRUE,A488,"!",ADDRESS(13+(A489-1)*A485,13)))</f>
        <v>0</v>
      </c>
      <c r="J472" s="20">
        <f ca="1">INDIRECT(_xlfn.TEXTJOIN("",TRUE,A488,"!",ADDRESS(13+(A489-1)*A485,14)))</f>
        <v>0</v>
      </c>
    </row>
    <row r="473" spans="1:10" ht="28" customHeight="1" x14ac:dyDescent="0.2">
      <c r="A473" s="35">
        <f ca="1">INDIRECT(_xlfn.TEXTJOIN("",TRUE,A488,"!",ADDRESS(14+(A489-1)*A485,1)))</f>
        <v>0</v>
      </c>
      <c r="B473" s="36"/>
      <c r="C473" s="37">
        <f ca="1">INDIRECT(_xlfn.TEXTJOIN("",TRUE,A488,"!",ADDRESS(14+(A489-1)*A485,2)))</f>
        <v>0</v>
      </c>
      <c r="D473" s="38"/>
      <c r="E473" s="38"/>
      <c r="F473" s="38"/>
      <c r="G473" s="39"/>
      <c r="H473" s="20">
        <f ca="1">INDIRECT(_xlfn.TEXTJOIN("",TRUE,A488,"!",ADDRESS(14+(A489-1)*A485,6)))</f>
        <v>0</v>
      </c>
      <c r="I473" s="20">
        <f ca="1">INDIRECT(_xlfn.TEXTJOIN("",TRUE,A488,"!",ADDRESS(14+(A489-1)*A485,13)))</f>
        <v>0</v>
      </c>
      <c r="J473" s="20">
        <f ca="1">INDIRECT(_xlfn.TEXTJOIN("",TRUE,A488,"!",ADDRESS(14+(A489-1)*A485,14)))</f>
        <v>0</v>
      </c>
    </row>
    <row r="474" spans="1:10" ht="28" customHeight="1" x14ac:dyDescent="0.2">
      <c r="A474" s="35">
        <f ca="1">INDIRECT(_xlfn.TEXTJOIN("",TRUE,A488,"!",ADDRESS(15+(A489-1)*A485,1)))</f>
        <v>0</v>
      </c>
      <c r="B474" s="36"/>
      <c r="C474" s="37">
        <f ca="1">INDIRECT(_xlfn.TEXTJOIN("",TRUE,A488,"!",ADDRESS(15+(A489-1)*A485,2)))</f>
        <v>0</v>
      </c>
      <c r="D474" s="38"/>
      <c r="E474" s="38"/>
      <c r="F474" s="38"/>
      <c r="G474" s="39"/>
      <c r="H474" s="20">
        <f ca="1">INDIRECT(_xlfn.TEXTJOIN("",TRUE,A488,"!",ADDRESS(15+(A489-1)*A485,6)))</f>
        <v>0</v>
      </c>
      <c r="I474" s="20">
        <f ca="1">INDIRECT(_xlfn.TEXTJOIN("",TRUE,A488,"!",ADDRESS(15+(A489-1)*A485,13)))</f>
        <v>0</v>
      </c>
      <c r="J474" s="20">
        <f ca="1">INDIRECT(_xlfn.TEXTJOIN("",TRUE,A488,"!",ADDRESS(15+(A489-1)*A485,14)))</f>
        <v>0</v>
      </c>
    </row>
    <row r="475" spans="1:10" ht="28" customHeight="1" x14ac:dyDescent="0.2">
      <c r="A475" s="35">
        <f ca="1">INDIRECT(_xlfn.TEXTJOIN("",TRUE,A488,"!",ADDRESS(16+(A489-1)*A485,1)))</f>
        <v>0</v>
      </c>
      <c r="B475" s="36"/>
      <c r="C475" s="37">
        <f ca="1">INDIRECT(_xlfn.TEXTJOIN("",TRUE,A488,"!",ADDRESS(16+(A489-1)*A485,2)))</f>
        <v>0</v>
      </c>
      <c r="D475" s="38"/>
      <c r="E475" s="38"/>
      <c r="F475" s="38"/>
      <c r="G475" s="39"/>
      <c r="H475" s="20">
        <f ca="1">INDIRECT(_xlfn.TEXTJOIN("",TRUE,A488,"!",ADDRESS(16+(A489-1)*A485,6)))</f>
        <v>0</v>
      </c>
      <c r="I475" s="20">
        <f ca="1">INDIRECT(_xlfn.TEXTJOIN("",TRUE,A488,"!",ADDRESS(16+(A489-1)*A485,13)))</f>
        <v>0</v>
      </c>
      <c r="J475" s="20">
        <f ca="1">INDIRECT(_xlfn.TEXTJOIN("",TRUE,A488,"!",ADDRESS(16+(A489-1)*A485,14)))</f>
        <v>0</v>
      </c>
    </row>
    <row r="476" spans="1:10" ht="28" customHeight="1" x14ac:dyDescent="0.2">
      <c r="A476" s="35">
        <f ca="1">INDIRECT(_xlfn.TEXTJOIN("",TRUE,A488,"!",ADDRESS(17+(A489-1)*A485,1)))</f>
        <v>0</v>
      </c>
      <c r="B476" s="36"/>
      <c r="C476" s="37">
        <f ca="1">INDIRECT(_xlfn.TEXTJOIN("",TRUE,A488,"!",ADDRESS(17+(A489-1)*A485,2)))</f>
        <v>0</v>
      </c>
      <c r="D476" s="38"/>
      <c r="E476" s="38"/>
      <c r="F476" s="38"/>
      <c r="G476" s="39"/>
      <c r="H476" s="20">
        <f ca="1">INDIRECT(_xlfn.TEXTJOIN("",TRUE,A488,"!",ADDRESS(17+(A489-1)*A485,6)))</f>
        <v>0</v>
      </c>
      <c r="I476" s="20">
        <f ca="1">INDIRECT(_xlfn.TEXTJOIN("",TRUE,A488,"!",ADDRESS(17+(A489-1)*A485,13)))</f>
        <v>0</v>
      </c>
      <c r="J476" s="20">
        <f ca="1">INDIRECT(_xlfn.TEXTJOIN("",TRUE,A488,"!",ADDRESS(17+(A489-1)*A485,14)))</f>
        <v>0</v>
      </c>
    </row>
    <row r="477" spans="1:10" ht="28" customHeight="1" x14ac:dyDescent="0.2">
      <c r="A477" s="35">
        <f ca="1">INDIRECT(_xlfn.TEXTJOIN("",TRUE,A488,"!",ADDRESS(18+(A489-1)*A485,1)))</f>
        <v>0</v>
      </c>
      <c r="B477" s="36"/>
      <c r="C477" s="37">
        <f ca="1">INDIRECT(_xlfn.TEXTJOIN("",TRUE,A488,"!",ADDRESS(18+(A489-1)*A485,2)))</f>
        <v>0</v>
      </c>
      <c r="D477" s="38"/>
      <c r="E477" s="38"/>
      <c r="F477" s="38"/>
      <c r="G477" s="39"/>
      <c r="H477" s="20">
        <f ca="1">INDIRECT(_xlfn.TEXTJOIN("",TRUE,A488,"!",ADDRESS(18+(A489-1)*A485,6)))</f>
        <v>0</v>
      </c>
      <c r="I477" s="20">
        <f ca="1">INDIRECT(_xlfn.TEXTJOIN("",TRUE,A488,"!",ADDRESS(18+(A489-1)*A485,13)))</f>
        <v>0</v>
      </c>
      <c r="J477" s="20">
        <f ca="1">INDIRECT(_xlfn.TEXTJOIN("",TRUE,A488,"!",ADDRESS(18+(A489-1)*A485,14)))</f>
        <v>0</v>
      </c>
    </row>
    <row r="478" spans="1:10" ht="28" customHeight="1" x14ac:dyDescent="0.2">
      <c r="A478" s="35">
        <f ca="1">INDIRECT(_xlfn.TEXTJOIN("",TRUE,A488,"!",ADDRESS(19+(A489-1)*A485,1)))</f>
        <v>0</v>
      </c>
      <c r="B478" s="36"/>
      <c r="C478" s="37">
        <f ca="1">INDIRECT(_xlfn.TEXTJOIN("",TRUE,A488,"!",ADDRESS(19+(A489-1)*A485,2)))</f>
        <v>0</v>
      </c>
      <c r="D478" s="38"/>
      <c r="E478" s="38"/>
      <c r="F478" s="38"/>
      <c r="G478" s="39"/>
      <c r="H478" s="20">
        <f ca="1">INDIRECT(_xlfn.TEXTJOIN("",TRUE,A488,"!",ADDRESS(19+(A489-1)*A485,6)))</f>
        <v>0</v>
      </c>
      <c r="I478" s="20">
        <f ca="1">INDIRECT(_xlfn.TEXTJOIN("",TRUE,A488,"!",ADDRESS(19+(A489-1)*A485,13)))</f>
        <v>0</v>
      </c>
      <c r="J478" s="20">
        <f ca="1">INDIRECT(_xlfn.TEXTJOIN("",TRUE,A488,"!",ADDRESS(19+(A489-1)*A485,14)))</f>
        <v>0</v>
      </c>
    </row>
    <row r="479" spans="1:10" ht="28" customHeight="1" x14ac:dyDescent="0.2">
      <c r="A479" s="35">
        <f ca="1">INDIRECT(_xlfn.TEXTJOIN("",TRUE,A488,"!",ADDRESS(20+(A489-1)*A485,1)))</f>
        <v>0</v>
      </c>
      <c r="B479" s="36"/>
      <c r="C479" s="37">
        <f ca="1">INDIRECT(_xlfn.TEXTJOIN("",TRUE,A488,"!",ADDRESS(20+(A489-1)*A485,2)))</f>
        <v>0</v>
      </c>
      <c r="D479" s="38"/>
      <c r="E479" s="38"/>
      <c r="F479" s="38"/>
      <c r="G479" s="39"/>
      <c r="H479" s="20">
        <f ca="1">INDIRECT(_xlfn.TEXTJOIN("",TRUE,A488,"!",ADDRESS(20+(A489-1)*A485,6)))</f>
        <v>0</v>
      </c>
      <c r="I479" s="20">
        <f ca="1">INDIRECT(_xlfn.TEXTJOIN("",TRUE,A488,"!",ADDRESS(20+(A489-1)*A485,13)))</f>
        <v>0</v>
      </c>
      <c r="J479" s="20">
        <f ca="1">INDIRECT(_xlfn.TEXTJOIN("",TRUE,A488,"!",ADDRESS(20+(A489-1)*A485,14)))</f>
        <v>0</v>
      </c>
    </row>
    <row r="480" spans="1:10" ht="28" customHeight="1" x14ac:dyDescent="0.2">
      <c r="A480" s="35">
        <f ca="1">INDIRECT(_xlfn.TEXTJOIN("",TRUE,A488,"!",ADDRESS(21+(A489-1)*A485,1)))</f>
        <v>0</v>
      </c>
      <c r="B480" s="36"/>
      <c r="C480" s="37">
        <f ca="1">INDIRECT(_xlfn.TEXTJOIN("",TRUE,A488,"!",ADDRESS(21+(A489-1)*A485,2)))</f>
        <v>0</v>
      </c>
      <c r="D480" s="38"/>
      <c r="E480" s="38"/>
      <c r="F480" s="38"/>
      <c r="G480" s="39"/>
      <c r="H480" s="20">
        <f ca="1">INDIRECT(_xlfn.TEXTJOIN("",TRUE,A488,"!",ADDRESS(21+(A489-1)*A485,6)))</f>
        <v>0</v>
      </c>
      <c r="I480" s="20">
        <f ca="1">INDIRECT(_xlfn.TEXTJOIN("",TRUE,A488,"!",ADDRESS(21+(A489-1)*A485,13)))</f>
        <v>0</v>
      </c>
      <c r="J480" s="20">
        <f ca="1">INDIRECT(_xlfn.TEXTJOIN("",TRUE,A488,"!",ADDRESS(21+(A489-1)*A485,14)))</f>
        <v>0</v>
      </c>
    </row>
    <row r="481" spans="1:10" ht="28" customHeight="1" x14ac:dyDescent="0.2">
      <c r="A481" s="35">
        <f ca="1">INDIRECT(_xlfn.TEXTJOIN("",TRUE,A488,"!",ADDRESS(22+(A489-1)*A485,1)))</f>
        <v>0</v>
      </c>
      <c r="B481" s="36"/>
      <c r="C481" s="37">
        <f ca="1">INDIRECT(_xlfn.TEXTJOIN("",TRUE,A488,"!",ADDRESS(22+(A489-1)*A485,2)))</f>
        <v>0</v>
      </c>
      <c r="D481" s="38"/>
      <c r="E481" s="38"/>
      <c r="F481" s="38"/>
      <c r="G481" s="39"/>
      <c r="H481" s="20">
        <f ca="1">INDIRECT(_xlfn.TEXTJOIN("",TRUE,A488,"!",ADDRESS(22+(A489-1)*A485,6)))</f>
        <v>0</v>
      </c>
      <c r="I481" s="20">
        <f ca="1">INDIRECT(_xlfn.TEXTJOIN("",TRUE,A488,"!",ADDRESS(22+(A489-1)*A485,13)))</f>
        <v>0</v>
      </c>
      <c r="J481" s="20">
        <f ca="1">INDIRECT(_xlfn.TEXTJOIN("",TRUE,A488,"!",ADDRESS(22+(A489-1)*A485,14)))</f>
        <v>0</v>
      </c>
    </row>
    <row r="482" spans="1:10" ht="28" customHeight="1" x14ac:dyDescent="0.2">
      <c r="A482" s="35">
        <f ca="1">INDIRECT(_xlfn.TEXTJOIN("",TRUE,A488,"!",ADDRESS(23+(A489-1)*A485,1)))</f>
        <v>0</v>
      </c>
      <c r="B482" s="36"/>
      <c r="C482" s="37">
        <f ca="1">INDIRECT(_xlfn.TEXTJOIN("",TRUE,A488,"!",ADDRESS(23+(A489-1)*A485,2)))</f>
        <v>0</v>
      </c>
      <c r="D482" s="38"/>
      <c r="E482" s="38"/>
      <c r="F482" s="38"/>
      <c r="G482" s="39"/>
      <c r="H482" s="20">
        <f ca="1">INDIRECT(_xlfn.TEXTJOIN("",TRUE,A488,"!",ADDRESS(23+(A489-1)*A485,6)))</f>
        <v>0</v>
      </c>
      <c r="I482" s="20">
        <f ca="1">INDIRECT(_xlfn.TEXTJOIN("",TRUE,A488,"!",ADDRESS(23+(A489-1)*A485,13)))</f>
        <v>0</v>
      </c>
      <c r="J482" s="20">
        <f ca="1">INDIRECT(_xlfn.TEXTJOIN("",TRUE,A488,"!",ADDRESS(23+(A489-1)*A485,14)))</f>
        <v>0</v>
      </c>
    </row>
    <row r="483" spans="1:10" ht="28" customHeight="1" x14ac:dyDescent="0.2">
      <c r="A483" s="35">
        <f ca="1">INDIRECT(_xlfn.TEXTJOIN("",TRUE,A488,"!",ADDRESS(24+(A489-1)*A485,1)))</f>
        <v>0</v>
      </c>
      <c r="B483" s="36"/>
      <c r="C483" s="37">
        <f ca="1">INDIRECT(_xlfn.TEXTJOIN("",TRUE,A488,"!",ADDRESS(24+(A489-1)*A485,2)))</f>
        <v>0</v>
      </c>
      <c r="D483" s="38"/>
      <c r="E483" s="38"/>
      <c r="F483" s="38"/>
      <c r="G483" s="39"/>
      <c r="H483" s="20">
        <f ca="1">INDIRECT(_xlfn.TEXTJOIN("",TRUE,A488,"!",ADDRESS(24+(A489-1)*A485,6)))</f>
        <v>0</v>
      </c>
      <c r="I483" s="40">
        <f ca="1">INDIRECT(_xlfn.TEXTJOIN("",TRUE,A488,"!",ADDRESS(24+(A489-1)*A485,13)))</f>
        <v>0</v>
      </c>
      <c r="J483" s="41"/>
    </row>
    <row r="484" spans="1:10" ht="28" customHeight="1" x14ac:dyDescent="0.2">
      <c r="A484" s="42" t="s">
        <v>52</v>
      </c>
      <c r="B484" s="42"/>
      <c r="C484" s="42"/>
      <c r="D484" s="42"/>
      <c r="E484" s="42"/>
      <c r="F484" s="42"/>
      <c r="G484" s="42"/>
      <c r="H484" s="16">
        <f ca="1">SUM(H472:H483)</f>
        <v>0</v>
      </c>
      <c r="I484" s="16" t="s">
        <v>44</v>
      </c>
      <c r="J484" s="16">
        <f ca="1">SUMPRODUCT(J472:J482,H472:H482)</f>
        <v>0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43" t="s">
        <v>40</v>
      </c>
      <c r="B486" s="43"/>
      <c r="C486" s="21">
        <f ca="1">INDIRECT(_xlfn.TEXTJOIN("",TRUE,A488,"!",ADDRESS(5+A489*A485,12)))</f>
        <v>0</v>
      </c>
      <c r="D486" s="43" t="s">
        <v>38</v>
      </c>
      <c r="E486" s="43"/>
      <c r="F486" s="18">
        <f ca="1">INDIRECT(_xlfn.TEXTJOIN("",TRUE,A488,"!",ADDRESS(5+A489*A485,8)))</f>
        <v>0</v>
      </c>
      <c r="G486" s="43" t="s">
        <v>39</v>
      </c>
      <c r="H486" s="43"/>
      <c r="I486" s="44">
        <f ca="1">INDIRECT(_xlfn.TEXTJOIN("",TRUE,A488,"!",ADDRESS(5+A489*A485,10)))</f>
        <v>0</v>
      </c>
      <c r="J486" s="44"/>
    </row>
    <row r="487" spans="1:10" ht="28" customHeight="1" x14ac:dyDescent="0.2">
      <c r="A487" s="19" t="s">
        <v>36</v>
      </c>
      <c r="B487" s="45">
        <f ca="1">INDIRECT(_xlfn.TEXTJOIN("",TRUE,A488,"!",ADDRESS(5+A489*A485,2)))</f>
        <v>0</v>
      </c>
      <c r="C487" s="45"/>
      <c r="D487" s="46" t="s">
        <v>37</v>
      </c>
      <c r="E487" s="46"/>
      <c r="F487" s="47">
        <f ca="1">INDIRECT(_xlfn.TEXTJOIN("",TRUE,A488,"!",ADDRESS(5+A489*A485,5)))</f>
        <v>0</v>
      </c>
      <c r="G487" s="47"/>
      <c r="H487" s="47"/>
      <c r="I487" s="47"/>
      <c r="J487" s="47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48" t="s">
        <v>24</v>
      </c>
      <c r="B490" s="48"/>
      <c r="C490" s="48">
        <f ca="1">INDIRECT(_xlfn.TEXTJOIN("",TRUE,A509,"!",ADDRESS(9+(A510-1)*A506,2)))</f>
        <v>0</v>
      </c>
      <c r="D490" s="48"/>
      <c r="E490" s="48"/>
      <c r="F490" s="48" t="s">
        <v>50</v>
      </c>
      <c r="G490" s="48"/>
      <c r="H490" s="48"/>
      <c r="I490" s="49">
        <f ca="1">INDIRECT(_xlfn.TEXTJOIN("",TRUE,A509,"!",ADDRESS(9+(A510-1)*A506,9)))</f>
        <v>0</v>
      </c>
      <c r="J490" s="49"/>
    </row>
    <row r="491" spans="1:10" ht="28" customHeight="1" x14ac:dyDescent="0.2">
      <c r="A491" s="48" t="s">
        <v>25</v>
      </c>
      <c r="B491" s="48"/>
      <c r="C491" s="48">
        <f ca="1">INDIRECT(_xlfn.TEXTJOIN("",TRUE,A509,"!",ADDRESS(9+(A510-1)*A506,5)))</f>
        <v>0</v>
      </c>
      <c r="D491" s="48"/>
      <c r="E491" s="48"/>
      <c r="F491" s="50" t="s">
        <v>51</v>
      </c>
      <c r="G491" s="50"/>
      <c r="H491" s="50"/>
      <c r="I491" s="49">
        <f ca="1">INDIRECT(_xlfn.TEXTJOIN("",TRUE,A509,"!",ADDRESS(9+(A510-1)*A506,13)))</f>
        <v>0</v>
      </c>
      <c r="J491" s="49"/>
    </row>
    <row r="492" spans="1:10" ht="28" customHeight="1" x14ac:dyDescent="0.2">
      <c r="A492" s="45" t="s">
        <v>28</v>
      </c>
      <c r="B492" s="45"/>
      <c r="C492" s="45" t="s">
        <v>29</v>
      </c>
      <c r="D492" s="45"/>
      <c r="E492" s="45"/>
      <c r="F492" s="45"/>
      <c r="G492" s="45"/>
      <c r="H492" s="15" t="s">
        <v>30</v>
      </c>
      <c r="I492" s="15" t="s">
        <v>10</v>
      </c>
      <c r="J492" s="15" t="s">
        <v>34</v>
      </c>
    </row>
    <row r="493" spans="1:10" ht="28" customHeight="1" x14ac:dyDescent="0.2">
      <c r="A493" s="35">
        <f ca="1">INDIRECT(_xlfn.TEXTJOIN("",TRUE,A509,"!",ADDRESS(13+(A510-1)*A506,1)))</f>
        <v>0</v>
      </c>
      <c r="B493" s="36"/>
      <c r="C493" s="37">
        <f ca="1">INDIRECT(_xlfn.TEXTJOIN("",TRUE,A509,"!",ADDRESS(13+(A510-1)*A506,2)))</f>
        <v>0</v>
      </c>
      <c r="D493" s="38"/>
      <c r="E493" s="38"/>
      <c r="F493" s="38"/>
      <c r="G493" s="39"/>
      <c r="H493" s="20">
        <f ca="1">INDIRECT(_xlfn.TEXTJOIN("",TRUE,A509,"!",ADDRESS(13+(A510-1)*A506,6)))</f>
        <v>0</v>
      </c>
      <c r="I493" s="20">
        <f ca="1">INDIRECT(_xlfn.TEXTJOIN("",TRUE,A509,"!",ADDRESS(13+(A510-1)*A506,13)))</f>
        <v>0</v>
      </c>
      <c r="J493" s="20">
        <f ca="1">INDIRECT(_xlfn.TEXTJOIN("",TRUE,A509,"!",ADDRESS(13+(A510-1)*A506,14)))</f>
        <v>0</v>
      </c>
    </row>
    <row r="494" spans="1:10" ht="28" customHeight="1" x14ac:dyDescent="0.2">
      <c r="A494" s="35">
        <f ca="1">INDIRECT(_xlfn.TEXTJOIN("",TRUE,A509,"!",ADDRESS(14+(A510-1)*A506,1)))</f>
        <v>0</v>
      </c>
      <c r="B494" s="36"/>
      <c r="C494" s="37">
        <f ca="1">INDIRECT(_xlfn.TEXTJOIN("",TRUE,A509,"!",ADDRESS(14+(A510-1)*A506,2)))</f>
        <v>0</v>
      </c>
      <c r="D494" s="38"/>
      <c r="E494" s="38"/>
      <c r="F494" s="38"/>
      <c r="G494" s="39"/>
      <c r="H494" s="20">
        <f ca="1">INDIRECT(_xlfn.TEXTJOIN("",TRUE,A509,"!",ADDRESS(14+(A510-1)*A506,6)))</f>
        <v>0</v>
      </c>
      <c r="I494" s="20">
        <f ca="1">INDIRECT(_xlfn.TEXTJOIN("",TRUE,A509,"!",ADDRESS(14+(A510-1)*A506,13)))</f>
        <v>0</v>
      </c>
      <c r="J494" s="20">
        <f ca="1">INDIRECT(_xlfn.TEXTJOIN("",TRUE,A509,"!",ADDRESS(14+(A510-1)*A506,14)))</f>
        <v>0</v>
      </c>
    </row>
    <row r="495" spans="1:10" ht="28" customHeight="1" x14ac:dyDescent="0.2">
      <c r="A495" s="35">
        <f ca="1">INDIRECT(_xlfn.TEXTJOIN("",TRUE,A509,"!",ADDRESS(15+(A510-1)*A506,1)))</f>
        <v>0</v>
      </c>
      <c r="B495" s="36"/>
      <c r="C495" s="37">
        <f ca="1">INDIRECT(_xlfn.TEXTJOIN("",TRUE,A509,"!",ADDRESS(15+(A510-1)*A506,2)))</f>
        <v>0</v>
      </c>
      <c r="D495" s="38"/>
      <c r="E495" s="38"/>
      <c r="F495" s="38"/>
      <c r="G495" s="39"/>
      <c r="H495" s="20">
        <f ca="1">INDIRECT(_xlfn.TEXTJOIN("",TRUE,A509,"!",ADDRESS(15+(A510-1)*A506,6)))</f>
        <v>0</v>
      </c>
      <c r="I495" s="20">
        <f ca="1">INDIRECT(_xlfn.TEXTJOIN("",TRUE,A509,"!",ADDRESS(15+(A510-1)*A506,13)))</f>
        <v>0</v>
      </c>
      <c r="J495" s="20">
        <f ca="1">INDIRECT(_xlfn.TEXTJOIN("",TRUE,A509,"!",ADDRESS(15+(A510-1)*A506,14)))</f>
        <v>0</v>
      </c>
    </row>
    <row r="496" spans="1:10" ht="28" customHeight="1" x14ac:dyDescent="0.2">
      <c r="A496" s="35">
        <f ca="1">INDIRECT(_xlfn.TEXTJOIN("",TRUE,A509,"!",ADDRESS(16+(A510-1)*A506,1)))</f>
        <v>0</v>
      </c>
      <c r="B496" s="36"/>
      <c r="C496" s="37">
        <f ca="1">INDIRECT(_xlfn.TEXTJOIN("",TRUE,A509,"!",ADDRESS(16+(A510-1)*A506,2)))</f>
        <v>0</v>
      </c>
      <c r="D496" s="38"/>
      <c r="E496" s="38"/>
      <c r="F496" s="38"/>
      <c r="G496" s="39"/>
      <c r="H496" s="20">
        <f ca="1">INDIRECT(_xlfn.TEXTJOIN("",TRUE,A509,"!",ADDRESS(16+(A510-1)*A506,6)))</f>
        <v>0</v>
      </c>
      <c r="I496" s="20">
        <f ca="1">INDIRECT(_xlfn.TEXTJOIN("",TRUE,A509,"!",ADDRESS(16+(A510-1)*A506,13)))</f>
        <v>0</v>
      </c>
      <c r="J496" s="20">
        <f ca="1">INDIRECT(_xlfn.TEXTJOIN("",TRUE,A509,"!",ADDRESS(16+(A510-1)*A506,14)))</f>
        <v>0</v>
      </c>
    </row>
    <row r="497" spans="1:10" ht="28" customHeight="1" x14ac:dyDescent="0.2">
      <c r="A497" s="35">
        <f ca="1">INDIRECT(_xlfn.TEXTJOIN("",TRUE,A509,"!",ADDRESS(17+(A510-1)*A506,1)))</f>
        <v>0</v>
      </c>
      <c r="B497" s="36"/>
      <c r="C497" s="37">
        <f ca="1">INDIRECT(_xlfn.TEXTJOIN("",TRUE,A509,"!",ADDRESS(17+(A510-1)*A506,2)))</f>
        <v>0</v>
      </c>
      <c r="D497" s="38"/>
      <c r="E497" s="38"/>
      <c r="F497" s="38"/>
      <c r="G497" s="39"/>
      <c r="H497" s="20">
        <f ca="1">INDIRECT(_xlfn.TEXTJOIN("",TRUE,A509,"!",ADDRESS(17+(A510-1)*A506,6)))</f>
        <v>0</v>
      </c>
      <c r="I497" s="20">
        <f ca="1">INDIRECT(_xlfn.TEXTJOIN("",TRUE,A509,"!",ADDRESS(17+(A510-1)*A506,13)))</f>
        <v>0</v>
      </c>
      <c r="J497" s="20">
        <f ca="1">INDIRECT(_xlfn.TEXTJOIN("",TRUE,A509,"!",ADDRESS(17+(A510-1)*A506,14)))</f>
        <v>0</v>
      </c>
    </row>
    <row r="498" spans="1:10" ht="28" customHeight="1" x14ac:dyDescent="0.2">
      <c r="A498" s="35">
        <f ca="1">INDIRECT(_xlfn.TEXTJOIN("",TRUE,A509,"!",ADDRESS(18+(A510-1)*A506,1)))</f>
        <v>0</v>
      </c>
      <c r="B498" s="36"/>
      <c r="C498" s="37">
        <f ca="1">INDIRECT(_xlfn.TEXTJOIN("",TRUE,A509,"!",ADDRESS(18+(A510-1)*A506,2)))</f>
        <v>0</v>
      </c>
      <c r="D498" s="38"/>
      <c r="E498" s="38"/>
      <c r="F498" s="38"/>
      <c r="G498" s="39"/>
      <c r="H498" s="20">
        <f ca="1">INDIRECT(_xlfn.TEXTJOIN("",TRUE,A509,"!",ADDRESS(18+(A510-1)*A506,6)))</f>
        <v>0</v>
      </c>
      <c r="I498" s="20">
        <f ca="1">INDIRECT(_xlfn.TEXTJOIN("",TRUE,A509,"!",ADDRESS(18+(A510-1)*A506,13)))</f>
        <v>0</v>
      </c>
      <c r="J498" s="20">
        <f ca="1">INDIRECT(_xlfn.TEXTJOIN("",TRUE,A509,"!",ADDRESS(18+(A510-1)*A506,14)))</f>
        <v>0</v>
      </c>
    </row>
    <row r="499" spans="1:10" ht="28" customHeight="1" x14ac:dyDescent="0.2">
      <c r="A499" s="35">
        <f ca="1">INDIRECT(_xlfn.TEXTJOIN("",TRUE,A509,"!",ADDRESS(19+(A510-1)*A506,1)))</f>
        <v>0</v>
      </c>
      <c r="B499" s="36"/>
      <c r="C499" s="37">
        <f ca="1">INDIRECT(_xlfn.TEXTJOIN("",TRUE,A509,"!",ADDRESS(19+(A510-1)*A506,2)))</f>
        <v>0</v>
      </c>
      <c r="D499" s="38"/>
      <c r="E499" s="38"/>
      <c r="F499" s="38"/>
      <c r="G499" s="39"/>
      <c r="H499" s="20">
        <f ca="1">INDIRECT(_xlfn.TEXTJOIN("",TRUE,A509,"!",ADDRESS(19+(A510-1)*A506,6)))</f>
        <v>0</v>
      </c>
      <c r="I499" s="20">
        <f ca="1">INDIRECT(_xlfn.TEXTJOIN("",TRUE,A509,"!",ADDRESS(19+(A510-1)*A506,13)))</f>
        <v>0</v>
      </c>
      <c r="J499" s="20">
        <f ca="1">INDIRECT(_xlfn.TEXTJOIN("",TRUE,A509,"!",ADDRESS(19+(A510-1)*A506,14)))</f>
        <v>0</v>
      </c>
    </row>
    <row r="500" spans="1:10" ht="28" customHeight="1" x14ac:dyDescent="0.2">
      <c r="A500" s="35">
        <f ca="1">INDIRECT(_xlfn.TEXTJOIN("",TRUE,A509,"!",ADDRESS(20+(A510-1)*A506,1)))</f>
        <v>0</v>
      </c>
      <c r="B500" s="36"/>
      <c r="C500" s="37">
        <f ca="1">INDIRECT(_xlfn.TEXTJOIN("",TRUE,A509,"!",ADDRESS(20+(A510-1)*A506,2)))</f>
        <v>0</v>
      </c>
      <c r="D500" s="38"/>
      <c r="E500" s="38"/>
      <c r="F500" s="38"/>
      <c r="G500" s="39"/>
      <c r="H500" s="20">
        <f ca="1">INDIRECT(_xlfn.TEXTJOIN("",TRUE,A509,"!",ADDRESS(20+(A510-1)*A506,6)))</f>
        <v>0</v>
      </c>
      <c r="I500" s="20">
        <f ca="1">INDIRECT(_xlfn.TEXTJOIN("",TRUE,A509,"!",ADDRESS(20+(A510-1)*A506,13)))</f>
        <v>0</v>
      </c>
      <c r="J500" s="20">
        <f ca="1">INDIRECT(_xlfn.TEXTJOIN("",TRUE,A509,"!",ADDRESS(20+(A510-1)*A506,14)))</f>
        <v>0</v>
      </c>
    </row>
    <row r="501" spans="1:10" ht="28" customHeight="1" x14ac:dyDescent="0.2">
      <c r="A501" s="35">
        <f ca="1">INDIRECT(_xlfn.TEXTJOIN("",TRUE,A509,"!",ADDRESS(21+(A510-1)*A506,1)))</f>
        <v>0</v>
      </c>
      <c r="B501" s="36"/>
      <c r="C501" s="37">
        <f ca="1">INDIRECT(_xlfn.TEXTJOIN("",TRUE,A509,"!",ADDRESS(21+(A510-1)*A506,2)))</f>
        <v>0</v>
      </c>
      <c r="D501" s="38"/>
      <c r="E501" s="38"/>
      <c r="F501" s="38"/>
      <c r="G501" s="39"/>
      <c r="H501" s="20">
        <f ca="1">INDIRECT(_xlfn.TEXTJOIN("",TRUE,A509,"!",ADDRESS(21+(A510-1)*A506,6)))</f>
        <v>0</v>
      </c>
      <c r="I501" s="20">
        <f ca="1">INDIRECT(_xlfn.TEXTJOIN("",TRUE,A509,"!",ADDRESS(21+(A510-1)*A506,13)))</f>
        <v>0</v>
      </c>
      <c r="J501" s="20">
        <f ca="1">INDIRECT(_xlfn.TEXTJOIN("",TRUE,A509,"!",ADDRESS(21+(A510-1)*A506,14)))</f>
        <v>0</v>
      </c>
    </row>
    <row r="502" spans="1:10" ht="28" customHeight="1" x14ac:dyDescent="0.2">
      <c r="A502" s="35">
        <f ca="1">INDIRECT(_xlfn.TEXTJOIN("",TRUE,A509,"!",ADDRESS(22+(A510-1)*A506,1)))</f>
        <v>0</v>
      </c>
      <c r="B502" s="36"/>
      <c r="C502" s="37">
        <f ca="1">INDIRECT(_xlfn.TEXTJOIN("",TRUE,A509,"!",ADDRESS(22+(A510-1)*A506,2)))</f>
        <v>0</v>
      </c>
      <c r="D502" s="38"/>
      <c r="E502" s="38"/>
      <c r="F502" s="38"/>
      <c r="G502" s="39"/>
      <c r="H502" s="20">
        <f ca="1">INDIRECT(_xlfn.TEXTJOIN("",TRUE,A509,"!",ADDRESS(22+(A510-1)*A506,6)))</f>
        <v>0</v>
      </c>
      <c r="I502" s="20">
        <f ca="1">INDIRECT(_xlfn.TEXTJOIN("",TRUE,A509,"!",ADDRESS(22+(A510-1)*A506,13)))</f>
        <v>0</v>
      </c>
      <c r="J502" s="20">
        <f ca="1">INDIRECT(_xlfn.TEXTJOIN("",TRUE,A509,"!",ADDRESS(22+(A510-1)*A506,14)))</f>
        <v>0</v>
      </c>
    </row>
    <row r="503" spans="1:10" ht="28" customHeight="1" x14ac:dyDescent="0.2">
      <c r="A503" s="35">
        <f ca="1">INDIRECT(_xlfn.TEXTJOIN("",TRUE,A509,"!",ADDRESS(23+(A510-1)*A506,1)))</f>
        <v>0</v>
      </c>
      <c r="B503" s="36"/>
      <c r="C503" s="37">
        <f ca="1">INDIRECT(_xlfn.TEXTJOIN("",TRUE,A509,"!",ADDRESS(23+(A510-1)*A506,2)))</f>
        <v>0</v>
      </c>
      <c r="D503" s="38"/>
      <c r="E503" s="38"/>
      <c r="F503" s="38"/>
      <c r="G503" s="39"/>
      <c r="H503" s="20">
        <f ca="1">INDIRECT(_xlfn.TEXTJOIN("",TRUE,A509,"!",ADDRESS(23+(A510-1)*A506,6)))</f>
        <v>0</v>
      </c>
      <c r="I503" s="20">
        <f ca="1">INDIRECT(_xlfn.TEXTJOIN("",TRUE,A509,"!",ADDRESS(23+(A510-1)*A506,13)))</f>
        <v>0</v>
      </c>
      <c r="J503" s="20">
        <f ca="1">INDIRECT(_xlfn.TEXTJOIN("",TRUE,A509,"!",ADDRESS(23+(A510-1)*A506,14)))</f>
        <v>0</v>
      </c>
    </row>
    <row r="504" spans="1:10" ht="28" customHeight="1" x14ac:dyDescent="0.2">
      <c r="A504" s="35">
        <f ca="1">INDIRECT(_xlfn.TEXTJOIN("",TRUE,A509,"!",ADDRESS(24+(A510-1)*A506,1)))</f>
        <v>0</v>
      </c>
      <c r="B504" s="36"/>
      <c r="C504" s="37">
        <f ca="1">INDIRECT(_xlfn.TEXTJOIN("",TRUE,A509,"!",ADDRESS(24+(A510-1)*A506,2)))</f>
        <v>0</v>
      </c>
      <c r="D504" s="38"/>
      <c r="E504" s="38"/>
      <c r="F504" s="38"/>
      <c r="G504" s="39"/>
      <c r="H504" s="20">
        <f ca="1">INDIRECT(_xlfn.TEXTJOIN("",TRUE,A509,"!",ADDRESS(24+(A510-1)*A506,6)))</f>
        <v>0</v>
      </c>
      <c r="I504" s="40">
        <f ca="1">INDIRECT(_xlfn.TEXTJOIN("",TRUE,A509,"!",ADDRESS(24+(A510-1)*A506,13)))</f>
        <v>0</v>
      </c>
      <c r="J504" s="41"/>
    </row>
    <row r="505" spans="1:10" ht="28" customHeight="1" x14ac:dyDescent="0.2">
      <c r="A505" s="42" t="s">
        <v>52</v>
      </c>
      <c r="B505" s="42"/>
      <c r="C505" s="42"/>
      <c r="D505" s="42"/>
      <c r="E505" s="42"/>
      <c r="F505" s="42"/>
      <c r="G505" s="42"/>
      <c r="H505" s="16">
        <f ca="1">SUM(H493:H504)</f>
        <v>0</v>
      </c>
      <c r="I505" s="16" t="s">
        <v>44</v>
      </c>
      <c r="J505" s="16">
        <f ca="1">SUMPRODUCT(J493:J503,H493:H503)</f>
        <v>0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43" t="s">
        <v>40</v>
      </c>
      <c r="B507" s="43"/>
      <c r="C507" s="21">
        <f ca="1">INDIRECT(_xlfn.TEXTJOIN("",TRUE,A509,"!",ADDRESS(5+A510*A506,12)))</f>
        <v>0</v>
      </c>
      <c r="D507" s="43" t="s">
        <v>38</v>
      </c>
      <c r="E507" s="43"/>
      <c r="F507" s="18">
        <f ca="1">INDIRECT(_xlfn.TEXTJOIN("",TRUE,A509,"!",ADDRESS(5+A510*A506,8)))</f>
        <v>0</v>
      </c>
      <c r="G507" s="43" t="s">
        <v>39</v>
      </c>
      <c r="H507" s="43"/>
      <c r="I507" s="44">
        <f ca="1">INDIRECT(_xlfn.TEXTJOIN("",TRUE,A509,"!",ADDRESS(5+A510*A506,10)))</f>
        <v>0</v>
      </c>
      <c r="J507" s="44"/>
    </row>
    <row r="508" spans="1:10" ht="28" customHeight="1" x14ac:dyDescent="0.2">
      <c r="A508" s="19" t="s">
        <v>36</v>
      </c>
      <c r="B508" s="45">
        <f ca="1">INDIRECT(_xlfn.TEXTJOIN("",TRUE,A509,"!",ADDRESS(5+A510*A506,2)))</f>
        <v>0</v>
      </c>
      <c r="C508" s="45"/>
      <c r="D508" s="46" t="s">
        <v>37</v>
      </c>
      <c r="E508" s="46"/>
      <c r="F508" s="47">
        <f ca="1">INDIRECT(_xlfn.TEXTJOIN("",TRUE,A509,"!",ADDRESS(5+A510*A506,5)))</f>
        <v>0</v>
      </c>
      <c r="G508" s="47"/>
      <c r="H508" s="47"/>
      <c r="I508" s="47"/>
      <c r="J508" s="47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48" t="s">
        <v>24</v>
      </c>
      <c r="B511" s="48"/>
      <c r="C511" s="48">
        <f ca="1">INDIRECT(_xlfn.TEXTJOIN("",TRUE,A530,"!",ADDRESS(9+(A531-1)*A527,2)))</f>
        <v>0</v>
      </c>
      <c r="D511" s="48"/>
      <c r="E511" s="48"/>
      <c r="F511" s="48" t="s">
        <v>50</v>
      </c>
      <c r="G511" s="48"/>
      <c r="H511" s="48"/>
      <c r="I511" s="49">
        <f ca="1">INDIRECT(_xlfn.TEXTJOIN("",TRUE,A530,"!",ADDRESS(9+(A531-1)*A527,9)))</f>
        <v>0</v>
      </c>
      <c r="J511" s="49"/>
    </row>
    <row r="512" spans="1:10" ht="28" customHeight="1" x14ac:dyDescent="0.2">
      <c r="A512" s="48" t="s">
        <v>25</v>
      </c>
      <c r="B512" s="48"/>
      <c r="C512" s="48">
        <f ca="1">INDIRECT(_xlfn.TEXTJOIN("",TRUE,A530,"!",ADDRESS(9+(A531-1)*A527,5)))</f>
        <v>0</v>
      </c>
      <c r="D512" s="48"/>
      <c r="E512" s="48"/>
      <c r="F512" s="50" t="s">
        <v>51</v>
      </c>
      <c r="G512" s="50"/>
      <c r="H512" s="50"/>
      <c r="I512" s="49">
        <f ca="1">INDIRECT(_xlfn.TEXTJOIN("",TRUE,A530,"!",ADDRESS(9+(A531-1)*A527,13)))</f>
        <v>0</v>
      </c>
      <c r="J512" s="49"/>
    </row>
    <row r="513" spans="1:10" ht="28" customHeight="1" x14ac:dyDescent="0.2">
      <c r="A513" s="45" t="s">
        <v>28</v>
      </c>
      <c r="B513" s="45"/>
      <c r="C513" s="45" t="s">
        <v>29</v>
      </c>
      <c r="D513" s="45"/>
      <c r="E513" s="45"/>
      <c r="F513" s="45"/>
      <c r="G513" s="45"/>
      <c r="H513" s="15" t="s">
        <v>30</v>
      </c>
      <c r="I513" s="15" t="s">
        <v>10</v>
      </c>
      <c r="J513" s="15" t="s">
        <v>34</v>
      </c>
    </row>
    <row r="514" spans="1:10" ht="28" customHeight="1" x14ac:dyDescent="0.2">
      <c r="A514" s="35">
        <f ca="1">INDIRECT(_xlfn.TEXTJOIN("",TRUE,A530,"!",ADDRESS(13+(A531-1)*A527,1)))</f>
        <v>0</v>
      </c>
      <c r="B514" s="36"/>
      <c r="C514" s="37">
        <f ca="1">INDIRECT(_xlfn.TEXTJOIN("",TRUE,A530,"!",ADDRESS(13+(A531-1)*A527,2)))</f>
        <v>0</v>
      </c>
      <c r="D514" s="38"/>
      <c r="E514" s="38"/>
      <c r="F514" s="38"/>
      <c r="G514" s="39"/>
      <c r="H514" s="20">
        <f ca="1">INDIRECT(_xlfn.TEXTJOIN("",TRUE,A530,"!",ADDRESS(13+(A531-1)*A527,6)))</f>
        <v>0</v>
      </c>
      <c r="I514" s="20">
        <f ca="1">INDIRECT(_xlfn.TEXTJOIN("",TRUE,A530,"!",ADDRESS(13+(A531-1)*A527,13)))</f>
        <v>0</v>
      </c>
      <c r="J514" s="20">
        <f ca="1">INDIRECT(_xlfn.TEXTJOIN("",TRUE,A530,"!",ADDRESS(13+(A531-1)*A527,14)))</f>
        <v>0</v>
      </c>
    </row>
    <row r="515" spans="1:10" ht="28" customHeight="1" x14ac:dyDescent="0.2">
      <c r="A515" s="35">
        <f ca="1">INDIRECT(_xlfn.TEXTJOIN("",TRUE,A530,"!",ADDRESS(14+(A531-1)*A527,1)))</f>
        <v>0</v>
      </c>
      <c r="B515" s="36"/>
      <c r="C515" s="37">
        <f ca="1">INDIRECT(_xlfn.TEXTJOIN("",TRUE,A530,"!",ADDRESS(14+(A531-1)*A527,2)))</f>
        <v>0</v>
      </c>
      <c r="D515" s="38"/>
      <c r="E515" s="38"/>
      <c r="F515" s="38"/>
      <c r="G515" s="39"/>
      <c r="H515" s="20">
        <f ca="1">INDIRECT(_xlfn.TEXTJOIN("",TRUE,A530,"!",ADDRESS(14+(A531-1)*A527,6)))</f>
        <v>0</v>
      </c>
      <c r="I515" s="20">
        <f ca="1">INDIRECT(_xlfn.TEXTJOIN("",TRUE,A530,"!",ADDRESS(14+(A531-1)*A527,13)))</f>
        <v>0</v>
      </c>
      <c r="J515" s="20">
        <f ca="1">INDIRECT(_xlfn.TEXTJOIN("",TRUE,A530,"!",ADDRESS(14+(A531-1)*A527,14)))</f>
        <v>0</v>
      </c>
    </row>
    <row r="516" spans="1:10" ht="28" customHeight="1" x14ac:dyDescent="0.2">
      <c r="A516" s="35">
        <f ca="1">INDIRECT(_xlfn.TEXTJOIN("",TRUE,A530,"!",ADDRESS(15+(A531-1)*A527,1)))</f>
        <v>0</v>
      </c>
      <c r="B516" s="36"/>
      <c r="C516" s="37">
        <f ca="1">INDIRECT(_xlfn.TEXTJOIN("",TRUE,A530,"!",ADDRESS(15+(A531-1)*A527,2)))</f>
        <v>0</v>
      </c>
      <c r="D516" s="38"/>
      <c r="E516" s="38"/>
      <c r="F516" s="38"/>
      <c r="G516" s="39"/>
      <c r="H516" s="20">
        <f ca="1">INDIRECT(_xlfn.TEXTJOIN("",TRUE,A530,"!",ADDRESS(15+(A531-1)*A527,6)))</f>
        <v>0</v>
      </c>
      <c r="I516" s="20">
        <f ca="1">INDIRECT(_xlfn.TEXTJOIN("",TRUE,A530,"!",ADDRESS(15+(A531-1)*A527,13)))</f>
        <v>0</v>
      </c>
      <c r="J516" s="20">
        <f ca="1">INDIRECT(_xlfn.TEXTJOIN("",TRUE,A530,"!",ADDRESS(15+(A531-1)*A527,14)))</f>
        <v>0</v>
      </c>
    </row>
    <row r="517" spans="1:10" ht="28" customHeight="1" x14ac:dyDescent="0.2">
      <c r="A517" s="35">
        <f ca="1">INDIRECT(_xlfn.TEXTJOIN("",TRUE,A530,"!",ADDRESS(16+(A531-1)*A527,1)))</f>
        <v>0</v>
      </c>
      <c r="B517" s="36"/>
      <c r="C517" s="37">
        <f ca="1">INDIRECT(_xlfn.TEXTJOIN("",TRUE,A530,"!",ADDRESS(16+(A531-1)*A527,2)))</f>
        <v>0</v>
      </c>
      <c r="D517" s="38"/>
      <c r="E517" s="38"/>
      <c r="F517" s="38"/>
      <c r="G517" s="39"/>
      <c r="H517" s="20">
        <f ca="1">INDIRECT(_xlfn.TEXTJOIN("",TRUE,A530,"!",ADDRESS(16+(A531-1)*A527,6)))</f>
        <v>0</v>
      </c>
      <c r="I517" s="20">
        <f ca="1">INDIRECT(_xlfn.TEXTJOIN("",TRUE,A530,"!",ADDRESS(16+(A531-1)*A527,13)))</f>
        <v>0</v>
      </c>
      <c r="J517" s="20">
        <f ca="1">INDIRECT(_xlfn.TEXTJOIN("",TRUE,A530,"!",ADDRESS(16+(A531-1)*A527,14)))</f>
        <v>0</v>
      </c>
    </row>
    <row r="518" spans="1:10" ht="28" customHeight="1" x14ac:dyDescent="0.2">
      <c r="A518" s="35">
        <f ca="1">INDIRECT(_xlfn.TEXTJOIN("",TRUE,A530,"!",ADDRESS(17+(A531-1)*A527,1)))</f>
        <v>0</v>
      </c>
      <c r="B518" s="36"/>
      <c r="C518" s="37">
        <f ca="1">INDIRECT(_xlfn.TEXTJOIN("",TRUE,A530,"!",ADDRESS(17+(A531-1)*A527,2)))</f>
        <v>0</v>
      </c>
      <c r="D518" s="38"/>
      <c r="E518" s="38"/>
      <c r="F518" s="38"/>
      <c r="G518" s="39"/>
      <c r="H518" s="20">
        <f ca="1">INDIRECT(_xlfn.TEXTJOIN("",TRUE,A530,"!",ADDRESS(17+(A531-1)*A527,6)))</f>
        <v>0</v>
      </c>
      <c r="I518" s="20">
        <f ca="1">INDIRECT(_xlfn.TEXTJOIN("",TRUE,A530,"!",ADDRESS(17+(A531-1)*A527,13)))</f>
        <v>0</v>
      </c>
      <c r="J518" s="20">
        <f ca="1">INDIRECT(_xlfn.TEXTJOIN("",TRUE,A530,"!",ADDRESS(17+(A531-1)*A527,14)))</f>
        <v>0</v>
      </c>
    </row>
    <row r="519" spans="1:10" ht="28" customHeight="1" x14ac:dyDescent="0.2">
      <c r="A519" s="35">
        <f ca="1">INDIRECT(_xlfn.TEXTJOIN("",TRUE,A530,"!",ADDRESS(18+(A531-1)*A527,1)))</f>
        <v>0</v>
      </c>
      <c r="B519" s="36"/>
      <c r="C519" s="37">
        <f ca="1">INDIRECT(_xlfn.TEXTJOIN("",TRUE,A530,"!",ADDRESS(18+(A531-1)*A527,2)))</f>
        <v>0</v>
      </c>
      <c r="D519" s="38"/>
      <c r="E519" s="38"/>
      <c r="F519" s="38"/>
      <c r="G519" s="39"/>
      <c r="H519" s="20">
        <f ca="1">INDIRECT(_xlfn.TEXTJOIN("",TRUE,A530,"!",ADDRESS(18+(A531-1)*A527,6)))</f>
        <v>0</v>
      </c>
      <c r="I519" s="20">
        <f ca="1">INDIRECT(_xlfn.TEXTJOIN("",TRUE,A530,"!",ADDRESS(18+(A531-1)*A527,13)))</f>
        <v>0</v>
      </c>
      <c r="J519" s="20">
        <f ca="1">INDIRECT(_xlfn.TEXTJOIN("",TRUE,A530,"!",ADDRESS(18+(A531-1)*A527,14)))</f>
        <v>0</v>
      </c>
    </row>
    <row r="520" spans="1:10" ht="28" customHeight="1" x14ac:dyDescent="0.2">
      <c r="A520" s="35">
        <f ca="1">INDIRECT(_xlfn.TEXTJOIN("",TRUE,A530,"!",ADDRESS(19+(A531-1)*A527,1)))</f>
        <v>0</v>
      </c>
      <c r="B520" s="36"/>
      <c r="C520" s="37">
        <f ca="1">INDIRECT(_xlfn.TEXTJOIN("",TRUE,A530,"!",ADDRESS(19+(A531-1)*A527,2)))</f>
        <v>0</v>
      </c>
      <c r="D520" s="38"/>
      <c r="E520" s="38"/>
      <c r="F520" s="38"/>
      <c r="G520" s="39"/>
      <c r="H520" s="20">
        <f ca="1">INDIRECT(_xlfn.TEXTJOIN("",TRUE,A530,"!",ADDRESS(19+(A531-1)*A527,6)))</f>
        <v>0</v>
      </c>
      <c r="I520" s="20">
        <f ca="1">INDIRECT(_xlfn.TEXTJOIN("",TRUE,A530,"!",ADDRESS(19+(A531-1)*A527,13)))</f>
        <v>0</v>
      </c>
      <c r="J520" s="20">
        <f ca="1">INDIRECT(_xlfn.TEXTJOIN("",TRUE,A530,"!",ADDRESS(19+(A531-1)*A527,14)))</f>
        <v>0</v>
      </c>
    </row>
    <row r="521" spans="1:10" ht="28" customHeight="1" x14ac:dyDescent="0.2">
      <c r="A521" s="35">
        <f ca="1">INDIRECT(_xlfn.TEXTJOIN("",TRUE,A530,"!",ADDRESS(20+(A531-1)*A527,1)))</f>
        <v>0</v>
      </c>
      <c r="B521" s="36"/>
      <c r="C521" s="37">
        <f ca="1">INDIRECT(_xlfn.TEXTJOIN("",TRUE,A530,"!",ADDRESS(20+(A531-1)*A527,2)))</f>
        <v>0</v>
      </c>
      <c r="D521" s="38"/>
      <c r="E521" s="38"/>
      <c r="F521" s="38"/>
      <c r="G521" s="39"/>
      <c r="H521" s="20">
        <f ca="1">INDIRECT(_xlfn.TEXTJOIN("",TRUE,A530,"!",ADDRESS(20+(A531-1)*A527,6)))</f>
        <v>0</v>
      </c>
      <c r="I521" s="20">
        <f ca="1">INDIRECT(_xlfn.TEXTJOIN("",TRUE,A530,"!",ADDRESS(20+(A531-1)*A527,13)))</f>
        <v>0</v>
      </c>
      <c r="J521" s="20">
        <f ca="1">INDIRECT(_xlfn.TEXTJOIN("",TRUE,A530,"!",ADDRESS(20+(A531-1)*A527,14)))</f>
        <v>0</v>
      </c>
    </row>
    <row r="522" spans="1:10" ht="28" customHeight="1" x14ac:dyDescent="0.2">
      <c r="A522" s="35">
        <f ca="1">INDIRECT(_xlfn.TEXTJOIN("",TRUE,A530,"!",ADDRESS(21+(A531-1)*A527,1)))</f>
        <v>0</v>
      </c>
      <c r="B522" s="36"/>
      <c r="C522" s="37">
        <f ca="1">INDIRECT(_xlfn.TEXTJOIN("",TRUE,A530,"!",ADDRESS(21+(A531-1)*A527,2)))</f>
        <v>0</v>
      </c>
      <c r="D522" s="38"/>
      <c r="E522" s="38"/>
      <c r="F522" s="38"/>
      <c r="G522" s="39"/>
      <c r="H522" s="20">
        <f ca="1">INDIRECT(_xlfn.TEXTJOIN("",TRUE,A530,"!",ADDRESS(21+(A531-1)*A527,6)))</f>
        <v>0</v>
      </c>
      <c r="I522" s="20">
        <f ca="1">INDIRECT(_xlfn.TEXTJOIN("",TRUE,A530,"!",ADDRESS(21+(A531-1)*A527,13)))</f>
        <v>0</v>
      </c>
      <c r="J522" s="20">
        <f ca="1">INDIRECT(_xlfn.TEXTJOIN("",TRUE,A530,"!",ADDRESS(21+(A531-1)*A527,14)))</f>
        <v>0</v>
      </c>
    </row>
    <row r="523" spans="1:10" ht="28" customHeight="1" x14ac:dyDescent="0.2">
      <c r="A523" s="35">
        <f ca="1">INDIRECT(_xlfn.TEXTJOIN("",TRUE,A530,"!",ADDRESS(22+(A531-1)*A527,1)))</f>
        <v>0</v>
      </c>
      <c r="B523" s="36"/>
      <c r="C523" s="37">
        <f ca="1">INDIRECT(_xlfn.TEXTJOIN("",TRUE,A530,"!",ADDRESS(22+(A531-1)*A527,2)))</f>
        <v>0</v>
      </c>
      <c r="D523" s="38"/>
      <c r="E523" s="38"/>
      <c r="F523" s="38"/>
      <c r="G523" s="39"/>
      <c r="H523" s="20">
        <f ca="1">INDIRECT(_xlfn.TEXTJOIN("",TRUE,A530,"!",ADDRESS(22+(A531-1)*A527,6)))</f>
        <v>0</v>
      </c>
      <c r="I523" s="20">
        <f ca="1">INDIRECT(_xlfn.TEXTJOIN("",TRUE,A530,"!",ADDRESS(22+(A531-1)*A527,13)))</f>
        <v>0</v>
      </c>
      <c r="J523" s="20">
        <f ca="1">INDIRECT(_xlfn.TEXTJOIN("",TRUE,A530,"!",ADDRESS(22+(A531-1)*A527,14)))</f>
        <v>0</v>
      </c>
    </row>
    <row r="524" spans="1:10" ht="28" customHeight="1" x14ac:dyDescent="0.2">
      <c r="A524" s="35">
        <f ca="1">INDIRECT(_xlfn.TEXTJOIN("",TRUE,A530,"!",ADDRESS(23+(A531-1)*A527,1)))</f>
        <v>0</v>
      </c>
      <c r="B524" s="36"/>
      <c r="C524" s="37">
        <f ca="1">INDIRECT(_xlfn.TEXTJOIN("",TRUE,A530,"!",ADDRESS(23+(A531-1)*A527,2)))</f>
        <v>0</v>
      </c>
      <c r="D524" s="38"/>
      <c r="E524" s="38"/>
      <c r="F524" s="38"/>
      <c r="G524" s="39"/>
      <c r="H524" s="20">
        <f ca="1">INDIRECT(_xlfn.TEXTJOIN("",TRUE,A530,"!",ADDRESS(23+(A531-1)*A527,6)))</f>
        <v>0</v>
      </c>
      <c r="I524" s="20">
        <f ca="1">INDIRECT(_xlfn.TEXTJOIN("",TRUE,A530,"!",ADDRESS(23+(A531-1)*A527,13)))</f>
        <v>0</v>
      </c>
      <c r="J524" s="20">
        <f ca="1">INDIRECT(_xlfn.TEXTJOIN("",TRUE,A530,"!",ADDRESS(23+(A531-1)*A527,14)))</f>
        <v>0</v>
      </c>
    </row>
    <row r="525" spans="1:10" ht="28" customHeight="1" x14ac:dyDescent="0.2">
      <c r="A525" s="35">
        <f ca="1">INDIRECT(_xlfn.TEXTJOIN("",TRUE,A530,"!",ADDRESS(24+(A531-1)*A527,1)))</f>
        <v>0</v>
      </c>
      <c r="B525" s="36"/>
      <c r="C525" s="37">
        <f ca="1">INDIRECT(_xlfn.TEXTJOIN("",TRUE,A530,"!",ADDRESS(24+(A531-1)*A527,2)))</f>
        <v>0</v>
      </c>
      <c r="D525" s="38"/>
      <c r="E525" s="38"/>
      <c r="F525" s="38"/>
      <c r="G525" s="39"/>
      <c r="H525" s="20">
        <f ca="1">INDIRECT(_xlfn.TEXTJOIN("",TRUE,A530,"!",ADDRESS(24+(A531-1)*A527,6)))</f>
        <v>0</v>
      </c>
      <c r="I525" s="40">
        <f ca="1">INDIRECT(_xlfn.TEXTJOIN("",TRUE,A530,"!",ADDRESS(24+(A531-1)*A527,13)))</f>
        <v>0</v>
      </c>
      <c r="J525" s="41"/>
    </row>
    <row r="526" spans="1:10" ht="28" customHeight="1" x14ac:dyDescent="0.2">
      <c r="A526" s="42" t="s">
        <v>52</v>
      </c>
      <c r="B526" s="42"/>
      <c r="C526" s="42"/>
      <c r="D526" s="42"/>
      <c r="E526" s="42"/>
      <c r="F526" s="42"/>
      <c r="G526" s="42"/>
      <c r="H526" s="16">
        <f ca="1">SUM(H514:H525)</f>
        <v>0</v>
      </c>
      <c r="I526" s="16" t="s">
        <v>44</v>
      </c>
      <c r="J526" s="16">
        <f ca="1">SUMPRODUCT(J514:J524,H514:H524)</f>
        <v>0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43" t="s">
        <v>40</v>
      </c>
      <c r="B528" s="43"/>
      <c r="C528" s="21">
        <f ca="1">INDIRECT(_xlfn.TEXTJOIN("",TRUE,A530,"!",ADDRESS(5+A531*A527,12)))</f>
        <v>0</v>
      </c>
      <c r="D528" s="43" t="s">
        <v>38</v>
      </c>
      <c r="E528" s="43"/>
      <c r="F528" s="18">
        <f ca="1">INDIRECT(_xlfn.TEXTJOIN("",TRUE,A530,"!",ADDRESS(5+A531*A527,8)))</f>
        <v>0</v>
      </c>
      <c r="G528" s="43" t="s">
        <v>39</v>
      </c>
      <c r="H528" s="43"/>
      <c r="I528" s="44">
        <f ca="1">INDIRECT(_xlfn.TEXTJOIN("",TRUE,A530,"!",ADDRESS(5+A531*A527,10)))</f>
        <v>0</v>
      </c>
      <c r="J528" s="44"/>
    </row>
    <row r="529" spans="1:10" ht="28" customHeight="1" x14ac:dyDescent="0.2">
      <c r="A529" s="19" t="s">
        <v>36</v>
      </c>
      <c r="B529" s="45">
        <f ca="1">INDIRECT(_xlfn.TEXTJOIN("",TRUE,A530,"!",ADDRESS(5+A531*A527,2)))</f>
        <v>0</v>
      </c>
      <c r="C529" s="45"/>
      <c r="D529" s="46" t="s">
        <v>37</v>
      </c>
      <c r="E529" s="46"/>
      <c r="F529" s="47">
        <f ca="1">INDIRECT(_xlfn.TEXTJOIN("",TRUE,A530,"!",ADDRESS(5+A531*A527,5)))</f>
        <v>0</v>
      </c>
      <c r="G529" s="47"/>
      <c r="H529" s="47"/>
      <c r="I529" s="47"/>
      <c r="J529" s="47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48" t="s">
        <v>24</v>
      </c>
      <c r="B532" s="48"/>
      <c r="C532" s="48">
        <f ca="1">INDIRECT(_xlfn.TEXTJOIN("",TRUE,A551,"!",ADDRESS(9+(A552-1)*A548,2)))</f>
        <v>0</v>
      </c>
      <c r="D532" s="48"/>
      <c r="E532" s="48"/>
      <c r="F532" s="48" t="s">
        <v>50</v>
      </c>
      <c r="G532" s="48"/>
      <c r="H532" s="48"/>
      <c r="I532" s="49">
        <f ca="1">INDIRECT(_xlfn.TEXTJOIN("",TRUE,A551,"!",ADDRESS(9+(A552-1)*A548,9)))</f>
        <v>0</v>
      </c>
      <c r="J532" s="49"/>
    </row>
    <row r="533" spans="1:10" ht="28" customHeight="1" x14ac:dyDescent="0.2">
      <c r="A533" s="48" t="s">
        <v>25</v>
      </c>
      <c r="B533" s="48"/>
      <c r="C533" s="48">
        <f ca="1">INDIRECT(_xlfn.TEXTJOIN("",TRUE,A551,"!",ADDRESS(9+(A552-1)*A548,5)))</f>
        <v>0</v>
      </c>
      <c r="D533" s="48"/>
      <c r="E533" s="48"/>
      <c r="F533" s="50" t="s">
        <v>51</v>
      </c>
      <c r="G533" s="50"/>
      <c r="H533" s="50"/>
      <c r="I533" s="49">
        <f ca="1">INDIRECT(_xlfn.TEXTJOIN("",TRUE,A551,"!",ADDRESS(9+(A552-1)*A548,13)))</f>
        <v>0</v>
      </c>
      <c r="J533" s="49"/>
    </row>
    <row r="534" spans="1:10" ht="28" customHeight="1" x14ac:dyDescent="0.2">
      <c r="A534" s="45" t="s">
        <v>28</v>
      </c>
      <c r="B534" s="45"/>
      <c r="C534" s="45" t="s">
        <v>29</v>
      </c>
      <c r="D534" s="45"/>
      <c r="E534" s="45"/>
      <c r="F534" s="45"/>
      <c r="G534" s="45"/>
      <c r="H534" s="15" t="s">
        <v>30</v>
      </c>
      <c r="I534" s="15" t="s">
        <v>10</v>
      </c>
      <c r="J534" s="15" t="s">
        <v>34</v>
      </c>
    </row>
    <row r="535" spans="1:10" ht="28" customHeight="1" x14ac:dyDescent="0.2">
      <c r="A535" s="35">
        <f ca="1">INDIRECT(_xlfn.TEXTJOIN("",TRUE,A551,"!",ADDRESS(13+(A552-1)*A548,1)))</f>
        <v>0</v>
      </c>
      <c r="B535" s="36"/>
      <c r="C535" s="37">
        <f ca="1">INDIRECT(_xlfn.TEXTJOIN("",TRUE,A551,"!",ADDRESS(13+(A552-1)*A548,2)))</f>
        <v>0</v>
      </c>
      <c r="D535" s="38"/>
      <c r="E535" s="38"/>
      <c r="F535" s="38"/>
      <c r="G535" s="39"/>
      <c r="H535" s="20">
        <f ca="1">INDIRECT(_xlfn.TEXTJOIN("",TRUE,A551,"!",ADDRESS(13+(A552-1)*A548,6)))</f>
        <v>0</v>
      </c>
      <c r="I535" s="20">
        <f ca="1">INDIRECT(_xlfn.TEXTJOIN("",TRUE,A551,"!",ADDRESS(13+(A552-1)*A548,13)))</f>
        <v>0</v>
      </c>
      <c r="J535" s="20">
        <f ca="1">INDIRECT(_xlfn.TEXTJOIN("",TRUE,A551,"!",ADDRESS(13+(A552-1)*A548,14)))</f>
        <v>0</v>
      </c>
    </row>
    <row r="536" spans="1:10" ht="28" customHeight="1" x14ac:dyDescent="0.2">
      <c r="A536" s="35">
        <f ca="1">INDIRECT(_xlfn.TEXTJOIN("",TRUE,A551,"!",ADDRESS(14+(A552-1)*A548,1)))</f>
        <v>0</v>
      </c>
      <c r="B536" s="36"/>
      <c r="C536" s="37">
        <f ca="1">INDIRECT(_xlfn.TEXTJOIN("",TRUE,A551,"!",ADDRESS(14+(A552-1)*A548,2)))</f>
        <v>0</v>
      </c>
      <c r="D536" s="38"/>
      <c r="E536" s="38"/>
      <c r="F536" s="38"/>
      <c r="G536" s="39"/>
      <c r="H536" s="20">
        <f ca="1">INDIRECT(_xlfn.TEXTJOIN("",TRUE,A551,"!",ADDRESS(14+(A552-1)*A548,6)))</f>
        <v>0</v>
      </c>
      <c r="I536" s="20">
        <f ca="1">INDIRECT(_xlfn.TEXTJOIN("",TRUE,A551,"!",ADDRESS(14+(A552-1)*A548,13)))</f>
        <v>0</v>
      </c>
      <c r="J536" s="20">
        <f ca="1">INDIRECT(_xlfn.TEXTJOIN("",TRUE,A551,"!",ADDRESS(14+(A552-1)*A548,14)))</f>
        <v>0</v>
      </c>
    </row>
    <row r="537" spans="1:10" ht="28" customHeight="1" x14ac:dyDescent="0.2">
      <c r="A537" s="35">
        <f ca="1">INDIRECT(_xlfn.TEXTJOIN("",TRUE,A551,"!",ADDRESS(15+(A552-1)*A548,1)))</f>
        <v>0</v>
      </c>
      <c r="B537" s="36"/>
      <c r="C537" s="37">
        <f ca="1">INDIRECT(_xlfn.TEXTJOIN("",TRUE,A551,"!",ADDRESS(15+(A552-1)*A548,2)))</f>
        <v>0</v>
      </c>
      <c r="D537" s="38"/>
      <c r="E537" s="38"/>
      <c r="F537" s="38"/>
      <c r="G537" s="39"/>
      <c r="H537" s="20">
        <f ca="1">INDIRECT(_xlfn.TEXTJOIN("",TRUE,A551,"!",ADDRESS(15+(A552-1)*A548,6)))</f>
        <v>0</v>
      </c>
      <c r="I537" s="20">
        <f ca="1">INDIRECT(_xlfn.TEXTJOIN("",TRUE,A551,"!",ADDRESS(15+(A552-1)*A548,13)))</f>
        <v>0</v>
      </c>
      <c r="J537" s="20">
        <f ca="1">INDIRECT(_xlfn.TEXTJOIN("",TRUE,A551,"!",ADDRESS(15+(A552-1)*A548,14)))</f>
        <v>0</v>
      </c>
    </row>
    <row r="538" spans="1:10" ht="28" customHeight="1" x14ac:dyDescent="0.2">
      <c r="A538" s="35">
        <f ca="1">INDIRECT(_xlfn.TEXTJOIN("",TRUE,A551,"!",ADDRESS(16+(A552-1)*A548,1)))</f>
        <v>0</v>
      </c>
      <c r="B538" s="36"/>
      <c r="C538" s="37">
        <f ca="1">INDIRECT(_xlfn.TEXTJOIN("",TRUE,A551,"!",ADDRESS(16+(A552-1)*A548,2)))</f>
        <v>0</v>
      </c>
      <c r="D538" s="38"/>
      <c r="E538" s="38"/>
      <c r="F538" s="38"/>
      <c r="G538" s="39"/>
      <c r="H538" s="20">
        <f ca="1">INDIRECT(_xlfn.TEXTJOIN("",TRUE,A551,"!",ADDRESS(16+(A552-1)*A548,6)))</f>
        <v>0</v>
      </c>
      <c r="I538" s="20">
        <f ca="1">INDIRECT(_xlfn.TEXTJOIN("",TRUE,A551,"!",ADDRESS(16+(A552-1)*A548,13)))</f>
        <v>0</v>
      </c>
      <c r="J538" s="20">
        <f ca="1">INDIRECT(_xlfn.TEXTJOIN("",TRUE,A551,"!",ADDRESS(16+(A552-1)*A548,14)))</f>
        <v>0</v>
      </c>
    </row>
    <row r="539" spans="1:10" ht="28" customHeight="1" x14ac:dyDescent="0.2">
      <c r="A539" s="35">
        <f ca="1">INDIRECT(_xlfn.TEXTJOIN("",TRUE,A551,"!",ADDRESS(17+(A552-1)*A548,1)))</f>
        <v>0</v>
      </c>
      <c r="B539" s="36"/>
      <c r="C539" s="37">
        <f ca="1">INDIRECT(_xlfn.TEXTJOIN("",TRUE,A551,"!",ADDRESS(17+(A552-1)*A548,2)))</f>
        <v>0</v>
      </c>
      <c r="D539" s="38"/>
      <c r="E539" s="38"/>
      <c r="F539" s="38"/>
      <c r="G539" s="39"/>
      <c r="H539" s="20">
        <f ca="1">INDIRECT(_xlfn.TEXTJOIN("",TRUE,A551,"!",ADDRESS(17+(A552-1)*A548,6)))</f>
        <v>0</v>
      </c>
      <c r="I539" s="20">
        <f ca="1">INDIRECT(_xlfn.TEXTJOIN("",TRUE,A551,"!",ADDRESS(17+(A552-1)*A548,13)))</f>
        <v>0</v>
      </c>
      <c r="J539" s="20">
        <f ca="1">INDIRECT(_xlfn.TEXTJOIN("",TRUE,A551,"!",ADDRESS(17+(A552-1)*A548,14)))</f>
        <v>0</v>
      </c>
    </row>
    <row r="540" spans="1:10" ht="28" customHeight="1" x14ac:dyDescent="0.2">
      <c r="A540" s="35">
        <f ca="1">INDIRECT(_xlfn.TEXTJOIN("",TRUE,A551,"!",ADDRESS(18+(A552-1)*A548,1)))</f>
        <v>0</v>
      </c>
      <c r="B540" s="36"/>
      <c r="C540" s="37">
        <f ca="1">INDIRECT(_xlfn.TEXTJOIN("",TRUE,A551,"!",ADDRESS(18+(A552-1)*A548,2)))</f>
        <v>0</v>
      </c>
      <c r="D540" s="38"/>
      <c r="E540" s="38"/>
      <c r="F540" s="38"/>
      <c r="G540" s="39"/>
      <c r="H540" s="20">
        <f ca="1">INDIRECT(_xlfn.TEXTJOIN("",TRUE,A551,"!",ADDRESS(18+(A552-1)*A548,6)))</f>
        <v>0</v>
      </c>
      <c r="I540" s="20">
        <f ca="1">INDIRECT(_xlfn.TEXTJOIN("",TRUE,A551,"!",ADDRESS(18+(A552-1)*A548,13)))</f>
        <v>0</v>
      </c>
      <c r="J540" s="20">
        <f ca="1">INDIRECT(_xlfn.TEXTJOIN("",TRUE,A551,"!",ADDRESS(18+(A552-1)*A548,14)))</f>
        <v>0</v>
      </c>
    </row>
    <row r="541" spans="1:10" ht="28" customHeight="1" x14ac:dyDescent="0.2">
      <c r="A541" s="35">
        <f ca="1">INDIRECT(_xlfn.TEXTJOIN("",TRUE,A551,"!",ADDRESS(19+(A552-1)*A548,1)))</f>
        <v>0</v>
      </c>
      <c r="B541" s="36"/>
      <c r="C541" s="37">
        <f ca="1">INDIRECT(_xlfn.TEXTJOIN("",TRUE,A551,"!",ADDRESS(19+(A552-1)*A548,2)))</f>
        <v>0</v>
      </c>
      <c r="D541" s="38"/>
      <c r="E541" s="38"/>
      <c r="F541" s="38"/>
      <c r="G541" s="39"/>
      <c r="H541" s="20">
        <f ca="1">INDIRECT(_xlfn.TEXTJOIN("",TRUE,A551,"!",ADDRESS(19+(A552-1)*A548,6)))</f>
        <v>0</v>
      </c>
      <c r="I541" s="20">
        <f ca="1">INDIRECT(_xlfn.TEXTJOIN("",TRUE,A551,"!",ADDRESS(19+(A552-1)*A548,13)))</f>
        <v>0</v>
      </c>
      <c r="J541" s="20">
        <f ca="1">INDIRECT(_xlfn.TEXTJOIN("",TRUE,A551,"!",ADDRESS(19+(A552-1)*A548,14)))</f>
        <v>0</v>
      </c>
    </row>
    <row r="542" spans="1:10" ht="28" customHeight="1" x14ac:dyDescent="0.2">
      <c r="A542" s="35">
        <f ca="1">INDIRECT(_xlfn.TEXTJOIN("",TRUE,A551,"!",ADDRESS(20+(A552-1)*A548,1)))</f>
        <v>0</v>
      </c>
      <c r="B542" s="36"/>
      <c r="C542" s="37">
        <f ca="1">INDIRECT(_xlfn.TEXTJOIN("",TRUE,A551,"!",ADDRESS(20+(A552-1)*A548,2)))</f>
        <v>0</v>
      </c>
      <c r="D542" s="38"/>
      <c r="E542" s="38"/>
      <c r="F542" s="38"/>
      <c r="G542" s="39"/>
      <c r="H542" s="20">
        <f ca="1">INDIRECT(_xlfn.TEXTJOIN("",TRUE,A551,"!",ADDRESS(20+(A552-1)*A548,6)))</f>
        <v>0</v>
      </c>
      <c r="I542" s="20">
        <f ca="1">INDIRECT(_xlfn.TEXTJOIN("",TRUE,A551,"!",ADDRESS(20+(A552-1)*A548,13)))</f>
        <v>0</v>
      </c>
      <c r="J542" s="20">
        <f ca="1">INDIRECT(_xlfn.TEXTJOIN("",TRUE,A551,"!",ADDRESS(20+(A552-1)*A548,14)))</f>
        <v>0</v>
      </c>
    </row>
    <row r="543" spans="1:10" ht="28" customHeight="1" x14ac:dyDescent="0.2">
      <c r="A543" s="35">
        <f ca="1">INDIRECT(_xlfn.TEXTJOIN("",TRUE,A551,"!",ADDRESS(21+(A552-1)*A548,1)))</f>
        <v>0</v>
      </c>
      <c r="B543" s="36"/>
      <c r="C543" s="37">
        <f ca="1">INDIRECT(_xlfn.TEXTJOIN("",TRUE,A551,"!",ADDRESS(21+(A552-1)*A548,2)))</f>
        <v>0</v>
      </c>
      <c r="D543" s="38"/>
      <c r="E543" s="38"/>
      <c r="F543" s="38"/>
      <c r="G543" s="39"/>
      <c r="H543" s="20">
        <f ca="1">INDIRECT(_xlfn.TEXTJOIN("",TRUE,A551,"!",ADDRESS(21+(A552-1)*A548,6)))</f>
        <v>0</v>
      </c>
      <c r="I543" s="20">
        <f ca="1">INDIRECT(_xlfn.TEXTJOIN("",TRUE,A551,"!",ADDRESS(21+(A552-1)*A548,13)))</f>
        <v>0</v>
      </c>
      <c r="J543" s="20">
        <f ca="1">INDIRECT(_xlfn.TEXTJOIN("",TRUE,A551,"!",ADDRESS(21+(A552-1)*A548,14)))</f>
        <v>0</v>
      </c>
    </row>
    <row r="544" spans="1:10" ht="28" customHeight="1" x14ac:dyDescent="0.2">
      <c r="A544" s="35">
        <f ca="1">INDIRECT(_xlfn.TEXTJOIN("",TRUE,A551,"!",ADDRESS(22+(A552-1)*A548,1)))</f>
        <v>0</v>
      </c>
      <c r="B544" s="36"/>
      <c r="C544" s="37">
        <f ca="1">INDIRECT(_xlfn.TEXTJOIN("",TRUE,A551,"!",ADDRESS(22+(A552-1)*A548,2)))</f>
        <v>0</v>
      </c>
      <c r="D544" s="38"/>
      <c r="E544" s="38"/>
      <c r="F544" s="38"/>
      <c r="G544" s="39"/>
      <c r="H544" s="20">
        <f ca="1">INDIRECT(_xlfn.TEXTJOIN("",TRUE,A551,"!",ADDRESS(22+(A552-1)*A548,6)))</f>
        <v>0</v>
      </c>
      <c r="I544" s="20">
        <f ca="1">INDIRECT(_xlfn.TEXTJOIN("",TRUE,A551,"!",ADDRESS(22+(A552-1)*A548,13)))</f>
        <v>0</v>
      </c>
      <c r="J544" s="20">
        <f ca="1">INDIRECT(_xlfn.TEXTJOIN("",TRUE,A551,"!",ADDRESS(22+(A552-1)*A548,14)))</f>
        <v>0</v>
      </c>
    </row>
    <row r="545" spans="1:10" ht="28" customHeight="1" x14ac:dyDescent="0.2">
      <c r="A545" s="35">
        <f ca="1">INDIRECT(_xlfn.TEXTJOIN("",TRUE,A551,"!",ADDRESS(23+(A552-1)*A548,1)))</f>
        <v>0</v>
      </c>
      <c r="B545" s="36"/>
      <c r="C545" s="37">
        <f ca="1">INDIRECT(_xlfn.TEXTJOIN("",TRUE,A551,"!",ADDRESS(23+(A552-1)*A548,2)))</f>
        <v>0</v>
      </c>
      <c r="D545" s="38"/>
      <c r="E545" s="38"/>
      <c r="F545" s="38"/>
      <c r="G545" s="39"/>
      <c r="H545" s="20">
        <f ca="1">INDIRECT(_xlfn.TEXTJOIN("",TRUE,A551,"!",ADDRESS(23+(A552-1)*A548,6)))</f>
        <v>0</v>
      </c>
      <c r="I545" s="20">
        <f ca="1">INDIRECT(_xlfn.TEXTJOIN("",TRUE,A551,"!",ADDRESS(23+(A552-1)*A548,13)))</f>
        <v>0</v>
      </c>
      <c r="J545" s="20">
        <f ca="1">INDIRECT(_xlfn.TEXTJOIN("",TRUE,A551,"!",ADDRESS(23+(A552-1)*A548,14)))</f>
        <v>0</v>
      </c>
    </row>
    <row r="546" spans="1:10" ht="28" customHeight="1" x14ac:dyDescent="0.2">
      <c r="A546" s="35">
        <f ca="1">INDIRECT(_xlfn.TEXTJOIN("",TRUE,A551,"!",ADDRESS(24+(A552-1)*A548,1)))</f>
        <v>0</v>
      </c>
      <c r="B546" s="36"/>
      <c r="C546" s="37">
        <f ca="1">INDIRECT(_xlfn.TEXTJOIN("",TRUE,A551,"!",ADDRESS(24+(A552-1)*A548,2)))</f>
        <v>0</v>
      </c>
      <c r="D546" s="38"/>
      <c r="E546" s="38"/>
      <c r="F546" s="38"/>
      <c r="G546" s="39"/>
      <c r="H546" s="20">
        <f ca="1">INDIRECT(_xlfn.TEXTJOIN("",TRUE,A551,"!",ADDRESS(24+(A552-1)*A548,6)))</f>
        <v>0</v>
      </c>
      <c r="I546" s="40">
        <f ca="1">INDIRECT(_xlfn.TEXTJOIN("",TRUE,A551,"!",ADDRESS(24+(A552-1)*A548,13)))</f>
        <v>0</v>
      </c>
      <c r="J546" s="41"/>
    </row>
    <row r="547" spans="1:10" ht="28" customHeight="1" x14ac:dyDescent="0.2">
      <c r="A547" s="42" t="s">
        <v>52</v>
      </c>
      <c r="B547" s="42"/>
      <c r="C547" s="42"/>
      <c r="D547" s="42"/>
      <c r="E547" s="42"/>
      <c r="F547" s="42"/>
      <c r="G547" s="42"/>
      <c r="H547" s="16">
        <f ca="1">SUM(H535:H546)</f>
        <v>0</v>
      </c>
      <c r="I547" s="16" t="s">
        <v>44</v>
      </c>
      <c r="J547" s="16">
        <f ca="1">SUMPRODUCT(J535:J545,H535:H545)</f>
        <v>0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43" t="s">
        <v>40</v>
      </c>
      <c r="B549" s="43"/>
      <c r="C549" s="21">
        <f ca="1">INDIRECT(_xlfn.TEXTJOIN("",TRUE,A551,"!",ADDRESS(5+A552*A548,12)))</f>
        <v>0</v>
      </c>
      <c r="D549" s="43" t="s">
        <v>38</v>
      </c>
      <c r="E549" s="43"/>
      <c r="F549" s="18">
        <f ca="1">INDIRECT(_xlfn.TEXTJOIN("",TRUE,A551,"!",ADDRESS(5+A552*A548,8)))</f>
        <v>0</v>
      </c>
      <c r="G549" s="43" t="s">
        <v>39</v>
      </c>
      <c r="H549" s="43"/>
      <c r="I549" s="44">
        <f ca="1">INDIRECT(_xlfn.TEXTJOIN("",TRUE,A551,"!",ADDRESS(5+A552*A548,10)))</f>
        <v>0</v>
      </c>
      <c r="J549" s="44"/>
    </row>
    <row r="550" spans="1:10" ht="28" customHeight="1" x14ac:dyDescent="0.2">
      <c r="A550" s="19" t="s">
        <v>36</v>
      </c>
      <c r="B550" s="45">
        <f ca="1">INDIRECT(_xlfn.TEXTJOIN("",TRUE,A551,"!",ADDRESS(5+A552*A548,2)))</f>
        <v>0</v>
      </c>
      <c r="C550" s="45"/>
      <c r="D550" s="46" t="s">
        <v>37</v>
      </c>
      <c r="E550" s="46"/>
      <c r="F550" s="47">
        <f ca="1">INDIRECT(_xlfn.TEXTJOIN("",TRUE,A551,"!",ADDRESS(5+A552*A548,5)))</f>
        <v>0</v>
      </c>
      <c r="G550" s="47"/>
      <c r="H550" s="47"/>
      <c r="I550" s="47"/>
      <c r="J550" s="47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48" t="s">
        <v>24</v>
      </c>
      <c r="B553" s="48"/>
      <c r="C553" s="48">
        <f ca="1">INDIRECT(_xlfn.TEXTJOIN("",TRUE,A572,"!",ADDRESS(9+(A573-1)*A569,2)))</f>
        <v>0</v>
      </c>
      <c r="D553" s="48"/>
      <c r="E553" s="48"/>
      <c r="F553" s="48" t="s">
        <v>50</v>
      </c>
      <c r="G553" s="48"/>
      <c r="H553" s="48"/>
      <c r="I553" s="49">
        <f ca="1">INDIRECT(_xlfn.TEXTJOIN("",TRUE,A572,"!",ADDRESS(9+(A573-1)*A569,9)))</f>
        <v>0</v>
      </c>
      <c r="J553" s="49"/>
    </row>
    <row r="554" spans="1:10" ht="28" customHeight="1" x14ac:dyDescent="0.2">
      <c r="A554" s="48" t="s">
        <v>25</v>
      </c>
      <c r="B554" s="48"/>
      <c r="C554" s="48">
        <f ca="1">INDIRECT(_xlfn.TEXTJOIN("",TRUE,A572,"!",ADDRESS(9+(A573-1)*A569,5)))</f>
        <v>0</v>
      </c>
      <c r="D554" s="48"/>
      <c r="E554" s="48"/>
      <c r="F554" s="50" t="s">
        <v>51</v>
      </c>
      <c r="G554" s="50"/>
      <c r="H554" s="50"/>
      <c r="I554" s="49">
        <f ca="1">INDIRECT(_xlfn.TEXTJOIN("",TRUE,A572,"!",ADDRESS(9+(A573-1)*A569,13)))</f>
        <v>0</v>
      </c>
      <c r="J554" s="49"/>
    </row>
    <row r="555" spans="1:10" ht="28" customHeight="1" x14ac:dyDescent="0.2">
      <c r="A555" s="45" t="s">
        <v>28</v>
      </c>
      <c r="B555" s="45"/>
      <c r="C555" s="45" t="s">
        <v>29</v>
      </c>
      <c r="D555" s="45"/>
      <c r="E555" s="45"/>
      <c r="F555" s="45"/>
      <c r="G555" s="45"/>
      <c r="H555" s="15" t="s">
        <v>30</v>
      </c>
      <c r="I555" s="15" t="s">
        <v>10</v>
      </c>
      <c r="J555" s="15" t="s">
        <v>34</v>
      </c>
    </row>
    <row r="556" spans="1:10" ht="28" customHeight="1" x14ac:dyDescent="0.2">
      <c r="A556" s="35">
        <f ca="1">INDIRECT(_xlfn.TEXTJOIN("",TRUE,A572,"!",ADDRESS(13+(A573-1)*A569,1)))</f>
        <v>0</v>
      </c>
      <c r="B556" s="36"/>
      <c r="C556" s="37">
        <f ca="1">INDIRECT(_xlfn.TEXTJOIN("",TRUE,A572,"!",ADDRESS(13+(A573-1)*A569,2)))</f>
        <v>0</v>
      </c>
      <c r="D556" s="38"/>
      <c r="E556" s="38"/>
      <c r="F556" s="38"/>
      <c r="G556" s="39"/>
      <c r="H556" s="20">
        <f ca="1">INDIRECT(_xlfn.TEXTJOIN("",TRUE,A572,"!",ADDRESS(13+(A573-1)*A569,6)))</f>
        <v>0</v>
      </c>
      <c r="I556" s="20">
        <f ca="1">INDIRECT(_xlfn.TEXTJOIN("",TRUE,A572,"!",ADDRESS(13+(A573-1)*A569,13)))</f>
        <v>0</v>
      </c>
      <c r="J556" s="20">
        <f ca="1">INDIRECT(_xlfn.TEXTJOIN("",TRUE,A572,"!",ADDRESS(13+(A573-1)*A569,14)))</f>
        <v>0</v>
      </c>
    </row>
    <row r="557" spans="1:10" ht="28" customHeight="1" x14ac:dyDescent="0.2">
      <c r="A557" s="35">
        <f ca="1">INDIRECT(_xlfn.TEXTJOIN("",TRUE,A572,"!",ADDRESS(14+(A573-1)*A569,1)))</f>
        <v>0</v>
      </c>
      <c r="B557" s="36"/>
      <c r="C557" s="37">
        <f ca="1">INDIRECT(_xlfn.TEXTJOIN("",TRUE,A572,"!",ADDRESS(14+(A573-1)*A569,2)))</f>
        <v>0</v>
      </c>
      <c r="D557" s="38"/>
      <c r="E557" s="38"/>
      <c r="F557" s="38"/>
      <c r="G557" s="39"/>
      <c r="H557" s="20">
        <f ca="1">INDIRECT(_xlfn.TEXTJOIN("",TRUE,A572,"!",ADDRESS(14+(A573-1)*A569,6)))</f>
        <v>0</v>
      </c>
      <c r="I557" s="20">
        <f ca="1">INDIRECT(_xlfn.TEXTJOIN("",TRUE,A572,"!",ADDRESS(14+(A573-1)*A569,13)))</f>
        <v>0</v>
      </c>
      <c r="J557" s="20">
        <f ca="1">INDIRECT(_xlfn.TEXTJOIN("",TRUE,A572,"!",ADDRESS(14+(A573-1)*A569,14)))</f>
        <v>0</v>
      </c>
    </row>
    <row r="558" spans="1:10" ht="28" customHeight="1" x14ac:dyDescent="0.2">
      <c r="A558" s="35">
        <f ca="1">INDIRECT(_xlfn.TEXTJOIN("",TRUE,A572,"!",ADDRESS(15+(A573-1)*A569,1)))</f>
        <v>0</v>
      </c>
      <c r="B558" s="36"/>
      <c r="C558" s="37">
        <f ca="1">INDIRECT(_xlfn.TEXTJOIN("",TRUE,A572,"!",ADDRESS(15+(A573-1)*A569,2)))</f>
        <v>0</v>
      </c>
      <c r="D558" s="38"/>
      <c r="E558" s="38"/>
      <c r="F558" s="38"/>
      <c r="G558" s="39"/>
      <c r="H558" s="20">
        <f ca="1">INDIRECT(_xlfn.TEXTJOIN("",TRUE,A572,"!",ADDRESS(15+(A573-1)*A569,6)))</f>
        <v>0</v>
      </c>
      <c r="I558" s="20">
        <f ca="1">INDIRECT(_xlfn.TEXTJOIN("",TRUE,A572,"!",ADDRESS(15+(A573-1)*A569,13)))</f>
        <v>0</v>
      </c>
      <c r="J558" s="20">
        <f ca="1">INDIRECT(_xlfn.TEXTJOIN("",TRUE,A572,"!",ADDRESS(15+(A573-1)*A569,14)))</f>
        <v>0</v>
      </c>
    </row>
    <row r="559" spans="1:10" ht="28" customHeight="1" x14ac:dyDescent="0.2">
      <c r="A559" s="35">
        <f ca="1">INDIRECT(_xlfn.TEXTJOIN("",TRUE,A572,"!",ADDRESS(16+(A573-1)*A569,1)))</f>
        <v>0</v>
      </c>
      <c r="B559" s="36"/>
      <c r="C559" s="37">
        <f ca="1">INDIRECT(_xlfn.TEXTJOIN("",TRUE,A572,"!",ADDRESS(16+(A573-1)*A569,2)))</f>
        <v>0</v>
      </c>
      <c r="D559" s="38"/>
      <c r="E559" s="38"/>
      <c r="F559" s="38"/>
      <c r="G559" s="39"/>
      <c r="H559" s="20">
        <f ca="1">INDIRECT(_xlfn.TEXTJOIN("",TRUE,A572,"!",ADDRESS(16+(A573-1)*A569,6)))</f>
        <v>0</v>
      </c>
      <c r="I559" s="20">
        <f ca="1">INDIRECT(_xlfn.TEXTJOIN("",TRUE,A572,"!",ADDRESS(16+(A573-1)*A569,13)))</f>
        <v>0</v>
      </c>
      <c r="J559" s="20">
        <f ca="1">INDIRECT(_xlfn.TEXTJOIN("",TRUE,A572,"!",ADDRESS(16+(A573-1)*A569,14)))</f>
        <v>0</v>
      </c>
    </row>
    <row r="560" spans="1:10" ht="28" customHeight="1" x14ac:dyDescent="0.2">
      <c r="A560" s="35">
        <f ca="1">INDIRECT(_xlfn.TEXTJOIN("",TRUE,A572,"!",ADDRESS(17+(A573-1)*A569,1)))</f>
        <v>0</v>
      </c>
      <c r="B560" s="36"/>
      <c r="C560" s="37">
        <f ca="1">INDIRECT(_xlfn.TEXTJOIN("",TRUE,A572,"!",ADDRESS(17+(A573-1)*A569,2)))</f>
        <v>0</v>
      </c>
      <c r="D560" s="38"/>
      <c r="E560" s="38"/>
      <c r="F560" s="38"/>
      <c r="G560" s="39"/>
      <c r="H560" s="20">
        <f ca="1">INDIRECT(_xlfn.TEXTJOIN("",TRUE,A572,"!",ADDRESS(17+(A573-1)*A569,6)))</f>
        <v>0</v>
      </c>
      <c r="I560" s="20">
        <f ca="1">INDIRECT(_xlfn.TEXTJOIN("",TRUE,A572,"!",ADDRESS(17+(A573-1)*A569,13)))</f>
        <v>0</v>
      </c>
      <c r="J560" s="20">
        <f ca="1">INDIRECT(_xlfn.TEXTJOIN("",TRUE,A572,"!",ADDRESS(17+(A573-1)*A569,14)))</f>
        <v>0</v>
      </c>
    </row>
    <row r="561" spans="1:10" ht="28" customHeight="1" x14ac:dyDescent="0.2">
      <c r="A561" s="35">
        <f ca="1">INDIRECT(_xlfn.TEXTJOIN("",TRUE,A572,"!",ADDRESS(18+(A573-1)*A569,1)))</f>
        <v>0</v>
      </c>
      <c r="B561" s="36"/>
      <c r="C561" s="37">
        <f ca="1">INDIRECT(_xlfn.TEXTJOIN("",TRUE,A572,"!",ADDRESS(18+(A573-1)*A569,2)))</f>
        <v>0</v>
      </c>
      <c r="D561" s="38"/>
      <c r="E561" s="38"/>
      <c r="F561" s="38"/>
      <c r="G561" s="39"/>
      <c r="H561" s="20">
        <f ca="1">INDIRECT(_xlfn.TEXTJOIN("",TRUE,A572,"!",ADDRESS(18+(A573-1)*A569,6)))</f>
        <v>0</v>
      </c>
      <c r="I561" s="20">
        <f ca="1">INDIRECT(_xlfn.TEXTJOIN("",TRUE,A572,"!",ADDRESS(18+(A573-1)*A569,13)))</f>
        <v>0</v>
      </c>
      <c r="J561" s="20">
        <f ca="1">INDIRECT(_xlfn.TEXTJOIN("",TRUE,A572,"!",ADDRESS(18+(A573-1)*A569,14)))</f>
        <v>0</v>
      </c>
    </row>
    <row r="562" spans="1:10" ht="28" customHeight="1" x14ac:dyDescent="0.2">
      <c r="A562" s="35">
        <f ca="1">INDIRECT(_xlfn.TEXTJOIN("",TRUE,A572,"!",ADDRESS(19+(A573-1)*A569,1)))</f>
        <v>0</v>
      </c>
      <c r="B562" s="36"/>
      <c r="C562" s="37">
        <f ca="1">INDIRECT(_xlfn.TEXTJOIN("",TRUE,A572,"!",ADDRESS(19+(A573-1)*A569,2)))</f>
        <v>0</v>
      </c>
      <c r="D562" s="38"/>
      <c r="E562" s="38"/>
      <c r="F562" s="38"/>
      <c r="G562" s="39"/>
      <c r="H562" s="20">
        <f ca="1">INDIRECT(_xlfn.TEXTJOIN("",TRUE,A572,"!",ADDRESS(19+(A573-1)*A569,6)))</f>
        <v>0</v>
      </c>
      <c r="I562" s="20">
        <f ca="1">INDIRECT(_xlfn.TEXTJOIN("",TRUE,A572,"!",ADDRESS(19+(A573-1)*A569,13)))</f>
        <v>0</v>
      </c>
      <c r="J562" s="20">
        <f ca="1">INDIRECT(_xlfn.TEXTJOIN("",TRUE,A572,"!",ADDRESS(19+(A573-1)*A569,14)))</f>
        <v>0</v>
      </c>
    </row>
    <row r="563" spans="1:10" ht="28" customHeight="1" x14ac:dyDescent="0.2">
      <c r="A563" s="35">
        <f ca="1">INDIRECT(_xlfn.TEXTJOIN("",TRUE,A572,"!",ADDRESS(20+(A573-1)*A569,1)))</f>
        <v>0</v>
      </c>
      <c r="B563" s="36"/>
      <c r="C563" s="37">
        <f ca="1">INDIRECT(_xlfn.TEXTJOIN("",TRUE,A572,"!",ADDRESS(20+(A573-1)*A569,2)))</f>
        <v>0</v>
      </c>
      <c r="D563" s="38"/>
      <c r="E563" s="38"/>
      <c r="F563" s="38"/>
      <c r="G563" s="39"/>
      <c r="H563" s="20">
        <f ca="1">INDIRECT(_xlfn.TEXTJOIN("",TRUE,A572,"!",ADDRESS(20+(A573-1)*A569,6)))</f>
        <v>0</v>
      </c>
      <c r="I563" s="20">
        <f ca="1">INDIRECT(_xlfn.TEXTJOIN("",TRUE,A572,"!",ADDRESS(20+(A573-1)*A569,13)))</f>
        <v>0</v>
      </c>
      <c r="J563" s="20">
        <f ca="1">INDIRECT(_xlfn.TEXTJOIN("",TRUE,A572,"!",ADDRESS(20+(A573-1)*A569,14)))</f>
        <v>0</v>
      </c>
    </row>
    <row r="564" spans="1:10" ht="28" customHeight="1" x14ac:dyDescent="0.2">
      <c r="A564" s="35">
        <f ca="1">INDIRECT(_xlfn.TEXTJOIN("",TRUE,A572,"!",ADDRESS(21+(A573-1)*A569,1)))</f>
        <v>0</v>
      </c>
      <c r="B564" s="36"/>
      <c r="C564" s="37">
        <f ca="1">INDIRECT(_xlfn.TEXTJOIN("",TRUE,A572,"!",ADDRESS(21+(A573-1)*A569,2)))</f>
        <v>0</v>
      </c>
      <c r="D564" s="38"/>
      <c r="E564" s="38"/>
      <c r="F564" s="38"/>
      <c r="G564" s="39"/>
      <c r="H564" s="20">
        <f ca="1">INDIRECT(_xlfn.TEXTJOIN("",TRUE,A572,"!",ADDRESS(21+(A573-1)*A569,6)))</f>
        <v>0</v>
      </c>
      <c r="I564" s="20">
        <f ca="1">INDIRECT(_xlfn.TEXTJOIN("",TRUE,A572,"!",ADDRESS(21+(A573-1)*A569,13)))</f>
        <v>0</v>
      </c>
      <c r="J564" s="20">
        <f ca="1">INDIRECT(_xlfn.TEXTJOIN("",TRUE,A572,"!",ADDRESS(21+(A573-1)*A569,14)))</f>
        <v>0</v>
      </c>
    </row>
    <row r="565" spans="1:10" ht="28" customHeight="1" x14ac:dyDescent="0.2">
      <c r="A565" s="35">
        <f ca="1">INDIRECT(_xlfn.TEXTJOIN("",TRUE,A572,"!",ADDRESS(22+(A573-1)*A569,1)))</f>
        <v>0</v>
      </c>
      <c r="B565" s="36"/>
      <c r="C565" s="37">
        <f ca="1">INDIRECT(_xlfn.TEXTJOIN("",TRUE,A572,"!",ADDRESS(22+(A573-1)*A569,2)))</f>
        <v>0</v>
      </c>
      <c r="D565" s="38"/>
      <c r="E565" s="38"/>
      <c r="F565" s="38"/>
      <c r="G565" s="39"/>
      <c r="H565" s="20">
        <f ca="1">INDIRECT(_xlfn.TEXTJOIN("",TRUE,A572,"!",ADDRESS(22+(A573-1)*A569,6)))</f>
        <v>0</v>
      </c>
      <c r="I565" s="20">
        <f ca="1">INDIRECT(_xlfn.TEXTJOIN("",TRUE,A572,"!",ADDRESS(22+(A573-1)*A569,13)))</f>
        <v>0</v>
      </c>
      <c r="J565" s="20">
        <f ca="1">INDIRECT(_xlfn.TEXTJOIN("",TRUE,A572,"!",ADDRESS(22+(A573-1)*A569,14)))</f>
        <v>0</v>
      </c>
    </row>
    <row r="566" spans="1:10" ht="28" customHeight="1" x14ac:dyDescent="0.2">
      <c r="A566" s="35">
        <f ca="1">INDIRECT(_xlfn.TEXTJOIN("",TRUE,A572,"!",ADDRESS(23+(A573-1)*A569,1)))</f>
        <v>0</v>
      </c>
      <c r="B566" s="36"/>
      <c r="C566" s="37">
        <f ca="1">INDIRECT(_xlfn.TEXTJOIN("",TRUE,A572,"!",ADDRESS(23+(A573-1)*A569,2)))</f>
        <v>0</v>
      </c>
      <c r="D566" s="38"/>
      <c r="E566" s="38"/>
      <c r="F566" s="38"/>
      <c r="G566" s="39"/>
      <c r="H566" s="20">
        <f ca="1">INDIRECT(_xlfn.TEXTJOIN("",TRUE,A572,"!",ADDRESS(23+(A573-1)*A569,6)))</f>
        <v>0</v>
      </c>
      <c r="I566" s="20">
        <f ca="1">INDIRECT(_xlfn.TEXTJOIN("",TRUE,A572,"!",ADDRESS(23+(A573-1)*A569,13)))</f>
        <v>0</v>
      </c>
      <c r="J566" s="20">
        <f ca="1">INDIRECT(_xlfn.TEXTJOIN("",TRUE,A572,"!",ADDRESS(23+(A573-1)*A569,14)))</f>
        <v>0</v>
      </c>
    </row>
    <row r="567" spans="1:10" ht="28" customHeight="1" x14ac:dyDescent="0.2">
      <c r="A567" s="35">
        <f ca="1">INDIRECT(_xlfn.TEXTJOIN("",TRUE,A572,"!",ADDRESS(24+(A573-1)*A569,1)))</f>
        <v>0</v>
      </c>
      <c r="B567" s="36"/>
      <c r="C567" s="37">
        <f ca="1">INDIRECT(_xlfn.TEXTJOIN("",TRUE,A572,"!",ADDRESS(24+(A573-1)*A569,2)))</f>
        <v>0</v>
      </c>
      <c r="D567" s="38"/>
      <c r="E567" s="38"/>
      <c r="F567" s="38"/>
      <c r="G567" s="39"/>
      <c r="H567" s="20">
        <f ca="1">INDIRECT(_xlfn.TEXTJOIN("",TRUE,A572,"!",ADDRESS(24+(A573-1)*A569,6)))</f>
        <v>0</v>
      </c>
      <c r="I567" s="40">
        <f ca="1">INDIRECT(_xlfn.TEXTJOIN("",TRUE,A572,"!",ADDRESS(24+(A573-1)*A569,13)))</f>
        <v>0</v>
      </c>
      <c r="J567" s="41"/>
    </row>
    <row r="568" spans="1:10" ht="28" customHeight="1" x14ac:dyDescent="0.2">
      <c r="A568" s="42" t="s">
        <v>52</v>
      </c>
      <c r="B568" s="42"/>
      <c r="C568" s="42"/>
      <c r="D568" s="42"/>
      <c r="E568" s="42"/>
      <c r="F568" s="42"/>
      <c r="G568" s="42"/>
      <c r="H568" s="16">
        <f ca="1">SUM(H556:H567)</f>
        <v>0</v>
      </c>
      <c r="I568" s="16" t="s">
        <v>44</v>
      </c>
      <c r="J568" s="16">
        <f ca="1">SUMPRODUCT(J556:J566,H556:H566)</f>
        <v>0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43" t="s">
        <v>40</v>
      </c>
      <c r="B570" s="43"/>
      <c r="C570" s="21">
        <f ca="1">INDIRECT(_xlfn.TEXTJOIN("",TRUE,A572,"!",ADDRESS(5+A573*A569,12)))</f>
        <v>0</v>
      </c>
      <c r="D570" s="43" t="s">
        <v>38</v>
      </c>
      <c r="E570" s="43"/>
      <c r="F570" s="18">
        <f ca="1">INDIRECT(_xlfn.TEXTJOIN("",TRUE,A572,"!",ADDRESS(5+A573*A569,8)))</f>
        <v>0</v>
      </c>
      <c r="G570" s="43" t="s">
        <v>39</v>
      </c>
      <c r="H570" s="43"/>
      <c r="I570" s="44">
        <f ca="1">INDIRECT(_xlfn.TEXTJOIN("",TRUE,A572,"!",ADDRESS(5+A573*A569,10)))</f>
        <v>0</v>
      </c>
      <c r="J570" s="44"/>
    </row>
    <row r="571" spans="1:10" ht="28" customHeight="1" x14ac:dyDescent="0.2">
      <c r="A571" s="19" t="s">
        <v>36</v>
      </c>
      <c r="B571" s="45">
        <f ca="1">INDIRECT(_xlfn.TEXTJOIN("",TRUE,A572,"!",ADDRESS(5+A573*A569,2)))</f>
        <v>0</v>
      </c>
      <c r="C571" s="45"/>
      <c r="D571" s="46" t="s">
        <v>37</v>
      </c>
      <c r="E571" s="46"/>
      <c r="F571" s="47">
        <f ca="1">INDIRECT(_xlfn.TEXTJOIN("",TRUE,A572,"!",ADDRESS(5+A573*A569,5)))</f>
        <v>0</v>
      </c>
      <c r="G571" s="47"/>
      <c r="H571" s="47"/>
      <c r="I571" s="47"/>
      <c r="J571" s="47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48" t="s">
        <v>24</v>
      </c>
      <c r="B574" s="48"/>
      <c r="C574" s="48">
        <f ca="1">INDIRECT(_xlfn.TEXTJOIN("",TRUE,A593,"!",ADDRESS(9+(A594-1)*A590,2)))</f>
        <v>0</v>
      </c>
      <c r="D574" s="48"/>
      <c r="E574" s="48"/>
      <c r="F574" s="48" t="s">
        <v>50</v>
      </c>
      <c r="G574" s="48"/>
      <c r="H574" s="48"/>
      <c r="I574" s="49">
        <f ca="1">INDIRECT(_xlfn.TEXTJOIN("",TRUE,A593,"!",ADDRESS(9+(A594-1)*A590,9)))</f>
        <v>0</v>
      </c>
      <c r="J574" s="49"/>
    </row>
    <row r="575" spans="1:10" ht="28" customHeight="1" x14ac:dyDescent="0.2">
      <c r="A575" s="48" t="s">
        <v>25</v>
      </c>
      <c r="B575" s="48"/>
      <c r="C575" s="48">
        <f ca="1">INDIRECT(_xlfn.TEXTJOIN("",TRUE,A593,"!",ADDRESS(9+(A594-1)*A590,5)))</f>
        <v>0</v>
      </c>
      <c r="D575" s="48"/>
      <c r="E575" s="48"/>
      <c r="F575" s="50" t="s">
        <v>51</v>
      </c>
      <c r="G575" s="50"/>
      <c r="H575" s="50"/>
      <c r="I575" s="49">
        <f ca="1">INDIRECT(_xlfn.TEXTJOIN("",TRUE,A593,"!",ADDRESS(9+(A594-1)*A590,13)))</f>
        <v>0</v>
      </c>
      <c r="J575" s="49"/>
    </row>
    <row r="576" spans="1:10" ht="28" customHeight="1" x14ac:dyDescent="0.2">
      <c r="A576" s="45" t="s">
        <v>28</v>
      </c>
      <c r="B576" s="45"/>
      <c r="C576" s="45" t="s">
        <v>29</v>
      </c>
      <c r="D576" s="45"/>
      <c r="E576" s="45"/>
      <c r="F576" s="45"/>
      <c r="G576" s="45"/>
      <c r="H576" s="15" t="s">
        <v>30</v>
      </c>
      <c r="I576" s="15" t="s">
        <v>10</v>
      </c>
      <c r="J576" s="15" t="s">
        <v>34</v>
      </c>
    </row>
    <row r="577" spans="1:10" ht="28" customHeight="1" x14ac:dyDescent="0.2">
      <c r="A577" s="35">
        <f ca="1">INDIRECT(_xlfn.TEXTJOIN("",TRUE,A593,"!",ADDRESS(13+(A594-1)*A590,1)))</f>
        <v>0</v>
      </c>
      <c r="B577" s="36"/>
      <c r="C577" s="37">
        <f ca="1">INDIRECT(_xlfn.TEXTJOIN("",TRUE,A593,"!",ADDRESS(13+(A594-1)*A590,2)))</f>
        <v>0</v>
      </c>
      <c r="D577" s="38"/>
      <c r="E577" s="38"/>
      <c r="F577" s="38"/>
      <c r="G577" s="39"/>
      <c r="H577" s="20">
        <f ca="1">INDIRECT(_xlfn.TEXTJOIN("",TRUE,A593,"!",ADDRESS(13+(A594-1)*A590,6)))</f>
        <v>0</v>
      </c>
      <c r="I577" s="20">
        <f ca="1">INDIRECT(_xlfn.TEXTJOIN("",TRUE,A593,"!",ADDRESS(13+(A594-1)*A590,13)))</f>
        <v>0</v>
      </c>
      <c r="J577" s="20">
        <f ca="1">INDIRECT(_xlfn.TEXTJOIN("",TRUE,A593,"!",ADDRESS(13+(A594-1)*A590,14)))</f>
        <v>0</v>
      </c>
    </row>
    <row r="578" spans="1:10" ht="28" customHeight="1" x14ac:dyDescent="0.2">
      <c r="A578" s="35">
        <f ca="1">INDIRECT(_xlfn.TEXTJOIN("",TRUE,A593,"!",ADDRESS(14+(A594-1)*A590,1)))</f>
        <v>0</v>
      </c>
      <c r="B578" s="36"/>
      <c r="C578" s="37">
        <f ca="1">INDIRECT(_xlfn.TEXTJOIN("",TRUE,A593,"!",ADDRESS(14+(A594-1)*A590,2)))</f>
        <v>0</v>
      </c>
      <c r="D578" s="38"/>
      <c r="E578" s="38"/>
      <c r="F578" s="38"/>
      <c r="G578" s="39"/>
      <c r="H578" s="20">
        <f ca="1">INDIRECT(_xlfn.TEXTJOIN("",TRUE,A593,"!",ADDRESS(14+(A594-1)*A590,6)))</f>
        <v>0</v>
      </c>
      <c r="I578" s="20">
        <f ca="1">INDIRECT(_xlfn.TEXTJOIN("",TRUE,A593,"!",ADDRESS(14+(A594-1)*A590,13)))</f>
        <v>0</v>
      </c>
      <c r="J578" s="20">
        <f ca="1">INDIRECT(_xlfn.TEXTJOIN("",TRUE,A593,"!",ADDRESS(14+(A594-1)*A590,14)))</f>
        <v>0</v>
      </c>
    </row>
    <row r="579" spans="1:10" ht="28" customHeight="1" x14ac:dyDescent="0.2">
      <c r="A579" s="35">
        <f ca="1">INDIRECT(_xlfn.TEXTJOIN("",TRUE,A593,"!",ADDRESS(15+(A594-1)*A590,1)))</f>
        <v>0</v>
      </c>
      <c r="B579" s="36"/>
      <c r="C579" s="37">
        <f ca="1">INDIRECT(_xlfn.TEXTJOIN("",TRUE,A593,"!",ADDRESS(15+(A594-1)*A590,2)))</f>
        <v>0</v>
      </c>
      <c r="D579" s="38"/>
      <c r="E579" s="38"/>
      <c r="F579" s="38"/>
      <c r="G579" s="39"/>
      <c r="H579" s="20">
        <f ca="1">INDIRECT(_xlfn.TEXTJOIN("",TRUE,A593,"!",ADDRESS(15+(A594-1)*A590,6)))</f>
        <v>0</v>
      </c>
      <c r="I579" s="20">
        <f ca="1">INDIRECT(_xlfn.TEXTJOIN("",TRUE,A593,"!",ADDRESS(15+(A594-1)*A590,13)))</f>
        <v>0</v>
      </c>
      <c r="J579" s="20">
        <f ca="1">INDIRECT(_xlfn.TEXTJOIN("",TRUE,A593,"!",ADDRESS(15+(A594-1)*A590,14)))</f>
        <v>0</v>
      </c>
    </row>
    <row r="580" spans="1:10" ht="28" customHeight="1" x14ac:dyDescent="0.2">
      <c r="A580" s="35">
        <f ca="1">INDIRECT(_xlfn.TEXTJOIN("",TRUE,A593,"!",ADDRESS(16+(A594-1)*A590,1)))</f>
        <v>0</v>
      </c>
      <c r="B580" s="36"/>
      <c r="C580" s="37">
        <f ca="1">INDIRECT(_xlfn.TEXTJOIN("",TRUE,A593,"!",ADDRESS(16+(A594-1)*A590,2)))</f>
        <v>0</v>
      </c>
      <c r="D580" s="38"/>
      <c r="E580" s="38"/>
      <c r="F580" s="38"/>
      <c r="G580" s="39"/>
      <c r="H580" s="20">
        <f ca="1">INDIRECT(_xlfn.TEXTJOIN("",TRUE,A593,"!",ADDRESS(16+(A594-1)*A590,6)))</f>
        <v>0</v>
      </c>
      <c r="I580" s="20">
        <f ca="1">INDIRECT(_xlfn.TEXTJOIN("",TRUE,A593,"!",ADDRESS(16+(A594-1)*A590,13)))</f>
        <v>0</v>
      </c>
      <c r="J580" s="20">
        <f ca="1">INDIRECT(_xlfn.TEXTJOIN("",TRUE,A593,"!",ADDRESS(16+(A594-1)*A590,14)))</f>
        <v>0</v>
      </c>
    </row>
    <row r="581" spans="1:10" ht="28" customHeight="1" x14ac:dyDescent="0.2">
      <c r="A581" s="35">
        <f ca="1">INDIRECT(_xlfn.TEXTJOIN("",TRUE,A593,"!",ADDRESS(17+(A594-1)*A590,1)))</f>
        <v>0</v>
      </c>
      <c r="B581" s="36"/>
      <c r="C581" s="37">
        <f ca="1">INDIRECT(_xlfn.TEXTJOIN("",TRUE,A593,"!",ADDRESS(17+(A594-1)*A590,2)))</f>
        <v>0</v>
      </c>
      <c r="D581" s="38"/>
      <c r="E581" s="38"/>
      <c r="F581" s="38"/>
      <c r="G581" s="39"/>
      <c r="H581" s="20">
        <f ca="1">INDIRECT(_xlfn.TEXTJOIN("",TRUE,A593,"!",ADDRESS(17+(A594-1)*A590,6)))</f>
        <v>0</v>
      </c>
      <c r="I581" s="20">
        <f ca="1">INDIRECT(_xlfn.TEXTJOIN("",TRUE,A593,"!",ADDRESS(17+(A594-1)*A590,13)))</f>
        <v>0</v>
      </c>
      <c r="J581" s="20">
        <f ca="1">INDIRECT(_xlfn.TEXTJOIN("",TRUE,A593,"!",ADDRESS(17+(A594-1)*A590,14)))</f>
        <v>0</v>
      </c>
    </row>
    <row r="582" spans="1:10" ht="28" customHeight="1" x14ac:dyDescent="0.2">
      <c r="A582" s="35">
        <f ca="1">INDIRECT(_xlfn.TEXTJOIN("",TRUE,A593,"!",ADDRESS(18+(A594-1)*A590,1)))</f>
        <v>0</v>
      </c>
      <c r="B582" s="36"/>
      <c r="C582" s="37">
        <f ca="1">INDIRECT(_xlfn.TEXTJOIN("",TRUE,A593,"!",ADDRESS(18+(A594-1)*A590,2)))</f>
        <v>0</v>
      </c>
      <c r="D582" s="38"/>
      <c r="E582" s="38"/>
      <c r="F582" s="38"/>
      <c r="G582" s="39"/>
      <c r="H582" s="20">
        <f ca="1">INDIRECT(_xlfn.TEXTJOIN("",TRUE,A593,"!",ADDRESS(18+(A594-1)*A590,6)))</f>
        <v>0</v>
      </c>
      <c r="I582" s="20">
        <f ca="1">INDIRECT(_xlfn.TEXTJOIN("",TRUE,A593,"!",ADDRESS(18+(A594-1)*A590,13)))</f>
        <v>0</v>
      </c>
      <c r="J582" s="20">
        <f ca="1">INDIRECT(_xlfn.TEXTJOIN("",TRUE,A593,"!",ADDRESS(18+(A594-1)*A590,14)))</f>
        <v>0</v>
      </c>
    </row>
    <row r="583" spans="1:10" ht="28" customHeight="1" x14ac:dyDescent="0.2">
      <c r="A583" s="35">
        <f ca="1">INDIRECT(_xlfn.TEXTJOIN("",TRUE,A593,"!",ADDRESS(19+(A594-1)*A590,1)))</f>
        <v>0</v>
      </c>
      <c r="B583" s="36"/>
      <c r="C583" s="37">
        <f ca="1">INDIRECT(_xlfn.TEXTJOIN("",TRUE,A593,"!",ADDRESS(19+(A594-1)*A590,2)))</f>
        <v>0</v>
      </c>
      <c r="D583" s="38"/>
      <c r="E583" s="38"/>
      <c r="F583" s="38"/>
      <c r="G583" s="39"/>
      <c r="H583" s="20">
        <f ca="1">INDIRECT(_xlfn.TEXTJOIN("",TRUE,A593,"!",ADDRESS(19+(A594-1)*A590,6)))</f>
        <v>0</v>
      </c>
      <c r="I583" s="20">
        <f ca="1">INDIRECT(_xlfn.TEXTJOIN("",TRUE,A593,"!",ADDRESS(19+(A594-1)*A590,13)))</f>
        <v>0</v>
      </c>
      <c r="J583" s="20">
        <f ca="1">INDIRECT(_xlfn.TEXTJOIN("",TRUE,A593,"!",ADDRESS(19+(A594-1)*A590,14)))</f>
        <v>0</v>
      </c>
    </row>
    <row r="584" spans="1:10" ht="28" customHeight="1" x14ac:dyDescent="0.2">
      <c r="A584" s="35">
        <f ca="1">INDIRECT(_xlfn.TEXTJOIN("",TRUE,A593,"!",ADDRESS(20+(A594-1)*A590,1)))</f>
        <v>0</v>
      </c>
      <c r="B584" s="36"/>
      <c r="C584" s="37">
        <f ca="1">INDIRECT(_xlfn.TEXTJOIN("",TRUE,A593,"!",ADDRESS(20+(A594-1)*A590,2)))</f>
        <v>0</v>
      </c>
      <c r="D584" s="38"/>
      <c r="E584" s="38"/>
      <c r="F584" s="38"/>
      <c r="G584" s="39"/>
      <c r="H584" s="20">
        <f ca="1">INDIRECT(_xlfn.TEXTJOIN("",TRUE,A593,"!",ADDRESS(20+(A594-1)*A590,6)))</f>
        <v>0</v>
      </c>
      <c r="I584" s="20">
        <f ca="1">INDIRECT(_xlfn.TEXTJOIN("",TRUE,A593,"!",ADDRESS(20+(A594-1)*A590,13)))</f>
        <v>0</v>
      </c>
      <c r="J584" s="20">
        <f ca="1">INDIRECT(_xlfn.TEXTJOIN("",TRUE,A593,"!",ADDRESS(20+(A594-1)*A590,14)))</f>
        <v>0</v>
      </c>
    </row>
    <row r="585" spans="1:10" ht="28" customHeight="1" x14ac:dyDescent="0.2">
      <c r="A585" s="35">
        <f ca="1">INDIRECT(_xlfn.TEXTJOIN("",TRUE,A593,"!",ADDRESS(21+(A594-1)*A590,1)))</f>
        <v>0</v>
      </c>
      <c r="B585" s="36"/>
      <c r="C585" s="37">
        <f ca="1">INDIRECT(_xlfn.TEXTJOIN("",TRUE,A593,"!",ADDRESS(21+(A594-1)*A590,2)))</f>
        <v>0</v>
      </c>
      <c r="D585" s="38"/>
      <c r="E585" s="38"/>
      <c r="F585" s="38"/>
      <c r="G585" s="39"/>
      <c r="H585" s="20">
        <f ca="1">INDIRECT(_xlfn.TEXTJOIN("",TRUE,A593,"!",ADDRESS(21+(A594-1)*A590,6)))</f>
        <v>0</v>
      </c>
      <c r="I585" s="20">
        <f ca="1">INDIRECT(_xlfn.TEXTJOIN("",TRUE,A593,"!",ADDRESS(21+(A594-1)*A590,13)))</f>
        <v>0</v>
      </c>
      <c r="J585" s="20">
        <f ca="1">INDIRECT(_xlfn.TEXTJOIN("",TRUE,A593,"!",ADDRESS(21+(A594-1)*A590,14)))</f>
        <v>0</v>
      </c>
    </row>
    <row r="586" spans="1:10" ht="28" customHeight="1" x14ac:dyDescent="0.2">
      <c r="A586" s="35">
        <f ca="1">INDIRECT(_xlfn.TEXTJOIN("",TRUE,A593,"!",ADDRESS(22+(A594-1)*A590,1)))</f>
        <v>0</v>
      </c>
      <c r="B586" s="36"/>
      <c r="C586" s="37">
        <f ca="1">INDIRECT(_xlfn.TEXTJOIN("",TRUE,A593,"!",ADDRESS(22+(A594-1)*A590,2)))</f>
        <v>0</v>
      </c>
      <c r="D586" s="38"/>
      <c r="E586" s="38"/>
      <c r="F586" s="38"/>
      <c r="G586" s="39"/>
      <c r="H586" s="20">
        <f ca="1">INDIRECT(_xlfn.TEXTJOIN("",TRUE,A593,"!",ADDRESS(22+(A594-1)*A590,6)))</f>
        <v>0</v>
      </c>
      <c r="I586" s="20">
        <f ca="1">INDIRECT(_xlfn.TEXTJOIN("",TRUE,A593,"!",ADDRESS(22+(A594-1)*A590,13)))</f>
        <v>0</v>
      </c>
      <c r="J586" s="20">
        <f ca="1">INDIRECT(_xlfn.TEXTJOIN("",TRUE,A593,"!",ADDRESS(22+(A594-1)*A590,14)))</f>
        <v>0</v>
      </c>
    </row>
    <row r="587" spans="1:10" ht="28" customHeight="1" x14ac:dyDescent="0.2">
      <c r="A587" s="35">
        <f ca="1">INDIRECT(_xlfn.TEXTJOIN("",TRUE,A593,"!",ADDRESS(23+(A594-1)*A590,1)))</f>
        <v>0</v>
      </c>
      <c r="B587" s="36"/>
      <c r="C587" s="37">
        <f ca="1">INDIRECT(_xlfn.TEXTJOIN("",TRUE,A593,"!",ADDRESS(23+(A594-1)*A590,2)))</f>
        <v>0</v>
      </c>
      <c r="D587" s="38"/>
      <c r="E587" s="38"/>
      <c r="F587" s="38"/>
      <c r="G587" s="39"/>
      <c r="H587" s="20">
        <f ca="1">INDIRECT(_xlfn.TEXTJOIN("",TRUE,A593,"!",ADDRESS(23+(A594-1)*A590,6)))</f>
        <v>0</v>
      </c>
      <c r="I587" s="20">
        <f ca="1">INDIRECT(_xlfn.TEXTJOIN("",TRUE,A593,"!",ADDRESS(23+(A594-1)*A590,13)))</f>
        <v>0</v>
      </c>
      <c r="J587" s="20">
        <f ca="1">INDIRECT(_xlfn.TEXTJOIN("",TRUE,A593,"!",ADDRESS(23+(A594-1)*A590,14)))</f>
        <v>0</v>
      </c>
    </row>
    <row r="588" spans="1:10" ht="28" customHeight="1" x14ac:dyDescent="0.2">
      <c r="A588" s="35">
        <f ca="1">INDIRECT(_xlfn.TEXTJOIN("",TRUE,A593,"!",ADDRESS(24+(A594-1)*A590,1)))</f>
        <v>0</v>
      </c>
      <c r="B588" s="36"/>
      <c r="C588" s="37">
        <f ca="1">INDIRECT(_xlfn.TEXTJOIN("",TRUE,A593,"!",ADDRESS(24+(A594-1)*A590,2)))</f>
        <v>0</v>
      </c>
      <c r="D588" s="38"/>
      <c r="E588" s="38"/>
      <c r="F588" s="38"/>
      <c r="G588" s="39"/>
      <c r="H588" s="20">
        <f ca="1">INDIRECT(_xlfn.TEXTJOIN("",TRUE,A593,"!",ADDRESS(24+(A594-1)*A590,6)))</f>
        <v>0</v>
      </c>
      <c r="I588" s="40">
        <f ca="1">INDIRECT(_xlfn.TEXTJOIN("",TRUE,A593,"!",ADDRESS(24+(A594-1)*A590,13)))</f>
        <v>0</v>
      </c>
      <c r="J588" s="41"/>
    </row>
    <row r="589" spans="1:10" ht="28" customHeight="1" x14ac:dyDescent="0.2">
      <c r="A589" s="42" t="s">
        <v>52</v>
      </c>
      <c r="B589" s="42"/>
      <c r="C589" s="42"/>
      <c r="D589" s="42"/>
      <c r="E589" s="42"/>
      <c r="F589" s="42"/>
      <c r="G589" s="42"/>
      <c r="H589" s="16">
        <f ca="1">SUM(H577:H588)</f>
        <v>0</v>
      </c>
      <c r="I589" s="16" t="s">
        <v>44</v>
      </c>
      <c r="J589" s="16">
        <f ca="1">SUMPRODUCT(J577:J587,H577:H587)</f>
        <v>0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43" t="s">
        <v>40</v>
      </c>
      <c r="B591" s="43"/>
      <c r="C591" s="21">
        <f ca="1">INDIRECT(_xlfn.TEXTJOIN("",TRUE,A593,"!",ADDRESS(5+A594*A590,12)))</f>
        <v>0</v>
      </c>
      <c r="D591" s="43" t="s">
        <v>38</v>
      </c>
      <c r="E591" s="43"/>
      <c r="F591" s="18">
        <f ca="1">INDIRECT(_xlfn.TEXTJOIN("",TRUE,A593,"!",ADDRESS(5+A594*A590,8)))</f>
        <v>0</v>
      </c>
      <c r="G591" s="43" t="s">
        <v>39</v>
      </c>
      <c r="H591" s="43"/>
      <c r="I591" s="44">
        <f ca="1">INDIRECT(_xlfn.TEXTJOIN("",TRUE,A593,"!",ADDRESS(5+A594*A590,10)))</f>
        <v>0</v>
      </c>
      <c r="J591" s="44"/>
    </row>
    <row r="592" spans="1:10" ht="28" customHeight="1" x14ac:dyDescent="0.2">
      <c r="A592" s="19" t="s">
        <v>36</v>
      </c>
      <c r="B592" s="45">
        <f ca="1">INDIRECT(_xlfn.TEXTJOIN("",TRUE,A593,"!",ADDRESS(5+A594*A590,2)))</f>
        <v>0</v>
      </c>
      <c r="C592" s="45"/>
      <c r="D592" s="46" t="s">
        <v>37</v>
      </c>
      <c r="E592" s="46"/>
      <c r="F592" s="47">
        <f ca="1">INDIRECT(_xlfn.TEXTJOIN("",TRUE,A593,"!",ADDRESS(5+A594*A590,5)))</f>
        <v>0</v>
      </c>
      <c r="G592" s="47"/>
      <c r="H592" s="47"/>
      <c r="I592" s="47"/>
      <c r="J592" s="47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48" t="s">
        <v>24</v>
      </c>
      <c r="B595" s="48"/>
      <c r="C595" s="48">
        <f ca="1">INDIRECT(_xlfn.TEXTJOIN("",TRUE,A614,"!",ADDRESS(9+(A615-1)*A611,2)))</f>
        <v>0</v>
      </c>
      <c r="D595" s="48"/>
      <c r="E595" s="48"/>
      <c r="F595" s="48" t="s">
        <v>50</v>
      </c>
      <c r="G595" s="48"/>
      <c r="H595" s="48"/>
      <c r="I595" s="49">
        <f ca="1">INDIRECT(_xlfn.TEXTJOIN("",TRUE,A614,"!",ADDRESS(9+(A615-1)*A611,9)))</f>
        <v>0</v>
      </c>
      <c r="J595" s="49"/>
    </row>
    <row r="596" spans="1:10" ht="28" customHeight="1" x14ac:dyDescent="0.2">
      <c r="A596" s="48" t="s">
        <v>25</v>
      </c>
      <c r="B596" s="48"/>
      <c r="C596" s="48">
        <f ca="1">INDIRECT(_xlfn.TEXTJOIN("",TRUE,A614,"!",ADDRESS(9+(A615-1)*A611,5)))</f>
        <v>0</v>
      </c>
      <c r="D596" s="48"/>
      <c r="E596" s="48"/>
      <c r="F596" s="50" t="s">
        <v>51</v>
      </c>
      <c r="G596" s="50"/>
      <c r="H596" s="50"/>
      <c r="I596" s="49">
        <f ca="1">INDIRECT(_xlfn.TEXTJOIN("",TRUE,A614,"!",ADDRESS(9+(A615-1)*A611,13)))</f>
        <v>0</v>
      </c>
      <c r="J596" s="49"/>
    </row>
    <row r="597" spans="1:10" ht="28" customHeight="1" x14ac:dyDescent="0.2">
      <c r="A597" s="45" t="s">
        <v>28</v>
      </c>
      <c r="B597" s="45"/>
      <c r="C597" s="45" t="s">
        <v>29</v>
      </c>
      <c r="D597" s="45"/>
      <c r="E597" s="45"/>
      <c r="F597" s="45"/>
      <c r="G597" s="45"/>
      <c r="H597" s="15" t="s">
        <v>30</v>
      </c>
      <c r="I597" s="15" t="s">
        <v>10</v>
      </c>
      <c r="J597" s="15" t="s">
        <v>34</v>
      </c>
    </row>
    <row r="598" spans="1:10" ht="28" customHeight="1" x14ac:dyDescent="0.2">
      <c r="A598" s="35">
        <f ca="1">INDIRECT(_xlfn.TEXTJOIN("",TRUE,A614,"!",ADDRESS(13+(A615-1)*A611,1)))</f>
        <v>0</v>
      </c>
      <c r="B598" s="36"/>
      <c r="C598" s="37">
        <f ca="1">INDIRECT(_xlfn.TEXTJOIN("",TRUE,A614,"!",ADDRESS(13+(A615-1)*A611,2)))</f>
        <v>0</v>
      </c>
      <c r="D598" s="38"/>
      <c r="E598" s="38"/>
      <c r="F598" s="38"/>
      <c r="G598" s="39"/>
      <c r="H598" s="20">
        <f ca="1">INDIRECT(_xlfn.TEXTJOIN("",TRUE,A614,"!",ADDRESS(13+(A615-1)*A611,6)))</f>
        <v>0</v>
      </c>
      <c r="I598" s="20">
        <f ca="1">INDIRECT(_xlfn.TEXTJOIN("",TRUE,A614,"!",ADDRESS(13+(A615-1)*A611,13)))</f>
        <v>0</v>
      </c>
      <c r="J598" s="20">
        <f ca="1">INDIRECT(_xlfn.TEXTJOIN("",TRUE,A614,"!",ADDRESS(13+(A615-1)*A611,14)))</f>
        <v>0</v>
      </c>
    </row>
    <row r="599" spans="1:10" ht="28" customHeight="1" x14ac:dyDescent="0.2">
      <c r="A599" s="35">
        <f ca="1">INDIRECT(_xlfn.TEXTJOIN("",TRUE,A614,"!",ADDRESS(14+(A615-1)*A611,1)))</f>
        <v>0</v>
      </c>
      <c r="B599" s="36"/>
      <c r="C599" s="37">
        <f ca="1">INDIRECT(_xlfn.TEXTJOIN("",TRUE,A614,"!",ADDRESS(14+(A615-1)*A611,2)))</f>
        <v>0</v>
      </c>
      <c r="D599" s="38"/>
      <c r="E599" s="38"/>
      <c r="F599" s="38"/>
      <c r="G599" s="39"/>
      <c r="H599" s="20">
        <f ca="1">INDIRECT(_xlfn.TEXTJOIN("",TRUE,A614,"!",ADDRESS(14+(A615-1)*A611,6)))</f>
        <v>0</v>
      </c>
      <c r="I599" s="20">
        <f ca="1">INDIRECT(_xlfn.TEXTJOIN("",TRUE,A614,"!",ADDRESS(14+(A615-1)*A611,13)))</f>
        <v>0</v>
      </c>
      <c r="J599" s="20">
        <f ca="1">INDIRECT(_xlfn.TEXTJOIN("",TRUE,A614,"!",ADDRESS(14+(A615-1)*A611,14)))</f>
        <v>0</v>
      </c>
    </row>
    <row r="600" spans="1:10" ht="28" customHeight="1" x14ac:dyDescent="0.2">
      <c r="A600" s="35">
        <f ca="1">INDIRECT(_xlfn.TEXTJOIN("",TRUE,A614,"!",ADDRESS(15+(A615-1)*A611,1)))</f>
        <v>0</v>
      </c>
      <c r="B600" s="36"/>
      <c r="C600" s="37">
        <f ca="1">INDIRECT(_xlfn.TEXTJOIN("",TRUE,A614,"!",ADDRESS(15+(A615-1)*A611,2)))</f>
        <v>0</v>
      </c>
      <c r="D600" s="38"/>
      <c r="E600" s="38"/>
      <c r="F600" s="38"/>
      <c r="G600" s="39"/>
      <c r="H600" s="20">
        <f ca="1">INDIRECT(_xlfn.TEXTJOIN("",TRUE,A614,"!",ADDRESS(15+(A615-1)*A611,6)))</f>
        <v>0</v>
      </c>
      <c r="I600" s="20">
        <f ca="1">INDIRECT(_xlfn.TEXTJOIN("",TRUE,A614,"!",ADDRESS(15+(A615-1)*A611,13)))</f>
        <v>0</v>
      </c>
      <c r="J600" s="20">
        <f ca="1">INDIRECT(_xlfn.TEXTJOIN("",TRUE,A614,"!",ADDRESS(15+(A615-1)*A611,14)))</f>
        <v>0</v>
      </c>
    </row>
    <row r="601" spans="1:10" ht="28" customHeight="1" x14ac:dyDescent="0.2">
      <c r="A601" s="35">
        <f ca="1">INDIRECT(_xlfn.TEXTJOIN("",TRUE,A614,"!",ADDRESS(16+(A615-1)*A611,1)))</f>
        <v>0</v>
      </c>
      <c r="B601" s="36"/>
      <c r="C601" s="37">
        <f ca="1">INDIRECT(_xlfn.TEXTJOIN("",TRUE,A614,"!",ADDRESS(16+(A615-1)*A611,2)))</f>
        <v>0</v>
      </c>
      <c r="D601" s="38"/>
      <c r="E601" s="38"/>
      <c r="F601" s="38"/>
      <c r="G601" s="39"/>
      <c r="H601" s="20">
        <f ca="1">INDIRECT(_xlfn.TEXTJOIN("",TRUE,A614,"!",ADDRESS(16+(A615-1)*A611,6)))</f>
        <v>0</v>
      </c>
      <c r="I601" s="20">
        <f ca="1">INDIRECT(_xlfn.TEXTJOIN("",TRUE,A614,"!",ADDRESS(16+(A615-1)*A611,13)))</f>
        <v>0</v>
      </c>
      <c r="J601" s="20">
        <f ca="1">INDIRECT(_xlfn.TEXTJOIN("",TRUE,A614,"!",ADDRESS(16+(A615-1)*A611,14)))</f>
        <v>0</v>
      </c>
    </row>
    <row r="602" spans="1:10" ht="28" customHeight="1" x14ac:dyDescent="0.2">
      <c r="A602" s="35">
        <f ca="1">INDIRECT(_xlfn.TEXTJOIN("",TRUE,A614,"!",ADDRESS(17+(A615-1)*A611,1)))</f>
        <v>0</v>
      </c>
      <c r="B602" s="36"/>
      <c r="C602" s="37">
        <f ca="1">INDIRECT(_xlfn.TEXTJOIN("",TRUE,A614,"!",ADDRESS(17+(A615-1)*A611,2)))</f>
        <v>0</v>
      </c>
      <c r="D602" s="38"/>
      <c r="E602" s="38"/>
      <c r="F602" s="38"/>
      <c r="G602" s="39"/>
      <c r="H602" s="20">
        <f ca="1">INDIRECT(_xlfn.TEXTJOIN("",TRUE,A614,"!",ADDRESS(17+(A615-1)*A611,6)))</f>
        <v>0</v>
      </c>
      <c r="I602" s="20">
        <f ca="1">INDIRECT(_xlfn.TEXTJOIN("",TRUE,A614,"!",ADDRESS(17+(A615-1)*A611,13)))</f>
        <v>0</v>
      </c>
      <c r="J602" s="20">
        <f ca="1">INDIRECT(_xlfn.TEXTJOIN("",TRUE,A614,"!",ADDRESS(17+(A615-1)*A611,14)))</f>
        <v>0</v>
      </c>
    </row>
    <row r="603" spans="1:10" ht="28" customHeight="1" x14ac:dyDescent="0.2">
      <c r="A603" s="35">
        <f ca="1">INDIRECT(_xlfn.TEXTJOIN("",TRUE,A614,"!",ADDRESS(18+(A615-1)*A611,1)))</f>
        <v>0</v>
      </c>
      <c r="B603" s="36"/>
      <c r="C603" s="37">
        <f ca="1">INDIRECT(_xlfn.TEXTJOIN("",TRUE,A614,"!",ADDRESS(18+(A615-1)*A611,2)))</f>
        <v>0</v>
      </c>
      <c r="D603" s="38"/>
      <c r="E603" s="38"/>
      <c r="F603" s="38"/>
      <c r="G603" s="39"/>
      <c r="H603" s="20">
        <f ca="1">INDIRECT(_xlfn.TEXTJOIN("",TRUE,A614,"!",ADDRESS(18+(A615-1)*A611,6)))</f>
        <v>0</v>
      </c>
      <c r="I603" s="20">
        <f ca="1">INDIRECT(_xlfn.TEXTJOIN("",TRUE,A614,"!",ADDRESS(18+(A615-1)*A611,13)))</f>
        <v>0</v>
      </c>
      <c r="J603" s="20">
        <f ca="1">INDIRECT(_xlfn.TEXTJOIN("",TRUE,A614,"!",ADDRESS(18+(A615-1)*A611,14)))</f>
        <v>0</v>
      </c>
    </row>
    <row r="604" spans="1:10" ht="28" customHeight="1" x14ac:dyDescent="0.2">
      <c r="A604" s="35">
        <f ca="1">INDIRECT(_xlfn.TEXTJOIN("",TRUE,A614,"!",ADDRESS(19+(A615-1)*A611,1)))</f>
        <v>0</v>
      </c>
      <c r="B604" s="36"/>
      <c r="C604" s="37">
        <f ca="1">INDIRECT(_xlfn.TEXTJOIN("",TRUE,A614,"!",ADDRESS(19+(A615-1)*A611,2)))</f>
        <v>0</v>
      </c>
      <c r="D604" s="38"/>
      <c r="E604" s="38"/>
      <c r="F604" s="38"/>
      <c r="G604" s="39"/>
      <c r="H604" s="20">
        <f ca="1">INDIRECT(_xlfn.TEXTJOIN("",TRUE,A614,"!",ADDRESS(19+(A615-1)*A611,6)))</f>
        <v>0</v>
      </c>
      <c r="I604" s="20">
        <f ca="1">INDIRECT(_xlfn.TEXTJOIN("",TRUE,A614,"!",ADDRESS(19+(A615-1)*A611,13)))</f>
        <v>0</v>
      </c>
      <c r="J604" s="20">
        <f ca="1">INDIRECT(_xlfn.TEXTJOIN("",TRUE,A614,"!",ADDRESS(19+(A615-1)*A611,14)))</f>
        <v>0</v>
      </c>
    </row>
    <row r="605" spans="1:10" ht="28" customHeight="1" x14ac:dyDescent="0.2">
      <c r="A605" s="35">
        <f ca="1">INDIRECT(_xlfn.TEXTJOIN("",TRUE,A614,"!",ADDRESS(20+(A615-1)*A611,1)))</f>
        <v>0</v>
      </c>
      <c r="B605" s="36"/>
      <c r="C605" s="37">
        <f ca="1">INDIRECT(_xlfn.TEXTJOIN("",TRUE,A614,"!",ADDRESS(20+(A615-1)*A611,2)))</f>
        <v>0</v>
      </c>
      <c r="D605" s="38"/>
      <c r="E605" s="38"/>
      <c r="F605" s="38"/>
      <c r="G605" s="39"/>
      <c r="H605" s="20">
        <f ca="1">INDIRECT(_xlfn.TEXTJOIN("",TRUE,A614,"!",ADDRESS(20+(A615-1)*A611,6)))</f>
        <v>0</v>
      </c>
      <c r="I605" s="20">
        <f ca="1">INDIRECT(_xlfn.TEXTJOIN("",TRUE,A614,"!",ADDRESS(20+(A615-1)*A611,13)))</f>
        <v>0</v>
      </c>
      <c r="J605" s="20">
        <f ca="1">INDIRECT(_xlfn.TEXTJOIN("",TRUE,A614,"!",ADDRESS(20+(A615-1)*A611,14)))</f>
        <v>0</v>
      </c>
    </row>
    <row r="606" spans="1:10" ht="28" customHeight="1" x14ac:dyDescent="0.2">
      <c r="A606" s="35">
        <f ca="1">INDIRECT(_xlfn.TEXTJOIN("",TRUE,A614,"!",ADDRESS(21+(A615-1)*A611,1)))</f>
        <v>0</v>
      </c>
      <c r="B606" s="36"/>
      <c r="C606" s="37">
        <f ca="1">INDIRECT(_xlfn.TEXTJOIN("",TRUE,A614,"!",ADDRESS(21+(A615-1)*A611,2)))</f>
        <v>0</v>
      </c>
      <c r="D606" s="38"/>
      <c r="E606" s="38"/>
      <c r="F606" s="38"/>
      <c r="G606" s="39"/>
      <c r="H606" s="20">
        <f ca="1">INDIRECT(_xlfn.TEXTJOIN("",TRUE,A614,"!",ADDRESS(21+(A615-1)*A611,6)))</f>
        <v>0</v>
      </c>
      <c r="I606" s="20">
        <f ca="1">INDIRECT(_xlfn.TEXTJOIN("",TRUE,A614,"!",ADDRESS(21+(A615-1)*A611,13)))</f>
        <v>0</v>
      </c>
      <c r="J606" s="20">
        <f ca="1">INDIRECT(_xlfn.TEXTJOIN("",TRUE,A614,"!",ADDRESS(21+(A615-1)*A611,14)))</f>
        <v>0</v>
      </c>
    </row>
    <row r="607" spans="1:10" ht="28" customHeight="1" x14ac:dyDescent="0.2">
      <c r="A607" s="35">
        <f ca="1">INDIRECT(_xlfn.TEXTJOIN("",TRUE,A614,"!",ADDRESS(22+(A615-1)*A611,1)))</f>
        <v>0</v>
      </c>
      <c r="B607" s="36"/>
      <c r="C607" s="37">
        <f ca="1">INDIRECT(_xlfn.TEXTJOIN("",TRUE,A614,"!",ADDRESS(22+(A615-1)*A611,2)))</f>
        <v>0</v>
      </c>
      <c r="D607" s="38"/>
      <c r="E607" s="38"/>
      <c r="F607" s="38"/>
      <c r="G607" s="39"/>
      <c r="H607" s="20">
        <f ca="1">INDIRECT(_xlfn.TEXTJOIN("",TRUE,A614,"!",ADDRESS(22+(A615-1)*A611,6)))</f>
        <v>0</v>
      </c>
      <c r="I607" s="20">
        <f ca="1">INDIRECT(_xlfn.TEXTJOIN("",TRUE,A614,"!",ADDRESS(22+(A615-1)*A611,13)))</f>
        <v>0</v>
      </c>
      <c r="J607" s="20">
        <f ca="1">INDIRECT(_xlfn.TEXTJOIN("",TRUE,A614,"!",ADDRESS(22+(A615-1)*A611,14)))</f>
        <v>0</v>
      </c>
    </row>
    <row r="608" spans="1:10" ht="28" customHeight="1" x14ac:dyDescent="0.2">
      <c r="A608" s="35">
        <f ca="1">INDIRECT(_xlfn.TEXTJOIN("",TRUE,A614,"!",ADDRESS(23+(A615-1)*A611,1)))</f>
        <v>0</v>
      </c>
      <c r="B608" s="36"/>
      <c r="C608" s="37">
        <f ca="1">INDIRECT(_xlfn.TEXTJOIN("",TRUE,A614,"!",ADDRESS(23+(A615-1)*A611,2)))</f>
        <v>0</v>
      </c>
      <c r="D608" s="38"/>
      <c r="E608" s="38"/>
      <c r="F608" s="38"/>
      <c r="G608" s="39"/>
      <c r="H608" s="20">
        <f ca="1">INDIRECT(_xlfn.TEXTJOIN("",TRUE,A614,"!",ADDRESS(23+(A615-1)*A611,6)))</f>
        <v>0</v>
      </c>
      <c r="I608" s="20">
        <f ca="1">INDIRECT(_xlfn.TEXTJOIN("",TRUE,A614,"!",ADDRESS(23+(A615-1)*A611,13)))</f>
        <v>0</v>
      </c>
      <c r="J608" s="20">
        <f ca="1">INDIRECT(_xlfn.TEXTJOIN("",TRUE,A614,"!",ADDRESS(23+(A615-1)*A611,14)))</f>
        <v>0</v>
      </c>
    </row>
    <row r="609" spans="1:10" ht="28" customHeight="1" x14ac:dyDescent="0.2">
      <c r="A609" s="35">
        <f ca="1">INDIRECT(_xlfn.TEXTJOIN("",TRUE,A614,"!",ADDRESS(24+(A615-1)*A611,1)))</f>
        <v>0</v>
      </c>
      <c r="B609" s="36"/>
      <c r="C609" s="37">
        <f ca="1">INDIRECT(_xlfn.TEXTJOIN("",TRUE,A614,"!",ADDRESS(24+(A615-1)*A611,2)))</f>
        <v>0</v>
      </c>
      <c r="D609" s="38"/>
      <c r="E609" s="38"/>
      <c r="F609" s="38"/>
      <c r="G609" s="39"/>
      <c r="H609" s="20">
        <f ca="1">INDIRECT(_xlfn.TEXTJOIN("",TRUE,A614,"!",ADDRESS(24+(A615-1)*A611,6)))</f>
        <v>0</v>
      </c>
      <c r="I609" s="40">
        <f ca="1">INDIRECT(_xlfn.TEXTJOIN("",TRUE,A614,"!",ADDRESS(24+(A615-1)*A611,13)))</f>
        <v>0</v>
      </c>
      <c r="J609" s="41"/>
    </row>
    <row r="610" spans="1:10" ht="28" customHeight="1" x14ac:dyDescent="0.2">
      <c r="A610" s="42" t="s">
        <v>52</v>
      </c>
      <c r="B610" s="42"/>
      <c r="C610" s="42"/>
      <c r="D610" s="42"/>
      <c r="E610" s="42"/>
      <c r="F610" s="42"/>
      <c r="G610" s="42"/>
      <c r="H610" s="16">
        <f ca="1">SUM(H598:H609)</f>
        <v>0</v>
      </c>
      <c r="I610" s="16" t="s">
        <v>44</v>
      </c>
      <c r="J610" s="16">
        <f ca="1">SUMPRODUCT(J598:J608,H598:H608)</f>
        <v>0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43" t="s">
        <v>40</v>
      </c>
      <c r="B612" s="43"/>
      <c r="C612" s="21">
        <f ca="1">INDIRECT(_xlfn.TEXTJOIN("",TRUE,A614,"!",ADDRESS(5+A615*A611,12)))</f>
        <v>0</v>
      </c>
      <c r="D612" s="43" t="s">
        <v>38</v>
      </c>
      <c r="E612" s="43"/>
      <c r="F612" s="18">
        <f ca="1">INDIRECT(_xlfn.TEXTJOIN("",TRUE,A614,"!",ADDRESS(5+A615*A611,8)))</f>
        <v>0</v>
      </c>
      <c r="G612" s="43" t="s">
        <v>39</v>
      </c>
      <c r="H612" s="43"/>
      <c r="I612" s="44">
        <f ca="1">INDIRECT(_xlfn.TEXTJOIN("",TRUE,A614,"!",ADDRESS(5+A615*A611,10)))</f>
        <v>0</v>
      </c>
      <c r="J612" s="44"/>
    </row>
    <row r="613" spans="1:10" ht="28" customHeight="1" x14ac:dyDescent="0.2">
      <c r="A613" s="19" t="s">
        <v>36</v>
      </c>
      <c r="B613" s="45">
        <f ca="1">INDIRECT(_xlfn.TEXTJOIN("",TRUE,A614,"!",ADDRESS(5+A615*A611,2)))</f>
        <v>0</v>
      </c>
      <c r="C613" s="45"/>
      <c r="D613" s="46" t="s">
        <v>37</v>
      </c>
      <c r="E613" s="46"/>
      <c r="F613" s="47">
        <f ca="1">INDIRECT(_xlfn.TEXTJOIN("",TRUE,A614,"!",ADDRESS(5+A615*A611,5)))</f>
        <v>0</v>
      </c>
      <c r="G613" s="47"/>
      <c r="H613" s="47"/>
      <c r="I613" s="47"/>
      <c r="J613" s="47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48" t="s">
        <v>24</v>
      </c>
      <c r="B616" s="48"/>
      <c r="C616" s="48">
        <f ca="1">INDIRECT(_xlfn.TEXTJOIN("",TRUE,A635,"!",ADDRESS(9+(A636-1)*A632,2)))</f>
        <v>0</v>
      </c>
      <c r="D616" s="48"/>
      <c r="E616" s="48"/>
      <c r="F616" s="48" t="s">
        <v>50</v>
      </c>
      <c r="G616" s="48"/>
      <c r="H616" s="48"/>
      <c r="I616" s="49">
        <f ca="1">INDIRECT(_xlfn.TEXTJOIN("",TRUE,A635,"!",ADDRESS(9+(A636-1)*A632,9)))</f>
        <v>0</v>
      </c>
      <c r="J616" s="49"/>
    </row>
    <row r="617" spans="1:10" ht="28" customHeight="1" x14ac:dyDescent="0.2">
      <c r="A617" s="48" t="s">
        <v>25</v>
      </c>
      <c r="B617" s="48"/>
      <c r="C617" s="48">
        <f ca="1">INDIRECT(_xlfn.TEXTJOIN("",TRUE,A635,"!",ADDRESS(9+(A636-1)*A632,5)))</f>
        <v>0</v>
      </c>
      <c r="D617" s="48"/>
      <c r="E617" s="48"/>
      <c r="F617" s="50" t="s">
        <v>51</v>
      </c>
      <c r="G617" s="50"/>
      <c r="H617" s="50"/>
      <c r="I617" s="49">
        <f ca="1">INDIRECT(_xlfn.TEXTJOIN("",TRUE,A635,"!",ADDRESS(9+(A636-1)*A632,13)))</f>
        <v>0</v>
      </c>
      <c r="J617" s="49"/>
    </row>
    <row r="618" spans="1:10" ht="28" customHeight="1" x14ac:dyDescent="0.2">
      <c r="A618" s="45" t="s">
        <v>28</v>
      </c>
      <c r="B618" s="45"/>
      <c r="C618" s="45" t="s">
        <v>29</v>
      </c>
      <c r="D618" s="45"/>
      <c r="E618" s="45"/>
      <c r="F618" s="45"/>
      <c r="G618" s="45"/>
      <c r="H618" s="15" t="s">
        <v>30</v>
      </c>
      <c r="I618" s="15" t="s">
        <v>10</v>
      </c>
      <c r="J618" s="15" t="s">
        <v>34</v>
      </c>
    </row>
    <row r="619" spans="1:10" ht="28" customHeight="1" x14ac:dyDescent="0.2">
      <c r="A619" s="35">
        <f ca="1">INDIRECT(_xlfn.TEXTJOIN("",TRUE,A635,"!",ADDRESS(13+(A636-1)*A632,1)))</f>
        <v>0</v>
      </c>
      <c r="B619" s="36"/>
      <c r="C619" s="37">
        <f ca="1">INDIRECT(_xlfn.TEXTJOIN("",TRUE,A635,"!",ADDRESS(13+(A636-1)*A632,2)))</f>
        <v>0</v>
      </c>
      <c r="D619" s="38"/>
      <c r="E619" s="38"/>
      <c r="F619" s="38"/>
      <c r="G619" s="39"/>
      <c r="H619" s="20">
        <f ca="1">INDIRECT(_xlfn.TEXTJOIN("",TRUE,A635,"!",ADDRESS(13+(A636-1)*A632,6)))</f>
        <v>0</v>
      </c>
      <c r="I619" s="20">
        <f ca="1">INDIRECT(_xlfn.TEXTJOIN("",TRUE,A635,"!",ADDRESS(13+(A636-1)*A632,13)))</f>
        <v>0</v>
      </c>
      <c r="J619" s="20">
        <f ca="1">INDIRECT(_xlfn.TEXTJOIN("",TRUE,A635,"!",ADDRESS(13+(A636-1)*A632,14)))</f>
        <v>0</v>
      </c>
    </row>
    <row r="620" spans="1:10" ht="28" customHeight="1" x14ac:dyDescent="0.2">
      <c r="A620" s="35">
        <f ca="1">INDIRECT(_xlfn.TEXTJOIN("",TRUE,A635,"!",ADDRESS(14+(A636-1)*A632,1)))</f>
        <v>0</v>
      </c>
      <c r="B620" s="36"/>
      <c r="C620" s="37">
        <f ca="1">INDIRECT(_xlfn.TEXTJOIN("",TRUE,A635,"!",ADDRESS(14+(A636-1)*A632,2)))</f>
        <v>0</v>
      </c>
      <c r="D620" s="38"/>
      <c r="E620" s="38"/>
      <c r="F620" s="38"/>
      <c r="G620" s="39"/>
      <c r="H620" s="20">
        <f ca="1">INDIRECT(_xlfn.TEXTJOIN("",TRUE,A635,"!",ADDRESS(14+(A636-1)*A632,6)))</f>
        <v>0</v>
      </c>
      <c r="I620" s="20">
        <f ca="1">INDIRECT(_xlfn.TEXTJOIN("",TRUE,A635,"!",ADDRESS(14+(A636-1)*A632,13)))</f>
        <v>0</v>
      </c>
      <c r="J620" s="20">
        <f ca="1">INDIRECT(_xlfn.TEXTJOIN("",TRUE,A635,"!",ADDRESS(14+(A636-1)*A632,14)))</f>
        <v>0</v>
      </c>
    </row>
    <row r="621" spans="1:10" ht="28" customHeight="1" x14ac:dyDescent="0.2">
      <c r="A621" s="35">
        <f ca="1">INDIRECT(_xlfn.TEXTJOIN("",TRUE,A635,"!",ADDRESS(15+(A636-1)*A632,1)))</f>
        <v>0</v>
      </c>
      <c r="B621" s="36"/>
      <c r="C621" s="37">
        <f ca="1">INDIRECT(_xlfn.TEXTJOIN("",TRUE,A635,"!",ADDRESS(15+(A636-1)*A632,2)))</f>
        <v>0</v>
      </c>
      <c r="D621" s="38"/>
      <c r="E621" s="38"/>
      <c r="F621" s="38"/>
      <c r="G621" s="39"/>
      <c r="H621" s="20">
        <f ca="1">INDIRECT(_xlfn.TEXTJOIN("",TRUE,A635,"!",ADDRESS(15+(A636-1)*A632,6)))</f>
        <v>0</v>
      </c>
      <c r="I621" s="20">
        <f ca="1">INDIRECT(_xlfn.TEXTJOIN("",TRUE,A635,"!",ADDRESS(15+(A636-1)*A632,13)))</f>
        <v>0</v>
      </c>
      <c r="J621" s="20">
        <f ca="1">INDIRECT(_xlfn.TEXTJOIN("",TRUE,A635,"!",ADDRESS(15+(A636-1)*A632,14)))</f>
        <v>0</v>
      </c>
    </row>
    <row r="622" spans="1:10" ht="28" customHeight="1" x14ac:dyDescent="0.2">
      <c r="A622" s="35">
        <f ca="1">INDIRECT(_xlfn.TEXTJOIN("",TRUE,A635,"!",ADDRESS(16+(A636-1)*A632,1)))</f>
        <v>0</v>
      </c>
      <c r="B622" s="36"/>
      <c r="C622" s="37">
        <f ca="1">INDIRECT(_xlfn.TEXTJOIN("",TRUE,A635,"!",ADDRESS(16+(A636-1)*A632,2)))</f>
        <v>0</v>
      </c>
      <c r="D622" s="38"/>
      <c r="E622" s="38"/>
      <c r="F622" s="38"/>
      <c r="G622" s="39"/>
      <c r="H622" s="20">
        <f ca="1">INDIRECT(_xlfn.TEXTJOIN("",TRUE,A635,"!",ADDRESS(16+(A636-1)*A632,6)))</f>
        <v>0</v>
      </c>
      <c r="I622" s="20">
        <f ca="1">INDIRECT(_xlfn.TEXTJOIN("",TRUE,A635,"!",ADDRESS(16+(A636-1)*A632,13)))</f>
        <v>0</v>
      </c>
      <c r="J622" s="20">
        <f ca="1">INDIRECT(_xlfn.TEXTJOIN("",TRUE,A635,"!",ADDRESS(16+(A636-1)*A632,14)))</f>
        <v>0</v>
      </c>
    </row>
    <row r="623" spans="1:10" ht="28" customHeight="1" x14ac:dyDescent="0.2">
      <c r="A623" s="35">
        <f ca="1">INDIRECT(_xlfn.TEXTJOIN("",TRUE,A635,"!",ADDRESS(17+(A636-1)*A632,1)))</f>
        <v>0</v>
      </c>
      <c r="B623" s="36"/>
      <c r="C623" s="37">
        <f ca="1">INDIRECT(_xlfn.TEXTJOIN("",TRUE,A635,"!",ADDRESS(17+(A636-1)*A632,2)))</f>
        <v>0</v>
      </c>
      <c r="D623" s="38"/>
      <c r="E623" s="38"/>
      <c r="F623" s="38"/>
      <c r="G623" s="39"/>
      <c r="H623" s="20">
        <f ca="1">INDIRECT(_xlfn.TEXTJOIN("",TRUE,A635,"!",ADDRESS(17+(A636-1)*A632,6)))</f>
        <v>0</v>
      </c>
      <c r="I623" s="20">
        <f ca="1">INDIRECT(_xlfn.TEXTJOIN("",TRUE,A635,"!",ADDRESS(17+(A636-1)*A632,13)))</f>
        <v>0</v>
      </c>
      <c r="J623" s="20">
        <f ca="1">INDIRECT(_xlfn.TEXTJOIN("",TRUE,A635,"!",ADDRESS(17+(A636-1)*A632,14)))</f>
        <v>0</v>
      </c>
    </row>
    <row r="624" spans="1:10" ht="28" customHeight="1" x14ac:dyDescent="0.2">
      <c r="A624" s="35">
        <f ca="1">INDIRECT(_xlfn.TEXTJOIN("",TRUE,A635,"!",ADDRESS(18+(A636-1)*A632,1)))</f>
        <v>0</v>
      </c>
      <c r="B624" s="36"/>
      <c r="C624" s="37">
        <f ca="1">INDIRECT(_xlfn.TEXTJOIN("",TRUE,A635,"!",ADDRESS(18+(A636-1)*A632,2)))</f>
        <v>0</v>
      </c>
      <c r="D624" s="38"/>
      <c r="E624" s="38"/>
      <c r="F624" s="38"/>
      <c r="G624" s="39"/>
      <c r="H624" s="20">
        <f ca="1">INDIRECT(_xlfn.TEXTJOIN("",TRUE,A635,"!",ADDRESS(18+(A636-1)*A632,6)))</f>
        <v>0</v>
      </c>
      <c r="I624" s="20">
        <f ca="1">INDIRECT(_xlfn.TEXTJOIN("",TRUE,A635,"!",ADDRESS(18+(A636-1)*A632,13)))</f>
        <v>0</v>
      </c>
      <c r="J624" s="20">
        <f ca="1">INDIRECT(_xlfn.TEXTJOIN("",TRUE,A635,"!",ADDRESS(18+(A636-1)*A632,14)))</f>
        <v>0</v>
      </c>
    </row>
    <row r="625" spans="1:10" ht="28" customHeight="1" x14ac:dyDescent="0.2">
      <c r="A625" s="35">
        <f ca="1">INDIRECT(_xlfn.TEXTJOIN("",TRUE,A635,"!",ADDRESS(19+(A636-1)*A632,1)))</f>
        <v>0</v>
      </c>
      <c r="B625" s="36"/>
      <c r="C625" s="37">
        <f ca="1">INDIRECT(_xlfn.TEXTJOIN("",TRUE,A635,"!",ADDRESS(19+(A636-1)*A632,2)))</f>
        <v>0</v>
      </c>
      <c r="D625" s="38"/>
      <c r="E625" s="38"/>
      <c r="F625" s="38"/>
      <c r="G625" s="39"/>
      <c r="H625" s="20">
        <f ca="1">INDIRECT(_xlfn.TEXTJOIN("",TRUE,A635,"!",ADDRESS(19+(A636-1)*A632,6)))</f>
        <v>0</v>
      </c>
      <c r="I625" s="20">
        <f ca="1">INDIRECT(_xlfn.TEXTJOIN("",TRUE,A635,"!",ADDRESS(19+(A636-1)*A632,13)))</f>
        <v>0</v>
      </c>
      <c r="J625" s="20">
        <f ca="1">INDIRECT(_xlfn.TEXTJOIN("",TRUE,A635,"!",ADDRESS(19+(A636-1)*A632,14)))</f>
        <v>0</v>
      </c>
    </row>
    <row r="626" spans="1:10" ht="28" customHeight="1" x14ac:dyDescent="0.2">
      <c r="A626" s="35">
        <f ca="1">INDIRECT(_xlfn.TEXTJOIN("",TRUE,A635,"!",ADDRESS(20+(A636-1)*A632,1)))</f>
        <v>0</v>
      </c>
      <c r="B626" s="36"/>
      <c r="C626" s="37">
        <f ca="1">INDIRECT(_xlfn.TEXTJOIN("",TRUE,A635,"!",ADDRESS(20+(A636-1)*A632,2)))</f>
        <v>0</v>
      </c>
      <c r="D626" s="38"/>
      <c r="E626" s="38"/>
      <c r="F626" s="38"/>
      <c r="G626" s="39"/>
      <c r="H626" s="20">
        <f ca="1">INDIRECT(_xlfn.TEXTJOIN("",TRUE,A635,"!",ADDRESS(20+(A636-1)*A632,6)))</f>
        <v>0</v>
      </c>
      <c r="I626" s="20">
        <f ca="1">INDIRECT(_xlfn.TEXTJOIN("",TRUE,A635,"!",ADDRESS(20+(A636-1)*A632,13)))</f>
        <v>0</v>
      </c>
      <c r="J626" s="20">
        <f ca="1">INDIRECT(_xlfn.TEXTJOIN("",TRUE,A635,"!",ADDRESS(20+(A636-1)*A632,14)))</f>
        <v>0</v>
      </c>
    </row>
    <row r="627" spans="1:10" ht="28" customHeight="1" x14ac:dyDescent="0.2">
      <c r="A627" s="35">
        <f ca="1">INDIRECT(_xlfn.TEXTJOIN("",TRUE,A635,"!",ADDRESS(21+(A636-1)*A632,1)))</f>
        <v>0</v>
      </c>
      <c r="B627" s="36"/>
      <c r="C627" s="37">
        <f ca="1">INDIRECT(_xlfn.TEXTJOIN("",TRUE,A635,"!",ADDRESS(21+(A636-1)*A632,2)))</f>
        <v>0</v>
      </c>
      <c r="D627" s="38"/>
      <c r="E627" s="38"/>
      <c r="F627" s="38"/>
      <c r="G627" s="39"/>
      <c r="H627" s="20">
        <f ca="1">INDIRECT(_xlfn.TEXTJOIN("",TRUE,A635,"!",ADDRESS(21+(A636-1)*A632,6)))</f>
        <v>0</v>
      </c>
      <c r="I627" s="20">
        <f ca="1">INDIRECT(_xlfn.TEXTJOIN("",TRUE,A635,"!",ADDRESS(21+(A636-1)*A632,13)))</f>
        <v>0</v>
      </c>
      <c r="J627" s="20">
        <f ca="1">INDIRECT(_xlfn.TEXTJOIN("",TRUE,A635,"!",ADDRESS(21+(A636-1)*A632,14)))</f>
        <v>0</v>
      </c>
    </row>
    <row r="628" spans="1:10" ht="28" customHeight="1" x14ac:dyDescent="0.2">
      <c r="A628" s="35">
        <f ca="1">INDIRECT(_xlfn.TEXTJOIN("",TRUE,A635,"!",ADDRESS(22+(A636-1)*A632,1)))</f>
        <v>0</v>
      </c>
      <c r="B628" s="36"/>
      <c r="C628" s="37">
        <f ca="1">INDIRECT(_xlfn.TEXTJOIN("",TRUE,A635,"!",ADDRESS(22+(A636-1)*A632,2)))</f>
        <v>0</v>
      </c>
      <c r="D628" s="38"/>
      <c r="E628" s="38"/>
      <c r="F628" s="38"/>
      <c r="G628" s="39"/>
      <c r="H628" s="20">
        <f ca="1">INDIRECT(_xlfn.TEXTJOIN("",TRUE,A635,"!",ADDRESS(22+(A636-1)*A632,6)))</f>
        <v>0</v>
      </c>
      <c r="I628" s="20">
        <f ca="1">INDIRECT(_xlfn.TEXTJOIN("",TRUE,A635,"!",ADDRESS(22+(A636-1)*A632,13)))</f>
        <v>0</v>
      </c>
      <c r="J628" s="20">
        <f ca="1">INDIRECT(_xlfn.TEXTJOIN("",TRUE,A635,"!",ADDRESS(22+(A636-1)*A632,14)))</f>
        <v>0</v>
      </c>
    </row>
    <row r="629" spans="1:10" ht="28" customHeight="1" x14ac:dyDescent="0.2">
      <c r="A629" s="35">
        <f ca="1">INDIRECT(_xlfn.TEXTJOIN("",TRUE,A635,"!",ADDRESS(23+(A636-1)*A632,1)))</f>
        <v>0</v>
      </c>
      <c r="B629" s="36"/>
      <c r="C629" s="37">
        <f ca="1">INDIRECT(_xlfn.TEXTJOIN("",TRUE,A635,"!",ADDRESS(23+(A636-1)*A632,2)))</f>
        <v>0</v>
      </c>
      <c r="D629" s="38"/>
      <c r="E629" s="38"/>
      <c r="F629" s="38"/>
      <c r="G629" s="39"/>
      <c r="H629" s="20">
        <f ca="1">INDIRECT(_xlfn.TEXTJOIN("",TRUE,A635,"!",ADDRESS(23+(A636-1)*A632,6)))</f>
        <v>0</v>
      </c>
      <c r="I629" s="20">
        <f ca="1">INDIRECT(_xlfn.TEXTJOIN("",TRUE,A635,"!",ADDRESS(23+(A636-1)*A632,13)))</f>
        <v>0</v>
      </c>
      <c r="J629" s="20">
        <f ca="1">INDIRECT(_xlfn.TEXTJOIN("",TRUE,A635,"!",ADDRESS(23+(A636-1)*A632,14)))</f>
        <v>0</v>
      </c>
    </row>
    <row r="630" spans="1:10" ht="28" customHeight="1" x14ac:dyDescent="0.2">
      <c r="A630" s="35">
        <f ca="1">INDIRECT(_xlfn.TEXTJOIN("",TRUE,A635,"!",ADDRESS(24+(A636-1)*A632,1)))</f>
        <v>0</v>
      </c>
      <c r="B630" s="36"/>
      <c r="C630" s="37">
        <f ca="1">INDIRECT(_xlfn.TEXTJOIN("",TRUE,A635,"!",ADDRESS(24+(A636-1)*A632,2)))</f>
        <v>0</v>
      </c>
      <c r="D630" s="38"/>
      <c r="E630" s="38"/>
      <c r="F630" s="38"/>
      <c r="G630" s="39"/>
      <c r="H630" s="20">
        <f ca="1">INDIRECT(_xlfn.TEXTJOIN("",TRUE,A635,"!",ADDRESS(24+(A636-1)*A632,6)))</f>
        <v>0</v>
      </c>
      <c r="I630" s="40">
        <f ca="1">INDIRECT(_xlfn.TEXTJOIN("",TRUE,A635,"!",ADDRESS(24+(A636-1)*A632,13)))</f>
        <v>0</v>
      </c>
      <c r="J630" s="41"/>
    </row>
    <row r="631" spans="1:10" ht="28" customHeight="1" x14ac:dyDescent="0.2">
      <c r="A631" s="42" t="s">
        <v>52</v>
      </c>
      <c r="B631" s="42"/>
      <c r="C631" s="42"/>
      <c r="D631" s="42"/>
      <c r="E631" s="42"/>
      <c r="F631" s="42"/>
      <c r="G631" s="42"/>
      <c r="H631" s="16">
        <f ca="1">SUM(H619:H630)</f>
        <v>0</v>
      </c>
      <c r="I631" s="16" t="s">
        <v>44</v>
      </c>
      <c r="J631" s="16">
        <f ca="1">SUMPRODUCT(J619:J629,H619:H629)</f>
        <v>0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43" t="s">
        <v>40</v>
      </c>
      <c r="B633" s="43"/>
      <c r="C633" s="21">
        <f ca="1">INDIRECT(_xlfn.TEXTJOIN("",TRUE,A635,"!",ADDRESS(5+A636*A632,12)))</f>
        <v>0</v>
      </c>
      <c r="D633" s="43" t="s">
        <v>38</v>
      </c>
      <c r="E633" s="43"/>
      <c r="F633" s="18">
        <f ca="1">INDIRECT(_xlfn.TEXTJOIN("",TRUE,A635,"!",ADDRESS(5+A636*A632,8)))</f>
        <v>0</v>
      </c>
      <c r="G633" s="43" t="s">
        <v>39</v>
      </c>
      <c r="H633" s="43"/>
      <c r="I633" s="44">
        <f ca="1">INDIRECT(_xlfn.TEXTJOIN("",TRUE,A635,"!",ADDRESS(5+A636*A632,10)))</f>
        <v>0</v>
      </c>
      <c r="J633" s="44"/>
    </row>
    <row r="634" spans="1:10" ht="28" customHeight="1" x14ac:dyDescent="0.2">
      <c r="A634" s="19" t="s">
        <v>36</v>
      </c>
      <c r="B634" s="45">
        <f ca="1">INDIRECT(_xlfn.TEXTJOIN("",TRUE,A635,"!",ADDRESS(5+A636*A632,2)))</f>
        <v>0</v>
      </c>
      <c r="C634" s="45"/>
      <c r="D634" s="46" t="s">
        <v>37</v>
      </c>
      <c r="E634" s="46"/>
      <c r="F634" s="47">
        <f ca="1">INDIRECT(_xlfn.TEXTJOIN("",TRUE,A635,"!",ADDRESS(5+A636*A632,5)))</f>
        <v>0</v>
      </c>
      <c r="G634" s="47"/>
      <c r="H634" s="47"/>
      <c r="I634" s="47"/>
      <c r="J634" s="47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48" t="s">
        <v>24</v>
      </c>
      <c r="B637" s="48"/>
      <c r="C637" s="48">
        <f ca="1">INDIRECT(_xlfn.TEXTJOIN("",TRUE,A656,"!",ADDRESS(9+(A657-1)*A653,2)))</f>
        <v>0</v>
      </c>
      <c r="D637" s="48"/>
      <c r="E637" s="48"/>
      <c r="F637" s="48" t="s">
        <v>50</v>
      </c>
      <c r="G637" s="48"/>
      <c r="H637" s="48"/>
      <c r="I637" s="49">
        <f ca="1">INDIRECT(_xlfn.TEXTJOIN("",TRUE,A656,"!",ADDRESS(9+(A657-1)*A653,9)))</f>
        <v>0</v>
      </c>
      <c r="J637" s="49"/>
    </row>
    <row r="638" spans="1:10" ht="28" customHeight="1" x14ac:dyDescent="0.2">
      <c r="A638" s="48" t="s">
        <v>25</v>
      </c>
      <c r="B638" s="48"/>
      <c r="C638" s="48">
        <f ca="1">INDIRECT(_xlfn.TEXTJOIN("",TRUE,A656,"!",ADDRESS(9+(A657-1)*A653,5)))</f>
        <v>0</v>
      </c>
      <c r="D638" s="48"/>
      <c r="E638" s="48"/>
      <c r="F638" s="50" t="s">
        <v>51</v>
      </c>
      <c r="G638" s="50"/>
      <c r="H638" s="50"/>
      <c r="I638" s="49">
        <f ca="1">INDIRECT(_xlfn.TEXTJOIN("",TRUE,A656,"!",ADDRESS(9+(A657-1)*A653,13)))</f>
        <v>0</v>
      </c>
      <c r="J638" s="49"/>
    </row>
    <row r="639" spans="1:10" ht="28" customHeight="1" x14ac:dyDescent="0.2">
      <c r="A639" s="45" t="s">
        <v>28</v>
      </c>
      <c r="B639" s="45"/>
      <c r="C639" s="45" t="s">
        <v>29</v>
      </c>
      <c r="D639" s="45"/>
      <c r="E639" s="45"/>
      <c r="F639" s="45"/>
      <c r="G639" s="45"/>
      <c r="H639" s="15" t="s">
        <v>30</v>
      </c>
      <c r="I639" s="15" t="s">
        <v>10</v>
      </c>
      <c r="J639" s="15" t="s">
        <v>34</v>
      </c>
    </row>
    <row r="640" spans="1:10" ht="28" customHeight="1" x14ac:dyDescent="0.2">
      <c r="A640" s="35">
        <f ca="1">INDIRECT(_xlfn.TEXTJOIN("",TRUE,A656,"!",ADDRESS(13+(A657-1)*A653,1)))</f>
        <v>0</v>
      </c>
      <c r="B640" s="36"/>
      <c r="C640" s="37">
        <f ca="1">INDIRECT(_xlfn.TEXTJOIN("",TRUE,A656,"!",ADDRESS(13+(A657-1)*A653,2)))</f>
        <v>0</v>
      </c>
      <c r="D640" s="38"/>
      <c r="E640" s="38"/>
      <c r="F640" s="38"/>
      <c r="G640" s="39"/>
      <c r="H640" s="20">
        <f ca="1">INDIRECT(_xlfn.TEXTJOIN("",TRUE,A656,"!",ADDRESS(13+(A657-1)*A653,6)))</f>
        <v>0</v>
      </c>
      <c r="I640" s="20">
        <f ca="1">INDIRECT(_xlfn.TEXTJOIN("",TRUE,A656,"!",ADDRESS(13+(A657-1)*A653,13)))</f>
        <v>0</v>
      </c>
      <c r="J640" s="20">
        <f ca="1">INDIRECT(_xlfn.TEXTJOIN("",TRUE,A656,"!",ADDRESS(13+(A657-1)*A653,14)))</f>
        <v>0</v>
      </c>
    </row>
    <row r="641" spans="1:10" ht="28" customHeight="1" x14ac:dyDescent="0.2">
      <c r="A641" s="35">
        <f ca="1">INDIRECT(_xlfn.TEXTJOIN("",TRUE,A656,"!",ADDRESS(14+(A657-1)*A653,1)))</f>
        <v>0</v>
      </c>
      <c r="B641" s="36"/>
      <c r="C641" s="37">
        <f ca="1">INDIRECT(_xlfn.TEXTJOIN("",TRUE,A656,"!",ADDRESS(14+(A657-1)*A653,2)))</f>
        <v>0</v>
      </c>
      <c r="D641" s="38"/>
      <c r="E641" s="38"/>
      <c r="F641" s="38"/>
      <c r="G641" s="39"/>
      <c r="H641" s="20">
        <f ca="1">INDIRECT(_xlfn.TEXTJOIN("",TRUE,A656,"!",ADDRESS(14+(A657-1)*A653,6)))</f>
        <v>0</v>
      </c>
      <c r="I641" s="20">
        <f ca="1">INDIRECT(_xlfn.TEXTJOIN("",TRUE,A656,"!",ADDRESS(14+(A657-1)*A653,13)))</f>
        <v>0</v>
      </c>
      <c r="J641" s="20">
        <f ca="1">INDIRECT(_xlfn.TEXTJOIN("",TRUE,A656,"!",ADDRESS(14+(A657-1)*A653,14)))</f>
        <v>0</v>
      </c>
    </row>
    <row r="642" spans="1:10" ht="28" customHeight="1" x14ac:dyDescent="0.2">
      <c r="A642" s="35">
        <f ca="1">INDIRECT(_xlfn.TEXTJOIN("",TRUE,A656,"!",ADDRESS(15+(A657-1)*A653,1)))</f>
        <v>0</v>
      </c>
      <c r="B642" s="36"/>
      <c r="C642" s="37">
        <f ca="1">INDIRECT(_xlfn.TEXTJOIN("",TRUE,A656,"!",ADDRESS(15+(A657-1)*A653,2)))</f>
        <v>0</v>
      </c>
      <c r="D642" s="38"/>
      <c r="E642" s="38"/>
      <c r="F642" s="38"/>
      <c r="G642" s="39"/>
      <c r="H642" s="20">
        <f ca="1">INDIRECT(_xlfn.TEXTJOIN("",TRUE,A656,"!",ADDRESS(15+(A657-1)*A653,6)))</f>
        <v>0</v>
      </c>
      <c r="I642" s="20">
        <f ca="1">INDIRECT(_xlfn.TEXTJOIN("",TRUE,A656,"!",ADDRESS(15+(A657-1)*A653,13)))</f>
        <v>0</v>
      </c>
      <c r="J642" s="20">
        <f ca="1">INDIRECT(_xlfn.TEXTJOIN("",TRUE,A656,"!",ADDRESS(15+(A657-1)*A653,14)))</f>
        <v>0</v>
      </c>
    </row>
    <row r="643" spans="1:10" ht="28" customHeight="1" x14ac:dyDescent="0.2">
      <c r="A643" s="35">
        <f ca="1">INDIRECT(_xlfn.TEXTJOIN("",TRUE,A656,"!",ADDRESS(16+(A657-1)*A653,1)))</f>
        <v>0</v>
      </c>
      <c r="B643" s="36"/>
      <c r="C643" s="37">
        <f ca="1">INDIRECT(_xlfn.TEXTJOIN("",TRUE,A656,"!",ADDRESS(16+(A657-1)*A653,2)))</f>
        <v>0</v>
      </c>
      <c r="D643" s="38"/>
      <c r="E643" s="38"/>
      <c r="F643" s="38"/>
      <c r="G643" s="39"/>
      <c r="H643" s="20">
        <f ca="1">INDIRECT(_xlfn.TEXTJOIN("",TRUE,A656,"!",ADDRESS(16+(A657-1)*A653,6)))</f>
        <v>0</v>
      </c>
      <c r="I643" s="20">
        <f ca="1">INDIRECT(_xlfn.TEXTJOIN("",TRUE,A656,"!",ADDRESS(16+(A657-1)*A653,13)))</f>
        <v>0</v>
      </c>
      <c r="J643" s="20">
        <f ca="1">INDIRECT(_xlfn.TEXTJOIN("",TRUE,A656,"!",ADDRESS(16+(A657-1)*A653,14)))</f>
        <v>0</v>
      </c>
    </row>
    <row r="644" spans="1:10" ht="28" customHeight="1" x14ac:dyDescent="0.2">
      <c r="A644" s="35">
        <f ca="1">INDIRECT(_xlfn.TEXTJOIN("",TRUE,A656,"!",ADDRESS(17+(A657-1)*A653,1)))</f>
        <v>0</v>
      </c>
      <c r="B644" s="36"/>
      <c r="C644" s="37">
        <f ca="1">INDIRECT(_xlfn.TEXTJOIN("",TRUE,A656,"!",ADDRESS(17+(A657-1)*A653,2)))</f>
        <v>0</v>
      </c>
      <c r="D644" s="38"/>
      <c r="E644" s="38"/>
      <c r="F644" s="38"/>
      <c r="G644" s="39"/>
      <c r="H644" s="20">
        <f ca="1">INDIRECT(_xlfn.TEXTJOIN("",TRUE,A656,"!",ADDRESS(17+(A657-1)*A653,6)))</f>
        <v>0</v>
      </c>
      <c r="I644" s="20">
        <f ca="1">INDIRECT(_xlfn.TEXTJOIN("",TRUE,A656,"!",ADDRESS(17+(A657-1)*A653,13)))</f>
        <v>0</v>
      </c>
      <c r="J644" s="20">
        <f ca="1">INDIRECT(_xlfn.TEXTJOIN("",TRUE,A656,"!",ADDRESS(17+(A657-1)*A653,14)))</f>
        <v>0</v>
      </c>
    </row>
    <row r="645" spans="1:10" ht="28" customHeight="1" x14ac:dyDescent="0.2">
      <c r="A645" s="35">
        <f ca="1">INDIRECT(_xlfn.TEXTJOIN("",TRUE,A656,"!",ADDRESS(18+(A657-1)*A653,1)))</f>
        <v>0</v>
      </c>
      <c r="B645" s="36"/>
      <c r="C645" s="37">
        <f ca="1">INDIRECT(_xlfn.TEXTJOIN("",TRUE,A656,"!",ADDRESS(18+(A657-1)*A653,2)))</f>
        <v>0</v>
      </c>
      <c r="D645" s="38"/>
      <c r="E645" s="38"/>
      <c r="F645" s="38"/>
      <c r="G645" s="39"/>
      <c r="H645" s="20">
        <f ca="1">INDIRECT(_xlfn.TEXTJOIN("",TRUE,A656,"!",ADDRESS(18+(A657-1)*A653,6)))</f>
        <v>0</v>
      </c>
      <c r="I645" s="20">
        <f ca="1">INDIRECT(_xlfn.TEXTJOIN("",TRUE,A656,"!",ADDRESS(18+(A657-1)*A653,13)))</f>
        <v>0</v>
      </c>
      <c r="J645" s="20">
        <f ca="1">INDIRECT(_xlfn.TEXTJOIN("",TRUE,A656,"!",ADDRESS(18+(A657-1)*A653,14)))</f>
        <v>0</v>
      </c>
    </row>
    <row r="646" spans="1:10" ht="28" customHeight="1" x14ac:dyDescent="0.2">
      <c r="A646" s="35">
        <f ca="1">INDIRECT(_xlfn.TEXTJOIN("",TRUE,A656,"!",ADDRESS(19+(A657-1)*A653,1)))</f>
        <v>0</v>
      </c>
      <c r="B646" s="36"/>
      <c r="C646" s="37">
        <f ca="1">INDIRECT(_xlfn.TEXTJOIN("",TRUE,A656,"!",ADDRESS(19+(A657-1)*A653,2)))</f>
        <v>0</v>
      </c>
      <c r="D646" s="38"/>
      <c r="E646" s="38"/>
      <c r="F646" s="38"/>
      <c r="G646" s="39"/>
      <c r="H646" s="20">
        <f ca="1">INDIRECT(_xlfn.TEXTJOIN("",TRUE,A656,"!",ADDRESS(19+(A657-1)*A653,6)))</f>
        <v>0</v>
      </c>
      <c r="I646" s="20">
        <f ca="1">INDIRECT(_xlfn.TEXTJOIN("",TRUE,A656,"!",ADDRESS(19+(A657-1)*A653,13)))</f>
        <v>0</v>
      </c>
      <c r="J646" s="20">
        <f ca="1">INDIRECT(_xlfn.TEXTJOIN("",TRUE,A656,"!",ADDRESS(19+(A657-1)*A653,14)))</f>
        <v>0</v>
      </c>
    </row>
    <row r="647" spans="1:10" ht="28" customHeight="1" x14ac:dyDescent="0.2">
      <c r="A647" s="35">
        <f ca="1">INDIRECT(_xlfn.TEXTJOIN("",TRUE,A656,"!",ADDRESS(20+(A657-1)*A653,1)))</f>
        <v>0</v>
      </c>
      <c r="B647" s="36"/>
      <c r="C647" s="37">
        <f ca="1">INDIRECT(_xlfn.TEXTJOIN("",TRUE,A656,"!",ADDRESS(20+(A657-1)*A653,2)))</f>
        <v>0</v>
      </c>
      <c r="D647" s="38"/>
      <c r="E647" s="38"/>
      <c r="F647" s="38"/>
      <c r="G647" s="39"/>
      <c r="H647" s="20">
        <f ca="1">INDIRECT(_xlfn.TEXTJOIN("",TRUE,A656,"!",ADDRESS(20+(A657-1)*A653,6)))</f>
        <v>0</v>
      </c>
      <c r="I647" s="20">
        <f ca="1">INDIRECT(_xlfn.TEXTJOIN("",TRUE,A656,"!",ADDRESS(20+(A657-1)*A653,13)))</f>
        <v>0</v>
      </c>
      <c r="J647" s="20">
        <f ca="1">INDIRECT(_xlfn.TEXTJOIN("",TRUE,A656,"!",ADDRESS(20+(A657-1)*A653,14)))</f>
        <v>0</v>
      </c>
    </row>
    <row r="648" spans="1:10" ht="28" customHeight="1" x14ac:dyDescent="0.2">
      <c r="A648" s="35">
        <f ca="1">INDIRECT(_xlfn.TEXTJOIN("",TRUE,A656,"!",ADDRESS(21+(A657-1)*A653,1)))</f>
        <v>0</v>
      </c>
      <c r="B648" s="36"/>
      <c r="C648" s="37">
        <f ca="1">INDIRECT(_xlfn.TEXTJOIN("",TRUE,A656,"!",ADDRESS(21+(A657-1)*A653,2)))</f>
        <v>0</v>
      </c>
      <c r="D648" s="38"/>
      <c r="E648" s="38"/>
      <c r="F648" s="38"/>
      <c r="G648" s="39"/>
      <c r="H648" s="20">
        <f ca="1">INDIRECT(_xlfn.TEXTJOIN("",TRUE,A656,"!",ADDRESS(21+(A657-1)*A653,6)))</f>
        <v>0</v>
      </c>
      <c r="I648" s="20">
        <f ca="1">INDIRECT(_xlfn.TEXTJOIN("",TRUE,A656,"!",ADDRESS(21+(A657-1)*A653,13)))</f>
        <v>0</v>
      </c>
      <c r="J648" s="20">
        <f ca="1">INDIRECT(_xlfn.TEXTJOIN("",TRUE,A656,"!",ADDRESS(21+(A657-1)*A653,14)))</f>
        <v>0</v>
      </c>
    </row>
    <row r="649" spans="1:10" ht="28" customHeight="1" x14ac:dyDescent="0.2">
      <c r="A649" s="35">
        <f ca="1">INDIRECT(_xlfn.TEXTJOIN("",TRUE,A656,"!",ADDRESS(22+(A657-1)*A653,1)))</f>
        <v>0</v>
      </c>
      <c r="B649" s="36"/>
      <c r="C649" s="37">
        <f ca="1">INDIRECT(_xlfn.TEXTJOIN("",TRUE,A656,"!",ADDRESS(22+(A657-1)*A653,2)))</f>
        <v>0</v>
      </c>
      <c r="D649" s="38"/>
      <c r="E649" s="38"/>
      <c r="F649" s="38"/>
      <c r="G649" s="39"/>
      <c r="H649" s="20">
        <f ca="1">INDIRECT(_xlfn.TEXTJOIN("",TRUE,A656,"!",ADDRESS(22+(A657-1)*A653,6)))</f>
        <v>0</v>
      </c>
      <c r="I649" s="20">
        <f ca="1">INDIRECT(_xlfn.TEXTJOIN("",TRUE,A656,"!",ADDRESS(22+(A657-1)*A653,13)))</f>
        <v>0</v>
      </c>
      <c r="J649" s="20">
        <f ca="1">INDIRECT(_xlfn.TEXTJOIN("",TRUE,A656,"!",ADDRESS(22+(A657-1)*A653,14)))</f>
        <v>0</v>
      </c>
    </row>
    <row r="650" spans="1:10" ht="28" customHeight="1" x14ac:dyDescent="0.2">
      <c r="A650" s="35">
        <f ca="1">INDIRECT(_xlfn.TEXTJOIN("",TRUE,A656,"!",ADDRESS(23+(A657-1)*A653,1)))</f>
        <v>0</v>
      </c>
      <c r="B650" s="36"/>
      <c r="C650" s="37">
        <f ca="1">INDIRECT(_xlfn.TEXTJOIN("",TRUE,A656,"!",ADDRESS(23+(A657-1)*A653,2)))</f>
        <v>0</v>
      </c>
      <c r="D650" s="38"/>
      <c r="E650" s="38"/>
      <c r="F650" s="38"/>
      <c r="G650" s="39"/>
      <c r="H650" s="20">
        <f ca="1">INDIRECT(_xlfn.TEXTJOIN("",TRUE,A656,"!",ADDRESS(23+(A657-1)*A653,6)))</f>
        <v>0</v>
      </c>
      <c r="I650" s="20">
        <f ca="1">INDIRECT(_xlfn.TEXTJOIN("",TRUE,A656,"!",ADDRESS(23+(A657-1)*A653,13)))</f>
        <v>0</v>
      </c>
      <c r="J650" s="20">
        <f ca="1">INDIRECT(_xlfn.TEXTJOIN("",TRUE,A656,"!",ADDRESS(23+(A657-1)*A653,14)))</f>
        <v>0</v>
      </c>
    </row>
    <row r="651" spans="1:10" ht="28" customHeight="1" x14ac:dyDescent="0.2">
      <c r="A651" s="35">
        <f ca="1">INDIRECT(_xlfn.TEXTJOIN("",TRUE,A656,"!",ADDRESS(24+(A657-1)*A653,1)))</f>
        <v>0</v>
      </c>
      <c r="B651" s="36"/>
      <c r="C651" s="37">
        <f ca="1">INDIRECT(_xlfn.TEXTJOIN("",TRUE,A656,"!",ADDRESS(24+(A657-1)*A653,2)))</f>
        <v>0</v>
      </c>
      <c r="D651" s="38"/>
      <c r="E651" s="38"/>
      <c r="F651" s="38"/>
      <c r="G651" s="39"/>
      <c r="H651" s="20">
        <f ca="1">INDIRECT(_xlfn.TEXTJOIN("",TRUE,A656,"!",ADDRESS(24+(A657-1)*A653,6)))</f>
        <v>0</v>
      </c>
      <c r="I651" s="40">
        <f ca="1">INDIRECT(_xlfn.TEXTJOIN("",TRUE,A656,"!",ADDRESS(24+(A657-1)*A653,13)))</f>
        <v>0</v>
      </c>
      <c r="J651" s="41"/>
    </row>
    <row r="652" spans="1:10" ht="28" customHeight="1" x14ac:dyDescent="0.2">
      <c r="A652" s="42" t="s">
        <v>52</v>
      </c>
      <c r="B652" s="42"/>
      <c r="C652" s="42"/>
      <c r="D652" s="42"/>
      <c r="E652" s="42"/>
      <c r="F652" s="42"/>
      <c r="G652" s="42"/>
      <c r="H652" s="16">
        <f ca="1">SUM(H640:H651)</f>
        <v>0</v>
      </c>
      <c r="I652" s="16" t="s">
        <v>44</v>
      </c>
      <c r="J652" s="16">
        <f ca="1">SUMPRODUCT(J640:J650,H640:H650)</f>
        <v>0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43" t="s">
        <v>40</v>
      </c>
      <c r="B654" s="43"/>
      <c r="C654" s="21">
        <f ca="1">INDIRECT(_xlfn.TEXTJOIN("",TRUE,A656,"!",ADDRESS(5+A657*A653,12)))</f>
        <v>0</v>
      </c>
      <c r="D654" s="43" t="s">
        <v>38</v>
      </c>
      <c r="E654" s="43"/>
      <c r="F654" s="18">
        <f ca="1">INDIRECT(_xlfn.TEXTJOIN("",TRUE,A656,"!",ADDRESS(5+A657*A653,8)))</f>
        <v>0</v>
      </c>
      <c r="G654" s="43" t="s">
        <v>39</v>
      </c>
      <c r="H654" s="43"/>
      <c r="I654" s="44">
        <f ca="1">INDIRECT(_xlfn.TEXTJOIN("",TRUE,A656,"!",ADDRESS(5+A657*A653,10)))</f>
        <v>0</v>
      </c>
      <c r="J654" s="44"/>
    </row>
    <row r="655" spans="1:10" ht="28" customHeight="1" x14ac:dyDescent="0.2">
      <c r="A655" s="19" t="s">
        <v>36</v>
      </c>
      <c r="B655" s="45">
        <f ca="1">INDIRECT(_xlfn.TEXTJOIN("",TRUE,A656,"!",ADDRESS(5+A657*A653,2)))</f>
        <v>0</v>
      </c>
      <c r="C655" s="45"/>
      <c r="D655" s="46" t="s">
        <v>37</v>
      </c>
      <c r="E655" s="46"/>
      <c r="F655" s="47">
        <f ca="1">INDIRECT(_xlfn.TEXTJOIN("",TRUE,A656,"!",ADDRESS(5+A657*A653,5)))</f>
        <v>0</v>
      </c>
      <c r="G655" s="47"/>
      <c r="H655" s="47"/>
      <c r="I655" s="47"/>
      <c r="J655" s="47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48" t="s">
        <v>24</v>
      </c>
      <c r="B658" s="48"/>
      <c r="C658" s="48">
        <f ca="1">INDIRECT(_xlfn.TEXTJOIN("",TRUE,A677,"!",ADDRESS(9+(A678-1)*A674,2)))</f>
        <v>0</v>
      </c>
      <c r="D658" s="48"/>
      <c r="E658" s="48"/>
      <c r="F658" s="48" t="s">
        <v>50</v>
      </c>
      <c r="G658" s="48"/>
      <c r="H658" s="48"/>
      <c r="I658" s="49">
        <f ca="1">INDIRECT(_xlfn.TEXTJOIN("",TRUE,A677,"!",ADDRESS(9+(A678-1)*A674,9)))</f>
        <v>0</v>
      </c>
      <c r="J658" s="49"/>
    </row>
    <row r="659" spans="1:10" ht="28" customHeight="1" x14ac:dyDescent="0.2">
      <c r="A659" s="48" t="s">
        <v>25</v>
      </c>
      <c r="B659" s="48"/>
      <c r="C659" s="48">
        <f ca="1">INDIRECT(_xlfn.TEXTJOIN("",TRUE,A677,"!",ADDRESS(9+(A678-1)*A674,5)))</f>
        <v>0</v>
      </c>
      <c r="D659" s="48"/>
      <c r="E659" s="48"/>
      <c r="F659" s="50" t="s">
        <v>51</v>
      </c>
      <c r="G659" s="50"/>
      <c r="H659" s="50"/>
      <c r="I659" s="49">
        <f ca="1">INDIRECT(_xlfn.TEXTJOIN("",TRUE,A677,"!",ADDRESS(9+(A678-1)*A674,13)))</f>
        <v>0</v>
      </c>
      <c r="J659" s="49"/>
    </row>
    <row r="660" spans="1:10" ht="28" customHeight="1" x14ac:dyDescent="0.2">
      <c r="A660" s="45" t="s">
        <v>28</v>
      </c>
      <c r="B660" s="45"/>
      <c r="C660" s="45" t="s">
        <v>29</v>
      </c>
      <c r="D660" s="45"/>
      <c r="E660" s="45"/>
      <c r="F660" s="45"/>
      <c r="G660" s="45"/>
      <c r="H660" s="15" t="s">
        <v>30</v>
      </c>
      <c r="I660" s="15" t="s">
        <v>10</v>
      </c>
      <c r="J660" s="15" t="s">
        <v>34</v>
      </c>
    </row>
    <row r="661" spans="1:10" ht="28" customHeight="1" x14ac:dyDescent="0.2">
      <c r="A661" s="35">
        <f ca="1">INDIRECT(_xlfn.TEXTJOIN("",TRUE,A677,"!",ADDRESS(13+(A678-1)*A674,1)))</f>
        <v>0</v>
      </c>
      <c r="B661" s="36"/>
      <c r="C661" s="37">
        <f ca="1">INDIRECT(_xlfn.TEXTJOIN("",TRUE,A677,"!",ADDRESS(13+(A678-1)*A674,2)))</f>
        <v>0</v>
      </c>
      <c r="D661" s="38"/>
      <c r="E661" s="38"/>
      <c r="F661" s="38"/>
      <c r="G661" s="39"/>
      <c r="H661" s="20">
        <f ca="1">INDIRECT(_xlfn.TEXTJOIN("",TRUE,A677,"!",ADDRESS(13+(A678-1)*A674,6)))</f>
        <v>0</v>
      </c>
      <c r="I661" s="20">
        <f ca="1">INDIRECT(_xlfn.TEXTJOIN("",TRUE,A677,"!",ADDRESS(13+(A678-1)*A674,13)))</f>
        <v>0</v>
      </c>
      <c r="J661" s="20">
        <f ca="1">INDIRECT(_xlfn.TEXTJOIN("",TRUE,A677,"!",ADDRESS(13+(A678-1)*A674,14)))</f>
        <v>0</v>
      </c>
    </row>
    <row r="662" spans="1:10" ht="28" customHeight="1" x14ac:dyDescent="0.2">
      <c r="A662" s="35">
        <f ca="1">INDIRECT(_xlfn.TEXTJOIN("",TRUE,A677,"!",ADDRESS(14+(A678-1)*A674,1)))</f>
        <v>0</v>
      </c>
      <c r="B662" s="36"/>
      <c r="C662" s="37">
        <f ca="1">INDIRECT(_xlfn.TEXTJOIN("",TRUE,A677,"!",ADDRESS(14+(A678-1)*A674,2)))</f>
        <v>0</v>
      </c>
      <c r="D662" s="38"/>
      <c r="E662" s="38"/>
      <c r="F662" s="38"/>
      <c r="G662" s="39"/>
      <c r="H662" s="20">
        <f ca="1">INDIRECT(_xlfn.TEXTJOIN("",TRUE,A677,"!",ADDRESS(14+(A678-1)*A674,6)))</f>
        <v>0</v>
      </c>
      <c r="I662" s="20">
        <f ca="1">INDIRECT(_xlfn.TEXTJOIN("",TRUE,A677,"!",ADDRESS(14+(A678-1)*A674,13)))</f>
        <v>0</v>
      </c>
      <c r="J662" s="20">
        <f ca="1">INDIRECT(_xlfn.TEXTJOIN("",TRUE,A677,"!",ADDRESS(14+(A678-1)*A674,14)))</f>
        <v>0</v>
      </c>
    </row>
    <row r="663" spans="1:10" ht="28" customHeight="1" x14ac:dyDescent="0.2">
      <c r="A663" s="35">
        <f ca="1">INDIRECT(_xlfn.TEXTJOIN("",TRUE,A677,"!",ADDRESS(15+(A678-1)*A674,1)))</f>
        <v>0</v>
      </c>
      <c r="B663" s="36"/>
      <c r="C663" s="37">
        <f ca="1">INDIRECT(_xlfn.TEXTJOIN("",TRUE,A677,"!",ADDRESS(15+(A678-1)*A674,2)))</f>
        <v>0</v>
      </c>
      <c r="D663" s="38"/>
      <c r="E663" s="38"/>
      <c r="F663" s="38"/>
      <c r="G663" s="39"/>
      <c r="H663" s="20">
        <f ca="1">INDIRECT(_xlfn.TEXTJOIN("",TRUE,A677,"!",ADDRESS(15+(A678-1)*A674,6)))</f>
        <v>0</v>
      </c>
      <c r="I663" s="20">
        <f ca="1">INDIRECT(_xlfn.TEXTJOIN("",TRUE,A677,"!",ADDRESS(15+(A678-1)*A674,13)))</f>
        <v>0</v>
      </c>
      <c r="J663" s="20">
        <f ca="1">INDIRECT(_xlfn.TEXTJOIN("",TRUE,A677,"!",ADDRESS(15+(A678-1)*A674,14)))</f>
        <v>0</v>
      </c>
    </row>
    <row r="664" spans="1:10" ht="28" customHeight="1" x14ac:dyDescent="0.2">
      <c r="A664" s="35">
        <f ca="1">INDIRECT(_xlfn.TEXTJOIN("",TRUE,A677,"!",ADDRESS(16+(A678-1)*A674,1)))</f>
        <v>0</v>
      </c>
      <c r="B664" s="36"/>
      <c r="C664" s="37">
        <f ca="1">INDIRECT(_xlfn.TEXTJOIN("",TRUE,A677,"!",ADDRESS(16+(A678-1)*A674,2)))</f>
        <v>0</v>
      </c>
      <c r="D664" s="38"/>
      <c r="E664" s="38"/>
      <c r="F664" s="38"/>
      <c r="G664" s="39"/>
      <c r="H664" s="20">
        <f ca="1">INDIRECT(_xlfn.TEXTJOIN("",TRUE,A677,"!",ADDRESS(16+(A678-1)*A674,6)))</f>
        <v>0</v>
      </c>
      <c r="I664" s="20">
        <f ca="1">INDIRECT(_xlfn.TEXTJOIN("",TRUE,A677,"!",ADDRESS(16+(A678-1)*A674,13)))</f>
        <v>0</v>
      </c>
      <c r="J664" s="20">
        <f ca="1">INDIRECT(_xlfn.TEXTJOIN("",TRUE,A677,"!",ADDRESS(16+(A678-1)*A674,14)))</f>
        <v>0</v>
      </c>
    </row>
    <row r="665" spans="1:10" ht="28" customHeight="1" x14ac:dyDescent="0.2">
      <c r="A665" s="35">
        <f ca="1">INDIRECT(_xlfn.TEXTJOIN("",TRUE,A677,"!",ADDRESS(17+(A678-1)*A674,1)))</f>
        <v>0</v>
      </c>
      <c r="B665" s="36"/>
      <c r="C665" s="37">
        <f ca="1">INDIRECT(_xlfn.TEXTJOIN("",TRUE,A677,"!",ADDRESS(17+(A678-1)*A674,2)))</f>
        <v>0</v>
      </c>
      <c r="D665" s="38"/>
      <c r="E665" s="38"/>
      <c r="F665" s="38"/>
      <c r="G665" s="39"/>
      <c r="H665" s="20">
        <f ca="1">INDIRECT(_xlfn.TEXTJOIN("",TRUE,A677,"!",ADDRESS(17+(A678-1)*A674,6)))</f>
        <v>0</v>
      </c>
      <c r="I665" s="20">
        <f ca="1">INDIRECT(_xlfn.TEXTJOIN("",TRUE,A677,"!",ADDRESS(17+(A678-1)*A674,13)))</f>
        <v>0</v>
      </c>
      <c r="J665" s="20">
        <f ca="1">INDIRECT(_xlfn.TEXTJOIN("",TRUE,A677,"!",ADDRESS(17+(A678-1)*A674,14)))</f>
        <v>0</v>
      </c>
    </row>
    <row r="666" spans="1:10" ht="28" customHeight="1" x14ac:dyDescent="0.2">
      <c r="A666" s="35">
        <f ca="1">INDIRECT(_xlfn.TEXTJOIN("",TRUE,A677,"!",ADDRESS(18+(A678-1)*A674,1)))</f>
        <v>0</v>
      </c>
      <c r="B666" s="36"/>
      <c r="C666" s="37">
        <f ca="1">INDIRECT(_xlfn.TEXTJOIN("",TRUE,A677,"!",ADDRESS(18+(A678-1)*A674,2)))</f>
        <v>0</v>
      </c>
      <c r="D666" s="38"/>
      <c r="E666" s="38"/>
      <c r="F666" s="38"/>
      <c r="G666" s="39"/>
      <c r="H666" s="20">
        <f ca="1">INDIRECT(_xlfn.TEXTJOIN("",TRUE,A677,"!",ADDRESS(18+(A678-1)*A674,6)))</f>
        <v>0</v>
      </c>
      <c r="I666" s="20">
        <f ca="1">INDIRECT(_xlfn.TEXTJOIN("",TRUE,A677,"!",ADDRESS(18+(A678-1)*A674,13)))</f>
        <v>0</v>
      </c>
      <c r="J666" s="20">
        <f ca="1">INDIRECT(_xlfn.TEXTJOIN("",TRUE,A677,"!",ADDRESS(18+(A678-1)*A674,14)))</f>
        <v>0</v>
      </c>
    </row>
    <row r="667" spans="1:10" ht="28" customHeight="1" x14ac:dyDescent="0.2">
      <c r="A667" s="35">
        <f ca="1">INDIRECT(_xlfn.TEXTJOIN("",TRUE,A677,"!",ADDRESS(19+(A678-1)*A674,1)))</f>
        <v>0</v>
      </c>
      <c r="B667" s="36"/>
      <c r="C667" s="37">
        <f ca="1">INDIRECT(_xlfn.TEXTJOIN("",TRUE,A677,"!",ADDRESS(19+(A678-1)*A674,2)))</f>
        <v>0</v>
      </c>
      <c r="D667" s="38"/>
      <c r="E667" s="38"/>
      <c r="F667" s="38"/>
      <c r="G667" s="39"/>
      <c r="H667" s="20">
        <f ca="1">INDIRECT(_xlfn.TEXTJOIN("",TRUE,A677,"!",ADDRESS(19+(A678-1)*A674,6)))</f>
        <v>0</v>
      </c>
      <c r="I667" s="20">
        <f ca="1">INDIRECT(_xlfn.TEXTJOIN("",TRUE,A677,"!",ADDRESS(19+(A678-1)*A674,13)))</f>
        <v>0</v>
      </c>
      <c r="J667" s="20">
        <f ca="1">INDIRECT(_xlfn.TEXTJOIN("",TRUE,A677,"!",ADDRESS(19+(A678-1)*A674,14)))</f>
        <v>0</v>
      </c>
    </row>
    <row r="668" spans="1:10" ht="28" customHeight="1" x14ac:dyDescent="0.2">
      <c r="A668" s="35">
        <f ca="1">INDIRECT(_xlfn.TEXTJOIN("",TRUE,A677,"!",ADDRESS(20+(A678-1)*A674,1)))</f>
        <v>0</v>
      </c>
      <c r="B668" s="36"/>
      <c r="C668" s="37">
        <f ca="1">INDIRECT(_xlfn.TEXTJOIN("",TRUE,A677,"!",ADDRESS(20+(A678-1)*A674,2)))</f>
        <v>0</v>
      </c>
      <c r="D668" s="38"/>
      <c r="E668" s="38"/>
      <c r="F668" s="38"/>
      <c r="G668" s="39"/>
      <c r="H668" s="20">
        <f ca="1">INDIRECT(_xlfn.TEXTJOIN("",TRUE,A677,"!",ADDRESS(20+(A678-1)*A674,6)))</f>
        <v>0</v>
      </c>
      <c r="I668" s="20">
        <f ca="1">INDIRECT(_xlfn.TEXTJOIN("",TRUE,A677,"!",ADDRESS(20+(A678-1)*A674,13)))</f>
        <v>0</v>
      </c>
      <c r="J668" s="20">
        <f ca="1">INDIRECT(_xlfn.TEXTJOIN("",TRUE,A677,"!",ADDRESS(20+(A678-1)*A674,14)))</f>
        <v>0</v>
      </c>
    </row>
    <row r="669" spans="1:10" ht="28" customHeight="1" x14ac:dyDescent="0.2">
      <c r="A669" s="35">
        <f ca="1">INDIRECT(_xlfn.TEXTJOIN("",TRUE,A677,"!",ADDRESS(21+(A678-1)*A674,1)))</f>
        <v>0</v>
      </c>
      <c r="B669" s="36"/>
      <c r="C669" s="37">
        <f ca="1">INDIRECT(_xlfn.TEXTJOIN("",TRUE,A677,"!",ADDRESS(21+(A678-1)*A674,2)))</f>
        <v>0</v>
      </c>
      <c r="D669" s="38"/>
      <c r="E669" s="38"/>
      <c r="F669" s="38"/>
      <c r="G669" s="39"/>
      <c r="H669" s="20">
        <f ca="1">INDIRECT(_xlfn.TEXTJOIN("",TRUE,A677,"!",ADDRESS(21+(A678-1)*A674,6)))</f>
        <v>0</v>
      </c>
      <c r="I669" s="20">
        <f ca="1">INDIRECT(_xlfn.TEXTJOIN("",TRUE,A677,"!",ADDRESS(21+(A678-1)*A674,13)))</f>
        <v>0</v>
      </c>
      <c r="J669" s="20">
        <f ca="1">INDIRECT(_xlfn.TEXTJOIN("",TRUE,A677,"!",ADDRESS(21+(A678-1)*A674,14)))</f>
        <v>0</v>
      </c>
    </row>
    <row r="670" spans="1:10" ht="28" customHeight="1" x14ac:dyDescent="0.2">
      <c r="A670" s="35">
        <f ca="1">INDIRECT(_xlfn.TEXTJOIN("",TRUE,A677,"!",ADDRESS(22+(A678-1)*A674,1)))</f>
        <v>0</v>
      </c>
      <c r="B670" s="36"/>
      <c r="C670" s="37">
        <f ca="1">INDIRECT(_xlfn.TEXTJOIN("",TRUE,A677,"!",ADDRESS(22+(A678-1)*A674,2)))</f>
        <v>0</v>
      </c>
      <c r="D670" s="38"/>
      <c r="E670" s="38"/>
      <c r="F670" s="38"/>
      <c r="G670" s="39"/>
      <c r="H670" s="20">
        <f ca="1">INDIRECT(_xlfn.TEXTJOIN("",TRUE,A677,"!",ADDRESS(22+(A678-1)*A674,6)))</f>
        <v>0</v>
      </c>
      <c r="I670" s="20">
        <f ca="1">INDIRECT(_xlfn.TEXTJOIN("",TRUE,A677,"!",ADDRESS(22+(A678-1)*A674,13)))</f>
        <v>0</v>
      </c>
      <c r="J670" s="20">
        <f ca="1">INDIRECT(_xlfn.TEXTJOIN("",TRUE,A677,"!",ADDRESS(22+(A678-1)*A674,14)))</f>
        <v>0</v>
      </c>
    </row>
    <row r="671" spans="1:10" ht="28" customHeight="1" x14ac:dyDescent="0.2">
      <c r="A671" s="35">
        <f ca="1">INDIRECT(_xlfn.TEXTJOIN("",TRUE,A677,"!",ADDRESS(23+(A678-1)*A674,1)))</f>
        <v>0</v>
      </c>
      <c r="B671" s="36"/>
      <c r="C671" s="37">
        <f ca="1">INDIRECT(_xlfn.TEXTJOIN("",TRUE,A677,"!",ADDRESS(23+(A678-1)*A674,2)))</f>
        <v>0</v>
      </c>
      <c r="D671" s="38"/>
      <c r="E671" s="38"/>
      <c r="F671" s="38"/>
      <c r="G671" s="39"/>
      <c r="H671" s="20">
        <f ca="1">INDIRECT(_xlfn.TEXTJOIN("",TRUE,A677,"!",ADDRESS(23+(A678-1)*A674,6)))</f>
        <v>0</v>
      </c>
      <c r="I671" s="20">
        <f ca="1">INDIRECT(_xlfn.TEXTJOIN("",TRUE,A677,"!",ADDRESS(23+(A678-1)*A674,13)))</f>
        <v>0</v>
      </c>
      <c r="J671" s="20">
        <f ca="1">INDIRECT(_xlfn.TEXTJOIN("",TRUE,A677,"!",ADDRESS(23+(A678-1)*A674,14)))</f>
        <v>0</v>
      </c>
    </row>
    <row r="672" spans="1:10" ht="28" customHeight="1" x14ac:dyDescent="0.2">
      <c r="A672" s="35">
        <f ca="1">INDIRECT(_xlfn.TEXTJOIN("",TRUE,A677,"!",ADDRESS(24+(A678-1)*A674,1)))</f>
        <v>0</v>
      </c>
      <c r="B672" s="36"/>
      <c r="C672" s="37">
        <f ca="1">INDIRECT(_xlfn.TEXTJOIN("",TRUE,A677,"!",ADDRESS(24+(A678-1)*A674,2)))</f>
        <v>0</v>
      </c>
      <c r="D672" s="38"/>
      <c r="E672" s="38"/>
      <c r="F672" s="38"/>
      <c r="G672" s="39"/>
      <c r="H672" s="20">
        <f ca="1">INDIRECT(_xlfn.TEXTJOIN("",TRUE,A677,"!",ADDRESS(24+(A678-1)*A674,6)))</f>
        <v>0</v>
      </c>
      <c r="I672" s="40">
        <f ca="1">INDIRECT(_xlfn.TEXTJOIN("",TRUE,A677,"!",ADDRESS(24+(A678-1)*A674,13)))</f>
        <v>0</v>
      </c>
      <c r="J672" s="41"/>
    </row>
    <row r="673" spans="1:10" ht="28" customHeight="1" x14ac:dyDescent="0.2">
      <c r="A673" s="42" t="s">
        <v>52</v>
      </c>
      <c r="B673" s="42"/>
      <c r="C673" s="42"/>
      <c r="D673" s="42"/>
      <c r="E673" s="42"/>
      <c r="F673" s="42"/>
      <c r="G673" s="42"/>
      <c r="H673" s="16">
        <f ca="1">SUM(H661:H672)</f>
        <v>0</v>
      </c>
      <c r="I673" s="16" t="s">
        <v>44</v>
      </c>
      <c r="J673" s="16">
        <f ca="1">SUMPRODUCT(J661:J671,H661:H671)</f>
        <v>0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43" t="s">
        <v>40</v>
      </c>
      <c r="B675" s="43"/>
      <c r="C675" s="21">
        <f ca="1">INDIRECT(_xlfn.TEXTJOIN("",TRUE,A677,"!",ADDRESS(5+A678*A674,12)))</f>
        <v>0</v>
      </c>
      <c r="D675" s="43" t="s">
        <v>38</v>
      </c>
      <c r="E675" s="43"/>
      <c r="F675" s="18">
        <f ca="1">INDIRECT(_xlfn.TEXTJOIN("",TRUE,A677,"!",ADDRESS(5+A678*A674,8)))</f>
        <v>0</v>
      </c>
      <c r="G675" s="43" t="s">
        <v>39</v>
      </c>
      <c r="H675" s="43"/>
      <c r="I675" s="44">
        <f ca="1">INDIRECT(_xlfn.TEXTJOIN("",TRUE,A677,"!",ADDRESS(5+A678*A674,10)))</f>
        <v>0</v>
      </c>
      <c r="J675" s="44"/>
    </row>
    <row r="676" spans="1:10" ht="28" customHeight="1" x14ac:dyDescent="0.2">
      <c r="A676" s="19" t="s">
        <v>36</v>
      </c>
      <c r="B676" s="45">
        <f ca="1">INDIRECT(_xlfn.TEXTJOIN("",TRUE,A677,"!",ADDRESS(5+A678*A674,2)))</f>
        <v>0</v>
      </c>
      <c r="C676" s="45"/>
      <c r="D676" s="46" t="s">
        <v>37</v>
      </c>
      <c r="E676" s="46"/>
      <c r="F676" s="47">
        <f ca="1">INDIRECT(_xlfn.TEXTJOIN("",TRUE,A677,"!",ADDRESS(5+A678*A674,5)))</f>
        <v>0</v>
      </c>
      <c r="G676" s="47"/>
      <c r="H676" s="47"/>
      <c r="I676" s="47"/>
      <c r="J676" s="47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48" t="s">
        <v>24</v>
      </c>
      <c r="B679" s="48"/>
      <c r="C679" s="48">
        <f ca="1">INDIRECT(_xlfn.TEXTJOIN("",TRUE,A698,"!",ADDRESS(9+(A699-1)*A695,2)))</f>
        <v>0</v>
      </c>
      <c r="D679" s="48"/>
      <c r="E679" s="48"/>
      <c r="F679" s="48" t="s">
        <v>50</v>
      </c>
      <c r="G679" s="48"/>
      <c r="H679" s="48"/>
      <c r="I679" s="49">
        <f ca="1">INDIRECT(_xlfn.TEXTJOIN("",TRUE,A698,"!",ADDRESS(9+(A699-1)*A695,9)))</f>
        <v>0</v>
      </c>
      <c r="J679" s="49"/>
    </row>
    <row r="680" spans="1:10" ht="28" customHeight="1" x14ac:dyDescent="0.2">
      <c r="A680" s="48" t="s">
        <v>25</v>
      </c>
      <c r="B680" s="48"/>
      <c r="C680" s="48">
        <f ca="1">INDIRECT(_xlfn.TEXTJOIN("",TRUE,A698,"!",ADDRESS(9+(A699-1)*A695,5)))</f>
        <v>0</v>
      </c>
      <c r="D680" s="48"/>
      <c r="E680" s="48"/>
      <c r="F680" s="50" t="s">
        <v>51</v>
      </c>
      <c r="G680" s="50"/>
      <c r="H680" s="50"/>
      <c r="I680" s="49">
        <f ca="1">INDIRECT(_xlfn.TEXTJOIN("",TRUE,A698,"!",ADDRESS(9+(A699-1)*A695,13)))</f>
        <v>0</v>
      </c>
      <c r="J680" s="49"/>
    </row>
    <row r="681" spans="1:10" ht="28" customHeight="1" x14ac:dyDescent="0.2">
      <c r="A681" s="45" t="s">
        <v>28</v>
      </c>
      <c r="B681" s="45"/>
      <c r="C681" s="45" t="s">
        <v>29</v>
      </c>
      <c r="D681" s="45"/>
      <c r="E681" s="45"/>
      <c r="F681" s="45"/>
      <c r="G681" s="45"/>
      <c r="H681" s="15" t="s">
        <v>30</v>
      </c>
      <c r="I681" s="15" t="s">
        <v>10</v>
      </c>
      <c r="J681" s="15" t="s">
        <v>34</v>
      </c>
    </row>
    <row r="682" spans="1:10" ht="28" customHeight="1" x14ac:dyDescent="0.2">
      <c r="A682" s="35">
        <f ca="1">INDIRECT(_xlfn.TEXTJOIN("",TRUE,A698,"!",ADDRESS(13+(A699-1)*A695,1)))</f>
        <v>0</v>
      </c>
      <c r="B682" s="36"/>
      <c r="C682" s="37">
        <f ca="1">INDIRECT(_xlfn.TEXTJOIN("",TRUE,A698,"!",ADDRESS(13+(A699-1)*A695,2)))</f>
        <v>0</v>
      </c>
      <c r="D682" s="38"/>
      <c r="E682" s="38"/>
      <c r="F682" s="38"/>
      <c r="G682" s="39"/>
      <c r="H682" s="20">
        <f ca="1">INDIRECT(_xlfn.TEXTJOIN("",TRUE,A698,"!",ADDRESS(13+(A699-1)*A695,6)))</f>
        <v>0</v>
      </c>
      <c r="I682" s="20">
        <f ca="1">INDIRECT(_xlfn.TEXTJOIN("",TRUE,A698,"!",ADDRESS(13+(A699-1)*A695,13)))</f>
        <v>0</v>
      </c>
      <c r="J682" s="20">
        <f ca="1">INDIRECT(_xlfn.TEXTJOIN("",TRUE,A698,"!",ADDRESS(13+(A699-1)*A695,14)))</f>
        <v>0</v>
      </c>
    </row>
    <row r="683" spans="1:10" ht="28" customHeight="1" x14ac:dyDescent="0.2">
      <c r="A683" s="35">
        <f ca="1">INDIRECT(_xlfn.TEXTJOIN("",TRUE,A698,"!",ADDRESS(14+(A699-1)*A695,1)))</f>
        <v>0</v>
      </c>
      <c r="B683" s="36"/>
      <c r="C683" s="37">
        <f ca="1">INDIRECT(_xlfn.TEXTJOIN("",TRUE,A698,"!",ADDRESS(14+(A699-1)*A695,2)))</f>
        <v>0</v>
      </c>
      <c r="D683" s="38"/>
      <c r="E683" s="38"/>
      <c r="F683" s="38"/>
      <c r="G683" s="39"/>
      <c r="H683" s="20">
        <f ca="1">INDIRECT(_xlfn.TEXTJOIN("",TRUE,A698,"!",ADDRESS(14+(A699-1)*A695,6)))</f>
        <v>0</v>
      </c>
      <c r="I683" s="20">
        <f ca="1">INDIRECT(_xlfn.TEXTJOIN("",TRUE,A698,"!",ADDRESS(14+(A699-1)*A695,13)))</f>
        <v>0</v>
      </c>
      <c r="J683" s="20">
        <f ca="1">INDIRECT(_xlfn.TEXTJOIN("",TRUE,A698,"!",ADDRESS(14+(A699-1)*A695,14)))</f>
        <v>0</v>
      </c>
    </row>
    <row r="684" spans="1:10" ht="28" customHeight="1" x14ac:dyDescent="0.2">
      <c r="A684" s="35">
        <f ca="1">INDIRECT(_xlfn.TEXTJOIN("",TRUE,A698,"!",ADDRESS(15+(A699-1)*A695,1)))</f>
        <v>0</v>
      </c>
      <c r="B684" s="36"/>
      <c r="C684" s="37">
        <f ca="1">INDIRECT(_xlfn.TEXTJOIN("",TRUE,A698,"!",ADDRESS(15+(A699-1)*A695,2)))</f>
        <v>0</v>
      </c>
      <c r="D684" s="38"/>
      <c r="E684" s="38"/>
      <c r="F684" s="38"/>
      <c r="G684" s="39"/>
      <c r="H684" s="20">
        <f ca="1">INDIRECT(_xlfn.TEXTJOIN("",TRUE,A698,"!",ADDRESS(15+(A699-1)*A695,6)))</f>
        <v>0</v>
      </c>
      <c r="I684" s="20">
        <f ca="1">INDIRECT(_xlfn.TEXTJOIN("",TRUE,A698,"!",ADDRESS(15+(A699-1)*A695,13)))</f>
        <v>0</v>
      </c>
      <c r="J684" s="20">
        <f ca="1">INDIRECT(_xlfn.TEXTJOIN("",TRUE,A698,"!",ADDRESS(15+(A699-1)*A695,14)))</f>
        <v>0</v>
      </c>
    </row>
    <row r="685" spans="1:10" ht="28" customHeight="1" x14ac:dyDescent="0.2">
      <c r="A685" s="35">
        <f ca="1">INDIRECT(_xlfn.TEXTJOIN("",TRUE,A698,"!",ADDRESS(16+(A699-1)*A695,1)))</f>
        <v>0</v>
      </c>
      <c r="B685" s="36"/>
      <c r="C685" s="37">
        <f ca="1">INDIRECT(_xlfn.TEXTJOIN("",TRUE,A698,"!",ADDRESS(16+(A699-1)*A695,2)))</f>
        <v>0</v>
      </c>
      <c r="D685" s="38"/>
      <c r="E685" s="38"/>
      <c r="F685" s="38"/>
      <c r="G685" s="39"/>
      <c r="H685" s="20">
        <f ca="1">INDIRECT(_xlfn.TEXTJOIN("",TRUE,A698,"!",ADDRESS(16+(A699-1)*A695,6)))</f>
        <v>0</v>
      </c>
      <c r="I685" s="20">
        <f ca="1">INDIRECT(_xlfn.TEXTJOIN("",TRUE,A698,"!",ADDRESS(16+(A699-1)*A695,13)))</f>
        <v>0</v>
      </c>
      <c r="J685" s="20">
        <f ca="1">INDIRECT(_xlfn.TEXTJOIN("",TRUE,A698,"!",ADDRESS(16+(A699-1)*A695,14)))</f>
        <v>0</v>
      </c>
    </row>
    <row r="686" spans="1:10" ht="28" customHeight="1" x14ac:dyDescent="0.2">
      <c r="A686" s="35">
        <f ca="1">INDIRECT(_xlfn.TEXTJOIN("",TRUE,A698,"!",ADDRESS(17+(A699-1)*A695,1)))</f>
        <v>0</v>
      </c>
      <c r="B686" s="36"/>
      <c r="C686" s="37">
        <f ca="1">INDIRECT(_xlfn.TEXTJOIN("",TRUE,A698,"!",ADDRESS(17+(A699-1)*A695,2)))</f>
        <v>0</v>
      </c>
      <c r="D686" s="38"/>
      <c r="E686" s="38"/>
      <c r="F686" s="38"/>
      <c r="G686" s="39"/>
      <c r="H686" s="20">
        <f ca="1">INDIRECT(_xlfn.TEXTJOIN("",TRUE,A698,"!",ADDRESS(17+(A699-1)*A695,6)))</f>
        <v>0</v>
      </c>
      <c r="I686" s="20">
        <f ca="1">INDIRECT(_xlfn.TEXTJOIN("",TRUE,A698,"!",ADDRESS(17+(A699-1)*A695,13)))</f>
        <v>0</v>
      </c>
      <c r="J686" s="20">
        <f ca="1">INDIRECT(_xlfn.TEXTJOIN("",TRUE,A698,"!",ADDRESS(17+(A699-1)*A695,14)))</f>
        <v>0</v>
      </c>
    </row>
    <row r="687" spans="1:10" ht="28" customHeight="1" x14ac:dyDescent="0.2">
      <c r="A687" s="35">
        <f ca="1">INDIRECT(_xlfn.TEXTJOIN("",TRUE,A698,"!",ADDRESS(18+(A699-1)*A695,1)))</f>
        <v>0</v>
      </c>
      <c r="B687" s="36"/>
      <c r="C687" s="37">
        <f ca="1">INDIRECT(_xlfn.TEXTJOIN("",TRUE,A698,"!",ADDRESS(18+(A699-1)*A695,2)))</f>
        <v>0</v>
      </c>
      <c r="D687" s="38"/>
      <c r="E687" s="38"/>
      <c r="F687" s="38"/>
      <c r="G687" s="39"/>
      <c r="H687" s="20">
        <f ca="1">INDIRECT(_xlfn.TEXTJOIN("",TRUE,A698,"!",ADDRESS(18+(A699-1)*A695,6)))</f>
        <v>0</v>
      </c>
      <c r="I687" s="20">
        <f ca="1">INDIRECT(_xlfn.TEXTJOIN("",TRUE,A698,"!",ADDRESS(18+(A699-1)*A695,13)))</f>
        <v>0</v>
      </c>
      <c r="J687" s="20">
        <f ca="1">INDIRECT(_xlfn.TEXTJOIN("",TRUE,A698,"!",ADDRESS(18+(A699-1)*A695,14)))</f>
        <v>0</v>
      </c>
    </row>
    <row r="688" spans="1:10" ht="28" customHeight="1" x14ac:dyDescent="0.2">
      <c r="A688" s="35">
        <f ca="1">INDIRECT(_xlfn.TEXTJOIN("",TRUE,A698,"!",ADDRESS(19+(A699-1)*A695,1)))</f>
        <v>0</v>
      </c>
      <c r="B688" s="36"/>
      <c r="C688" s="37">
        <f ca="1">INDIRECT(_xlfn.TEXTJOIN("",TRUE,A698,"!",ADDRESS(19+(A699-1)*A695,2)))</f>
        <v>0</v>
      </c>
      <c r="D688" s="38"/>
      <c r="E688" s="38"/>
      <c r="F688" s="38"/>
      <c r="G688" s="39"/>
      <c r="H688" s="20">
        <f ca="1">INDIRECT(_xlfn.TEXTJOIN("",TRUE,A698,"!",ADDRESS(19+(A699-1)*A695,6)))</f>
        <v>0</v>
      </c>
      <c r="I688" s="20">
        <f ca="1">INDIRECT(_xlfn.TEXTJOIN("",TRUE,A698,"!",ADDRESS(19+(A699-1)*A695,13)))</f>
        <v>0</v>
      </c>
      <c r="J688" s="20">
        <f ca="1">INDIRECT(_xlfn.TEXTJOIN("",TRUE,A698,"!",ADDRESS(19+(A699-1)*A695,14)))</f>
        <v>0</v>
      </c>
    </row>
    <row r="689" spans="1:10" ht="28" customHeight="1" x14ac:dyDescent="0.2">
      <c r="A689" s="35">
        <f ca="1">INDIRECT(_xlfn.TEXTJOIN("",TRUE,A698,"!",ADDRESS(20+(A699-1)*A695,1)))</f>
        <v>0</v>
      </c>
      <c r="B689" s="36"/>
      <c r="C689" s="37">
        <f ca="1">INDIRECT(_xlfn.TEXTJOIN("",TRUE,A698,"!",ADDRESS(20+(A699-1)*A695,2)))</f>
        <v>0</v>
      </c>
      <c r="D689" s="38"/>
      <c r="E689" s="38"/>
      <c r="F689" s="38"/>
      <c r="G689" s="39"/>
      <c r="H689" s="20">
        <f ca="1">INDIRECT(_xlfn.TEXTJOIN("",TRUE,A698,"!",ADDRESS(20+(A699-1)*A695,6)))</f>
        <v>0</v>
      </c>
      <c r="I689" s="20">
        <f ca="1">INDIRECT(_xlfn.TEXTJOIN("",TRUE,A698,"!",ADDRESS(20+(A699-1)*A695,13)))</f>
        <v>0</v>
      </c>
      <c r="J689" s="20">
        <f ca="1">INDIRECT(_xlfn.TEXTJOIN("",TRUE,A698,"!",ADDRESS(20+(A699-1)*A695,14)))</f>
        <v>0</v>
      </c>
    </row>
    <row r="690" spans="1:10" ht="28" customHeight="1" x14ac:dyDescent="0.2">
      <c r="A690" s="35">
        <f ca="1">INDIRECT(_xlfn.TEXTJOIN("",TRUE,A698,"!",ADDRESS(21+(A699-1)*A695,1)))</f>
        <v>0</v>
      </c>
      <c r="B690" s="36"/>
      <c r="C690" s="37">
        <f ca="1">INDIRECT(_xlfn.TEXTJOIN("",TRUE,A698,"!",ADDRESS(21+(A699-1)*A695,2)))</f>
        <v>0</v>
      </c>
      <c r="D690" s="38"/>
      <c r="E690" s="38"/>
      <c r="F690" s="38"/>
      <c r="G690" s="39"/>
      <c r="H690" s="20">
        <f ca="1">INDIRECT(_xlfn.TEXTJOIN("",TRUE,A698,"!",ADDRESS(21+(A699-1)*A695,6)))</f>
        <v>0</v>
      </c>
      <c r="I690" s="20">
        <f ca="1">INDIRECT(_xlfn.TEXTJOIN("",TRUE,A698,"!",ADDRESS(21+(A699-1)*A695,13)))</f>
        <v>0</v>
      </c>
      <c r="J690" s="20">
        <f ca="1">INDIRECT(_xlfn.TEXTJOIN("",TRUE,A698,"!",ADDRESS(21+(A699-1)*A695,14)))</f>
        <v>0</v>
      </c>
    </row>
    <row r="691" spans="1:10" ht="28" customHeight="1" x14ac:dyDescent="0.2">
      <c r="A691" s="35">
        <f ca="1">INDIRECT(_xlfn.TEXTJOIN("",TRUE,A698,"!",ADDRESS(22+(A699-1)*A695,1)))</f>
        <v>0</v>
      </c>
      <c r="B691" s="36"/>
      <c r="C691" s="37">
        <f ca="1">INDIRECT(_xlfn.TEXTJOIN("",TRUE,A698,"!",ADDRESS(22+(A699-1)*A695,2)))</f>
        <v>0</v>
      </c>
      <c r="D691" s="38"/>
      <c r="E691" s="38"/>
      <c r="F691" s="38"/>
      <c r="G691" s="39"/>
      <c r="H691" s="20">
        <f ca="1">INDIRECT(_xlfn.TEXTJOIN("",TRUE,A698,"!",ADDRESS(22+(A699-1)*A695,6)))</f>
        <v>0</v>
      </c>
      <c r="I691" s="20">
        <f ca="1">INDIRECT(_xlfn.TEXTJOIN("",TRUE,A698,"!",ADDRESS(22+(A699-1)*A695,13)))</f>
        <v>0</v>
      </c>
      <c r="J691" s="20">
        <f ca="1">INDIRECT(_xlfn.TEXTJOIN("",TRUE,A698,"!",ADDRESS(22+(A699-1)*A695,14)))</f>
        <v>0</v>
      </c>
    </row>
    <row r="692" spans="1:10" ht="28" customHeight="1" x14ac:dyDescent="0.2">
      <c r="A692" s="35">
        <f ca="1">INDIRECT(_xlfn.TEXTJOIN("",TRUE,A698,"!",ADDRESS(23+(A699-1)*A695,1)))</f>
        <v>0</v>
      </c>
      <c r="B692" s="36"/>
      <c r="C692" s="37">
        <f ca="1">INDIRECT(_xlfn.TEXTJOIN("",TRUE,A698,"!",ADDRESS(23+(A699-1)*A695,2)))</f>
        <v>0</v>
      </c>
      <c r="D692" s="38"/>
      <c r="E692" s="38"/>
      <c r="F692" s="38"/>
      <c r="G692" s="39"/>
      <c r="H692" s="20">
        <f ca="1">INDIRECT(_xlfn.TEXTJOIN("",TRUE,A698,"!",ADDRESS(23+(A699-1)*A695,6)))</f>
        <v>0</v>
      </c>
      <c r="I692" s="20">
        <f ca="1">INDIRECT(_xlfn.TEXTJOIN("",TRUE,A698,"!",ADDRESS(23+(A699-1)*A695,13)))</f>
        <v>0</v>
      </c>
      <c r="J692" s="20">
        <f ca="1">INDIRECT(_xlfn.TEXTJOIN("",TRUE,A698,"!",ADDRESS(23+(A699-1)*A695,14)))</f>
        <v>0</v>
      </c>
    </row>
    <row r="693" spans="1:10" ht="28" customHeight="1" x14ac:dyDescent="0.2">
      <c r="A693" s="35">
        <f ca="1">INDIRECT(_xlfn.TEXTJOIN("",TRUE,A698,"!",ADDRESS(24+(A699-1)*A695,1)))</f>
        <v>0</v>
      </c>
      <c r="B693" s="36"/>
      <c r="C693" s="37">
        <f ca="1">INDIRECT(_xlfn.TEXTJOIN("",TRUE,A698,"!",ADDRESS(24+(A699-1)*A695,2)))</f>
        <v>0</v>
      </c>
      <c r="D693" s="38"/>
      <c r="E693" s="38"/>
      <c r="F693" s="38"/>
      <c r="G693" s="39"/>
      <c r="H693" s="20">
        <f ca="1">INDIRECT(_xlfn.TEXTJOIN("",TRUE,A698,"!",ADDRESS(24+(A699-1)*A695,6)))</f>
        <v>0</v>
      </c>
      <c r="I693" s="40">
        <f ca="1">INDIRECT(_xlfn.TEXTJOIN("",TRUE,A698,"!",ADDRESS(24+(A699-1)*A695,13)))</f>
        <v>0</v>
      </c>
      <c r="J693" s="41"/>
    </row>
    <row r="694" spans="1:10" ht="28" customHeight="1" x14ac:dyDescent="0.2">
      <c r="A694" s="42" t="s">
        <v>52</v>
      </c>
      <c r="B694" s="42"/>
      <c r="C694" s="42"/>
      <c r="D694" s="42"/>
      <c r="E694" s="42"/>
      <c r="F694" s="42"/>
      <c r="G694" s="42"/>
      <c r="H694" s="16">
        <f ca="1">SUM(H682:H693)</f>
        <v>0</v>
      </c>
      <c r="I694" s="16" t="s">
        <v>44</v>
      </c>
      <c r="J694" s="16">
        <f ca="1">SUMPRODUCT(J682:J692,H682:H692)</f>
        <v>0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43" t="s">
        <v>40</v>
      </c>
      <c r="B696" s="43"/>
      <c r="C696" s="21">
        <f ca="1">INDIRECT(_xlfn.TEXTJOIN("",TRUE,A698,"!",ADDRESS(5+A699*A695,12)))</f>
        <v>0</v>
      </c>
      <c r="D696" s="43" t="s">
        <v>38</v>
      </c>
      <c r="E696" s="43"/>
      <c r="F696" s="18">
        <f ca="1">INDIRECT(_xlfn.TEXTJOIN("",TRUE,A698,"!",ADDRESS(5+A699*A695,8)))</f>
        <v>0</v>
      </c>
      <c r="G696" s="43" t="s">
        <v>39</v>
      </c>
      <c r="H696" s="43"/>
      <c r="I696" s="44">
        <f ca="1">INDIRECT(_xlfn.TEXTJOIN("",TRUE,A698,"!",ADDRESS(5+A699*A695,10)))</f>
        <v>0</v>
      </c>
      <c r="J696" s="44"/>
    </row>
    <row r="697" spans="1:10" ht="28" customHeight="1" x14ac:dyDescent="0.2">
      <c r="A697" s="19" t="s">
        <v>36</v>
      </c>
      <c r="B697" s="45">
        <f ca="1">INDIRECT(_xlfn.TEXTJOIN("",TRUE,A698,"!",ADDRESS(5+A699*A695,2)))</f>
        <v>0</v>
      </c>
      <c r="C697" s="45"/>
      <c r="D697" s="46" t="s">
        <v>37</v>
      </c>
      <c r="E697" s="46"/>
      <c r="F697" s="47">
        <f ca="1">INDIRECT(_xlfn.TEXTJOIN("",TRUE,A698,"!",ADDRESS(5+A699*A695,5)))</f>
        <v>0</v>
      </c>
      <c r="G697" s="47"/>
      <c r="H697" s="47"/>
      <c r="I697" s="47"/>
      <c r="J697" s="47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48" t="s">
        <v>24</v>
      </c>
      <c r="B700" s="48"/>
      <c r="C700" s="48">
        <f ca="1">INDIRECT(_xlfn.TEXTJOIN("",TRUE,A719,"!",ADDRESS(9+(A720-1)*A716,2)))</f>
        <v>0</v>
      </c>
      <c r="D700" s="48"/>
      <c r="E700" s="48"/>
      <c r="F700" s="48" t="s">
        <v>50</v>
      </c>
      <c r="G700" s="48"/>
      <c r="H700" s="48"/>
      <c r="I700" s="49">
        <f ca="1">INDIRECT(_xlfn.TEXTJOIN("",TRUE,A719,"!",ADDRESS(9+(A720-1)*A716,9)))</f>
        <v>0</v>
      </c>
      <c r="J700" s="49"/>
    </row>
    <row r="701" spans="1:10" ht="28" customHeight="1" x14ac:dyDescent="0.2">
      <c r="A701" s="48" t="s">
        <v>25</v>
      </c>
      <c r="B701" s="48"/>
      <c r="C701" s="48">
        <f ca="1">INDIRECT(_xlfn.TEXTJOIN("",TRUE,A719,"!",ADDRESS(9+(A720-1)*A716,5)))</f>
        <v>0</v>
      </c>
      <c r="D701" s="48"/>
      <c r="E701" s="48"/>
      <c r="F701" s="50" t="s">
        <v>51</v>
      </c>
      <c r="G701" s="50"/>
      <c r="H701" s="50"/>
      <c r="I701" s="49">
        <f ca="1">INDIRECT(_xlfn.TEXTJOIN("",TRUE,A719,"!",ADDRESS(9+(A720-1)*A716,13)))</f>
        <v>0</v>
      </c>
      <c r="J701" s="49"/>
    </row>
    <row r="702" spans="1:10" ht="28" customHeight="1" x14ac:dyDescent="0.2">
      <c r="A702" s="45" t="s">
        <v>28</v>
      </c>
      <c r="B702" s="45"/>
      <c r="C702" s="45" t="s">
        <v>29</v>
      </c>
      <c r="D702" s="45"/>
      <c r="E702" s="45"/>
      <c r="F702" s="45"/>
      <c r="G702" s="45"/>
      <c r="H702" s="15" t="s">
        <v>30</v>
      </c>
      <c r="I702" s="15" t="s">
        <v>10</v>
      </c>
      <c r="J702" s="15" t="s">
        <v>34</v>
      </c>
    </row>
    <row r="703" spans="1:10" ht="28" customHeight="1" x14ac:dyDescent="0.2">
      <c r="A703" s="35">
        <f ca="1">INDIRECT(_xlfn.TEXTJOIN("",TRUE,A719,"!",ADDRESS(13+(A720-1)*A716,1)))</f>
        <v>0</v>
      </c>
      <c r="B703" s="36"/>
      <c r="C703" s="37">
        <f ca="1">INDIRECT(_xlfn.TEXTJOIN("",TRUE,A719,"!",ADDRESS(13+(A720-1)*A716,2)))</f>
        <v>0</v>
      </c>
      <c r="D703" s="38"/>
      <c r="E703" s="38"/>
      <c r="F703" s="38"/>
      <c r="G703" s="39"/>
      <c r="H703" s="20">
        <f ca="1">INDIRECT(_xlfn.TEXTJOIN("",TRUE,A719,"!",ADDRESS(13+(A720-1)*A716,6)))</f>
        <v>0</v>
      </c>
      <c r="I703" s="20">
        <f ca="1">INDIRECT(_xlfn.TEXTJOIN("",TRUE,A719,"!",ADDRESS(13+(A720-1)*A716,13)))</f>
        <v>0</v>
      </c>
      <c r="J703" s="20">
        <f ca="1">INDIRECT(_xlfn.TEXTJOIN("",TRUE,A719,"!",ADDRESS(13+(A720-1)*A716,14)))</f>
        <v>0</v>
      </c>
    </row>
    <row r="704" spans="1:10" ht="28" customHeight="1" x14ac:dyDescent="0.2">
      <c r="A704" s="35">
        <f ca="1">INDIRECT(_xlfn.TEXTJOIN("",TRUE,A719,"!",ADDRESS(14+(A720-1)*A716,1)))</f>
        <v>0</v>
      </c>
      <c r="B704" s="36"/>
      <c r="C704" s="37">
        <f ca="1">INDIRECT(_xlfn.TEXTJOIN("",TRUE,A719,"!",ADDRESS(14+(A720-1)*A716,2)))</f>
        <v>0</v>
      </c>
      <c r="D704" s="38"/>
      <c r="E704" s="38"/>
      <c r="F704" s="38"/>
      <c r="G704" s="39"/>
      <c r="H704" s="20">
        <f ca="1">INDIRECT(_xlfn.TEXTJOIN("",TRUE,A719,"!",ADDRESS(14+(A720-1)*A716,6)))</f>
        <v>0</v>
      </c>
      <c r="I704" s="20">
        <f ca="1">INDIRECT(_xlfn.TEXTJOIN("",TRUE,A719,"!",ADDRESS(14+(A720-1)*A716,13)))</f>
        <v>0</v>
      </c>
      <c r="J704" s="20">
        <f ca="1">INDIRECT(_xlfn.TEXTJOIN("",TRUE,A719,"!",ADDRESS(14+(A720-1)*A716,14)))</f>
        <v>0</v>
      </c>
    </row>
    <row r="705" spans="1:10" ht="28" customHeight="1" x14ac:dyDescent="0.2">
      <c r="A705" s="35">
        <f ca="1">INDIRECT(_xlfn.TEXTJOIN("",TRUE,A719,"!",ADDRESS(15+(A720-1)*A716,1)))</f>
        <v>0</v>
      </c>
      <c r="B705" s="36"/>
      <c r="C705" s="37">
        <f ca="1">INDIRECT(_xlfn.TEXTJOIN("",TRUE,A719,"!",ADDRESS(15+(A720-1)*A716,2)))</f>
        <v>0</v>
      </c>
      <c r="D705" s="38"/>
      <c r="E705" s="38"/>
      <c r="F705" s="38"/>
      <c r="G705" s="39"/>
      <c r="H705" s="20">
        <f ca="1">INDIRECT(_xlfn.TEXTJOIN("",TRUE,A719,"!",ADDRESS(15+(A720-1)*A716,6)))</f>
        <v>0</v>
      </c>
      <c r="I705" s="20">
        <f ca="1">INDIRECT(_xlfn.TEXTJOIN("",TRUE,A719,"!",ADDRESS(15+(A720-1)*A716,13)))</f>
        <v>0</v>
      </c>
      <c r="J705" s="20">
        <f ca="1">INDIRECT(_xlfn.TEXTJOIN("",TRUE,A719,"!",ADDRESS(15+(A720-1)*A716,14)))</f>
        <v>0</v>
      </c>
    </row>
    <row r="706" spans="1:10" ht="28" customHeight="1" x14ac:dyDescent="0.2">
      <c r="A706" s="35">
        <f ca="1">INDIRECT(_xlfn.TEXTJOIN("",TRUE,A719,"!",ADDRESS(16+(A720-1)*A716,1)))</f>
        <v>0</v>
      </c>
      <c r="B706" s="36"/>
      <c r="C706" s="37">
        <f ca="1">INDIRECT(_xlfn.TEXTJOIN("",TRUE,A719,"!",ADDRESS(16+(A720-1)*A716,2)))</f>
        <v>0</v>
      </c>
      <c r="D706" s="38"/>
      <c r="E706" s="38"/>
      <c r="F706" s="38"/>
      <c r="G706" s="39"/>
      <c r="H706" s="20">
        <f ca="1">INDIRECT(_xlfn.TEXTJOIN("",TRUE,A719,"!",ADDRESS(16+(A720-1)*A716,6)))</f>
        <v>0</v>
      </c>
      <c r="I706" s="20">
        <f ca="1">INDIRECT(_xlfn.TEXTJOIN("",TRUE,A719,"!",ADDRESS(16+(A720-1)*A716,13)))</f>
        <v>0</v>
      </c>
      <c r="J706" s="20">
        <f ca="1">INDIRECT(_xlfn.TEXTJOIN("",TRUE,A719,"!",ADDRESS(16+(A720-1)*A716,14)))</f>
        <v>0</v>
      </c>
    </row>
    <row r="707" spans="1:10" ht="28" customHeight="1" x14ac:dyDescent="0.2">
      <c r="A707" s="35">
        <f ca="1">INDIRECT(_xlfn.TEXTJOIN("",TRUE,A719,"!",ADDRESS(17+(A720-1)*A716,1)))</f>
        <v>0</v>
      </c>
      <c r="B707" s="36"/>
      <c r="C707" s="37">
        <f ca="1">INDIRECT(_xlfn.TEXTJOIN("",TRUE,A719,"!",ADDRESS(17+(A720-1)*A716,2)))</f>
        <v>0</v>
      </c>
      <c r="D707" s="38"/>
      <c r="E707" s="38"/>
      <c r="F707" s="38"/>
      <c r="G707" s="39"/>
      <c r="H707" s="20">
        <f ca="1">INDIRECT(_xlfn.TEXTJOIN("",TRUE,A719,"!",ADDRESS(17+(A720-1)*A716,6)))</f>
        <v>0</v>
      </c>
      <c r="I707" s="20">
        <f ca="1">INDIRECT(_xlfn.TEXTJOIN("",TRUE,A719,"!",ADDRESS(17+(A720-1)*A716,13)))</f>
        <v>0</v>
      </c>
      <c r="J707" s="20">
        <f ca="1">INDIRECT(_xlfn.TEXTJOIN("",TRUE,A719,"!",ADDRESS(17+(A720-1)*A716,14)))</f>
        <v>0</v>
      </c>
    </row>
    <row r="708" spans="1:10" ht="28" customHeight="1" x14ac:dyDescent="0.2">
      <c r="A708" s="35">
        <f ca="1">INDIRECT(_xlfn.TEXTJOIN("",TRUE,A719,"!",ADDRESS(18+(A720-1)*A716,1)))</f>
        <v>0</v>
      </c>
      <c r="B708" s="36"/>
      <c r="C708" s="37">
        <f ca="1">INDIRECT(_xlfn.TEXTJOIN("",TRUE,A719,"!",ADDRESS(18+(A720-1)*A716,2)))</f>
        <v>0</v>
      </c>
      <c r="D708" s="38"/>
      <c r="E708" s="38"/>
      <c r="F708" s="38"/>
      <c r="G708" s="39"/>
      <c r="H708" s="20">
        <f ca="1">INDIRECT(_xlfn.TEXTJOIN("",TRUE,A719,"!",ADDRESS(18+(A720-1)*A716,6)))</f>
        <v>0</v>
      </c>
      <c r="I708" s="20">
        <f ca="1">INDIRECT(_xlfn.TEXTJOIN("",TRUE,A719,"!",ADDRESS(18+(A720-1)*A716,13)))</f>
        <v>0</v>
      </c>
      <c r="J708" s="20">
        <f ca="1">INDIRECT(_xlfn.TEXTJOIN("",TRUE,A719,"!",ADDRESS(18+(A720-1)*A716,14)))</f>
        <v>0</v>
      </c>
    </row>
    <row r="709" spans="1:10" ht="28" customHeight="1" x14ac:dyDescent="0.2">
      <c r="A709" s="35">
        <f ca="1">INDIRECT(_xlfn.TEXTJOIN("",TRUE,A719,"!",ADDRESS(19+(A720-1)*A716,1)))</f>
        <v>0</v>
      </c>
      <c r="B709" s="36"/>
      <c r="C709" s="37">
        <f ca="1">INDIRECT(_xlfn.TEXTJOIN("",TRUE,A719,"!",ADDRESS(19+(A720-1)*A716,2)))</f>
        <v>0</v>
      </c>
      <c r="D709" s="38"/>
      <c r="E709" s="38"/>
      <c r="F709" s="38"/>
      <c r="G709" s="39"/>
      <c r="H709" s="20">
        <f ca="1">INDIRECT(_xlfn.TEXTJOIN("",TRUE,A719,"!",ADDRESS(19+(A720-1)*A716,6)))</f>
        <v>0</v>
      </c>
      <c r="I709" s="20">
        <f ca="1">INDIRECT(_xlfn.TEXTJOIN("",TRUE,A719,"!",ADDRESS(19+(A720-1)*A716,13)))</f>
        <v>0</v>
      </c>
      <c r="J709" s="20">
        <f ca="1">INDIRECT(_xlfn.TEXTJOIN("",TRUE,A719,"!",ADDRESS(19+(A720-1)*A716,14)))</f>
        <v>0</v>
      </c>
    </row>
    <row r="710" spans="1:10" ht="28" customHeight="1" x14ac:dyDescent="0.2">
      <c r="A710" s="35">
        <f ca="1">INDIRECT(_xlfn.TEXTJOIN("",TRUE,A719,"!",ADDRESS(20+(A720-1)*A716,1)))</f>
        <v>0</v>
      </c>
      <c r="B710" s="36"/>
      <c r="C710" s="37">
        <f ca="1">INDIRECT(_xlfn.TEXTJOIN("",TRUE,A719,"!",ADDRESS(20+(A720-1)*A716,2)))</f>
        <v>0</v>
      </c>
      <c r="D710" s="38"/>
      <c r="E710" s="38"/>
      <c r="F710" s="38"/>
      <c r="G710" s="39"/>
      <c r="H710" s="20">
        <f ca="1">INDIRECT(_xlfn.TEXTJOIN("",TRUE,A719,"!",ADDRESS(20+(A720-1)*A716,6)))</f>
        <v>0</v>
      </c>
      <c r="I710" s="20">
        <f ca="1">INDIRECT(_xlfn.TEXTJOIN("",TRUE,A719,"!",ADDRESS(20+(A720-1)*A716,13)))</f>
        <v>0</v>
      </c>
      <c r="J710" s="20">
        <f ca="1">INDIRECT(_xlfn.TEXTJOIN("",TRUE,A719,"!",ADDRESS(20+(A720-1)*A716,14)))</f>
        <v>0</v>
      </c>
    </row>
    <row r="711" spans="1:10" ht="28" customHeight="1" x14ac:dyDescent="0.2">
      <c r="A711" s="35">
        <f ca="1">INDIRECT(_xlfn.TEXTJOIN("",TRUE,A719,"!",ADDRESS(21+(A720-1)*A716,1)))</f>
        <v>0</v>
      </c>
      <c r="B711" s="36"/>
      <c r="C711" s="37">
        <f ca="1">INDIRECT(_xlfn.TEXTJOIN("",TRUE,A719,"!",ADDRESS(21+(A720-1)*A716,2)))</f>
        <v>0</v>
      </c>
      <c r="D711" s="38"/>
      <c r="E711" s="38"/>
      <c r="F711" s="38"/>
      <c r="G711" s="39"/>
      <c r="H711" s="20">
        <f ca="1">INDIRECT(_xlfn.TEXTJOIN("",TRUE,A719,"!",ADDRESS(21+(A720-1)*A716,6)))</f>
        <v>0</v>
      </c>
      <c r="I711" s="20">
        <f ca="1">INDIRECT(_xlfn.TEXTJOIN("",TRUE,A719,"!",ADDRESS(21+(A720-1)*A716,13)))</f>
        <v>0</v>
      </c>
      <c r="J711" s="20">
        <f ca="1">INDIRECT(_xlfn.TEXTJOIN("",TRUE,A719,"!",ADDRESS(21+(A720-1)*A716,14)))</f>
        <v>0</v>
      </c>
    </row>
    <row r="712" spans="1:10" ht="28" customHeight="1" x14ac:dyDescent="0.2">
      <c r="A712" s="35">
        <f ca="1">INDIRECT(_xlfn.TEXTJOIN("",TRUE,A719,"!",ADDRESS(22+(A720-1)*A716,1)))</f>
        <v>0</v>
      </c>
      <c r="B712" s="36"/>
      <c r="C712" s="37">
        <f ca="1">INDIRECT(_xlfn.TEXTJOIN("",TRUE,A719,"!",ADDRESS(22+(A720-1)*A716,2)))</f>
        <v>0</v>
      </c>
      <c r="D712" s="38"/>
      <c r="E712" s="38"/>
      <c r="F712" s="38"/>
      <c r="G712" s="39"/>
      <c r="H712" s="20">
        <f ca="1">INDIRECT(_xlfn.TEXTJOIN("",TRUE,A719,"!",ADDRESS(22+(A720-1)*A716,6)))</f>
        <v>0</v>
      </c>
      <c r="I712" s="20">
        <f ca="1">INDIRECT(_xlfn.TEXTJOIN("",TRUE,A719,"!",ADDRESS(22+(A720-1)*A716,13)))</f>
        <v>0</v>
      </c>
      <c r="J712" s="20">
        <f ca="1">INDIRECT(_xlfn.TEXTJOIN("",TRUE,A719,"!",ADDRESS(22+(A720-1)*A716,14)))</f>
        <v>0</v>
      </c>
    </row>
    <row r="713" spans="1:10" ht="28" customHeight="1" x14ac:dyDescent="0.2">
      <c r="A713" s="35">
        <f ca="1">INDIRECT(_xlfn.TEXTJOIN("",TRUE,A719,"!",ADDRESS(23+(A720-1)*A716,1)))</f>
        <v>0</v>
      </c>
      <c r="B713" s="36"/>
      <c r="C713" s="37">
        <f ca="1">INDIRECT(_xlfn.TEXTJOIN("",TRUE,A719,"!",ADDRESS(23+(A720-1)*A716,2)))</f>
        <v>0</v>
      </c>
      <c r="D713" s="38"/>
      <c r="E713" s="38"/>
      <c r="F713" s="38"/>
      <c r="G713" s="39"/>
      <c r="H713" s="20">
        <f ca="1">INDIRECT(_xlfn.TEXTJOIN("",TRUE,A719,"!",ADDRESS(23+(A720-1)*A716,6)))</f>
        <v>0</v>
      </c>
      <c r="I713" s="20">
        <f ca="1">INDIRECT(_xlfn.TEXTJOIN("",TRUE,A719,"!",ADDRESS(23+(A720-1)*A716,13)))</f>
        <v>0</v>
      </c>
      <c r="J713" s="20">
        <f ca="1">INDIRECT(_xlfn.TEXTJOIN("",TRUE,A719,"!",ADDRESS(23+(A720-1)*A716,14)))</f>
        <v>0</v>
      </c>
    </row>
    <row r="714" spans="1:10" ht="28" customHeight="1" x14ac:dyDescent="0.2">
      <c r="A714" s="35">
        <f ca="1">INDIRECT(_xlfn.TEXTJOIN("",TRUE,A719,"!",ADDRESS(24+(A720-1)*A716,1)))</f>
        <v>0</v>
      </c>
      <c r="B714" s="36"/>
      <c r="C714" s="37">
        <f ca="1">INDIRECT(_xlfn.TEXTJOIN("",TRUE,A719,"!",ADDRESS(24+(A720-1)*A716,2)))</f>
        <v>0</v>
      </c>
      <c r="D714" s="38"/>
      <c r="E714" s="38"/>
      <c r="F714" s="38"/>
      <c r="G714" s="39"/>
      <c r="H714" s="20">
        <f ca="1">INDIRECT(_xlfn.TEXTJOIN("",TRUE,A719,"!",ADDRESS(24+(A720-1)*A716,6)))</f>
        <v>0</v>
      </c>
      <c r="I714" s="40">
        <f ca="1">INDIRECT(_xlfn.TEXTJOIN("",TRUE,A719,"!",ADDRESS(24+(A720-1)*A716,13)))</f>
        <v>0</v>
      </c>
      <c r="J714" s="41"/>
    </row>
    <row r="715" spans="1:10" ht="28" customHeight="1" x14ac:dyDescent="0.2">
      <c r="A715" s="42" t="s">
        <v>52</v>
      </c>
      <c r="B715" s="42"/>
      <c r="C715" s="42"/>
      <c r="D715" s="42"/>
      <c r="E715" s="42"/>
      <c r="F715" s="42"/>
      <c r="G715" s="42"/>
      <c r="H715" s="16">
        <f ca="1">SUM(H703:H714)</f>
        <v>0</v>
      </c>
      <c r="I715" s="16" t="s">
        <v>44</v>
      </c>
      <c r="J715" s="16">
        <f ca="1">SUMPRODUCT(J703:J713,H703:H713)</f>
        <v>0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43" t="s">
        <v>40</v>
      </c>
      <c r="B717" s="43"/>
      <c r="C717" s="21">
        <f ca="1">INDIRECT(_xlfn.TEXTJOIN("",TRUE,A719,"!",ADDRESS(5+A720*A716,12)))</f>
        <v>0</v>
      </c>
      <c r="D717" s="43" t="s">
        <v>38</v>
      </c>
      <c r="E717" s="43"/>
      <c r="F717" s="18">
        <f ca="1">INDIRECT(_xlfn.TEXTJOIN("",TRUE,A719,"!",ADDRESS(5+A720*A716,8)))</f>
        <v>0</v>
      </c>
      <c r="G717" s="43" t="s">
        <v>39</v>
      </c>
      <c r="H717" s="43"/>
      <c r="I717" s="44">
        <f ca="1">INDIRECT(_xlfn.TEXTJOIN("",TRUE,A719,"!",ADDRESS(5+A720*A716,10)))</f>
        <v>0</v>
      </c>
      <c r="J717" s="44"/>
    </row>
    <row r="718" spans="1:10" ht="28" customHeight="1" x14ac:dyDescent="0.2">
      <c r="A718" s="19" t="s">
        <v>36</v>
      </c>
      <c r="B718" s="45">
        <f ca="1">INDIRECT(_xlfn.TEXTJOIN("",TRUE,A719,"!",ADDRESS(5+A720*A716,2)))</f>
        <v>0</v>
      </c>
      <c r="C718" s="45"/>
      <c r="D718" s="46" t="s">
        <v>37</v>
      </c>
      <c r="E718" s="46"/>
      <c r="F718" s="47">
        <f ca="1">INDIRECT(_xlfn.TEXTJOIN("",TRUE,A719,"!",ADDRESS(5+A720*A716,5)))</f>
        <v>0</v>
      </c>
      <c r="G718" s="47"/>
      <c r="H718" s="47"/>
      <c r="I718" s="47"/>
      <c r="J718" s="47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48" t="s">
        <v>24</v>
      </c>
      <c r="B721" s="48"/>
      <c r="C721" s="48">
        <f ca="1">INDIRECT(_xlfn.TEXTJOIN("",TRUE,A740,"!",ADDRESS(9+(A741-1)*A737,2)))</f>
        <v>0</v>
      </c>
      <c r="D721" s="48"/>
      <c r="E721" s="48"/>
      <c r="F721" s="48" t="s">
        <v>50</v>
      </c>
      <c r="G721" s="48"/>
      <c r="H721" s="48"/>
      <c r="I721" s="49">
        <f ca="1">INDIRECT(_xlfn.TEXTJOIN("",TRUE,A740,"!",ADDRESS(9+(A741-1)*A737,9)))</f>
        <v>0</v>
      </c>
      <c r="J721" s="49"/>
    </row>
    <row r="722" spans="1:10" ht="28" customHeight="1" x14ac:dyDescent="0.2">
      <c r="A722" s="48" t="s">
        <v>25</v>
      </c>
      <c r="B722" s="48"/>
      <c r="C722" s="48">
        <f ca="1">INDIRECT(_xlfn.TEXTJOIN("",TRUE,A740,"!",ADDRESS(9+(A741-1)*A737,5)))</f>
        <v>0</v>
      </c>
      <c r="D722" s="48"/>
      <c r="E722" s="48"/>
      <c r="F722" s="50" t="s">
        <v>51</v>
      </c>
      <c r="G722" s="50"/>
      <c r="H722" s="50"/>
      <c r="I722" s="49">
        <f ca="1">INDIRECT(_xlfn.TEXTJOIN("",TRUE,A740,"!",ADDRESS(9+(A741-1)*A737,13)))</f>
        <v>0</v>
      </c>
      <c r="J722" s="49"/>
    </row>
    <row r="723" spans="1:10" ht="28" customHeight="1" x14ac:dyDescent="0.2">
      <c r="A723" s="45" t="s">
        <v>28</v>
      </c>
      <c r="B723" s="45"/>
      <c r="C723" s="45" t="s">
        <v>29</v>
      </c>
      <c r="D723" s="45"/>
      <c r="E723" s="45"/>
      <c r="F723" s="45"/>
      <c r="G723" s="45"/>
      <c r="H723" s="15" t="s">
        <v>30</v>
      </c>
      <c r="I723" s="15" t="s">
        <v>10</v>
      </c>
      <c r="J723" s="15" t="s">
        <v>34</v>
      </c>
    </row>
    <row r="724" spans="1:10" ht="28" customHeight="1" x14ac:dyDescent="0.2">
      <c r="A724" s="35">
        <f ca="1">INDIRECT(_xlfn.TEXTJOIN("",TRUE,A740,"!",ADDRESS(13+(A741-1)*A737,1)))</f>
        <v>0</v>
      </c>
      <c r="B724" s="36"/>
      <c r="C724" s="37">
        <f ca="1">INDIRECT(_xlfn.TEXTJOIN("",TRUE,A740,"!",ADDRESS(13+(A741-1)*A737,2)))</f>
        <v>0</v>
      </c>
      <c r="D724" s="38"/>
      <c r="E724" s="38"/>
      <c r="F724" s="38"/>
      <c r="G724" s="39"/>
      <c r="H724" s="20">
        <f ca="1">INDIRECT(_xlfn.TEXTJOIN("",TRUE,A740,"!",ADDRESS(13+(A741-1)*A737,6)))</f>
        <v>0</v>
      </c>
      <c r="I724" s="20">
        <f ca="1">INDIRECT(_xlfn.TEXTJOIN("",TRUE,A740,"!",ADDRESS(13+(A741-1)*A737,13)))</f>
        <v>0</v>
      </c>
      <c r="J724" s="20">
        <f ca="1">INDIRECT(_xlfn.TEXTJOIN("",TRUE,A740,"!",ADDRESS(13+(A741-1)*A737,14)))</f>
        <v>0</v>
      </c>
    </row>
    <row r="725" spans="1:10" ht="28" customHeight="1" x14ac:dyDescent="0.2">
      <c r="A725" s="35">
        <f ca="1">INDIRECT(_xlfn.TEXTJOIN("",TRUE,A740,"!",ADDRESS(14+(A741-1)*A737,1)))</f>
        <v>0</v>
      </c>
      <c r="B725" s="36"/>
      <c r="C725" s="37">
        <f ca="1">INDIRECT(_xlfn.TEXTJOIN("",TRUE,A740,"!",ADDRESS(14+(A741-1)*A737,2)))</f>
        <v>0</v>
      </c>
      <c r="D725" s="38"/>
      <c r="E725" s="38"/>
      <c r="F725" s="38"/>
      <c r="G725" s="39"/>
      <c r="H725" s="20">
        <f ca="1">INDIRECT(_xlfn.TEXTJOIN("",TRUE,A740,"!",ADDRESS(14+(A741-1)*A737,6)))</f>
        <v>0</v>
      </c>
      <c r="I725" s="20">
        <f ca="1">INDIRECT(_xlfn.TEXTJOIN("",TRUE,A740,"!",ADDRESS(14+(A741-1)*A737,13)))</f>
        <v>0</v>
      </c>
      <c r="J725" s="20">
        <f ca="1">INDIRECT(_xlfn.TEXTJOIN("",TRUE,A740,"!",ADDRESS(14+(A741-1)*A737,14)))</f>
        <v>0</v>
      </c>
    </row>
    <row r="726" spans="1:10" ht="28" customHeight="1" x14ac:dyDescent="0.2">
      <c r="A726" s="35">
        <f ca="1">INDIRECT(_xlfn.TEXTJOIN("",TRUE,A740,"!",ADDRESS(15+(A741-1)*A737,1)))</f>
        <v>0</v>
      </c>
      <c r="B726" s="36"/>
      <c r="C726" s="37">
        <f ca="1">INDIRECT(_xlfn.TEXTJOIN("",TRUE,A740,"!",ADDRESS(15+(A741-1)*A737,2)))</f>
        <v>0</v>
      </c>
      <c r="D726" s="38"/>
      <c r="E726" s="38"/>
      <c r="F726" s="38"/>
      <c r="G726" s="39"/>
      <c r="H726" s="20">
        <f ca="1">INDIRECT(_xlfn.TEXTJOIN("",TRUE,A740,"!",ADDRESS(15+(A741-1)*A737,6)))</f>
        <v>0</v>
      </c>
      <c r="I726" s="20">
        <f ca="1">INDIRECT(_xlfn.TEXTJOIN("",TRUE,A740,"!",ADDRESS(15+(A741-1)*A737,13)))</f>
        <v>0</v>
      </c>
      <c r="J726" s="20">
        <f ca="1">INDIRECT(_xlfn.TEXTJOIN("",TRUE,A740,"!",ADDRESS(15+(A741-1)*A737,14)))</f>
        <v>0</v>
      </c>
    </row>
    <row r="727" spans="1:10" ht="28" customHeight="1" x14ac:dyDescent="0.2">
      <c r="A727" s="35">
        <f ca="1">INDIRECT(_xlfn.TEXTJOIN("",TRUE,A740,"!",ADDRESS(16+(A741-1)*A737,1)))</f>
        <v>0</v>
      </c>
      <c r="B727" s="36"/>
      <c r="C727" s="37">
        <f ca="1">INDIRECT(_xlfn.TEXTJOIN("",TRUE,A740,"!",ADDRESS(16+(A741-1)*A737,2)))</f>
        <v>0</v>
      </c>
      <c r="D727" s="38"/>
      <c r="E727" s="38"/>
      <c r="F727" s="38"/>
      <c r="G727" s="39"/>
      <c r="H727" s="20">
        <f ca="1">INDIRECT(_xlfn.TEXTJOIN("",TRUE,A740,"!",ADDRESS(16+(A741-1)*A737,6)))</f>
        <v>0</v>
      </c>
      <c r="I727" s="20">
        <f ca="1">INDIRECT(_xlfn.TEXTJOIN("",TRUE,A740,"!",ADDRESS(16+(A741-1)*A737,13)))</f>
        <v>0</v>
      </c>
      <c r="J727" s="20">
        <f ca="1">INDIRECT(_xlfn.TEXTJOIN("",TRUE,A740,"!",ADDRESS(16+(A741-1)*A737,14)))</f>
        <v>0</v>
      </c>
    </row>
    <row r="728" spans="1:10" ht="28" customHeight="1" x14ac:dyDescent="0.2">
      <c r="A728" s="35">
        <f ca="1">INDIRECT(_xlfn.TEXTJOIN("",TRUE,A740,"!",ADDRESS(17+(A741-1)*A737,1)))</f>
        <v>0</v>
      </c>
      <c r="B728" s="36"/>
      <c r="C728" s="37">
        <f ca="1">INDIRECT(_xlfn.TEXTJOIN("",TRUE,A740,"!",ADDRESS(17+(A741-1)*A737,2)))</f>
        <v>0</v>
      </c>
      <c r="D728" s="38"/>
      <c r="E728" s="38"/>
      <c r="F728" s="38"/>
      <c r="G728" s="39"/>
      <c r="H728" s="20">
        <f ca="1">INDIRECT(_xlfn.TEXTJOIN("",TRUE,A740,"!",ADDRESS(17+(A741-1)*A737,6)))</f>
        <v>0</v>
      </c>
      <c r="I728" s="20">
        <f ca="1">INDIRECT(_xlfn.TEXTJOIN("",TRUE,A740,"!",ADDRESS(17+(A741-1)*A737,13)))</f>
        <v>0</v>
      </c>
      <c r="J728" s="20">
        <f ca="1">INDIRECT(_xlfn.TEXTJOIN("",TRUE,A740,"!",ADDRESS(17+(A741-1)*A737,14)))</f>
        <v>0</v>
      </c>
    </row>
    <row r="729" spans="1:10" ht="28" customHeight="1" x14ac:dyDescent="0.2">
      <c r="A729" s="35">
        <f ca="1">INDIRECT(_xlfn.TEXTJOIN("",TRUE,A740,"!",ADDRESS(18+(A741-1)*A737,1)))</f>
        <v>0</v>
      </c>
      <c r="B729" s="36"/>
      <c r="C729" s="37">
        <f ca="1">INDIRECT(_xlfn.TEXTJOIN("",TRUE,A740,"!",ADDRESS(18+(A741-1)*A737,2)))</f>
        <v>0</v>
      </c>
      <c r="D729" s="38"/>
      <c r="E729" s="38"/>
      <c r="F729" s="38"/>
      <c r="G729" s="39"/>
      <c r="H729" s="20">
        <f ca="1">INDIRECT(_xlfn.TEXTJOIN("",TRUE,A740,"!",ADDRESS(18+(A741-1)*A737,6)))</f>
        <v>0</v>
      </c>
      <c r="I729" s="20">
        <f ca="1">INDIRECT(_xlfn.TEXTJOIN("",TRUE,A740,"!",ADDRESS(18+(A741-1)*A737,13)))</f>
        <v>0</v>
      </c>
      <c r="J729" s="20">
        <f ca="1">INDIRECT(_xlfn.TEXTJOIN("",TRUE,A740,"!",ADDRESS(18+(A741-1)*A737,14)))</f>
        <v>0</v>
      </c>
    </row>
    <row r="730" spans="1:10" ht="28" customHeight="1" x14ac:dyDescent="0.2">
      <c r="A730" s="35">
        <f ca="1">INDIRECT(_xlfn.TEXTJOIN("",TRUE,A740,"!",ADDRESS(19+(A741-1)*A737,1)))</f>
        <v>0</v>
      </c>
      <c r="B730" s="36"/>
      <c r="C730" s="37">
        <f ca="1">INDIRECT(_xlfn.TEXTJOIN("",TRUE,A740,"!",ADDRESS(19+(A741-1)*A737,2)))</f>
        <v>0</v>
      </c>
      <c r="D730" s="38"/>
      <c r="E730" s="38"/>
      <c r="F730" s="38"/>
      <c r="G730" s="39"/>
      <c r="H730" s="20">
        <f ca="1">INDIRECT(_xlfn.TEXTJOIN("",TRUE,A740,"!",ADDRESS(19+(A741-1)*A737,6)))</f>
        <v>0</v>
      </c>
      <c r="I730" s="20">
        <f ca="1">INDIRECT(_xlfn.TEXTJOIN("",TRUE,A740,"!",ADDRESS(19+(A741-1)*A737,13)))</f>
        <v>0</v>
      </c>
      <c r="J730" s="20">
        <f ca="1">INDIRECT(_xlfn.TEXTJOIN("",TRUE,A740,"!",ADDRESS(19+(A741-1)*A737,14)))</f>
        <v>0</v>
      </c>
    </row>
    <row r="731" spans="1:10" ht="28" customHeight="1" x14ac:dyDescent="0.2">
      <c r="A731" s="35">
        <f ca="1">INDIRECT(_xlfn.TEXTJOIN("",TRUE,A740,"!",ADDRESS(20+(A741-1)*A737,1)))</f>
        <v>0</v>
      </c>
      <c r="B731" s="36"/>
      <c r="C731" s="37">
        <f ca="1">INDIRECT(_xlfn.TEXTJOIN("",TRUE,A740,"!",ADDRESS(20+(A741-1)*A737,2)))</f>
        <v>0</v>
      </c>
      <c r="D731" s="38"/>
      <c r="E731" s="38"/>
      <c r="F731" s="38"/>
      <c r="G731" s="39"/>
      <c r="H731" s="20">
        <f ca="1">INDIRECT(_xlfn.TEXTJOIN("",TRUE,A740,"!",ADDRESS(20+(A741-1)*A737,6)))</f>
        <v>0</v>
      </c>
      <c r="I731" s="20">
        <f ca="1">INDIRECT(_xlfn.TEXTJOIN("",TRUE,A740,"!",ADDRESS(20+(A741-1)*A737,13)))</f>
        <v>0</v>
      </c>
      <c r="J731" s="20">
        <f ca="1">INDIRECT(_xlfn.TEXTJOIN("",TRUE,A740,"!",ADDRESS(20+(A741-1)*A737,14)))</f>
        <v>0</v>
      </c>
    </row>
    <row r="732" spans="1:10" ht="28" customHeight="1" x14ac:dyDescent="0.2">
      <c r="A732" s="35">
        <f ca="1">INDIRECT(_xlfn.TEXTJOIN("",TRUE,A740,"!",ADDRESS(21+(A741-1)*A737,1)))</f>
        <v>0</v>
      </c>
      <c r="B732" s="36"/>
      <c r="C732" s="37">
        <f ca="1">INDIRECT(_xlfn.TEXTJOIN("",TRUE,A740,"!",ADDRESS(21+(A741-1)*A737,2)))</f>
        <v>0</v>
      </c>
      <c r="D732" s="38"/>
      <c r="E732" s="38"/>
      <c r="F732" s="38"/>
      <c r="G732" s="39"/>
      <c r="H732" s="20">
        <f ca="1">INDIRECT(_xlfn.TEXTJOIN("",TRUE,A740,"!",ADDRESS(21+(A741-1)*A737,6)))</f>
        <v>0</v>
      </c>
      <c r="I732" s="20">
        <f ca="1">INDIRECT(_xlfn.TEXTJOIN("",TRUE,A740,"!",ADDRESS(21+(A741-1)*A737,13)))</f>
        <v>0</v>
      </c>
      <c r="J732" s="20">
        <f ca="1">INDIRECT(_xlfn.TEXTJOIN("",TRUE,A740,"!",ADDRESS(21+(A741-1)*A737,14)))</f>
        <v>0</v>
      </c>
    </row>
    <row r="733" spans="1:10" ht="28" customHeight="1" x14ac:dyDescent="0.2">
      <c r="A733" s="35">
        <f ca="1">INDIRECT(_xlfn.TEXTJOIN("",TRUE,A740,"!",ADDRESS(22+(A741-1)*A737,1)))</f>
        <v>0</v>
      </c>
      <c r="B733" s="36"/>
      <c r="C733" s="37">
        <f ca="1">INDIRECT(_xlfn.TEXTJOIN("",TRUE,A740,"!",ADDRESS(22+(A741-1)*A737,2)))</f>
        <v>0</v>
      </c>
      <c r="D733" s="38"/>
      <c r="E733" s="38"/>
      <c r="F733" s="38"/>
      <c r="G733" s="39"/>
      <c r="H733" s="20">
        <f ca="1">INDIRECT(_xlfn.TEXTJOIN("",TRUE,A740,"!",ADDRESS(22+(A741-1)*A737,6)))</f>
        <v>0</v>
      </c>
      <c r="I733" s="20">
        <f ca="1">INDIRECT(_xlfn.TEXTJOIN("",TRUE,A740,"!",ADDRESS(22+(A741-1)*A737,13)))</f>
        <v>0</v>
      </c>
      <c r="J733" s="20">
        <f ca="1">INDIRECT(_xlfn.TEXTJOIN("",TRUE,A740,"!",ADDRESS(22+(A741-1)*A737,14)))</f>
        <v>0</v>
      </c>
    </row>
    <row r="734" spans="1:10" ht="28" customHeight="1" x14ac:dyDescent="0.2">
      <c r="A734" s="35">
        <f ca="1">INDIRECT(_xlfn.TEXTJOIN("",TRUE,A740,"!",ADDRESS(23+(A741-1)*A737,1)))</f>
        <v>0</v>
      </c>
      <c r="B734" s="36"/>
      <c r="C734" s="37">
        <f ca="1">INDIRECT(_xlfn.TEXTJOIN("",TRUE,A740,"!",ADDRESS(23+(A741-1)*A737,2)))</f>
        <v>0</v>
      </c>
      <c r="D734" s="38"/>
      <c r="E734" s="38"/>
      <c r="F734" s="38"/>
      <c r="G734" s="39"/>
      <c r="H734" s="20">
        <f ca="1">INDIRECT(_xlfn.TEXTJOIN("",TRUE,A740,"!",ADDRESS(23+(A741-1)*A737,6)))</f>
        <v>0</v>
      </c>
      <c r="I734" s="20">
        <f ca="1">INDIRECT(_xlfn.TEXTJOIN("",TRUE,A740,"!",ADDRESS(23+(A741-1)*A737,13)))</f>
        <v>0</v>
      </c>
      <c r="J734" s="20">
        <f ca="1">INDIRECT(_xlfn.TEXTJOIN("",TRUE,A740,"!",ADDRESS(23+(A741-1)*A737,14)))</f>
        <v>0</v>
      </c>
    </row>
    <row r="735" spans="1:10" ht="28" customHeight="1" x14ac:dyDescent="0.2">
      <c r="A735" s="35">
        <f ca="1">INDIRECT(_xlfn.TEXTJOIN("",TRUE,A740,"!",ADDRESS(24+(A741-1)*A737,1)))</f>
        <v>0</v>
      </c>
      <c r="B735" s="36"/>
      <c r="C735" s="37">
        <f ca="1">INDIRECT(_xlfn.TEXTJOIN("",TRUE,A740,"!",ADDRESS(24+(A741-1)*A737,2)))</f>
        <v>0</v>
      </c>
      <c r="D735" s="38"/>
      <c r="E735" s="38"/>
      <c r="F735" s="38"/>
      <c r="G735" s="39"/>
      <c r="H735" s="20">
        <f ca="1">INDIRECT(_xlfn.TEXTJOIN("",TRUE,A740,"!",ADDRESS(24+(A741-1)*A737,6)))</f>
        <v>0</v>
      </c>
      <c r="I735" s="40">
        <f ca="1">INDIRECT(_xlfn.TEXTJOIN("",TRUE,A740,"!",ADDRESS(24+(A741-1)*A737,13)))</f>
        <v>0</v>
      </c>
      <c r="J735" s="41"/>
    </row>
    <row r="736" spans="1:10" ht="28" customHeight="1" x14ac:dyDescent="0.2">
      <c r="A736" s="42" t="s">
        <v>52</v>
      </c>
      <c r="B736" s="42"/>
      <c r="C736" s="42"/>
      <c r="D736" s="42"/>
      <c r="E736" s="42"/>
      <c r="F736" s="42"/>
      <c r="G736" s="42"/>
      <c r="H736" s="16">
        <f ca="1">SUM(H724:H735)</f>
        <v>0</v>
      </c>
      <c r="I736" s="16" t="s">
        <v>44</v>
      </c>
      <c r="J736" s="16">
        <f ca="1">SUMPRODUCT(J724:J734,H724:H734)</f>
        <v>0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43" t="s">
        <v>40</v>
      </c>
      <c r="B738" s="43"/>
      <c r="C738" s="21">
        <f ca="1">INDIRECT(_xlfn.TEXTJOIN("",TRUE,A740,"!",ADDRESS(5+A741*A737,12)))</f>
        <v>0</v>
      </c>
      <c r="D738" s="43" t="s">
        <v>38</v>
      </c>
      <c r="E738" s="43"/>
      <c r="F738" s="18">
        <f ca="1">INDIRECT(_xlfn.TEXTJOIN("",TRUE,A740,"!",ADDRESS(5+A741*A737,8)))</f>
        <v>0</v>
      </c>
      <c r="G738" s="43" t="s">
        <v>39</v>
      </c>
      <c r="H738" s="43"/>
      <c r="I738" s="44">
        <f ca="1">INDIRECT(_xlfn.TEXTJOIN("",TRUE,A740,"!",ADDRESS(5+A741*A737,10)))</f>
        <v>0</v>
      </c>
      <c r="J738" s="44"/>
    </row>
    <row r="739" spans="1:10" ht="28" customHeight="1" x14ac:dyDescent="0.2">
      <c r="A739" s="19" t="s">
        <v>36</v>
      </c>
      <c r="B739" s="45">
        <f ca="1">INDIRECT(_xlfn.TEXTJOIN("",TRUE,A740,"!",ADDRESS(5+A741*A737,2)))</f>
        <v>0</v>
      </c>
      <c r="C739" s="45"/>
      <c r="D739" s="46" t="s">
        <v>37</v>
      </c>
      <c r="E739" s="46"/>
      <c r="F739" s="47">
        <f ca="1">INDIRECT(_xlfn.TEXTJOIN("",TRUE,A740,"!",ADDRESS(5+A741*A737,5)))</f>
        <v>0</v>
      </c>
      <c r="G739" s="47"/>
      <c r="H739" s="47"/>
      <c r="I739" s="47"/>
      <c r="J739" s="47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48" t="s">
        <v>24</v>
      </c>
      <c r="B742" s="48"/>
      <c r="C742" s="48">
        <f ca="1">INDIRECT(_xlfn.TEXTJOIN("",TRUE,A761,"!",ADDRESS(9+(A762-1)*A758,2)))</f>
        <v>0</v>
      </c>
      <c r="D742" s="48"/>
      <c r="E742" s="48"/>
      <c r="F742" s="48" t="s">
        <v>50</v>
      </c>
      <c r="G742" s="48"/>
      <c r="H742" s="48"/>
      <c r="I742" s="49">
        <f ca="1">INDIRECT(_xlfn.TEXTJOIN("",TRUE,A761,"!",ADDRESS(9+(A762-1)*A758,9)))</f>
        <v>0</v>
      </c>
      <c r="J742" s="49"/>
    </row>
    <row r="743" spans="1:10" ht="28" customHeight="1" x14ac:dyDescent="0.2">
      <c r="A743" s="48" t="s">
        <v>25</v>
      </c>
      <c r="B743" s="48"/>
      <c r="C743" s="48">
        <f ca="1">INDIRECT(_xlfn.TEXTJOIN("",TRUE,A761,"!",ADDRESS(9+(A762-1)*A758,5)))</f>
        <v>0</v>
      </c>
      <c r="D743" s="48"/>
      <c r="E743" s="48"/>
      <c r="F743" s="50" t="s">
        <v>51</v>
      </c>
      <c r="G743" s="50"/>
      <c r="H743" s="50"/>
      <c r="I743" s="49">
        <f ca="1">INDIRECT(_xlfn.TEXTJOIN("",TRUE,A761,"!",ADDRESS(9+(A762-1)*A758,13)))</f>
        <v>0</v>
      </c>
      <c r="J743" s="49"/>
    </row>
    <row r="744" spans="1:10" ht="28" customHeight="1" x14ac:dyDescent="0.2">
      <c r="A744" s="45" t="s">
        <v>28</v>
      </c>
      <c r="B744" s="45"/>
      <c r="C744" s="45" t="s">
        <v>29</v>
      </c>
      <c r="D744" s="45"/>
      <c r="E744" s="45"/>
      <c r="F744" s="45"/>
      <c r="G744" s="45"/>
      <c r="H744" s="15" t="s">
        <v>30</v>
      </c>
      <c r="I744" s="15" t="s">
        <v>10</v>
      </c>
      <c r="J744" s="15" t="s">
        <v>34</v>
      </c>
    </row>
    <row r="745" spans="1:10" ht="28" customHeight="1" x14ac:dyDescent="0.2">
      <c r="A745" s="35">
        <f ca="1">INDIRECT(_xlfn.TEXTJOIN("",TRUE,A761,"!",ADDRESS(13+(A762-1)*A758,1)))</f>
        <v>0</v>
      </c>
      <c r="B745" s="36"/>
      <c r="C745" s="37">
        <f ca="1">INDIRECT(_xlfn.TEXTJOIN("",TRUE,A761,"!",ADDRESS(13+(A762-1)*A758,2)))</f>
        <v>0</v>
      </c>
      <c r="D745" s="38"/>
      <c r="E745" s="38"/>
      <c r="F745" s="38"/>
      <c r="G745" s="39"/>
      <c r="H745" s="20">
        <f ca="1">INDIRECT(_xlfn.TEXTJOIN("",TRUE,A761,"!",ADDRESS(13+(A762-1)*A758,6)))</f>
        <v>0</v>
      </c>
      <c r="I745" s="20">
        <f ca="1">INDIRECT(_xlfn.TEXTJOIN("",TRUE,A761,"!",ADDRESS(13+(A762-1)*A758,13)))</f>
        <v>0</v>
      </c>
      <c r="J745" s="20">
        <f ca="1">INDIRECT(_xlfn.TEXTJOIN("",TRUE,A761,"!",ADDRESS(13+(A762-1)*A758,14)))</f>
        <v>0</v>
      </c>
    </row>
    <row r="746" spans="1:10" ht="28" customHeight="1" x14ac:dyDescent="0.2">
      <c r="A746" s="35">
        <f ca="1">INDIRECT(_xlfn.TEXTJOIN("",TRUE,A761,"!",ADDRESS(14+(A762-1)*A758,1)))</f>
        <v>0</v>
      </c>
      <c r="B746" s="36"/>
      <c r="C746" s="37">
        <f ca="1">INDIRECT(_xlfn.TEXTJOIN("",TRUE,A761,"!",ADDRESS(14+(A762-1)*A758,2)))</f>
        <v>0</v>
      </c>
      <c r="D746" s="38"/>
      <c r="E746" s="38"/>
      <c r="F746" s="38"/>
      <c r="G746" s="39"/>
      <c r="H746" s="20">
        <f ca="1">INDIRECT(_xlfn.TEXTJOIN("",TRUE,A761,"!",ADDRESS(14+(A762-1)*A758,6)))</f>
        <v>0</v>
      </c>
      <c r="I746" s="20">
        <f ca="1">INDIRECT(_xlfn.TEXTJOIN("",TRUE,A761,"!",ADDRESS(14+(A762-1)*A758,13)))</f>
        <v>0</v>
      </c>
      <c r="J746" s="20">
        <f ca="1">INDIRECT(_xlfn.TEXTJOIN("",TRUE,A761,"!",ADDRESS(14+(A762-1)*A758,14)))</f>
        <v>0</v>
      </c>
    </row>
    <row r="747" spans="1:10" ht="28" customHeight="1" x14ac:dyDescent="0.2">
      <c r="A747" s="35">
        <f ca="1">INDIRECT(_xlfn.TEXTJOIN("",TRUE,A761,"!",ADDRESS(15+(A762-1)*A758,1)))</f>
        <v>0</v>
      </c>
      <c r="B747" s="36"/>
      <c r="C747" s="37">
        <f ca="1">INDIRECT(_xlfn.TEXTJOIN("",TRUE,A761,"!",ADDRESS(15+(A762-1)*A758,2)))</f>
        <v>0</v>
      </c>
      <c r="D747" s="38"/>
      <c r="E747" s="38"/>
      <c r="F747" s="38"/>
      <c r="G747" s="39"/>
      <c r="H747" s="20">
        <f ca="1">INDIRECT(_xlfn.TEXTJOIN("",TRUE,A761,"!",ADDRESS(15+(A762-1)*A758,6)))</f>
        <v>0</v>
      </c>
      <c r="I747" s="20">
        <f ca="1">INDIRECT(_xlfn.TEXTJOIN("",TRUE,A761,"!",ADDRESS(15+(A762-1)*A758,13)))</f>
        <v>0</v>
      </c>
      <c r="J747" s="20">
        <f ca="1">INDIRECT(_xlfn.TEXTJOIN("",TRUE,A761,"!",ADDRESS(15+(A762-1)*A758,14)))</f>
        <v>0</v>
      </c>
    </row>
    <row r="748" spans="1:10" ht="28" customHeight="1" x14ac:dyDescent="0.2">
      <c r="A748" s="35">
        <f ca="1">INDIRECT(_xlfn.TEXTJOIN("",TRUE,A761,"!",ADDRESS(16+(A762-1)*A758,1)))</f>
        <v>0</v>
      </c>
      <c r="B748" s="36"/>
      <c r="C748" s="37">
        <f ca="1">INDIRECT(_xlfn.TEXTJOIN("",TRUE,A761,"!",ADDRESS(16+(A762-1)*A758,2)))</f>
        <v>0</v>
      </c>
      <c r="D748" s="38"/>
      <c r="E748" s="38"/>
      <c r="F748" s="38"/>
      <c r="G748" s="39"/>
      <c r="H748" s="20">
        <f ca="1">INDIRECT(_xlfn.TEXTJOIN("",TRUE,A761,"!",ADDRESS(16+(A762-1)*A758,6)))</f>
        <v>0</v>
      </c>
      <c r="I748" s="20">
        <f ca="1">INDIRECT(_xlfn.TEXTJOIN("",TRUE,A761,"!",ADDRESS(16+(A762-1)*A758,13)))</f>
        <v>0</v>
      </c>
      <c r="J748" s="20">
        <f ca="1">INDIRECT(_xlfn.TEXTJOIN("",TRUE,A761,"!",ADDRESS(16+(A762-1)*A758,14)))</f>
        <v>0</v>
      </c>
    </row>
    <row r="749" spans="1:10" ht="28" customHeight="1" x14ac:dyDescent="0.2">
      <c r="A749" s="35">
        <f ca="1">INDIRECT(_xlfn.TEXTJOIN("",TRUE,A761,"!",ADDRESS(17+(A762-1)*A758,1)))</f>
        <v>0</v>
      </c>
      <c r="B749" s="36"/>
      <c r="C749" s="37">
        <f ca="1">INDIRECT(_xlfn.TEXTJOIN("",TRUE,A761,"!",ADDRESS(17+(A762-1)*A758,2)))</f>
        <v>0</v>
      </c>
      <c r="D749" s="38"/>
      <c r="E749" s="38"/>
      <c r="F749" s="38"/>
      <c r="G749" s="39"/>
      <c r="H749" s="20">
        <f ca="1">INDIRECT(_xlfn.TEXTJOIN("",TRUE,A761,"!",ADDRESS(17+(A762-1)*A758,6)))</f>
        <v>0</v>
      </c>
      <c r="I749" s="20">
        <f ca="1">INDIRECT(_xlfn.TEXTJOIN("",TRUE,A761,"!",ADDRESS(17+(A762-1)*A758,13)))</f>
        <v>0</v>
      </c>
      <c r="J749" s="20">
        <f ca="1">INDIRECT(_xlfn.TEXTJOIN("",TRUE,A761,"!",ADDRESS(17+(A762-1)*A758,14)))</f>
        <v>0</v>
      </c>
    </row>
    <row r="750" spans="1:10" ht="28" customHeight="1" x14ac:dyDescent="0.2">
      <c r="A750" s="35">
        <f ca="1">INDIRECT(_xlfn.TEXTJOIN("",TRUE,A761,"!",ADDRESS(18+(A762-1)*A758,1)))</f>
        <v>0</v>
      </c>
      <c r="B750" s="36"/>
      <c r="C750" s="37">
        <f ca="1">INDIRECT(_xlfn.TEXTJOIN("",TRUE,A761,"!",ADDRESS(18+(A762-1)*A758,2)))</f>
        <v>0</v>
      </c>
      <c r="D750" s="38"/>
      <c r="E750" s="38"/>
      <c r="F750" s="38"/>
      <c r="G750" s="39"/>
      <c r="H750" s="20">
        <f ca="1">INDIRECT(_xlfn.TEXTJOIN("",TRUE,A761,"!",ADDRESS(18+(A762-1)*A758,6)))</f>
        <v>0</v>
      </c>
      <c r="I750" s="20">
        <f ca="1">INDIRECT(_xlfn.TEXTJOIN("",TRUE,A761,"!",ADDRESS(18+(A762-1)*A758,13)))</f>
        <v>0</v>
      </c>
      <c r="J750" s="20">
        <f ca="1">INDIRECT(_xlfn.TEXTJOIN("",TRUE,A761,"!",ADDRESS(18+(A762-1)*A758,14)))</f>
        <v>0</v>
      </c>
    </row>
    <row r="751" spans="1:10" ht="28" customHeight="1" x14ac:dyDescent="0.2">
      <c r="A751" s="35">
        <f ca="1">INDIRECT(_xlfn.TEXTJOIN("",TRUE,A761,"!",ADDRESS(19+(A762-1)*A758,1)))</f>
        <v>0</v>
      </c>
      <c r="B751" s="36"/>
      <c r="C751" s="37">
        <f ca="1">INDIRECT(_xlfn.TEXTJOIN("",TRUE,A761,"!",ADDRESS(19+(A762-1)*A758,2)))</f>
        <v>0</v>
      </c>
      <c r="D751" s="38"/>
      <c r="E751" s="38"/>
      <c r="F751" s="38"/>
      <c r="G751" s="39"/>
      <c r="H751" s="20">
        <f ca="1">INDIRECT(_xlfn.TEXTJOIN("",TRUE,A761,"!",ADDRESS(19+(A762-1)*A758,6)))</f>
        <v>0</v>
      </c>
      <c r="I751" s="20">
        <f ca="1">INDIRECT(_xlfn.TEXTJOIN("",TRUE,A761,"!",ADDRESS(19+(A762-1)*A758,13)))</f>
        <v>0</v>
      </c>
      <c r="J751" s="20">
        <f ca="1">INDIRECT(_xlfn.TEXTJOIN("",TRUE,A761,"!",ADDRESS(19+(A762-1)*A758,14)))</f>
        <v>0</v>
      </c>
    </row>
    <row r="752" spans="1:10" ht="28" customHeight="1" x14ac:dyDescent="0.2">
      <c r="A752" s="35">
        <f ca="1">INDIRECT(_xlfn.TEXTJOIN("",TRUE,A761,"!",ADDRESS(20+(A762-1)*A758,1)))</f>
        <v>0</v>
      </c>
      <c r="B752" s="36"/>
      <c r="C752" s="37">
        <f ca="1">INDIRECT(_xlfn.TEXTJOIN("",TRUE,A761,"!",ADDRESS(20+(A762-1)*A758,2)))</f>
        <v>0</v>
      </c>
      <c r="D752" s="38"/>
      <c r="E752" s="38"/>
      <c r="F752" s="38"/>
      <c r="G752" s="39"/>
      <c r="H752" s="20">
        <f ca="1">INDIRECT(_xlfn.TEXTJOIN("",TRUE,A761,"!",ADDRESS(20+(A762-1)*A758,6)))</f>
        <v>0</v>
      </c>
      <c r="I752" s="20">
        <f ca="1">INDIRECT(_xlfn.TEXTJOIN("",TRUE,A761,"!",ADDRESS(20+(A762-1)*A758,13)))</f>
        <v>0</v>
      </c>
      <c r="J752" s="20">
        <f ca="1">INDIRECT(_xlfn.TEXTJOIN("",TRUE,A761,"!",ADDRESS(20+(A762-1)*A758,14)))</f>
        <v>0</v>
      </c>
    </row>
    <row r="753" spans="1:10" ht="28" customHeight="1" x14ac:dyDescent="0.2">
      <c r="A753" s="35">
        <f ca="1">INDIRECT(_xlfn.TEXTJOIN("",TRUE,A761,"!",ADDRESS(21+(A762-1)*A758,1)))</f>
        <v>0</v>
      </c>
      <c r="B753" s="36"/>
      <c r="C753" s="37">
        <f ca="1">INDIRECT(_xlfn.TEXTJOIN("",TRUE,A761,"!",ADDRESS(21+(A762-1)*A758,2)))</f>
        <v>0</v>
      </c>
      <c r="D753" s="38"/>
      <c r="E753" s="38"/>
      <c r="F753" s="38"/>
      <c r="G753" s="39"/>
      <c r="H753" s="20">
        <f ca="1">INDIRECT(_xlfn.TEXTJOIN("",TRUE,A761,"!",ADDRESS(21+(A762-1)*A758,6)))</f>
        <v>0</v>
      </c>
      <c r="I753" s="20">
        <f ca="1">INDIRECT(_xlfn.TEXTJOIN("",TRUE,A761,"!",ADDRESS(21+(A762-1)*A758,13)))</f>
        <v>0</v>
      </c>
      <c r="J753" s="20">
        <f ca="1">INDIRECT(_xlfn.TEXTJOIN("",TRUE,A761,"!",ADDRESS(21+(A762-1)*A758,14)))</f>
        <v>0</v>
      </c>
    </row>
    <row r="754" spans="1:10" ht="28" customHeight="1" x14ac:dyDescent="0.2">
      <c r="A754" s="35">
        <f ca="1">INDIRECT(_xlfn.TEXTJOIN("",TRUE,A761,"!",ADDRESS(22+(A762-1)*A758,1)))</f>
        <v>0</v>
      </c>
      <c r="B754" s="36"/>
      <c r="C754" s="37">
        <f ca="1">INDIRECT(_xlfn.TEXTJOIN("",TRUE,A761,"!",ADDRESS(22+(A762-1)*A758,2)))</f>
        <v>0</v>
      </c>
      <c r="D754" s="38"/>
      <c r="E754" s="38"/>
      <c r="F754" s="38"/>
      <c r="G754" s="39"/>
      <c r="H754" s="20">
        <f ca="1">INDIRECT(_xlfn.TEXTJOIN("",TRUE,A761,"!",ADDRESS(22+(A762-1)*A758,6)))</f>
        <v>0</v>
      </c>
      <c r="I754" s="20">
        <f ca="1">INDIRECT(_xlfn.TEXTJOIN("",TRUE,A761,"!",ADDRESS(22+(A762-1)*A758,13)))</f>
        <v>0</v>
      </c>
      <c r="J754" s="20">
        <f ca="1">INDIRECT(_xlfn.TEXTJOIN("",TRUE,A761,"!",ADDRESS(22+(A762-1)*A758,14)))</f>
        <v>0</v>
      </c>
    </row>
    <row r="755" spans="1:10" ht="28" customHeight="1" x14ac:dyDescent="0.2">
      <c r="A755" s="35">
        <f ca="1">INDIRECT(_xlfn.TEXTJOIN("",TRUE,A761,"!",ADDRESS(23+(A762-1)*A758,1)))</f>
        <v>0</v>
      </c>
      <c r="B755" s="36"/>
      <c r="C755" s="37">
        <f ca="1">INDIRECT(_xlfn.TEXTJOIN("",TRUE,A761,"!",ADDRESS(23+(A762-1)*A758,2)))</f>
        <v>0</v>
      </c>
      <c r="D755" s="38"/>
      <c r="E755" s="38"/>
      <c r="F755" s="38"/>
      <c r="G755" s="39"/>
      <c r="H755" s="20">
        <f ca="1">INDIRECT(_xlfn.TEXTJOIN("",TRUE,A761,"!",ADDRESS(23+(A762-1)*A758,6)))</f>
        <v>0</v>
      </c>
      <c r="I755" s="20">
        <f ca="1">INDIRECT(_xlfn.TEXTJOIN("",TRUE,A761,"!",ADDRESS(23+(A762-1)*A758,13)))</f>
        <v>0</v>
      </c>
      <c r="J755" s="20">
        <f ca="1">INDIRECT(_xlfn.TEXTJOIN("",TRUE,A761,"!",ADDRESS(23+(A762-1)*A758,14)))</f>
        <v>0</v>
      </c>
    </row>
    <row r="756" spans="1:10" ht="28" customHeight="1" x14ac:dyDescent="0.2">
      <c r="A756" s="35">
        <f ca="1">INDIRECT(_xlfn.TEXTJOIN("",TRUE,A761,"!",ADDRESS(24+(A762-1)*A758,1)))</f>
        <v>0</v>
      </c>
      <c r="B756" s="36"/>
      <c r="C756" s="37">
        <f ca="1">INDIRECT(_xlfn.TEXTJOIN("",TRUE,A761,"!",ADDRESS(24+(A762-1)*A758,2)))</f>
        <v>0</v>
      </c>
      <c r="D756" s="38"/>
      <c r="E756" s="38"/>
      <c r="F756" s="38"/>
      <c r="G756" s="39"/>
      <c r="H756" s="20">
        <f ca="1">INDIRECT(_xlfn.TEXTJOIN("",TRUE,A761,"!",ADDRESS(24+(A762-1)*A758,6)))</f>
        <v>0</v>
      </c>
      <c r="I756" s="40">
        <f ca="1">INDIRECT(_xlfn.TEXTJOIN("",TRUE,A761,"!",ADDRESS(24+(A762-1)*A758,13)))</f>
        <v>0</v>
      </c>
      <c r="J756" s="41"/>
    </row>
    <row r="757" spans="1:10" ht="28" customHeight="1" x14ac:dyDescent="0.2">
      <c r="A757" s="42" t="s">
        <v>52</v>
      </c>
      <c r="B757" s="42"/>
      <c r="C757" s="42"/>
      <c r="D757" s="42"/>
      <c r="E757" s="42"/>
      <c r="F757" s="42"/>
      <c r="G757" s="42"/>
      <c r="H757" s="16">
        <f ca="1">SUM(H745:H756)</f>
        <v>0</v>
      </c>
      <c r="I757" s="16" t="s">
        <v>44</v>
      </c>
      <c r="J757" s="16">
        <f ca="1">SUMPRODUCT(J745:J755,H745:H755)</f>
        <v>0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43" t="s">
        <v>40</v>
      </c>
      <c r="B759" s="43"/>
      <c r="C759" s="21">
        <f ca="1">INDIRECT(_xlfn.TEXTJOIN("",TRUE,A761,"!",ADDRESS(5+A762*A758,12)))</f>
        <v>0</v>
      </c>
      <c r="D759" s="43" t="s">
        <v>38</v>
      </c>
      <c r="E759" s="43"/>
      <c r="F759" s="18">
        <f ca="1">INDIRECT(_xlfn.TEXTJOIN("",TRUE,A761,"!",ADDRESS(5+A762*A758,8)))</f>
        <v>0</v>
      </c>
      <c r="G759" s="43" t="s">
        <v>39</v>
      </c>
      <c r="H759" s="43"/>
      <c r="I759" s="44">
        <f ca="1">INDIRECT(_xlfn.TEXTJOIN("",TRUE,A761,"!",ADDRESS(5+A762*A758,10)))</f>
        <v>0</v>
      </c>
      <c r="J759" s="44"/>
    </row>
    <row r="760" spans="1:10" ht="28" customHeight="1" x14ac:dyDescent="0.2">
      <c r="A760" s="19" t="s">
        <v>36</v>
      </c>
      <c r="B760" s="45">
        <f ca="1">INDIRECT(_xlfn.TEXTJOIN("",TRUE,A761,"!",ADDRESS(5+A762*A758,2)))</f>
        <v>0</v>
      </c>
      <c r="C760" s="45"/>
      <c r="D760" s="46" t="s">
        <v>37</v>
      </c>
      <c r="E760" s="46"/>
      <c r="F760" s="47">
        <f ca="1">INDIRECT(_xlfn.TEXTJOIN("",TRUE,A761,"!",ADDRESS(5+A762*A758,5)))</f>
        <v>0</v>
      </c>
      <c r="G760" s="47"/>
      <c r="H760" s="47"/>
      <c r="I760" s="47"/>
      <c r="J760" s="47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48" t="s">
        <v>24</v>
      </c>
      <c r="B763" s="48"/>
      <c r="C763" s="48">
        <f ca="1">INDIRECT(_xlfn.TEXTJOIN("",TRUE,A782,"!",ADDRESS(9+(A783-1)*A779,2)))</f>
        <v>0</v>
      </c>
      <c r="D763" s="48"/>
      <c r="E763" s="48"/>
      <c r="F763" s="48" t="s">
        <v>50</v>
      </c>
      <c r="G763" s="48"/>
      <c r="H763" s="48"/>
      <c r="I763" s="49">
        <f ca="1">INDIRECT(_xlfn.TEXTJOIN("",TRUE,A782,"!",ADDRESS(9+(A783-1)*A779,9)))</f>
        <v>0</v>
      </c>
      <c r="J763" s="49"/>
    </row>
    <row r="764" spans="1:10" ht="28" customHeight="1" x14ac:dyDescent="0.2">
      <c r="A764" s="48" t="s">
        <v>25</v>
      </c>
      <c r="B764" s="48"/>
      <c r="C764" s="48">
        <f ca="1">INDIRECT(_xlfn.TEXTJOIN("",TRUE,A782,"!",ADDRESS(9+(A783-1)*A779,5)))</f>
        <v>0</v>
      </c>
      <c r="D764" s="48"/>
      <c r="E764" s="48"/>
      <c r="F764" s="50" t="s">
        <v>51</v>
      </c>
      <c r="G764" s="50"/>
      <c r="H764" s="50"/>
      <c r="I764" s="49">
        <f ca="1">INDIRECT(_xlfn.TEXTJOIN("",TRUE,A782,"!",ADDRESS(9+(A783-1)*A779,13)))</f>
        <v>0</v>
      </c>
      <c r="J764" s="49"/>
    </row>
    <row r="765" spans="1:10" ht="28" customHeight="1" x14ac:dyDescent="0.2">
      <c r="A765" s="45" t="s">
        <v>28</v>
      </c>
      <c r="B765" s="45"/>
      <c r="C765" s="45" t="s">
        <v>29</v>
      </c>
      <c r="D765" s="45"/>
      <c r="E765" s="45"/>
      <c r="F765" s="45"/>
      <c r="G765" s="45"/>
      <c r="H765" s="15" t="s">
        <v>30</v>
      </c>
      <c r="I765" s="15" t="s">
        <v>10</v>
      </c>
      <c r="J765" s="15" t="s">
        <v>34</v>
      </c>
    </row>
    <row r="766" spans="1:10" ht="28" customHeight="1" x14ac:dyDescent="0.2">
      <c r="A766" s="35">
        <f ca="1">INDIRECT(_xlfn.TEXTJOIN("",TRUE,A782,"!",ADDRESS(13+(A783-1)*A779,1)))</f>
        <v>0</v>
      </c>
      <c r="B766" s="36"/>
      <c r="C766" s="37">
        <f ca="1">INDIRECT(_xlfn.TEXTJOIN("",TRUE,A782,"!",ADDRESS(13+(A783-1)*A779,2)))</f>
        <v>0</v>
      </c>
      <c r="D766" s="38"/>
      <c r="E766" s="38"/>
      <c r="F766" s="38"/>
      <c r="G766" s="39"/>
      <c r="H766" s="20">
        <f ca="1">INDIRECT(_xlfn.TEXTJOIN("",TRUE,A782,"!",ADDRESS(13+(A783-1)*A779,6)))</f>
        <v>0</v>
      </c>
      <c r="I766" s="20">
        <f ca="1">INDIRECT(_xlfn.TEXTJOIN("",TRUE,A782,"!",ADDRESS(13+(A783-1)*A779,13)))</f>
        <v>0</v>
      </c>
      <c r="J766" s="20">
        <f ca="1">INDIRECT(_xlfn.TEXTJOIN("",TRUE,A782,"!",ADDRESS(13+(A783-1)*A779,14)))</f>
        <v>0</v>
      </c>
    </row>
    <row r="767" spans="1:10" ht="28" customHeight="1" x14ac:dyDescent="0.2">
      <c r="A767" s="35">
        <f ca="1">INDIRECT(_xlfn.TEXTJOIN("",TRUE,A782,"!",ADDRESS(14+(A783-1)*A779,1)))</f>
        <v>0</v>
      </c>
      <c r="B767" s="36"/>
      <c r="C767" s="37">
        <f ca="1">INDIRECT(_xlfn.TEXTJOIN("",TRUE,A782,"!",ADDRESS(14+(A783-1)*A779,2)))</f>
        <v>0</v>
      </c>
      <c r="D767" s="38"/>
      <c r="E767" s="38"/>
      <c r="F767" s="38"/>
      <c r="G767" s="39"/>
      <c r="H767" s="20">
        <f ca="1">INDIRECT(_xlfn.TEXTJOIN("",TRUE,A782,"!",ADDRESS(14+(A783-1)*A779,6)))</f>
        <v>0</v>
      </c>
      <c r="I767" s="20">
        <f ca="1">INDIRECT(_xlfn.TEXTJOIN("",TRUE,A782,"!",ADDRESS(14+(A783-1)*A779,13)))</f>
        <v>0</v>
      </c>
      <c r="J767" s="20">
        <f ca="1">INDIRECT(_xlfn.TEXTJOIN("",TRUE,A782,"!",ADDRESS(14+(A783-1)*A779,14)))</f>
        <v>0</v>
      </c>
    </row>
    <row r="768" spans="1:10" ht="28" customHeight="1" x14ac:dyDescent="0.2">
      <c r="A768" s="35">
        <f ca="1">INDIRECT(_xlfn.TEXTJOIN("",TRUE,A782,"!",ADDRESS(15+(A783-1)*A779,1)))</f>
        <v>0</v>
      </c>
      <c r="B768" s="36"/>
      <c r="C768" s="37">
        <f ca="1">INDIRECT(_xlfn.TEXTJOIN("",TRUE,A782,"!",ADDRESS(15+(A783-1)*A779,2)))</f>
        <v>0</v>
      </c>
      <c r="D768" s="38"/>
      <c r="E768" s="38"/>
      <c r="F768" s="38"/>
      <c r="G768" s="39"/>
      <c r="H768" s="20">
        <f ca="1">INDIRECT(_xlfn.TEXTJOIN("",TRUE,A782,"!",ADDRESS(15+(A783-1)*A779,6)))</f>
        <v>0</v>
      </c>
      <c r="I768" s="20">
        <f ca="1">INDIRECT(_xlfn.TEXTJOIN("",TRUE,A782,"!",ADDRESS(15+(A783-1)*A779,13)))</f>
        <v>0</v>
      </c>
      <c r="J768" s="20">
        <f ca="1">INDIRECT(_xlfn.TEXTJOIN("",TRUE,A782,"!",ADDRESS(15+(A783-1)*A779,14)))</f>
        <v>0</v>
      </c>
    </row>
    <row r="769" spans="1:10" ht="28" customHeight="1" x14ac:dyDescent="0.2">
      <c r="A769" s="35">
        <f ca="1">INDIRECT(_xlfn.TEXTJOIN("",TRUE,A782,"!",ADDRESS(16+(A783-1)*A779,1)))</f>
        <v>0</v>
      </c>
      <c r="B769" s="36"/>
      <c r="C769" s="37">
        <f ca="1">INDIRECT(_xlfn.TEXTJOIN("",TRUE,A782,"!",ADDRESS(16+(A783-1)*A779,2)))</f>
        <v>0</v>
      </c>
      <c r="D769" s="38"/>
      <c r="E769" s="38"/>
      <c r="F769" s="38"/>
      <c r="G769" s="39"/>
      <c r="H769" s="20">
        <f ca="1">INDIRECT(_xlfn.TEXTJOIN("",TRUE,A782,"!",ADDRESS(16+(A783-1)*A779,6)))</f>
        <v>0</v>
      </c>
      <c r="I769" s="20">
        <f ca="1">INDIRECT(_xlfn.TEXTJOIN("",TRUE,A782,"!",ADDRESS(16+(A783-1)*A779,13)))</f>
        <v>0</v>
      </c>
      <c r="J769" s="20">
        <f ca="1">INDIRECT(_xlfn.TEXTJOIN("",TRUE,A782,"!",ADDRESS(16+(A783-1)*A779,14)))</f>
        <v>0</v>
      </c>
    </row>
    <row r="770" spans="1:10" ht="28" customHeight="1" x14ac:dyDescent="0.2">
      <c r="A770" s="35">
        <f ca="1">INDIRECT(_xlfn.TEXTJOIN("",TRUE,A782,"!",ADDRESS(17+(A783-1)*A779,1)))</f>
        <v>0</v>
      </c>
      <c r="B770" s="36"/>
      <c r="C770" s="37">
        <f ca="1">INDIRECT(_xlfn.TEXTJOIN("",TRUE,A782,"!",ADDRESS(17+(A783-1)*A779,2)))</f>
        <v>0</v>
      </c>
      <c r="D770" s="38"/>
      <c r="E770" s="38"/>
      <c r="F770" s="38"/>
      <c r="G770" s="39"/>
      <c r="H770" s="20">
        <f ca="1">INDIRECT(_xlfn.TEXTJOIN("",TRUE,A782,"!",ADDRESS(17+(A783-1)*A779,6)))</f>
        <v>0</v>
      </c>
      <c r="I770" s="20">
        <f ca="1">INDIRECT(_xlfn.TEXTJOIN("",TRUE,A782,"!",ADDRESS(17+(A783-1)*A779,13)))</f>
        <v>0</v>
      </c>
      <c r="J770" s="20">
        <f ca="1">INDIRECT(_xlfn.TEXTJOIN("",TRUE,A782,"!",ADDRESS(17+(A783-1)*A779,14)))</f>
        <v>0</v>
      </c>
    </row>
    <row r="771" spans="1:10" ht="28" customHeight="1" x14ac:dyDescent="0.2">
      <c r="A771" s="35">
        <f ca="1">INDIRECT(_xlfn.TEXTJOIN("",TRUE,A782,"!",ADDRESS(18+(A783-1)*A779,1)))</f>
        <v>0</v>
      </c>
      <c r="B771" s="36"/>
      <c r="C771" s="37">
        <f ca="1">INDIRECT(_xlfn.TEXTJOIN("",TRUE,A782,"!",ADDRESS(18+(A783-1)*A779,2)))</f>
        <v>0</v>
      </c>
      <c r="D771" s="38"/>
      <c r="E771" s="38"/>
      <c r="F771" s="38"/>
      <c r="G771" s="39"/>
      <c r="H771" s="20">
        <f ca="1">INDIRECT(_xlfn.TEXTJOIN("",TRUE,A782,"!",ADDRESS(18+(A783-1)*A779,6)))</f>
        <v>0</v>
      </c>
      <c r="I771" s="20">
        <f ca="1">INDIRECT(_xlfn.TEXTJOIN("",TRUE,A782,"!",ADDRESS(18+(A783-1)*A779,13)))</f>
        <v>0</v>
      </c>
      <c r="J771" s="20">
        <f ca="1">INDIRECT(_xlfn.TEXTJOIN("",TRUE,A782,"!",ADDRESS(18+(A783-1)*A779,14)))</f>
        <v>0</v>
      </c>
    </row>
    <row r="772" spans="1:10" ht="28" customHeight="1" x14ac:dyDescent="0.2">
      <c r="A772" s="35">
        <f ca="1">INDIRECT(_xlfn.TEXTJOIN("",TRUE,A782,"!",ADDRESS(19+(A783-1)*A779,1)))</f>
        <v>0</v>
      </c>
      <c r="B772" s="36"/>
      <c r="C772" s="37">
        <f ca="1">INDIRECT(_xlfn.TEXTJOIN("",TRUE,A782,"!",ADDRESS(19+(A783-1)*A779,2)))</f>
        <v>0</v>
      </c>
      <c r="D772" s="38"/>
      <c r="E772" s="38"/>
      <c r="F772" s="38"/>
      <c r="G772" s="39"/>
      <c r="H772" s="20">
        <f ca="1">INDIRECT(_xlfn.TEXTJOIN("",TRUE,A782,"!",ADDRESS(19+(A783-1)*A779,6)))</f>
        <v>0</v>
      </c>
      <c r="I772" s="20">
        <f ca="1">INDIRECT(_xlfn.TEXTJOIN("",TRUE,A782,"!",ADDRESS(19+(A783-1)*A779,13)))</f>
        <v>0</v>
      </c>
      <c r="J772" s="20">
        <f ca="1">INDIRECT(_xlfn.TEXTJOIN("",TRUE,A782,"!",ADDRESS(19+(A783-1)*A779,14)))</f>
        <v>0</v>
      </c>
    </row>
    <row r="773" spans="1:10" ht="28" customHeight="1" x14ac:dyDescent="0.2">
      <c r="A773" s="35">
        <f ca="1">INDIRECT(_xlfn.TEXTJOIN("",TRUE,A782,"!",ADDRESS(20+(A783-1)*A779,1)))</f>
        <v>0</v>
      </c>
      <c r="B773" s="36"/>
      <c r="C773" s="37">
        <f ca="1">INDIRECT(_xlfn.TEXTJOIN("",TRUE,A782,"!",ADDRESS(20+(A783-1)*A779,2)))</f>
        <v>0</v>
      </c>
      <c r="D773" s="38"/>
      <c r="E773" s="38"/>
      <c r="F773" s="38"/>
      <c r="G773" s="39"/>
      <c r="H773" s="20">
        <f ca="1">INDIRECT(_xlfn.TEXTJOIN("",TRUE,A782,"!",ADDRESS(20+(A783-1)*A779,6)))</f>
        <v>0</v>
      </c>
      <c r="I773" s="20">
        <f ca="1">INDIRECT(_xlfn.TEXTJOIN("",TRUE,A782,"!",ADDRESS(20+(A783-1)*A779,13)))</f>
        <v>0</v>
      </c>
      <c r="J773" s="20">
        <f ca="1">INDIRECT(_xlfn.TEXTJOIN("",TRUE,A782,"!",ADDRESS(20+(A783-1)*A779,14)))</f>
        <v>0</v>
      </c>
    </row>
    <row r="774" spans="1:10" ht="28" customHeight="1" x14ac:dyDescent="0.2">
      <c r="A774" s="35">
        <f ca="1">INDIRECT(_xlfn.TEXTJOIN("",TRUE,A782,"!",ADDRESS(21+(A783-1)*A779,1)))</f>
        <v>0</v>
      </c>
      <c r="B774" s="36"/>
      <c r="C774" s="37">
        <f ca="1">INDIRECT(_xlfn.TEXTJOIN("",TRUE,A782,"!",ADDRESS(21+(A783-1)*A779,2)))</f>
        <v>0</v>
      </c>
      <c r="D774" s="38"/>
      <c r="E774" s="38"/>
      <c r="F774" s="38"/>
      <c r="G774" s="39"/>
      <c r="H774" s="20">
        <f ca="1">INDIRECT(_xlfn.TEXTJOIN("",TRUE,A782,"!",ADDRESS(21+(A783-1)*A779,6)))</f>
        <v>0</v>
      </c>
      <c r="I774" s="20">
        <f ca="1">INDIRECT(_xlfn.TEXTJOIN("",TRUE,A782,"!",ADDRESS(21+(A783-1)*A779,13)))</f>
        <v>0</v>
      </c>
      <c r="J774" s="20">
        <f ca="1">INDIRECT(_xlfn.TEXTJOIN("",TRUE,A782,"!",ADDRESS(21+(A783-1)*A779,14)))</f>
        <v>0</v>
      </c>
    </row>
    <row r="775" spans="1:10" ht="28" customHeight="1" x14ac:dyDescent="0.2">
      <c r="A775" s="35">
        <f ca="1">INDIRECT(_xlfn.TEXTJOIN("",TRUE,A782,"!",ADDRESS(22+(A783-1)*A779,1)))</f>
        <v>0</v>
      </c>
      <c r="B775" s="36"/>
      <c r="C775" s="37">
        <f ca="1">INDIRECT(_xlfn.TEXTJOIN("",TRUE,A782,"!",ADDRESS(22+(A783-1)*A779,2)))</f>
        <v>0</v>
      </c>
      <c r="D775" s="38"/>
      <c r="E775" s="38"/>
      <c r="F775" s="38"/>
      <c r="G775" s="39"/>
      <c r="H775" s="20">
        <f ca="1">INDIRECT(_xlfn.TEXTJOIN("",TRUE,A782,"!",ADDRESS(22+(A783-1)*A779,6)))</f>
        <v>0</v>
      </c>
      <c r="I775" s="20">
        <f ca="1">INDIRECT(_xlfn.TEXTJOIN("",TRUE,A782,"!",ADDRESS(22+(A783-1)*A779,13)))</f>
        <v>0</v>
      </c>
      <c r="J775" s="20">
        <f ca="1">INDIRECT(_xlfn.TEXTJOIN("",TRUE,A782,"!",ADDRESS(22+(A783-1)*A779,14)))</f>
        <v>0</v>
      </c>
    </row>
    <row r="776" spans="1:10" ht="28" customHeight="1" x14ac:dyDescent="0.2">
      <c r="A776" s="35">
        <f ca="1">INDIRECT(_xlfn.TEXTJOIN("",TRUE,A782,"!",ADDRESS(23+(A783-1)*A779,1)))</f>
        <v>0</v>
      </c>
      <c r="B776" s="36"/>
      <c r="C776" s="37">
        <f ca="1">INDIRECT(_xlfn.TEXTJOIN("",TRUE,A782,"!",ADDRESS(23+(A783-1)*A779,2)))</f>
        <v>0</v>
      </c>
      <c r="D776" s="38"/>
      <c r="E776" s="38"/>
      <c r="F776" s="38"/>
      <c r="G776" s="39"/>
      <c r="H776" s="20">
        <f ca="1">INDIRECT(_xlfn.TEXTJOIN("",TRUE,A782,"!",ADDRESS(23+(A783-1)*A779,6)))</f>
        <v>0</v>
      </c>
      <c r="I776" s="20">
        <f ca="1">INDIRECT(_xlfn.TEXTJOIN("",TRUE,A782,"!",ADDRESS(23+(A783-1)*A779,13)))</f>
        <v>0</v>
      </c>
      <c r="J776" s="20">
        <f ca="1">INDIRECT(_xlfn.TEXTJOIN("",TRUE,A782,"!",ADDRESS(23+(A783-1)*A779,14)))</f>
        <v>0</v>
      </c>
    </row>
    <row r="777" spans="1:10" ht="28" customHeight="1" x14ac:dyDescent="0.2">
      <c r="A777" s="35">
        <f ca="1">INDIRECT(_xlfn.TEXTJOIN("",TRUE,A782,"!",ADDRESS(24+(A783-1)*A779,1)))</f>
        <v>0</v>
      </c>
      <c r="B777" s="36"/>
      <c r="C777" s="37">
        <f ca="1">INDIRECT(_xlfn.TEXTJOIN("",TRUE,A782,"!",ADDRESS(24+(A783-1)*A779,2)))</f>
        <v>0</v>
      </c>
      <c r="D777" s="38"/>
      <c r="E777" s="38"/>
      <c r="F777" s="38"/>
      <c r="G777" s="39"/>
      <c r="H777" s="20">
        <f ca="1">INDIRECT(_xlfn.TEXTJOIN("",TRUE,A782,"!",ADDRESS(24+(A783-1)*A779,6)))</f>
        <v>0</v>
      </c>
      <c r="I777" s="40">
        <f ca="1">INDIRECT(_xlfn.TEXTJOIN("",TRUE,A782,"!",ADDRESS(24+(A783-1)*A779,13)))</f>
        <v>0</v>
      </c>
      <c r="J777" s="41"/>
    </row>
    <row r="778" spans="1:10" ht="28" customHeight="1" x14ac:dyDescent="0.2">
      <c r="A778" s="42" t="s">
        <v>52</v>
      </c>
      <c r="B778" s="42"/>
      <c r="C778" s="42"/>
      <c r="D778" s="42"/>
      <c r="E778" s="42"/>
      <c r="F778" s="42"/>
      <c r="G778" s="42"/>
      <c r="H778" s="16">
        <f ca="1">SUM(H766:H777)</f>
        <v>0</v>
      </c>
      <c r="I778" s="16" t="s">
        <v>44</v>
      </c>
      <c r="J778" s="16">
        <f ca="1">SUMPRODUCT(J766:J776,H766:H776)</f>
        <v>0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43" t="s">
        <v>40</v>
      </c>
      <c r="B780" s="43"/>
      <c r="C780" s="21">
        <f ca="1">INDIRECT(_xlfn.TEXTJOIN("",TRUE,A782,"!",ADDRESS(5+A783*A779,12)))</f>
        <v>0</v>
      </c>
      <c r="D780" s="43" t="s">
        <v>38</v>
      </c>
      <c r="E780" s="43"/>
      <c r="F780" s="18">
        <f ca="1">INDIRECT(_xlfn.TEXTJOIN("",TRUE,A782,"!",ADDRESS(5+A783*A779,8)))</f>
        <v>0</v>
      </c>
      <c r="G780" s="43" t="s">
        <v>39</v>
      </c>
      <c r="H780" s="43"/>
      <c r="I780" s="44">
        <f ca="1">INDIRECT(_xlfn.TEXTJOIN("",TRUE,A782,"!",ADDRESS(5+A783*A779,10)))</f>
        <v>0</v>
      </c>
      <c r="J780" s="44"/>
    </row>
    <row r="781" spans="1:10" ht="28" customHeight="1" x14ac:dyDescent="0.2">
      <c r="A781" s="19" t="s">
        <v>36</v>
      </c>
      <c r="B781" s="45">
        <f ca="1">INDIRECT(_xlfn.TEXTJOIN("",TRUE,A782,"!",ADDRESS(5+A783*A779,2)))</f>
        <v>0</v>
      </c>
      <c r="C781" s="45"/>
      <c r="D781" s="46" t="s">
        <v>37</v>
      </c>
      <c r="E781" s="46"/>
      <c r="F781" s="47">
        <f ca="1">INDIRECT(_xlfn.TEXTJOIN("",TRUE,A782,"!",ADDRESS(5+A783*A779,5)))</f>
        <v>0</v>
      </c>
      <c r="G781" s="47"/>
      <c r="H781" s="47"/>
      <c r="I781" s="47"/>
      <c r="J781" s="47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48" t="s">
        <v>24</v>
      </c>
      <c r="B784" s="48"/>
      <c r="C784" s="48">
        <f ca="1">INDIRECT(_xlfn.TEXTJOIN("",TRUE,A803,"!",ADDRESS(9+(A804-1)*A800,2)))</f>
        <v>0</v>
      </c>
      <c r="D784" s="48"/>
      <c r="E784" s="48"/>
      <c r="F784" s="48" t="s">
        <v>50</v>
      </c>
      <c r="G784" s="48"/>
      <c r="H784" s="48"/>
      <c r="I784" s="49">
        <f ca="1">INDIRECT(_xlfn.TEXTJOIN("",TRUE,A803,"!",ADDRESS(9+(A804-1)*A800,9)))</f>
        <v>0</v>
      </c>
      <c r="J784" s="49"/>
    </row>
    <row r="785" spans="1:10" ht="28" customHeight="1" x14ac:dyDescent="0.2">
      <c r="A785" s="48" t="s">
        <v>25</v>
      </c>
      <c r="B785" s="48"/>
      <c r="C785" s="48">
        <f ca="1">INDIRECT(_xlfn.TEXTJOIN("",TRUE,A803,"!",ADDRESS(9+(A804-1)*A800,5)))</f>
        <v>0</v>
      </c>
      <c r="D785" s="48"/>
      <c r="E785" s="48"/>
      <c r="F785" s="50" t="s">
        <v>51</v>
      </c>
      <c r="G785" s="50"/>
      <c r="H785" s="50"/>
      <c r="I785" s="49">
        <f ca="1">INDIRECT(_xlfn.TEXTJOIN("",TRUE,A803,"!",ADDRESS(9+(A804-1)*A800,13)))</f>
        <v>0</v>
      </c>
      <c r="J785" s="49"/>
    </row>
    <row r="786" spans="1:10" ht="28" customHeight="1" x14ac:dyDescent="0.2">
      <c r="A786" s="45" t="s">
        <v>28</v>
      </c>
      <c r="B786" s="45"/>
      <c r="C786" s="45" t="s">
        <v>29</v>
      </c>
      <c r="D786" s="45"/>
      <c r="E786" s="45"/>
      <c r="F786" s="45"/>
      <c r="G786" s="45"/>
      <c r="H786" s="15" t="s">
        <v>30</v>
      </c>
      <c r="I786" s="15" t="s">
        <v>10</v>
      </c>
      <c r="J786" s="15" t="s">
        <v>34</v>
      </c>
    </row>
    <row r="787" spans="1:10" ht="28" customHeight="1" x14ac:dyDescent="0.2">
      <c r="A787" s="35">
        <f ca="1">INDIRECT(_xlfn.TEXTJOIN("",TRUE,A803,"!",ADDRESS(13+(A804-1)*A800,1)))</f>
        <v>0</v>
      </c>
      <c r="B787" s="36"/>
      <c r="C787" s="37">
        <f ca="1">INDIRECT(_xlfn.TEXTJOIN("",TRUE,A803,"!",ADDRESS(13+(A804-1)*A800,2)))</f>
        <v>0</v>
      </c>
      <c r="D787" s="38"/>
      <c r="E787" s="38"/>
      <c r="F787" s="38"/>
      <c r="G787" s="39"/>
      <c r="H787" s="20">
        <f ca="1">INDIRECT(_xlfn.TEXTJOIN("",TRUE,A803,"!",ADDRESS(13+(A804-1)*A800,6)))</f>
        <v>0</v>
      </c>
      <c r="I787" s="20">
        <f ca="1">INDIRECT(_xlfn.TEXTJOIN("",TRUE,A803,"!",ADDRESS(13+(A804-1)*A800,13)))</f>
        <v>0</v>
      </c>
      <c r="J787" s="20">
        <f ca="1">INDIRECT(_xlfn.TEXTJOIN("",TRUE,A803,"!",ADDRESS(13+(A804-1)*A800,14)))</f>
        <v>0</v>
      </c>
    </row>
    <row r="788" spans="1:10" ht="28" customHeight="1" x14ac:dyDescent="0.2">
      <c r="A788" s="35">
        <f ca="1">INDIRECT(_xlfn.TEXTJOIN("",TRUE,A803,"!",ADDRESS(14+(A804-1)*A800,1)))</f>
        <v>0</v>
      </c>
      <c r="B788" s="36"/>
      <c r="C788" s="37">
        <f ca="1">INDIRECT(_xlfn.TEXTJOIN("",TRUE,A803,"!",ADDRESS(14+(A804-1)*A800,2)))</f>
        <v>0</v>
      </c>
      <c r="D788" s="38"/>
      <c r="E788" s="38"/>
      <c r="F788" s="38"/>
      <c r="G788" s="39"/>
      <c r="H788" s="20">
        <f ca="1">INDIRECT(_xlfn.TEXTJOIN("",TRUE,A803,"!",ADDRESS(14+(A804-1)*A800,6)))</f>
        <v>0</v>
      </c>
      <c r="I788" s="20">
        <f ca="1">INDIRECT(_xlfn.TEXTJOIN("",TRUE,A803,"!",ADDRESS(14+(A804-1)*A800,13)))</f>
        <v>0</v>
      </c>
      <c r="J788" s="20">
        <f ca="1">INDIRECT(_xlfn.TEXTJOIN("",TRUE,A803,"!",ADDRESS(14+(A804-1)*A800,14)))</f>
        <v>0</v>
      </c>
    </row>
    <row r="789" spans="1:10" ht="28" customHeight="1" x14ac:dyDescent="0.2">
      <c r="A789" s="35">
        <f ca="1">INDIRECT(_xlfn.TEXTJOIN("",TRUE,A803,"!",ADDRESS(15+(A804-1)*A800,1)))</f>
        <v>0</v>
      </c>
      <c r="B789" s="36"/>
      <c r="C789" s="37">
        <f ca="1">INDIRECT(_xlfn.TEXTJOIN("",TRUE,A803,"!",ADDRESS(15+(A804-1)*A800,2)))</f>
        <v>0</v>
      </c>
      <c r="D789" s="38"/>
      <c r="E789" s="38"/>
      <c r="F789" s="38"/>
      <c r="G789" s="39"/>
      <c r="H789" s="20">
        <f ca="1">INDIRECT(_xlfn.TEXTJOIN("",TRUE,A803,"!",ADDRESS(15+(A804-1)*A800,6)))</f>
        <v>0</v>
      </c>
      <c r="I789" s="20">
        <f ca="1">INDIRECT(_xlfn.TEXTJOIN("",TRUE,A803,"!",ADDRESS(15+(A804-1)*A800,13)))</f>
        <v>0</v>
      </c>
      <c r="J789" s="20">
        <f ca="1">INDIRECT(_xlfn.TEXTJOIN("",TRUE,A803,"!",ADDRESS(15+(A804-1)*A800,14)))</f>
        <v>0</v>
      </c>
    </row>
    <row r="790" spans="1:10" ht="28" customHeight="1" x14ac:dyDescent="0.2">
      <c r="A790" s="35">
        <f ca="1">INDIRECT(_xlfn.TEXTJOIN("",TRUE,A803,"!",ADDRESS(16+(A804-1)*A800,1)))</f>
        <v>0</v>
      </c>
      <c r="B790" s="36"/>
      <c r="C790" s="37">
        <f ca="1">INDIRECT(_xlfn.TEXTJOIN("",TRUE,A803,"!",ADDRESS(16+(A804-1)*A800,2)))</f>
        <v>0</v>
      </c>
      <c r="D790" s="38"/>
      <c r="E790" s="38"/>
      <c r="F790" s="38"/>
      <c r="G790" s="39"/>
      <c r="H790" s="20">
        <f ca="1">INDIRECT(_xlfn.TEXTJOIN("",TRUE,A803,"!",ADDRESS(16+(A804-1)*A800,6)))</f>
        <v>0</v>
      </c>
      <c r="I790" s="20">
        <f ca="1">INDIRECT(_xlfn.TEXTJOIN("",TRUE,A803,"!",ADDRESS(16+(A804-1)*A800,13)))</f>
        <v>0</v>
      </c>
      <c r="J790" s="20">
        <f ca="1">INDIRECT(_xlfn.TEXTJOIN("",TRUE,A803,"!",ADDRESS(16+(A804-1)*A800,14)))</f>
        <v>0</v>
      </c>
    </row>
    <row r="791" spans="1:10" ht="28" customHeight="1" x14ac:dyDescent="0.2">
      <c r="A791" s="35">
        <f ca="1">INDIRECT(_xlfn.TEXTJOIN("",TRUE,A803,"!",ADDRESS(17+(A804-1)*A800,1)))</f>
        <v>0</v>
      </c>
      <c r="B791" s="36"/>
      <c r="C791" s="37">
        <f ca="1">INDIRECT(_xlfn.TEXTJOIN("",TRUE,A803,"!",ADDRESS(17+(A804-1)*A800,2)))</f>
        <v>0</v>
      </c>
      <c r="D791" s="38"/>
      <c r="E791" s="38"/>
      <c r="F791" s="38"/>
      <c r="G791" s="39"/>
      <c r="H791" s="20">
        <f ca="1">INDIRECT(_xlfn.TEXTJOIN("",TRUE,A803,"!",ADDRESS(17+(A804-1)*A800,6)))</f>
        <v>0</v>
      </c>
      <c r="I791" s="20">
        <f ca="1">INDIRECT(_xlfn.TEXTJOIN("",TRUE,A803,"!",ADDRESS(17+(A804-1)*A800,13)))</f>
        <v>0</v>
      </c>
      <c r="J791" s="20">
        <f ca="1">INDIRECT(_xlfn.TEXTJOIN("",TRUE,A803,"!",ADDRESS(17+(A804-1)*A800,14)))</f>
        <v>0</v>
      </c>
    </row>
    <row r="792" spans="1:10" ht="28" customHeight="1" x14ac:dyDescent="0.2">
      <c r="A792" s="35">
        <f ca="1">INDIRECT(_xlfn.TEXTJOIN("",TRUE,A803,"!",ADDRESS(18+(A804-1)*A800,1)))</f>
        <v>0</v>
      </c>
      <c r="B792" s="36"/>
      <c r="C792" s="37">
        <f ca="1">INDIRECT(_xlfn.TEXTJOIN("",TRUE,A803,"!",ADDRESS(18+(A804-1)*A800,2)))</f>
        <v>0</v>
      </c>
      <c r="D792" s="38"/>
      <c r="E792" s="38"/>
      <c r="F792" s="38"/>
      <c r="G792" s="39"/>
      <c r="H792" s="20">
        <f ca="1">INDIRECT(_xlfn.TEXTJOIN("",TRUE,A803,"!",ADDRESS(18+(A804-1)*A800,6)))</f>
        <v>0</v>
      </c>
      <c r="I792" s="20">
        <f ca="1">INDIRECT(_xlfn.TEXTJOIN("",TRUE,A803,"!",ADDRESS(18+(A804-1)*A800,13)))</f>
        <v>0</v>
      </c>
      <c r="J792" s="20">
        <f ca="1">INDIRECT(_xlfn.TEXTJOIN("",TRUE,A803,"!",ADDRESS(18+(A804-1)*A800,14)))</f>
        <v>0</v>
      </c>
    </row>
    <row r="793" spans="1:10" ht="28" customHeight="1" x14ac:dyDescent="0.2">
      <c r="A793" s="35">
        <f ca="1">INDIRECT(_xlfn.TEXTJOIN("",TRUE,A803,"!",ADDRESS(19+(A804-1)*A800,1)))</f>
        <v>0</v>
      </c>
      <c r="B793" s="36"/>
      <c r="C793" s="37">
        <f ca="1">INDIRECT(_xlfn.TEXTJOIN("",TRUE,A803,"!",ADDRESS(19+(A804-1)*A800,2)))</f>
        <v>0</v>
      </c>
      <c r="D793" s="38"/>
      <c r="E793" s="38"/>
      <c r="F793" s="38"/>
      <c r="G793" s="39"/>
      <c r="H793" s="20">
        <f ca="1">INDIRECT(_xlfn.TEXTJOIN("",TRUE,A803,"!",ADDRESS(19+(A804-1)*A800,6)))</f>
        <v>0</v>
      </c>
      <c r="I793" s="20">
        <f ca="1">INDIRECT(_xlfn.TEXTJOIN("",TRUE,A803,"!",ADDRESS(19+(A804-1)*A800,13)))</f>
        <v>0</v>
      </c>
      <c r="J793" s="20">
        <f ca="1">INDIRECT(_xlfn.TEXTJOIN("",TRUE,A803,"!",ADDRESS(19+(A804-1)*A800,14)))</f>
        <v>0</v>
      </c>
    </row>
    <row r="794" spans="1:10" ht="28" customHeight="1" x14ac:dyDescent="0.2">
      <c r="A794" s="35">
        <f ca="1">INDIRECT(_xlfn.TEXTJOIN("",TRUE,A803,"!",ADDRESS(20+(A804-1)*A800,1)))</f>
        <v>0</v>
      </c>
      <c r="B794" s="36"/>
      <c r="C794" s="37">
        <f ca="1">INDIRECT(_xlfn.TEXTJOIN("",TRUE,A803,"!",ADDRESS(20+(A804-1)*A800,2)))</f>
        <v>0</v>
      </c>
      <c r="D794" s="38"/>
      <c r="E794" s="38"/>
      <c r="F794" s="38"/>
      <c r="G794" s="39"/>
      <c r="H794" s="20">
        <f ca="1">INDIRECT(_xlfn.TEXTJOIN("",TRUE,A803,"!",ADDRESS(20+(A804-1)*A800,6)))</f>
        <v>0</v>
      </c>
      <c r="I794" s="20">
        <f ca="1">INDIRECT(_xlfn.TEXTJOIN("",TRUE,A803,"!",ADDRESS(20+(A804-1)*A800,13)))</f>
        <v>0</v>
      </c>
      <c r="J794" s="20">
        <f ca="1">INDIRECT(_xlfn.TEXTJOIN("",TRUE,A803,"!",ADDRESS(20+(A804-1)*A800,14)))</f>
        <v>0</v>
      </c>
    </row>
    <row r="795" spans="1:10" ht="28" customHeight="1" x14ac:dyDescent="0.2">
      <c r="A795" s="35">
        <f ca="1">INDIRECT(_xlfn.TEXTJOIN("",TRUE,A803,"!",ADDRESS(21+(A804-1)*A800,1)))</f>
        <v>0</v>
      </c>
      <c r="B795" s="36"/>
      <c r="C795" s="37">
        <f ca="1">INDIRECT(_xlfn.TEXTJOIN("",TRUE,A803,"!",ADDRESS(21+(A804-1)*A800,2)))</f>
        <v>0</v>
      </c>
      <c r="D795" s="38"/>
      <c r="E795" s="38"/>
      <c r="F795" s="38"/>
      <c r="G795" s="39"/>
      <c r="H795" s="20">
        <f ca="1">INDIRECT(_xlfn.TEXTJOIN("",TRUE,A803,"!",ADDRESS(21+(A804-1)*A800,6)))</f>
        <v>0</v>
      </c>
      <c r="I795" s="20">
        <f ca="1">INDIRECT(_xlfn.TEXTJOIN("",TRUE,A803,"!",ADDRESS(21+(A804-1)*A800,13)))</f>
        <v>0</v>
      </c>
      <c r="J795" s="20">
        <f ca="1">INDIRECT(_xlfn.TEXTJOIN("",TRUE,A803,"!",ADDRESS(21+(A804-1)*A800,14)))</f>
        <v>0</v>
      </c>
    </row>
    <row r="796" spans="1:10" ht="28" customHeight="1" x14ac:dyDescent="0.2">
      <c r="A796" s="35">
        <f ca="1">INDIRECT(_xlfn.TEXTJOIN("",TRUE,A803,"!",ADDRESS(22+(A804-1)*A800,1)))</f>
        <v>0</v>
      </c>
      <c r="B796" s="36"/>
      <c r="C796" s="37">
        <f ca="1">INDIRECT(_xlfn.TEXTJOIN("",TRUE,A803,"!",ADDRESS(22+(A804-1)*A800,2)))</f>
        <v>0</v>
      </c>
      <c r="D796" s="38"/>
      <c r="E796" s="38"/>
      <c r="F796" s="38"/>
      <c r="G796" s="39"/>
      <c r="H796" s="20">
        <f ca="1">INDIRECT(_xlfn.TEXTJOIN("",TRUE,A803,"!",ADDRESS(22+(A804-1)*A800,6)))</f>
        <v>0</v>
      </c>
      <c r="I796" s="20">
        <f ca="1">INDIRECT(_xlfn.TEXTJOIN("",TRUE,A803,"!",ADDRESS(22+(A804-1)*A800,13)))</f>
        <v>0</v>
      </c>
      <c r="J796" s="20">
        <f ca="1">INDIRECT(_xlfn.TEXTJOIN("",TRUE,A803,"!",ADDRESS(22+(A804-1)*A800,14)))</f>
        <v>0</v>
      </c>
    </row>
    <row r="797" spans="1:10" ht="28" customHeight="1" x14ac:dyDescent="0.2">
      <c r="A797" s="35">
        <f ca="1">INDIRECT(_xlfn.TEXTJOIN("",TRUE,A803,"!",ADDRESS(23+(A804-1)*A800,1)))</f>
        <v>0</v>
      </c>
      <c r="B797" s="36"/>
      <c r="C797" s="37">
        <f ca="1">INDIRECT(_xlfn.TEXTJOIN("",TRUE,A803,"!",ADDRESS(23+(A804-1)*A800,2)))</f>
        <v>0</v>
      </c>
      <c r="D797" s="38"/>
      <c r="E797" s="38"/>
      <c r="F797" s="38"/>
      <c r="G797" s="39"/>
      <c r="H797" s="20">
        <f ca="1">INDIRECT(_xlfn.TEXTJOIN("",TRUE,A803,"!",ADDRESS(23+(A804-1)*A800,6)))</f>
        <v>0</v>
      </c>
      <c r="I797" s="20">
        <f ca="1">INDIRECT(_xlfn.TEXTJOIN("",TRUE,A803,"!",ADDRESS(23+(A804-1)*A800,13)))</f>
        <v>0</v>
      </c>
      <c r="J797" s="20">
        <f ca="1">INDIRECT(_xlfn.TEXTJOIN("",TRUE,A803,"!",ADDRESS(23+(A804-1)*A800,14)))</f>
        <v>0</v>
      </c>
    </row>
    <row r="798" spans="1:10" ht="28" customHeight="1" x14ac:dyDescent="0.2">
      <c r="A798" s="35">
        <f ca="1">INDIRECT(_xlfn.TEXTJOIN("",TRUE,A803,"!",ADDRESS(24+(A804-1)*A800,1)))</f>
        <v>0</v>
      </c>
      <c r="B798" s="36"/>
      <c r="C798" s="37">
        <f ca="1">INDIRECT(_xlfn.TEXTJOIN("",TRUE,A803,"!",ADDRESS(24+(A804-1)*A800,2)))</f>
        <v>0</v>
      </c>
      <c r="D798" s="38"/>
      <c r="E798" s="38"/>
      <c r="F798" s="38"/>
      <c r="G798" s="39"/>
      <c r="H798" s="20">
        <f ca="1">INDIRECT(_xlfn.TEXTJOIN("",TRUE,A803,"!",ADDRESS(24+(A804-1)*A800,6)))</f>
        <v>0</v>
      </c>
      <c r="I798" s="40">
        <f ca="1">INDIRECT(_xlfn.TEXTJOIN("",TRUE,A803,"!",ADDRESS(24+(A804-1)*A800,13)))</f>
        <v>0</v>
      </c>
      <c r="J798" s="41"/>
    </row>
    <row r="799" spans="1:10" ht="28" customHeight="1" x14ac:dyDescent="0.2">
      <c r="A799" s="42" t="s">
        <v>52</v>
      </c>
      <c r="B799" s="42"/>
      <c r="C799" s="42"/>
      <c r="D799" s="42"/>
      <c r="E799" s="42"/>
      <c r="F799" s="42"/>
      <c r="G799" s="42"/>
      <c r="H799" s="16">
        <f ca="1">SUM(H787:H798)</f>
        <v>0</v>
      </c>
      <c r="I799" s="16" t="s">
        <v>44</v>
      </c>
      <c r="J799" s="16">
        <f ca="1">SUMPRODUCT(J787:J797,H787:H797)</f>
        <v>0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43" t="s">
        <v>40</v>
      </c>
      <c r="B801" s="43"/>
      <c r="C801" s="21">
        <f ca="1">INDIRECT(_xlfn.TEXTJOIN("",TRUE,A803,"!",ADDRESS(5+A804*A800,12)))</f>
        <v>0</v>
      </c>
      <c r="D801" s="43" t="s">
        <v>38</v>
      </c>
      <c r="E801" s="43"/>
      <c r="F801" s="18">
        <f ca="1">INDIRECT(_xlfn.TEXTJOIN("",TRUE,A803,"!",ADDRESS(5+A804*A800,8)))</f>
        <v>0</v>
      </c>
      <c r="G801" s="43" t="s">
        <v>39</v>
      </c>
      <c r="H801" s="43"/>
      <c r="I801" s="44">
        <f ca="1">INDIRECT(_xlfn.TEXTJOIN("",TRUE,A803,"!",ADDRESS(5+A804*A800,10)))</f>
        <v>0</v>
      </c>
      <c r="J801" s="44"/>
    </row>
    <row r="802" spans="1:10" ht="28" customHeight="1" x14ac:dyDescent="0.2">
      <c r="A802" s="19" t="s">
        <v>36</v>
      </c>
      <c r="B802" s="45">
        <f ca="1">INDIRECT(_xlfn.TEXTJOIN("",TRUE,A803,"!",ADDRESS(5+A804*A800,2)))</f>
        <v>0</v>
      </c>
      <c r="C802" s="45"/>
      <c r="D802" s="46" t="s">
        <v>37</v>
      </c>
      <c r="E802" s="46"/>
      <c r="F802" s="47">
        <f ca="1">INDIRECT(_xlfn.TEXTJOIN("",TRUE,A803,"!",ADDRESS(5+A804*A800,5)))</f>
        <v>0</v>
      </c>
      <c r="G802" s="47"/>
      <c r="H802" s="47"/>
      <c r="I802" s="47"/>
      <c r="J802" s="47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48" t="s">
        <v>24</v>
      </c>
      <c r="B805" s="48"/>
      <c r="C805" s="48">
        <f ca="1">INDIRECT(_xlfn.TEXTJOIN("",TRUE,A824,"!",ADDRESS(9+(A825-1)*A821,2)))</f>
        <v>0</v>
      </c>
      <c r="D805" s="48"/>
      <c r="E805" s="48"/>
      <c r="F805" s="48" t="s">
        <v>50</v>
      </c>
      <c r="G805" s="48"/>
      <c r="H805" s="48"/>
      <c r="I805" s="49">
        <f ca="1">INDIRECT(_xlfn.TEXTJOIN("",TRUE,A824,"!",ADDRESS(9+(A825-1)*A821,9)))</f>
        <v>0</v>
      </c>
      <c r="J805" s="49"/>
    </row>
    <row r="806" spans="1:10" ht="28" customHeight="1" x14ac:dyDescent="0.2">
      <c r="A806" s="48" t="s">
        <v>25</v>
      </c>
      <c r="B806" s="48"/>
      <c r="C806" s="48">
        <f ca="1">INDIRECT(_xlfn.TEXTJOIN("",TRUE,A824,"!",ADDRESS(9+(A825-1)*A821,5)))</f>
        <v>0</v>
      </c>
      <c r="D806" s="48"/>
      <c r="E806" s="48"/>
      <c r="F806" s="50" t="s">
        <v>51</v>
      </c>
      <c r="G806" s="50"/>
      <c r="H806" s="50"/>
      <c r="I806" s="49">
        <f ca="1">INDIRECT(_xlfn.TEXTJOIN("",TRUE,A824,"!",ADDRESS(9+(A825-1)*A821,13)))</f>
        <v>0</v>
      </c>
      <c r="J806" s="49"/>
    </row>
    <row r="807" spans="1:10" ht="28" customHeight="1" x14ac:dyDescent="0.2">
      <c r="A807" s="45" t="s">
        <v>28</v>
      </c>
      <c r="B807" s="45"/>
      <c r="C807" s="45" t="s">
        <v>29</v>
      </c>
      <c r="D807" s="45"/>
      <c r="E807" s="45"/>
      <c r="F807" s="45"/>
      <c r="G807" s="45"/>
      <c r="H807" s="15" t="s">
        <v>30</v>
      </c>
      <c r="I807" s="15" t="s">
        <v>10</v>
      </c>
      <c r="J807" s="15" t="s">
        <v>34</v>
      </c>
    </row>
    <row r="808" spans="1:10" ht="28" customHeight="1" x14ac:dyDescent="0.2">
      <c r="A808" s="35">
        <f ca="1">INDIRECT(_xlfn.TEXTJOIN("",TRUE,A824,"!",ADDRESS(13+(A825-1)*A821,1)))</f>
        <v>0</v>
      </c>
      <c r="B808" s="36"/>
      <c r="C808" s="37">
        <f ca="1">INDIRECT(_xlfn.TEXTJOIN("",TRUE,A824,"!",ADDRESS(13+(A825-1)*A821,2)))</f>
        <v>0</v>
      </c>
      <c r="D808" s="38"/>
      <c r="E808" s="38"/>
      <c r="F808" s="38"/>
      <c r="G808" s="39"/>
      <c r="H808" s="20">
        <f ca="1">INDIRECT(_xlfn.TEXTJOIN("",TRUE,A824,"!",ADDRESS(13+(A825-1)*A821,6)))</f>
        <v>0</v>
      </c>
      <c r="I808" s="20">
        <f ca="1">INDIRECT(_xlfn.TEXTJOIN("",TRUE,A824,"!",ADDRESS(13+(A825-1)*A821,13)))</f>
        <v>0</v>
      </c>
      <c r="J808" s="20">
        <f ca="1">INDIRECT(_xlfn.TEXTJOIN("",TRUE,A824,"!",ADDRESS(13+(A825-1)*A821,14)))</f>
        <v>0</v>
      </c>
    </row>
    <row r="809" spans="1:10" ht="28" customHeight="1" x14ac:dyDescent="0.2">
      <c r="A809" s="35">
        <f ca="1">INDIRECT(_xlfn.TEXTJOIN("",TRUE,A824,"!",ADDRESS(14+(A825-1)*A821,1)))</f>
        <v>0</v>
      </c>
      <c r="B809" s="36"/>
      <c r="C809" s="37">
        <f ca="1">INDIRECT(_xlfn.TEXTJOIN("",TRUE,A824,"!",ADDRESS(14+(A825-1)*A821,2)))</f>
        <v>0</v>
      </c>
      <c r="D809" s="38"/>
      <c r="E809" s="38"/>
      <c r="F809" s="38"/>
      <c r="G809" s="39"/>
      <c r="H809" s="20">
        <f ca="1">INDIRECT(_xlfn.TEXTJOIN("",TRUE,A824,"!",ADDRESS(14+(A825-1)*A821,6)))</f>
        <v>0</v>
      </c>
      <c r="I809" s="20">
        <f ca="1">INDIRECT(_xlfn.TEXTJOIN("",TRUE,A824,"!",ADDRESS(14+(A825-1)*A821,13)))</f>
        <v>0</v>
      </c>
      <c r="J809" s="20">
        <f ca="1">INDIRECT(_xlfn.TEXTJOIN("",TRUE,A824,"!",ADDRESS(14+(A825-1)*A821,14)))</f>
        <v>0</v>
      </c>
    </row>
    <row r="810" spans="1:10" ht="28" customHeight="1" x14ac:dyDescent="0.2">
      <c r="A810" s="35">
        <f ca="1">INDIRECT(_xlfn.TEXTJOIN("",TRUE,A824,"!",ADDRESS(15+(A825-1)*A821,1)))</f>
        <v>0</v>
      </c>
      <c r="B810" s="36"/>
      <c r="C810" s="37">
        <f ca="1">INDIRECT(_xlfn.TEXTJOIN("",TRUE,A824,"!",ADDRESS(15+(A825-1)*A821,2)))</f>
        <v>0</v>
      </c>
      <c r="D810" s="38"/>
      <c r="E810" s="38"/>
      <c r="F810" s="38"/>
      <c r="G810" s="39"/>
      <c r="H810" s="20">
        <f ca="1">INDIRECT(_xlfn.TEXTJOIN("",TRUE,A824,"!",ADDRESS(15+(A825-1)*A821,6)))</f>
        <v>0</v>
      </c>
      <c r="I810" s="20">
        <f ca="1">INDIRECT(_xlfn.TEXTJOIN("",TRUE,A824,"!",ADDRESS(15+(A825-1)*A821,13)))</f>
        <v>0</v>
      </c>
      <c r="J810" s="20">
        <f ca="1">INDIRECT(_xlfn.TEXTJOIN("",TRUE,A824,"!",ADDRESS(15+(A825-1)*A821,14)))</f>
        <v>0</v>
      </c>
    </row>
    <row r="811" spans="1:10" ht="28" customHeight="1" x14ac:dyDescent="0.2">
      <c r="A811" s="35">
        <f ca="1">INDIRECT(_xlfn.TEXTJOIN("",TRUE,A824,"!",ADDRESS(16+(A825-1)*A821,1)))</f>
        <v>0</v>
      </c>
      <c r="B811" s="36"/>
      <c r="C811" s="37">
        <f ca="1">INDIRECT(_xlfn.TEXTJOIN("",TRUE,A824,"!",ADDRESS(16+(A825-1)*A821,2)))</f>
        <v>0</v>
      </c>
      <c r="D811" s="38"/>
      <c r="E811" s="38"/>
      <c r="F811" s="38"/>
      <c r="G811" s="39"/>
      <c r="H811" s="20">
        <f ca="1">INDIRECT(_xlfn.TEXTJOIN("",TRUE,A824,"!",ADDRESS(16+(A825-1)*A821,6)))</f>
        <v>0</v>
      </c>
      <c r="I811" s="20">
        <f ca="1">INDIRECT(_xlfn.TEXTJOIN("",TRUE,A824,"!",ADDRESS(16+(A825-1)*A821,13)))</f>
        <v>0</v>
      </c>
      <c r="J811" s="20">
        <f ca="1">INDIRECT(_xlfn.TEXTJOIN("",TRUE,A824,"!",ADDRESS(16+(A825-1)*A821,14)))</f>
        <v>0</v>
      </c>
    </row>
    <row r="812" spans="1:10" ht="28" customHeight="1" x14ac:dyDescent="0.2">
      <c r="A812" s="35">
        <f ca="1">INDIRECT(_xlfn.TEXTJOIN("",TRUE,A824,"!",ADDRESS(17+(A825-1)*A821,1)))</f>
        <v>0</v>
      </c>
      <c r="B812" s="36"/>
      <c r="C812" s="37">
        <f ca="1">INDIRECT(_xlfn.TEXTJOIN("",TRUE,A824,"!",ADDRESS(17+(A825-1)*A821,2)))</f>
        <v>0</v>
      </c>
      <c r="D812" s="38"/>
      <c r="E812" s="38"/>
      <c r="F812" s="38"/>
      <c r="G812" s="39"/>
      <c r="H812" s="20">
        <f ca="1">INDIRECT(_xlfn.TEXTJOIN("",TRUE,A824,"!",ADDRESS(17+(A825-1)*A821,6)))</f>
        <v>0</v>
      </c>
      <c r="I812" s="20">
        <f ca="1">INDIRECT(_xlfn.TEXTJOIN("",TRUE,A824,"!",ADDRESS(17+(A825-1)*A821,13)))</f>
        <v>0</v>
      </c>
      <c r="J812" s="20">
        <f ca="1">INDIRECT(_xlfn.TEXTJOIN("",TRUE,A824,"!",ADDRESS(17+(A825-1)*A821,14)))</f>
        <v>0</v>
      </c>
    </row>
    <row r="813" spans="1:10" ht="28" customHeight="1" x14ac:dyDescent="0.2">
      <c r="A813" s="35">
        <f ca="1">INDIRECT(_xlfn.TEXTJOIN("",TRUE,A824,"!",ADDRESS(18+(A825-1)*A821,1)))</f>
        <v>0</v>
      </c>
      <c r="B813" s="36"/>
      <c r="C813" s="37">
        <f ca="1">INDIRECT(_xlfn.TEXTJOIN("",TRUE,A824,"!",ADDRESS(18+(A825-1)*A821,2)))</f>
        <v>0</v>
      </c>
      <c r="D813" s="38"/>
      <c r="E813" s="38"/>
      <c r="F813" s="38"/>
      <c r="G813" s="39"/>
      <c r="H813" s="20">
        <f ca="1">INDIRECT(_xlfn.TEXTJOIN("",TRUE,A824,"!",ADDRESS(18+(A825-1)*A821,6)))</f>
        <v>0</v>
      </c>
      <c r="I813" s="20">
        <f ca="1">INDIRECT(_xlfn.TEXTJOIN("",TRUE,A824,"!",ADDRESS(18+(A825-1)*A821,13)))</f>
        <v>0</v>
      </c>
      <c r="J813" s="20">
        <f ca="1">INDIRECT(_xlfn.TEXTJOIN("",TRUE,A824,"!",ADDRESS(18+(A825-1)*A821,14)))</f>
        <v>0</v>
      </c>
    </row>
    <row r="814" spans="1:10" ht="28" customHeight="1" x14ac:dyDescent="0.2">
      <c r="A814" s="35">
        <f ca="1">INDIRECT(_xlfn.TEXTJOIN("",TRUE,A824,"!",ADDRESS(19+(A825-1)*A821,1)))</f>
        <v>0</v>
      </c>
      <c r="B814" s="36"/>
      <c r="C814" s="37">
        <f ca="1">INDIRECT(_xlfn.TEXTJOIN("",TRUE,A824,"!",ADDRESS(19+(A825-1)*A821,2)))</f>
        <v>0</v>
      </c>
      <c r="D814" s="38"/>
      <c r="E814" s="38"/>
      <c r="F814" s="38"/>
      <c r="G814" s="39"/>
      <c r="H814" s="20">
        <f ca="1">INDIRECT(_xlfn.TEXTJOIN("",TRUE,A824,"!",ADDRESS(19+(A825-1)*A821,6)))</f>
        <v>0</v>
      </c>
      <c r="I814" s="20">
        <f ca="1">INDIRECT(_xlfn.TEXTJOIN("",TRUE,A824,"!",ADDRESS(19+(A825-1)*A821,13)))</f>
        <v>0</v>
      </c>
      <c r="J814" s="20">
        <f ca="1">INDIRECT(_xlfn.TEXTJOIN("",TRUE,A824,"!",ADDRESS(19+(A825-1)*A821,14)))</f>
        <v>0</v>
      </c>
    </row>
    <row r="815" spans="1:10" ht="28" customHeight="1" x14ac:dyDescent="0.2">
      <c r="A815" s="35">
        <f ca="1">INDIRECT(_xlfn.TEXTJOIN("",TRUE,A824,"!",ADDRESS(20+(A825-1)*A821,1)))</f>
        <v>0</v>
      </c>
      <c r="B815" s="36"/>
      <c r="C815" s="37">
        <f ca="1">INDIRECT(_xlfn.TEXTJOIN("",TRUE,A824,"!",ADDRESS(20+(A825-1)*A821,2)))</f>
        <v>0</v>
      </c>
      <c r="D815" s="38"/>
      <c r="E815" s="38"/>
      <c r="F815" s="38"/>
      <c r="G815" s="39"/>
      <c r="H815" s="20">
        <f ca="1">INDIRECT(_xlfn.TEXTJOIN("",TRUE,A824,"!",ADDRESS(20+(A825-1)*A821,6)))</f>
        <v>0</v>
      </c>
      <c r="I815" s="20">
        <f ca="1">INDIRECT(_xlfn.TEXTJOIN("",TRUE,A824,"!",ADDRESS(20+(A825-1)*A821,13)))</f>
        <v>0</v>
      </c>
      <c r="J815" s="20">
        <f ca="1">INDIRECT(_xlfn.TEXTJOIN("",TRUE,A824,"!",ADDRESS(20+(A825-1)*A821,14)))</f>
        <v>0</v>
      </c>
    </row>
    <row r="816" spans="1:10" ht="28" customHeight="1" x14ac:dyDescent="0.2">
      <c r="A816" s="35">
        <f ca="1">INDIRECT(_xlfn.TEXTJOIN("",TRUE,A824,"!",ADDRESS(21+(A825-1)*A821,1)))</f>
        <v>0</v>
      </c>
      <c r="B816" s="36"/>
      <c r="C816" s="37">
        <f ca="1">INDIRECT(_xlfn.TEXTJOIN("",TRUE,A824,"!",ADDRESS(21+(A825-1)*A821,2)))</f>
        <v>0</v>
      </c>
      <c r="D816" s="38"/>
      <c r="E816" s="38"/>
      <c r="F816" s="38"/>
      <c r="G816" s="39"/>
      <c r="H816" s="20">
        <f ca="1">INDIRECT(_xlfn.TEXTJOIN("",TRUE,A824,"!",ADDRESS(21+(A825-1)*A821,6)))</f>
        <v>0</v>
      </c>
      <c r="I816" s="20">
        <f ca="1">INDIRECT(_xlfn.TEXTJOIN("",TRUE,A824,"!",ADDRESS(21+(A825-1)*A821,13)))</f>
        <v>0</v>
      </c>
      <c r="J816" s="20">
        <f ca="1">INDIRECT(_xlfn.TEXTJOIN("",TRUE,A824,"!",ADDRESS(21+(A825-1)*A821,14)))</f>
        <v>0</v>
      </c>
    </row>
    <row r="817" spans="1:10" ht="28" customHeight="1" x14ac:dyDescent="0.2">
      <c r="A817" s="35">
        <f ca="1">INDIRECT(_xlfn.TEXTJOIN("",TRUE,A824,"!",ADDRESS(22+(A825-1)*A821,1)))</f>
        <v>0</v>
      </c>
      <c r="B817" s="36"/>
      <c r="C817" s="37">
        <f ca="1">INDIRECT(_xlfn.TEXTJOIN("",TRUE,A824,"!",ADDRESS(22+(A825-1)*A821,2)))</f>
        <v>0</v>
      </c>
      <c r="D817" s="38"/>
      <c r="E817" s="38"/>
      <c r="F817" s="38"/>
      <c r="G817" s="39"/>
      <c r="H817" s="20">
        <f ca="1">INDIRECT(_xlfn.TEXTJOIN("",TRUE,A824,"!",ADDRESS(22+(A825-1)*A821,6)))</f>
        <v>0</v>
      </c>
      <c r="I817" s="20">
        <f ca="1">INDIRECT(_xlfn.TEXTJOIN("",TRUE,A824,"!",ADDRESS(22+(A825-1)*A821,13)))</f>
        <v>0</v>
      </c>
      <c r="J817" s="20">
        <f ca="1">INDIRECT(_xlfn.TEXTJOIN("",TRUE,A824,"!",ADDRESS(22+(A825-1)*A821,14)))</f>
        <v>0</v>
      </c>
    </row>
    <row r="818" spans="1:10" ht="28" customHeight="1" x14ac:dyDescent="0.2">
      <c r="A818" s="35">
        <f ca="1">INDIRECT(_xlfn.TEXTJOIN("",TRUE,A824,"!",ADDRESS(23+(A825-1)*A821,1)))</f>
        <v>0</v>
      </c>
      <c r="B818" s="36"/>
      <c r="C818" s="37">
        <f ca="1">INDIRECT(_xlfn.TEXTJOIN("",TRUE,A824,"!",ADDRESS(23+(A825-1)*A821,2)))</f>
        <v>0</v>
      </c>
      <c r="D818" s="38"/>
      <c r="E818" s="38"/>
      <c r="F818" s="38"/>
      <c r="G818" s="39"/>
      <c r="H818" s="20">
        <f ca="1">INDIRECT(_xlfn.TEXTJOIN("",TRUE,A824,"!",ADDRESS(23+(A825-1)*A821,6)))</f>
        <v>0</v>
      </c>
      <c r="I818" s="20">
        <f ca="1">INDIRECT(_xlfn.TEXTJOIN("",TRUE,A824,"!",ADDRESS(23+(A825-1)*A821,13)))</f>
        <v>0</v>
      </c>
      <c r="J818" s="20">
        <f ca="1">INDIRECT(_xlfn.TEXTJOIN("",TRUE,A824,"!",ADDRESS(23+(A825-1)*A821,14)))</f>
        <v>0</v>
      </c>
    </row>
    <row r="819" spans="1:10" ht="28" customHeight="1" x14ac:dyDescent="0.2">
      <c r="A819" s="35">
        <f ca="1">INDIRECT(_xlfn.TEXTJOIN("",TRUE,A824,"!",ADDRESS(24+(A825-1)*A821,1)))</f>
        <v>0</v>
      </c>
      <c r="B819" s="36"/>
      <c r="C819" s="37">
        <f ca="1">INDIRECT(_xlfn.TEXTJOIN("",TRUE,A824,"!",ADDRESS(24+(A825-1)*A821,2)))</f>
        <v>0</v>
      </c>
      <c r="D819" s="38"/>
      <c r="E819" s="38"/>
      <c r="F819" s="38"/>
      <c r="G819" s="39"/>
      <c r="H819" s="20">
        <f ca="1">INDIRECT(_xlfn.TEXTJOIN("",TRUE,A824,"!",ADDRESS(24+(A825-1)*A821,6)))</f>
        <v>0</v>
      </c>
      <c r="I819" s="40">
        <f ca="1">INDIRECT(_xlfn.TEXTJOIN("",TRUE,A824,"!",ADDRESS(24+(A825-1)*A821,13)))</f>
        <v>0</v>
      </c>
      <c r="J819" s="41"/>
    </row>
    <row r="820" spans="1:10" ht="28" customHeight="1" x14ac:dyDescent="0.2">
      <c r="A820" s="42" t="s">
        <v>52</v>
      </c>
      <c r="B820" s="42"/>
      <c r="C820" s="42"/>
      <c r="D820" s="42"/>
      <c r="E820" s="42"/>
      <c r="F820" s="42"/>
      <c r="G820" s="42"/>
      <c r="H820" s="16">
        <f ca="1">SUM(H808:H819)</f>
        <v>0</v>
      </c>
      <c r="I820" s="16" t="s">
        <v>44</v>
      </c>
      <c r="J820" s="16">
        <f ca="1">SUMPRODUCT(J808:J818,H808:H818)</f>
        <v>0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43" t="s">
        <v>40</v>
      </c>
      <c r="B822" s="43"/>
      <c r="C822" s="21">
        <f ca="1">INDIRECT(_xlfn.TEXTJOIN("",TRUE,A824,"!",ADDRESS(5+A825*A821,12)))</f>
        <v>0</v>
      </c>
      <c r="D822" s="43" t="s">
        <v>38</v>
      </c>
      <c r="E822" s="43"/>
      <c r="F822" s="18">
        <f ca="1">INDIRECT(_xlfn.TEXTJOIN("",TRUE,A824,"!",ADDRESS(5+A825*A821,8)))</f>
        <v>0</v>
      </c>
      <c r="G822" s="43" t="s">
        <v>39</v>
      </c>
      <c r="H822" s="43"/>
      <c r="I822" s="44">
        <f ca="1">INDIRECT(_xlfn.TEXTJOIN("",TRUE,A824,"!",ADDRESS(5+A825*A821,10)))</f>
        <v>0</v>
      </c>
      <c r="J822" s="44"/>
    </row>
    <row r="823" spans="1:10" ht="28" customHeight="1" x14ac:dyDescent="0.2">
      <c r="A823" s="19" t="s">
        <v>36</v>
      </c>
      <c r="B823" s="45">
        <f ca="1">INDIRECT(_xlfn.TEXTJOIN("",TRUE,A824,"!",ADDRESS(5+A825*A821,2)))</f>
        <v>0</v>
      </c>
      <c r="C823" s="45"/>
      <c r="D823" s="46" t="s">
        <v>37</v>
      </c>
      <c r="E823" s="46"/>
      <c r="F823" s="47">
        <f ca="1">INDIRECT(_xlfn.TEXTJOIN("",TRUE,A824,"!",ADDRESS(5+A825*A821,5)))</f>
        <v>0</v>
      </c>
      <c r="G823" s="47"/>
      <c r="H823" s="47"/>
      <c r="I823" s="47"/>
      <c r="J823" s="47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48" t="s">
        <v>24</v>
      </c>
      <c r="B826" s="48"/>
      <c r="C826" s="48">
        <f ca="1">INDIRECT(_xlfn.TEXTJOIN("",TRUE,A845,"!",ADDRESS(9+(A846-1)*A842,2)))</f>
        <v>0</v>
      </c>
      <c r="D826" s="48"/>
      <c r="E826" s="48"/>
      <c r="F826" s="48" t="s">
        <v>50</v>
      </c>
      <c r="G826" s="48"/>
      <c r="H826" s="48"/>
      <c r="I826" s="49">
        <f ca="1">INDIRECT(_xlfn.TEXTJOIN("",TRUE,A845,"!",ADDRESS(9+(A846-1)*A842,9)))</f>
        <v>0</v>
      </c>
      <c r="J826" s="49"/>
    </row>
    <row r="827" spans="1:10" ht="28" customHeight="1" x14ac:dyDescent="0.2">
      <c r="A827" s="48" t="s">
        <v>25</v>
      </c>
      <c r="B827" s="48"/>
      <c r="C827" s="48">
        <f ca="1">INDIRECT(_xlfn.TEXTJOIN("",TRUE,A845,"!",ADDRESS(9+(A846-1)*A842,5)))</f>
        <v>0</v>
      </c>
      <c r="D827" s="48"/>
      <c r="E827" s="48"/>
      <c r="F827" s="50" t="s">
        <v>51</v>
      </c>
      <c r="G827" s="50"/>
      <c r="H827" s="50"/>
      <c r="I827" s="49">
        <f ca="1">INDIRECT(_xlfn.TEXTJOIN("",TRUE,A845,"!",ADDRESS(9+(A846-1)*A842,13)))</f>
        <v>0</v>
      </c>
      <c r="J827" s="49"/>
    </row>
    <row r="828" spans="1:10" ht="28" customHeight="1" x14ac:dyDescent="0.2">
      <c r="A828" s="45" t="s">
        <v>28</v>
      </c>
      <c r="B828" s="45"/>
      <c r="C828" s="45" t="s">
        <v>29</v>
      </c>
      <c r="D828" s="45"/>
      <c r="E828" s="45"/>
      <c r="F828" s="45"/>
      <c r="G828" s="45"/>
      <c r="H828" s="15" t="s">
        <v>30</v>
      </c>
      <c r="I828" s="15" t="s">
        <v>10</v>
      </c>
      <c r="J828" s="15" t="s">
        <v>34</v>
      </c>
    </row>
    <row r="829" spans="1:10" ht="28" customHeight="1" x14ac:dyDescent="0.2">
      <c r="A829" s="35">
        <f ca="1">INDIRECT(_xlfn.TEXTJOIN("",TRUE,A845,"!",ADDRESS(13+(A846-1)*A842,1)))</f>
        <v>0</v>
      </c>
      <c r="B829" s="36"/>
      <c r="C829" s="37">
        <f ca="1">INDIRECT(_xlfn.TEXTJOIN("",TRUE,A845,"!",ADDRESS(13+(A846-1)*A842,2)))</f>
        <v>0</v>
      </c>
      <c r="D829" s="38"/>
      <c r="E829" s="38"/>
      <c r="F829" s="38"/>
      <c r="G829" s="39"/>
      <c r="H829" s="20">
        <f ca="1">INDIRECT(_xlfn.TEXTJOIN("",TRUE,A845,"!",ADDRESS(13+(A846-1)*A842,6)))</f>
        <v>0</v>
      </c>
      <c r="I829" s="20">
        <f ca="1">INDIRECT(_xlfn.TEXTJOIN("",TRUE,A845,"!",ADDRESS(13+(A846-1)*A842,13)))</f>
        <v>0</v>
      </c>
      <c r="J829" s="20">
        <f ca="1">INDIRECT(_xlfn.TEXTJOIN("",TRUE,A845,"!",ADDRESS(13+(A846-1)*A842,14)))</f>
        <v>0</v>
      </c>
    </row>
    <row r="830" spans="1:10" ht="28" customHeight="1" x14ac:dyDescent="0.2">
      <c r="A830" s="35">
        <f ca="1">INDIRECT(_xlfn.TEXTJOIN("",TRUE,A845,"!",ADDRESS(14+(A846-1)*A842,1)))</f>
        <v>0</v>
      </c>
      <c r="B830" s="36"/>
      <c r="C830" s="37">
        <f ca="1">INDIRECT(_xlfn.TEXTJOIN("",TRUE,A845,"!",ADDRESS(14+(A846-1)*A842,2)))</f>
        <v>0</v>
      </c>
      <c r="D830" s="38"/>
      <c r="E830" s="38"/>
      <c r="F830" s="38"/>
      <c r="G830" s="39"/>
      <c r="H830" s="20">
        <f ca="1">INDIRECT(_xlfn.TEXTJOIN("",TRUE,A845,"!",ADDRESS(14+(A846-1)*A842,6)))</f>
        <v>0</v>
      </c>
      <c r="I830" s="20">
        <f ca="1">INDIRECT(_xlfn.TEXTJOIN("",TRUE,A845,"!",ADDRESS(14+(A846-1)*A842,13)))</f>
        <v>0</v>
      </c>
      <c r="J830" s="20">
        <f ca="1">INDIRECT(_xlfn.TEXTJOIN("",TRUE,A845,"!",ADDRESS(14+(A846-1)*A842,14)))</f>
        <v>0</v>
      </c>
    </row>
    <row r="831" spans="1:10" ht="28" customHeight="1" x14ac:dyDescent="0.2">
      <c r="A831" s="35">
        <f ca="1">INDIRECT(_xlfn.TEXTJOIN("",TRUE,A845,"!",ADDRESS(15+(A846-1)*A842,1)))</f>
        <v>0</v>
      </c>
      <c r="B831" s="36"/>
      <c r="C831" s="37">
        <f ca="1">INDIRECT(_xlfn.TEXTJOIN("",TRUE,A845,"!",ADDRESS(15+(A846-1)*A842,2)))</f>
        <v>0</v>
      </c>
      <c r="D831" s="38"/>
      <c r="E831" s="38"/>
      <c r="F831" s="38"/>
      <c r="G831" s="39"/>
      <c r="H831" s="20">
        <f ca="1">INDIRECT(_xlfn.TEXTJOIN("",TRUE,A845,"!",ADDRESS(15+(A846-1)*A842,6)))</f>
        <v>0</v>
      </c>
      <c r="I831" s="20">
        <f ca="1">INDIRECT(_xlfn.TEXTJOIN("",TRUE,A845,"!",ADDRESS(15+(A846-1)*A842,13)))</f>
        <v>0</v>
      </c>
      <c r="J831" s="20">
        <f ca="1">INDIRECT(_xlfn.TEXTJOIN("",TRUE,A845,"!",ADDRESS(15+(A846-1)*A842,14)))</f>
        <v>0</v>
      </c>
    </row>
    <row r="832" spans="1:10" ht="28" customHeight="1" x14ac:dyDescent="0.2">
      <c r="A832" s="35">
        <f ca="1">INDIRECT(_xlfn.TEXTJOIN("",TRUE,A845,"!",ADDRESS(16+(A846-1)*A842,1)))</f>
        <v>0</v>
      </c>
      <c r="B832" s="36"/>
      <c r="C832" s="37">
        <f ca="1">INDIRECT(_xlfn.TEXTJOIN("",TRUE,A845,"!",ADDRESS(16+(A846-1)*A842,2)))</f>
        <v>0</v>
      </c>
      <c r="D832" s="38"/>
      <c r="E832" s="38"/>
      <c r="F832" s="38"/>
      <c r="G832" s="39"/>
      <c r="H832" s="20">
        <f ca="1">INDIRECT(_xlfn.TEXTJOIN("",TRUE,A845,"!",ADDRESS(16+(A846-1)*A842,6)))</f>
        <v>0</v>
      </c>
      <c r="I832" s="20">
        <f ca="1">INDIRECT(_xlfn.TEXTJOIN("",TRUE,A845,"!",ADDRESS(16+(A846-1)*A842,13)))</f>
        <v>0</v>
      </c>
      <c r="J832" s="20">
        <f ca="1">INDIRECT(_xlfn.TEXTJOIN("",TRUE,A845,"!",ADDRESS(16+(A846-1)*A842,14)))</f>
        <v>0</v>
      </c>
    </row>
    <row r="833" spans="1:10" ht="28" customHeight="1" x14ac:dyDescent="0.2">
      <c r="A833" s="35">
        <f ca="1">INDIRECT(_xlfn.TEXTJOIN("",TRUE,A845,"!",ADDRESS(17+(A846-1)*A842,1)))</f>
        <v>0</v>
      </c>
      <c r="B833" s="36"/>
      <c r="C833" s="37">
        <f ca="1">INDIRECT(_xlfn.TEXTJOIN("",TRUE,A845,"!",ADDRESS(17+(A846-1)*A842,2)))</f>
        <v>0</v>
      </c>
      <c r="D833" s="38"/>
      <c r="E833" s="38"/>
      <c r="F833" s="38"/>
      <c r="G833" s="39"/>
      <c r="H833" s="20">
        <f ca="1">INDIRECT(_xlfn.TEXTJOIN("",TRUE,A845,"!",ADDRESS(17+(A846-1)*A842,6)))</f>
        <v>0</v>
      </c>
      <c r="I833" s="20">
        <f ca="1">INDIRECT(_xlfn.TEXTJOIN("",TRUE,A845,"!",ADDRESS(17+(A846-1)*A842,13)))</f>
        <v>0</v>
      </c>
      <c r="J833" s="20">
        <f ca="1">INDIRECT(_xlfn.TEXTJOIN("",TRUE,A845,"!",ADDRESS(17+(A846-1)*A842,14)))</f>
        <v>0</v>
      </c>
    </row>
    <row r="834" spans="1:10" ht="28" customHeight="1" x14ac:dyDescent="0.2">
      <c r="A834" s="35">
        <f ca="1">INDIRECT(_xlfn.TEXTJOIN("",TRUE,A845,"!",ADDRESS(18+(A846-1)*A842,1)))</f>
        <v>0</v>
      </c>
      <c r="B834" s="36"/>
      <c r="C834" s="37">
        <f ca="1">INDIRECT(_xlfn.TEXTJOIN("",TRUE,A845,"!",ADDRESS(18+(A846-1)*A842,2)))</f>
        <v>0</v>
      </c>
      <c r="D834" s="38"/>
      <c r="E834" s="38"/>
      <c r="F834" s="38"/>
      <c r="G834" s="39"/>
      <c r="H834" s="20">
        <f ca="1">INDIRECT(_xlfn.TEXTJOIN("",TRUE,A845,"!",ADDRESS(18+(A846-1)*A842,6)))</f>
        <v>0</v>
      </c>
      <c r="I834" s="20">
        <f ca="1">INDIRECT(_xlfn.TEXTJOIN("",TRUE,A845,"!",ADDRESS(18+(A846-1)*A842,13)))</f>
        <v>0</v>
      </c>
      <c r="J834" s="20">
        <f ca="1">INDIRECT(_xlfn.TEXTJOIN("",TRUE,A845,"!",ADDRESS(18+(A846-1)*A842,14)))</f>
        <v>0</v>
      </c>
    </row>
    <row r="835" spans="1:10" ht="28" customHeight="1" x14ac:dyDescent="0.2">
      <c r="A835" s="35">
        <f ca="1">INDIRECT(_xlfn.TEXTJOIN("",TRUE,A845,"!",ADDRESS(19+(A846-1)*A842,1)))</f>
        <v>0</v>
      </c>
      <c r="B835" s="36"/>
      <c r="C835" s="37">
        <f ca="1">INDIRECT(_xlfn.TEXTJOIN("",TRUE,A845,"!",ADDRESS(19+(A846-1)*A842,2)))</f>
        <v>0</v>
      </c>
      <c r="D835" s="38"/>
      <c r="E835" s="38"/>
      <c r="F835" s="38"/>
      <c r="G835" s="39"/>
      <c r="H835" s="20">
        <f ca="1">INDIRECT(_xlfn.TEXTJOIN("",TRUE,A845,"!",ADDRESS(19+(A846-1)*A842,6)))</f>
        <v>0</v>
      </c>
      <c r="I835" s="20">
        <f ca="1">INDIRECT(_xlfn.TEXTJOIN("",TRUE,A845,"!",ADDRESS(19+(A846-1)*A842,13)))</f>
        <v>0</v>
      </c>
      <c r="J835" s="20">
        <f ca="1">INDIRECT(_xlfn.TEXTJOIN("",TRUE,A845,"!",ADDRESS(19+(A846-1)*A842,14)))</f>
        <v>0</v>
      </c>
    </row>
    <row r="836" spans="1:10" ht="28" customHeight="1" x14ac:dyDescent="0.2">
      <c r="A836" s="35">
        <f ca="1">INDIRECT(_xlfn.TEXTJOIN("",TRUE,A845,"!",ADDRESS(20+(A846-1)*A842,1)))</f>
        <v>0</v>
      </c>
      <c r="B836" s="36"/>
      <c r="C836" s="37">
        <f ca="1">INDIRECT(_xlfn.TEXTJOIN("",TRUE,A845,"!",ADDRESS(20+(A846-1)*A842,2)))</f>
        <v>0</v>
      </c>
      <c r="D836" s="38"/>
      <c r="E836" s="38"/>
      <c r="F836" s="38"/>
      <c r="G836" s="39"/>
      <c r="H836" s="20">
        <f ca="1">INDIRECT(_xlfn.TEXTJOIN("",TRUE,A845,"!",ADDRESS(20+(A846-1)*A842,6)))</f>
        <v>0</v>
      </c>
      <c r="I836" s="20">
        <f ca="1">INDIRECT(_xlfn.TEXTJOIN("",TRUE,A845,"!",ADDRESS(20+(A846-1)*A842,13)))</f>
        <v>0</v>
      </c>
      <c r="J836" s="20">
        <f ca="1">INDIRECT(_xlfn.TEXTJOIN("",TRUE,A845,"!",ADDRESS(20+(A846-1)*A842,14)))</f>
        <v>0</v>
      </c>
    </row>
    <row r="837" spans="1:10" ht="28" customHeight="1" x14ac:dyDescent="0.2">
      <c r="A837" s="35">
        <f ca="1">INDIRECT(_xlfn.TEXTJOIN("",TRUE,A845,"!",ADDRESS(21+(A846-1)*A842,1)))</f>
        <v>0</v>
      </c>
      <c r="B837" s="36"/>
      <c r="C837" s="37">
        <f ca="1">INDIRECT(_xlfn.TEXTJOIN("",TRUE,A845,"!",ADDRESS(21+(A846-1)*A842,2)))</f>
        <v>0</v>
      </c>
      <c r="D837" s="38"/>
      <c r="E837" s="38"/>
      <c r="F837" s="38"/>
      <c r="G837" s="39"/>
      <c r="H837" s="20">
        <f ca="1">INDIRECT(_xlfn.TEXTJOIN("",TRUE,A845,"!",ADDRESS(21+(A846-1)*A842,6)))</f>
        <v>0</v>
      </c>
      <c r="I837" s="20">
        <f ca="1">INDIRECT(_xlfn.TEXTJOIN("",TRUE,A845,"!",ADDRESS(21+(A846-1)*A842,13)))</f>
        <v>0</v>
      </c>
      <c r="J837" s="20">
        <f ca="1">INDIRECT(_xlfn.TEXTJOIN("",TRUE,A845,"!",ADDRESS(21+(A846-1)*A842,14)))</f>
        <v>0</v>
      </c>
    </row>
    <row r="838" spans="1:10" ht="28" customHeight="1" x14ac:dyDescent="0.2">
      <c r="A838" s="35">
        <f ca="1">INDIRECT(_xlfn.TEXTJOIN("",TRUE,A845,"!",ADDRESS(22+(A846-1)*A842,1)))</f>
        <v>0</v>
      </c>
      <c r="B838" s="36"/>
      <c r="C838" s="37">
        <f ca="1">INDIRECT(_xlfn.TEXTJOIN("",TRUE,A845,"!",ADDRESS(22+(A846-1)*A842,2)))</f>
        <v>0</v>
      </c>
      <c r="D838" s="38"/>
      <c r="E838" s="38"/>
      <c r="F838" s="38"/>
      <c r="G838" s="39"/>
      <c r="H838" s="20">
        <f ca="1">INDIRECT(_xlfn.TEXTJOIN("",TRUE,A845,"!",ADDRESS(22+(A846-1)*A842,6)))</f>
        <v>0</v>
      </c>
      <c r="I838" s="20">
        <f ca="1">INDIRECT(_xlfn.TEXTJOIN("",TRUE,A845,"!",ADDRESS(22+(A846-1)*A842,13)))</f>
        <v>0</v>
      </c>
      <c r="J838" s="20">
        <f ca="1">INDIRECT(_xlfn.TEXTJOIN("",TRUE,A845,"!",ADDRESS(22+(A846-1)*A842,14)))</f>
        <v>0</v>
      </c>
    </row>
    <row r="839" spans="1:10" ht="28" customHeight="1" x14ac:dyDescent="0.2">
      <c r="A839" s="35">
        <f ca="1">INDIRECT(_xlfn.TEXTJOIN("",TRUE,A845,"!",ADDRESS(23+(A846-1)*A842,1)))</f>
        <v>0</v>
      </c>
      <c r="B839" s="36"/>
      <c r="C839" s="37">
        <f ca="1">INDIRECT(_xlfn.TEXTJOIN("",TRUE,A845,"!",ADDRESS(23+(A846-1)*A842,2)))</f>
        <v>0</v>
      </c>
      <c r="D839" s="38"/>
      <c r="E839" s="38"/>
      <c r="F839" s="38"/>
      <c r="G839" s="39"/>
      <c r="H839" s="20">
        <f ca="1">INDIRECT(_xlfn.TEXTJOIN("",TRUE,A845,"!",ADDRESS(23+(A846-1)*A842,6)))</f>
        <v>0</v>
      </c>
      <c r="I839" s="20">
        <f ca="1">INDIRECT(_xlfn.TEXTJOIN("",TRUE,A845,"!",ADDRESS(23+(A846-1)*A842,13)))</f>
        <v>0</v>
      </c>
      <c r="J839" s="20">
        <f ca="1">INDIRECT(_xlfn.TEXTJOIN("",TRUE,A845,"!",ADDRESS(23+(A846-1)*A842,14)))</f>
        <v>0</v>
      </c>
    </row>
    <row r="840" spans="1:10" ht="28" customHeight="1" x14ac:dyDescent="0.2">
      <c r="A840" s="35">
        <f ca="1">INDIRECT(_xlfn.TEXTJOIN("",TRUE,A845,"!",ADDRESS(24+(A846-1)*A842,1)))</f>
        <v>0</v>
      </c>
      <c r="B840" s="36"/>
      <c r="C840" s="37">
        <f ca="1">INDIRECT(_xlfn.TEXTJOIN("",TRUE,A845,"!",ADDRESS(24+(A846-1)*A842,2)))</f>
        <v>0</v>
      </c>
      <c r="D840" s="38"/>
      <c r="E840" s="38"/>
      <c r="F840" s="38"/>
      <c r="G840" s="39"/>
      <c r="H840" s="20">
        <f ca="1">INDIRECT(_xlfn.TEXTJOIN("",TRUE,A845,"!",ADDRESS(24+(A846-1)*A842,6)))</f>
        <v>0</v>
      </c>
      <c r="I840" s="40">
        <f ca="1">INDIRECT(_xlfn.TEXTJOIN("",TRUE,A845,"!",ADDRESS(24+(A846-1)*A842,13)))</f>
        <v>0</v>
      </c>
      <c r="J840" s="41"/>
    </row>
    <row r="841" spans="1:10" ht="28" customHeight="1" x14ac:dyDescent="0.2">
      <c r="A841" s="42" t="s">
        <v>52</v>
      </c>
      <c r="B841" s="42"/>
      <c r="C841" s="42"/>
      <c r="D841" s="42"/>
      <c r="E841" s="42"/>
      <c r="F841" s="42"/>
      <c r="G841" s="42"/>
      <c r="H841" s="16">
        <f ca="1">SUM(H829:H840)</f>
        <v>0</v>
      </c>
      <c r="I841" s="16" t="s">
        <v>44</v>
      </c>
      <c r="J841" s="16">
        <f ca="1">SUMPRODUCT(J829:J839,H829:H839)</f>
        <v>0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43" t="s">
        <v>40</v>
      </c>
      <c r="B843" s="43"/>
      <c r="C843" s="21">
        <f ca="1">INDIRECT(_xlfn.TEXTJOIN("",TRUE,A845,"!",ADDRESS(5+A846*A842,12)))</f>
        <v>0</v>
      </c>
      <c r="D843" s="43" t="s">
        <v>38</v>
      </c>
      <c r="E843" s="43"/>
      <c r="F843" s="18">
        <f ca="1">INDIRECT(_xlfn.TEXTJOIN("",TRUE,A845,"!",ADDRESS(5+A846*A842,8)))</f>
        <v>0</v>
      </c>
      <c r="G843" s="43" t="s">
        <v>39</v>
      </c>
      <c r="H843" s="43"/>
      <c r="I843" s="44">
        <f ca="1">INDIRECT(_xlfn.TEXTJOIN("",TRUE,A845,"!",ADDRESS(5+A846*A842,10)))</f>
        <v>0</v>
      </c>
      <c r="J843" s="44"/>
    </row>
    <row r="844" spans="1:10" ht="28" customHeight="1" x14ac:dyDescent="0.2">
      <c r="A844" s="19" t="s">
        <v>36</v>
      </c>
      <c r="B844" s="45">
        <f ca="1">INDIRECT(_xlfn.TEXTJOIN("",TRUE,A845,"!",ADDRESS(5+A846*A842,2)))</f>
        <v>0</v>
      </c>
      <c r="C844" s="45"/>
      <c r="D844" s="46" t="s">
        <v>37</v>
      </c>
      <c r="E844" s="46"/>
      <c r="F844" s="47">
        <f ca="1">INDIRECT(_xlfn.TEXTJOIN("",TRUE,A845,"!",ADDRESS(5+A846*A842,5)))</f>
        <v>0</v>
      </c>
      <c r="G844" s="47"/>
      <c r="H844" s="47"/>
      <c r="I844" s="47"/>
      <c r="J844" s="47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48" t="s">
        <v>24</v>
      </c>
      <c r="B847" s="48"/>
      <c r="C847" s="48">
        <f ca="1">INDIRECT(_xlfn.TEXTJOIN("",TRUE,A866,"!",ADDRESS(9+(A867-1)*A863,2)))</f>
        <v>0</v>
      </c>
      <c r="D847" s="48"/>
      <c r="E847" s="48"/>
      <c r="F847" s="48" t="s">
        <v>50</v>
      </c>
      <c r="G847" s="48"/>
      <c r="H847" s="48"/>
      <c r="I847" s="49">
        <f ca="1">INDIRECT(_xlfn.TEXTJOIN("",TRUE,A866,"!",ADDRESS(9+(A867-1)*A863,9)))</f>
        <v>0</v>
      </c>
      <c r="J847" s="49"/>
    </row>
    <row r="848" spans="1:10" ht="28" customHeight="1" x14ac:dyDescent="0.2">
      <c r="A848" s="48" t="s">
        <v>25</v>
      </c>
      <c r="B848" s="48"/>
      <c r="C848" s="48">
        <f ca="1">INDIRECT(_xlfn.TEXTJOIN("",TRUE,A866,"!",ADDRESS(9+(A867-1)*A863,5)))</f>
        <v>0</v>
      </c>
      <c r="D848" s="48"/>
      <c r="E848" s="48"/>
      <c r="F848" s="50" t="s">
        <v>51</v>
      </c>
      <c r="G848" s="50"/>
      <c r="H848" s="50"/>
      <c r="I848" s="49">
        <f ca="1">INDIRECT(_xlfn.TEXTJOIN("",TRUE,A866,"!",ADDRESS(9+(A867-1)*A863,13)))</f>
        <v>0</v>
      </c>
      <c r="J848" s="49"/>
    </row>
    <row r="849" spans="1:10" ht="28" customHeight="1" x14ac:dyDescent="0.2">
      <c r="A849" s="45" t="s">
        <v>28</v>
      </c>
      <c r="B849" s="45"/>
      <c r="C849" s="45" t="s">
        <v>29</v>
      </c>
      <c r="D849" s="45"/>
      <c r="E849" s="45"/>
      <c r="F849" s="45"/>
      <c r="G849" s="45"/>
      <c r="H849" s="15" t="s">
        <v>30</v>
      </c>
      <c r="I849" s="15" t="s">
        <v>10</v>
      </c>
      <c r="J849" s="15" t="s">
        <v>34</v>
      </c>
    </row>
    <row r="850" spans="1:10" ht="28" customHeight="1" x14ac:dyDescent="0.2">
      <c r="A850" s="35">
        <f ca="1">INDIRECT(_xlfn.TEXTJOIN("",TRUE,A866,"!",ADDRESS(13+(A867-1)*A863,1)))</f>
        <v>0</v>
      </c>
      <c r="B850" s="36"/>
      <c r="C850" s="37">
        <f ca="1">INDIRECT(_xlfn.TEXTJOIN("",TRUE,A866,"!",ADDRESS(13+(A867-1)*A863,2)))</f>
        <v>0</v>
      </c>
      <c r="D850" s="38"/>
      <c r="E850" s="38"/>
      <c r="F850" s="38"/>
      <c r="G850" s="39"/>
      <c r="H850" s="20">
        <f ca="1">INDIRECT(_xlfn.TEXTJOIN("",TRUE,A866,"!",ADDRESS(13+(A867-1)*A863,6)))</f>
        <v>0</v>
      </c>
      <c r="I850" s="20">
        <f ca="1">INDIRECT(_xlfn.TEXTJOIN("",TRUE,A866,"!",ADDRESS(13+(A867-1)*A863,13)))</f>
        <v>0</v>
      </c>
      <c r="J850" s="20">
        <f ca="1">INDIRECT(_xlfn.TEXTJOIN("",TRUE,A866,"!",ADDRESS(13+(A867-1)*A863,14)))</f>
        <v>0</v>
      </c>
    </row>
    <row r="851" spans="1:10" ht="28" customHeight="1" x14ac:dyDescent="0.2">
      <c r="A851" s="35">
        <f ca="1">INDIRECT(_xlfn.TEXTJOIN("",TRUE,A866,"!",ADDRESS(14+(A867-1)*A863,1)))</f>
        <v>0</v>
      </c>
      <c r="B851" s="36"/>
      <c r="C851" s="37">
        <f ca="1">INDIRECT(_xlfn.TEXTJOIN("",TRUE,A866,"!",ADDRESS(14+(A867-1)*A863,2)))</f>
        <v>0</v>
      </c>
      <c r="D851" s="38"/>
      <c r="E851" s="38"/>
      <c r="F851" s="38"/>
      <c r="G851" s="39"/>
      <c r="H851" s="20">
        <f ca="1">INDIRECT(_xlfn.TEXTJOIN("",TRUE,A866,"!",ADDRESS(14+(A867-1)*A863,6)))</f>
        <v>0</v>
      </c>
      <c r="I851" s="20">
        <f ca="1">INDIRECT(_xlfn.TEXTJOIN("",TRUE,A866,"!",ADDRESS(14+(A867-1)*A863,13)))</f>
        <v>0</v>
      </c>
      <c r="J851" s="20">
        <f ca="1">INDIRECT(_xlfn.TEXTJOIN("",TRUE,A866,"!",ADDRESS(14+(A867-1)*A863,14)))</f>
        <v>0</v>
      </c>
    </row>
    <row r="852" spans="1:10" ht="28" customHeight="1" x14ac:dyDescent="0.2">
      <c r="A852" s="35">
        <f ca="1">INDIRECT(_xlfn.TEXTJOIN("",TRUE,A866,"!",ADDRESS(15+(A867-1)*A863,1)))</f>
        <v>0</v>
      </c>
      <c r="B852" s="36"/>
      <c r="C852" s="37">
        <f ca="1">INDIRECT(_xlfn.TEXTJOIN("",TRUE,A866,"!",ADDRESS(15+(A867-1)*A863,2)))</f>
        <v>0</v>
      </c>
      <c r="D852" s="38"/>
      <c r="E852" s="38"/>
      <c r="F852" s="38"/>
      <c r="G852" s="39"/>
      <c r="H852" s="20">
        <f ca="1">INDIRECT(_xlfn.TEXTJOIN("",TRUE,A866,"!",ADDRESS(15+(A867-1)*A863,6)))</f>
        <v>0</v>
      </c>
      <c r="I852" s="20">
        <f ca="1">INDIRECT(_xlfn.TEXTJOIN("",TRUE,A866,"!",ADDRESS(15+(A867-1)*A863,13)))</f>
        <v>0</v>
      </c>
      <c r="J852" s="20">
        <f ca="1">INDIRECT(_xlfn.TEXTJOIN("",TRUE,A866,"!",ADDRESS(15+(A867-1)*A863,14)))</f>
        <v>0</v>
      </c>
    </row>
    <row r="853" spans="1:10" ht="28" customHeight="1" x14ac:dyDescent="0.2">
      <c r="A853" s="35">
        <f ca="1">INDIRECT(_xlfn.TEXTJOIN("",TRUE,A866,"!",ADDRESS(16+(A867-1)*A863,1)))</f>
        <v>0</v>
      </c>
      <c r="B853" s="36"/>
      <c r="C853" s="37">
        <f ca="1">INDIRECT(_xlfn.TEXTJOIN("",TRUE,A866,"!",ADDRESS(16+(A867-1)*A863,2)))</f>
        <v>0</v>
      </c>
      <c r="D853" s="38"/>
      <c r="E853" s="38"/>
      <c r="F853" s="38"/>
      <c r="G853" s="39"/>
      <c r="H853" s="20">
        <f ca="1">INDIRECT(_xlfn.TEXTJOIN("",TRUE,A866,"!",ADDRESS(16+(A867-1)*A863,6)))</f>
        <v>0</v>
      </c>
      <c r="I853" s="20">
        <f ca="1">INDIRECT(_xlfn.TEXTJOIN("",TRUE,A866,"!",ADDRESS(16+(A867-1)*A863,13)))</f>
        <v>0</v>
      </c>
      <c r="J853" s="20">
        <f ca="1">INDIRECT(_xlfn.TEXTJOIN("",TRUE,A866,"!",ADDRESS(16+(A867-1)*A863,14)))</f>
        <v>0</v>
      </c>
    </row>
    <row r="854" spans="1:10" ht="28" customHeight="1" x14ac:dyDescent="0.2">
      <c r="A854" s="35">
        <f ca="1">INDIRECT(_xlfn.TEXTJOIN("",TRUE,A866,"!",ADDRESS(17+(A867-1)*A863,1)))</f>
        <v>0</v>
      </c>
      <c r="B854" s="36"/>
      <c r="C854" s="37">
        <f ca="1">INDIRECT(_xlfn.TEXTJOIN("",TRUE,A866,"!",ADDRESS(17+(A867-1)*A863,2)))</f>
        <v>0</v>
      </c>
      <c r="D854" s="38"/>
      <c r="E854" s="38"/>
      <c r="F854" s="38"/>
      <c r="G854" s="39"/>
      <c r="H854" s="20">
        <f ca="1">INDIRECT(_xlfn.TEXTJOIN("",TRUE,A866,"!",ADDRESS(17+(A867-1)*A863,6)))</f>
        <v>0</v>
      </c>
      <c r="I854" s="20">
        <f ca="1">INDIRECT(_xlfn.TEXTJOIN("",TRUE,A866,"!",ADDRESS(17+(A867-1)*A863,13)))</f>
        <v>0</v>
      </c>
      <c r="J854" s="20">
        <f ca="1">INDIRECT(_xlfn.TEXTJOIN("",TRUE,A866,"!",ADDRESS(17+(A867-1)*A863,14)))</f>
        <v>0</v>
      </c>
    </row>
    <row r="855" spans="1:10" ht="28" customHeight="1" x14ac:dyDescent="0.2">
      <c r="A855" s="35">
        <f ca="1">INDIRECT(_xlfn.TEXTJOIN("",TRUE,A866,"!",ADDRESS(18+(A867-1)*A863,1)))</f>
        <v>0</v>
      </c>
      <c r="B855" s="36"/>
      <c r="C855" s="37">
        <f ca="1">INDIRECT(_xlfn.TEXTJOIN("",TRUE,A866,"!",ADDRESS(18+(A867-1)*A863,2)))</f>
        <v>0</v>
      </c>
      <c r="D855" s="38"/>
      <c r="E855" s="38"/>
      <c r="F855" s="38"/>
      <c r="G855" s="39"/>
      <c r="H855" s="20">
        <f ca="1">INDIRECT(_xlfn.TEXTJOIN("",TRUE,A866,"!",ADDRESS(18+(A867-1)*A863,6)))</f>
        <v>0</v>
      </c>
      <c r="I855" s="20">
        <f ca="1">INDIRECT(_xlfn.TEXTJOIN("",TRUE,A866,"!",ADDRESS(18+(A867-1)*A863,13)))</f>
        <v>0</v>
      </c>
      <c r="J855" s="20">
        <f ca="1">INDIRECT(_xlfn.TEXTJOIN("",TRUE,A866,"!",ADDRESS(18+(A867-1)*A863,14)))</f>
        <v>0</v>
      </c>
    </row>
    <row r="856" spans="1:10" ht="28" customHeight="1" x14ac:dyDescent="0.2">
      <c r="A856" s="35">
        <f ca="1">INDIRECT(_xlfn.TEXTJOIN("",TRUE,A866,"!",ADDRESS(19+(A867-1)*A863,1)))</f>
        <v>0</v>
      </c>
      <c r="B856" s="36"/>
      <c r="C856" s="37">
        <f ca="1">INDIRECT(_xlfn.TEXTJOIN("",TRUE,A866,"!",ADDRESS(19+(A867-1)*A863,2)))</f>
        <v>0</v>
      </c>
      <c r="D856" s="38"/>
      <c r="E856" s="38"/>
      <c r="F856" s="38"/>
      <c r="G856" s="39"/>
      <c r="H856" s="20">
        <f ca="1">INDIRECT(_xlfn.TEXTJOIN("",TRUE,A866,"!",ADDRESS(19+(A867-1)*A863,6)))</f>
        <v>0</v>
      </c>
      <c r="I856" s="20">
        <f ca="1">INDIRECT(_xlfn.TEXTJOIN("",TRUE,A866,"!",ADDRESS(19+(A867-1)*A863,13)))</f>
        <v>0</v>
      </c>
      <c r="J856" s="20">
        <f ca="1">INDIRECT(_xlfn.TEXTJOIN("",TRUE,A866,"!",ADDRESS(19+(A867-1)*A863,14)))</f>
        <v>0</v>
      </c>
    </row>
    <row r="857" spans="1:10" ht="28" customHeight="1" x14ac:dyDescent="0.2">
      <c r="A857" s="35">
        <f ca="1">INDIRECT(_xlfn.TEXTJOIN("",TRUE,A866,"!",ADDRESS(20+(A867-1)*A863,1)))</f>
        <v>0</v>
      </c>
      <c r="B857" s="36"/>
      <c r="C857" s="37">
        <f ca="1">INDIRECT(_xlfn.TEXTJOIN("",TRUE,A866,"!",ADDRESS(20+(A867-1)*A863,2)))</f>
        <v>0</v>
      </c>
      <c r="D857" s="38"/>
      <c r="E857" s="38"/>
      <c r="F857" s="38"/>
      <c r="G857" s="39"/>
      <c r="H857" s="20">
        <f ca="1">INDIRECT(_xlfn.TEXTJOIN("",TRUE,A866,"!",ADDRESS(20+(A867-1)*A863,6)))</f>
        <v>0</v>
      </c>
      <c r="I857" s="20">
        <f ca="1">INDIRECT(_xlfn.TEXTJOIN("",TRUE,A866,"!",ADDRESS(20+(A867-1)*A863,13)))</f>
        <v>0</v>
      </c>
      <c r="J857" s="20">
        <f ca="1">INDIRECT(_xlfn.TEXTJOIN("",TRUE,A866,"!",ADDRESS(20+(A867-1)*A863,14)))</f>
        <v>0</v>
      </c>
    </row>
    <row r="858" spans="1:10" ht="28" customHeight="1" x14ac:dyDescent="0.2">
      <c r="A858" s="35">
        <f ca="1">INDIRECT(_xlfn.TEXTJOIN("",TRUE,A866,"!",ADDRESS(21+(A867-1)*A863,1)))</f>
        <v>0</v>
      </c>
      <c r="B858" s="36"/>
      <c r="C858" s="37">
        <f ca="1">INDIRECT(_xlfn.TEXTJOIN("",TRUE,A866,"!",ADDRESS(21+(A867-1)*A863,2)))</f>
        <v>0</v>
      </c>
      <c r="D858" s="38"/>
      <c r="E858" s="38"/>
      <c r="F858" s="38"/>
      <c r="G858" s="39"/>
      <c r="H858" s="20">
        <f ca="1">INDIRECT(_xlfn.TEXTJOIN("",TRUE,A866,"!",ADDRESS(21+(A867-1)*A863,6)))</f>
        <v>0</v>
      </c>
      <c r="I858" s="20">
        <f ca="1">INDIRECT(_xlfn.TEXTJOIN("",TRUE,A866,"!",ADDRESS(21+(A867-1)*A863,13)))</f>
        <v>0</v>
      </c>
      <c r="J858" s="20">
        <f ca="1">INDIRECT(_xlfn.TEXTJOIN("",TRUE,A866,"!",ADDRESS(21+(A867-1)*A863,14)))</f>
        <v>0</v>
      </c>
    </row>
    <row r="859" spans="1:10" ht="28" customHeight="1" x14ac:dyDescent="0.2">
      <c r="A859" s="35">
        <f ca="1">INDIRECT(_xlfn.TEXTJOIN("",TRUE,A866,"!",ADDRESS(22+(A867-1)*A863,1)))</f>
        <v>0</v>
      </c>
      <c r="B859" s="36"/>
      <c r="C859" s="37">
        <f ca="1">INDIRECT(_xlfn.TEXTJOIN("",TRUE,A866,"!",ADDRESS(22+(A867-1)*A863,2)))</f>
        <v>0</v>
      </c>
      <c r="D859" s="38"/>
      <c r="E859" s="38"/>
      <c r="F859" s="38"/>
      <c r="G859" s="39"/>
      <c r="H859" s="20">
        <f ca="1">INDIRECT(_xlfn.TEXTJOIN("",TRUE,A866,"!",ADDRESS(22+(A867-1)*A863,6)))</f>
        <v>0</v>
      </c>
      <c r="I859" s="20">
        <f ca="1">INDIRECT(_xlfn.TEXTJOIN("",TRUE,A866,"!",ADDRESS(22+(A867-1)*A863,13)))</f>
        <v>0</v>
      </c>
      <c r="J859" s="20">
        <f ca="1">INDIRECT(_xlfn.TEXTJOIN("",TRUE,A866,"!",ADDRESS(22+(A867-1)*A863,14)))</f>
        <v>0</v>
      </c>
    </row>
    <row r="860" spans="1:10" ht="28" customHeight="1" x14ac:dyDescent="0.2">
      <c r="A860" s="35">
        <f ca="1">INDIRECT(_xlfn.TEXTJOIN("",TRUE,A866,"!",ADDRESS(23+(A867-1)*A863,1)))</f>
        <v>0</v>
      </c>
      <c r="B860" s="36"/>
      <c r="C860" s="37">
        <f ca="1">INDIRECT(_xlfn.TEXTJOIN("",TRUE,A866,"!",ADDRESS(23+(A867-1)*A863,2)))</f>
        <v>0</v>
      </c>
      <c r="D860" s="38"/>
      <c r="E860" s="38"/>
      <c r="F860" s="38"/>
      <c r="G860" s="39"/>
      <c r="H860" s="20">
        <f ca="1">INDIRECT(_xlfn.TEXTJOIN("",TRUE,A866,"!",ADDRESS(23+(A867-1)*A863,6)))</f>
        <v>0</v>
      </c>
      <c r="I860" s="20">
        <f ca="1">INDIRECT(_xlfn.TEXTJOIN("",TRUE,A866,"!",ADDRESS(23+(A867-1)*A863,13)))</f>
        <v>0</v>
      </c>
      <c r="J860" s="20">
        <f ca="1">INDIRECT(_xlfn.TEXTJOIN("",TRUE,A866,"!",ADDRESS(23+(A867-1)*A863,14)))</f>
        <v>0</v>
      </c>
    </row>
    <row r="861" spans="1:10" ht="28" customHeight="1" x14ac:dyDescent="0.2">
      <c r="A861" s="35">
        <f ca="1">INDIRECT(_xlfn.TEXTJOIN("",TRUE,A866,"!",ADDRESS(24+(A867-1)*A863,1)))</f>
        <v>0</v>
      </c>
      <c r="B861" s="36"/>
      <c r="C861" s="37">
        <f ca="1">INDIRECT(_xlfn.TEXTJOIN("",TRUE,A866,"!",ADDRESS(24+(A867-1)*A863,2)))</f>
        <v>0</v>
      </c>
      <c r="D861" s="38"/>
      <c r="E861" s="38"/>
      <c r="F861" s="38"/>
      <c r="G861" s="39"/>
      <c r="H861" s="20">
        <f ca="1">INDIRECT(_xlfn.TEXTJOIN("",TRUE,A866,"!",ADDRESS(24+(A867-1)*A863,6)))</f>
        <v>0</v>
      </c>
      <c r="I861" s="40">
        <f ca="1">INDIRECT(_xlfn.TEXTJOIN("",TRUE,A866,"!",ADDRESS(24+(A867-1)*A863,13)))</f>
        <v>0</v>
      </c>
      <c r="J861" s="41"/>
    </row>
    <row r="862" spans="1:10" ht="28" customHeight="1" x14ac:dyDescent="0.2">
      <c r="A862" s="42" t="s">
        <v>52</v>
      </c>
      <c r="B862" s="42"/>
      <c r="C862" s="42"/>
      <c r="D862" s="42"/>
      <c r="E862" s="42"/>
      <c r="F862" s="42"/>
      <c r="G862" s="42"/>
      <c r="H862" s="16">
        <f ca="1">SUM(H850:H861)</f>
        <v>0</v>
      </c>
      <c r="I862" s="16" t="s">
        <v>44</v>
      </c>
      <c r="J862" s="16">
        <f ca="1">SUMPRODUCT(J850:J860,H850:H860)</f>
        <v>0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43" t="s">
        <v>40</v>
      </c>
      <c r="B864" s="43"/>
      <c r="C864" s="21">
        <f ca="1">INDIRECT(_xlfn.TEXTJOIN("",TRUE,A866,"!",ADDRESS(5+A867*A863,12)))</f>
        <v>0</v>
      </c>
      <c r="D864" s="43" t="s">
        <v>38</v>
      </c>
      <c r="E864" s="43"/>
      <c r="F864" s="18">
        <f ca="1">INDIRECT(_xlfn.TEXTJOIN("",TRUE,A866,"!",ADDRESS(5+A867*A863,8)))</f>
        <v>0</v>
      </c>
      <c r="G864" s="43" t="s">
        <v>39</v>
      </c>
      <c r="H864" s="43"/>
      <c r="I864" s="44">
        <f ca="1">INDIRECT(_xlfn.TEXTJOIN("",TRUE,A866,"!",ADDRESS(5+A867*A863,10)))</f>
        <v>0</v>
      </c>
      <c r="J864" s="44"/>
    </row>
    <row r="865" spans="1:10" ht="28" customHeight="1" x14ac:dyDescent="0.2">
      <c r="A865" s="19" t="s">
        <v>36</v>
      </c>
      <c r="B865" s="45">
        <f ca="1">INDIRECT(_xlfn.TEXTJOIN("",TRUE,A866,"!",ADDRESS(5+A867*A863,2)))</f>
        <v>0</v>
      </c>
      <c r="C865" s="45"/>
      <c r="D865" s="46" t="s">
        <v>37</v>
      </c>
      <c r="E865" s="46"/>
      <c r="F865" s="47">
        <f ca="1">INDIRECT(_xlfn.TEXTJOIN("",TRUE,A866,"!",ADDRESS(5+A867*A863,5)))</f>
        <v>0</v>
      </c>
      <c r="G865" s="47"/>
      <c r="H865" s="47"/>
      <c r="I865" s="47"/>
      <c r="J865" s="47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48" t="s">
        <v>24</v>
      </c>
      <c r="B868" s="48"/>
      <c r="C868" s="48">
        <f ca="1">INDIRECT(_xlfn.TEXTJOIN("",TRUE,A887,"!",ADDRESS(9+(A888-1)*A884,2)))</f>
        <v>0</v>
      </c>
      <c r="D868" s="48"/>
      <c r="E868" s="48"/>
      <c r="F868" s="48" t="s">
        <v>50</v>
      </c>
      <c r="G868" s="48"/>
      <c r="H868" s="48"/>
      <c r="I868" s="49">
        <f ca="1">INDIRECT(_xlfn.TEXTJOIN("",TRUE,A887,"!",ADDRESS(9+(A888-1)*A884,9)))</f>
        <v>0</v>
      </c>
      <c r="J868" s="49"/>
    </row>
    <row r="869" spans="1:10" ht="28" customHeight="1" x14ac:dyDescent="0.2">
      <c r="A869" s="48" t="s">
        <v>25</v>
      </c>
      <c r="B869" s="48"/>
      <c r="C869" s="48">
        <f ca="1">INDIRECT(_xlfn.TEXTJOIN("",TRUE,A887,"!",ADDRESS(9+(A888-1)*A884,5)))</f>
        <v>0</v>
      </c>
      <c r="D869" s="48"/>
      <c r="E869" s="48"/>
      <c r="F869" s="50" t="s">
        <v>51</v>
      </c>
      <c r="G869" s="50"/>
      <c r="H869" s="50"/>
      <c r="I869" s="49">
        <f ca="1">INDIRECT(_xlfn.TEXTJOIN("",TRUE,A887,"!",ADDRESS(9+(A888-1)*A884,13)))</f>
        <v>0</v>
      </c>
      <c r="J869" s="49"/>
    </row>
    <row r="870" spans="1:10" ht="28" customHeight="1" x14ac:dyDescent="0.2">
      <c r="A870" s="45" t="s">
        <v>28</v>
      </c>
      <c r="B870" s="45"/>
      <c r="C870" s="45" t="s">
        <v>29</v>
      </c>
      <c r="D870" s="45"/>
      <c r="E870" s="45"/>
      <c r="F870" s="45"/>
      <c r="G870" s="45"/>
      <c r="H870" s="15" t="s">
        <v>30</v>
      </c>
      <c r="I870" s="15" t="s">
        <v>10</v>
      </c>
      <c r="J870" s="15" t="s">
        <v>34</v>
      </c>
    </row>
    <row r="871" spans="1:10" ht="28" customHeight="1" x14ac:dyDescent="0.2">
      <c r="A871" s="35">
        <f ca="1">INDIRECT(_xlfn.TEXTJOIN("",TRUE,A887,"!",ADDRESS(13+(A888-1)*A884,1)))</f>
        <v>0</v>
      </c>
      <c r="B871" s="36"/>
      <c r="C871" s="37">
        <f ca="1">INDIRECT(_xlfn.TEXTJOIN("",TRUE,A887,"!",ADDRESS(13+(A888-1)*A884,2)))</f>
        <v>0</v>
      </c>
      <c r="D871" s="38"/>
      <c r="E871" s="38"/>
      <c r="F871" s="38"/>
      <c r="G871" s="39"/>
      <c r="H871" s="20">
        <f ca="1">INDIRECT(_xlfn.TEXTJOIN("",TRUE,A887,"!",ADDRESS(13+(A888-1)*A884,6)))</f>
        <v>0</v>
      </c>
      <c r="I871" s="20">
        <f ca="1">INDIRECT(_xlfn.TEXTJOIN("",TRUE,A887,"!",ADDRESS(13+(A888-1)*A884,13)))</f>
        <v>0</v>
      </c>
      <c r="J871" s="20">
        <f ca="1">INDIRECT(_xlfn.TEXTJOIN("",TRUE,A887,"!",ADDRESS(13+(A888-1)*A884,14)))</f>
        <v>0</v>
      </c>
    </row>
    <row r="872" spans="1:10" ht="28" customHeight="1" x14ac:dyDescent="0.2">
      <c r="A872" s="35">
        <f ca="1">INDIRECT(_xlfn.TEXTJOIN("",TRUE,A887,"!",ADDRESS(14+(A888-1)*A884,1)))</f>
        <v>0</v>
      </c>
      <c r="B872" s="36"/>
      <c r="C872" s="37">
        <f ca="1">INDIRECT(_xlfn.TEXTJOIN("",TRUE,A887,"!",ADDRESS(14+(A888-1)*A884,2)))</f>
        <v>0</v>
      </c>
      <c r="D872" s="38"/>
      <c r="E872" s="38"/>
      <c r="F872" s="38"/>
      <c r="G872" s="39"/>
      <c r="H872" s="20">
        <f ca="1">INDIRECT(_xlfn.TEXTJOIN("",TRUE,A887,"!",ADDRESS(14+(A888-1)*A884,6)))</f>
        <v>0</v>
      </c>
      <c r="I872" s="20">
        <f ca="1">INDIRECT(_xlfn.TEXTJOIN("",TRUE,A887,"!",ADDRESS(14+(A888-1)*A884,13)))</f>
        <v>0</v>
      </c>
      <c r="J872" s="20">
        <f ca="1">INDIRECT(_xlfn.TEXTJOIN("",TRUE,A887,"!",ADDRESS(14+(A888-1)*A884,14)))</f>
        <v>0</v>
      </c>
    </row>
    <row r="873" spans="1:10" ht="28" customHeight="1" x14ac:dyDescent="0.2">
      <c r="A873" s="35">
        <f ca="1">INDIRECT(_xlfn.TEXTJOIN("",TRUE,A887,"!",ADDRESS(15+(A888-1)*A884,1)))</f>
        <v>0</v>
      </c>
      <c r="B873" s="36"/>
      <c r="C873" s="37">
        <f ca="1">INDIRECT(_xlfn.TEXTJOIN("",TRUE,A887,"!",ADDRESS(15+(A888-1)*A884,2)))</f>
        <v>0</v>
      </c>
      <c r="D873" s="38"/>
      <c r="E873" s="38"/>
      <c r="F873" s="38"/>
      <c r="G873" s="39"/>
      <c r="H873" s="20">
        <f ca="1">INDIRECT(_xlfn.TEXTJOIN("",TRUE,A887,"!",ADDRESS(15+(A888-1)*A884,6)))</f>
        <v>0</v>
      </c>
      <c r="I873" s="20">
        <f ca="1">INDIRECT(_xlfn.TEXTJOIN("",TRUE,A887,"!",ADDRESS(15+(A888-1)*A884,13)))</f>
        <v>0</v>
      </c>
      <c r="J873" s="20">
        <f ca="1">INDIRECT(_xlfn.TEXTJOIN("",TRUE,A887,"!",ADDRESS(15+(A888-1)*A884,14)))</f>
        <v>0</v>
      </c>
    </row>
    <row r="874" spans="1:10" ht="28" customHeight="1" x14ac:dyDescent="0.2">
      <c r="A874" s="35">
        <f ca="1">INDIRECT(_xlfn.TEXTJOIN("",TRUE,A887,"!",ADDRESS(16+(A888-1)*A884,1)))</f>
        <v>0</v>
      </c>
      <c r="B874" s="36"/>
      <c r="C874" s="37">
        <f ca="1">INDIRECT(_xlfn.TEXTJOIN("",TRUE,A887,"!",ADDRESS(16+(A888-1)*A884,2)))</f>
        <v>0</v>
      </c>
      <c r="D874" s="38"/>
      <c r="E874" s="38"/>
      <c r="F874" s="38"/>
      <c r="G874" s="39"/>
      <c r="H874" s="20">
        <f ca="1">INDIRECT(_xlfn.TEXTJOIN("",TRUE,A887,"!",ADDRESS(16+(A888-1)*A884,6)))</f>
        <v>0</v>
      </c>
      <c r="I874" s="20">
        <f ca="1">INDIRECT(_xlfn.TEXTJOIN("",TRUE,A887,"!",ADDRESS(16+(A888-1)*A884,13)))</f>
        <v>0</v>
      </c>
      <c r="J874" s="20">
        <f ca="1">INDIRECT(_xlfn.TEXTJOIN("",TRUE,A887,"!",ADDRESS(16+(A888-1)*A884,14)))</f>
        <v>0</v>
      </c>
    </row>
    <row r="875" spans="1:10" ht="28" customHeight="1" x14ac:dyDescent="0.2">
      <c r="A875" s="35">
        <f ca="1">INDIRECT(_xlfn.TEXTJOIN("",TRUE,A887,"!",ADDRESS(17+(A888-1)*A884,1)))</f>
        <v>0</v>
      </c>
      <c r="B875" s="36"/>
      <c r="C875" s="37">
        <f ca="1">INDIRECT(_xlfn.TEXTJOIN("",TRUE,A887,"!",ADDRESS(17+(A888-1)*A884,2)))</f>
        <v>0</v>
      </c>
      <c r="D875" s="38"/>
      <c r="E875" s="38"/>
      <c r="F875" s="38"/>
      <c r="G875" s="39"/>
      <c r="H875" s="20">
        <f ca="1">INDIRECT(_xlfn.TEXTJOIN("",TRUE,A887,"!",ADDRESS(17+(A888-1)*A884,6)))</f>
        <v>0</v>
      </c>
      <c r="I875" s="20">
        <f ca="1">INDIRECT(_xlfn.TEXTJOIN("",TRUE,A887,"!",ADDRESS(17+(A888-1)*A884,13)))</f>
        <v>0</v>
      </c>
      <c r="J875" s="20">
        <f ca="1">INDIRECT(_xlfn.TEXTJOIN("",TRUE,A887,"!",ADDRESS(17+(A888-1)*A884,14)))</f>
        <v>0</v>
      </c>
    </row>
    <row r="876" spans="1:10" ht="28" customHeight="1" x14ac:dyDescent="0.2">
      <c r="A876" s="35">
        <f ca="1">INDIRECT(_xlfn.TEXTJOIN("",TRUE,A887,"!",ADDRESS(18+(A888-1)*A884,1)))</f>
        <v>0</v>
      </c>
      <c r="B876" s="36"/>
      <c r="C876" s="37">
        <f ca="1">INDIRECT(_xlfn.TEXTJOIN("",TRUE,A887,"!",ADDRESS(18+(A888-1)*A884,2)))</f>
        <v>0</v>
      </c>
      <c r="D876" s="38"/>
      <c r="E876" s="38"/>
      <c r="F876" s="38"/>
      <c r="G876" s="39"/>
      <c r="H876" s="20">
        <f ca="1">INDIRECT(_xlfn.TEXTJOIN("",TRUE,A887,"!",ADDRESS(18+(A888-1)*A884,6)))</f>
        <v>0</v>
      </c>
      <c r="I876" s="20">
        <f ca="1">INDIRECT(_xlfn.TEXTJOIN("",TRUE,A887,"!",ADDRESS(18+(A888-1)*A884,13)))</f>
        <v>0</v>
      </c>
      <c r="J876" s="20">
        <f ca="1">INDIRECT(_xlfn.TEXTJOIN("",TRUE,A887,"!",ADDRESS(18+(A888-1)*A884,14)))</f>
        <v>0</v>
      </c>
    </row>
    <row r="877" spans="1:10" ht="28" customHeight="1" x14ac:dyDescent="0.2">
      <c r="A877" s="35">
        <f ca="1">INDIRECT(_xlfn.TEXTJOIN("",TRUE,A887,"!",ADDRESS(19+(A888-1)*A884,1)))</f>
        <v>0</v>
      </c>
      <c r="B877" s="36"/>
      <c r="C877" s="37">
        <f ca="1">INDIRECT(_xlfn.TEXTJOIN("",TRUE,A887,"!",ADDRESS(19+(A888-1)*A884,2)))</f>
        <v>0</v>
      </c>
      <c r="D877" s="38"/>
      <c r="E877" s="38"/>
      <c r="F877" s="38"/>
      <c r="G877" s="39"/>
      <c r="H877" s="20">
        <f ca="1">INDIRECT(_xlfn.TEXTJOIN("",TRUE,A887,"!",ADDRESS(19+(A888-1)*A884,6)))</f>
        <v>0</v>
      </c>
      <c r="I877" s="20">
        <f ca="1">INDIRECT(_xlfn.TEXTJOIN("",TRUE,A887,"!",ADDRESS(19+(A888-1)*A884,13)))</f>
        <v>0</v>
      </c>
      <c r="J877" s="20">
        <f ca="1">INDIRECT(_xlfn.TEXTJOIN("",TRUE,A887,"!",ADDRESS(19+(A888-1)*A884,14)))</f>
        <v>0</v>
      </c>
    </row>
    <row r="878" spans="1:10" ht="28" customHeight="1" x14ac:dyDescent="0.2">
      <c r="A878" s="35">
        <f ca="1">INDIRECT(_xlfn.TEXTJOIN("",TRUE,A887,"!",ADDRESS(20+(A888-1)*A884,1)))</f>
        <v>0</v>
      </c>
      <c r="B878" s="36"/>
      <c r="C878" s="37">
        <f ca="1">INDIRECT(_xlfn.TEXTJOIN("",TRUE,A887,"!",ADDRESS(20+(A888-1)*A884,2)))</f>
        <v>0</v>
      </c>
      <c r="D878" s="38"/>
      <c r="E878" s="38"/>
      <c r="F878" s="38"/>
      <c r="G878" s="39"/>
      <c r="H878" s="20">
        <f ca="1">INDIRECT(_xlfn.TEXTJOIN("",TRUE,A887,"!",ADDRESS(20+(A888-1)*A884,6)))</f>
        <v>0</v>
      </c>
      <c r="I878" s="20">
        <f ca="1">INDIRECT(_xlfn.TEXTJOIN("",TRUE,A887,"!",ADDRESS(20+(A888-1)*A884,13)))</f>
        <v>0</v>
      </c>
      <c r="J878" s="20">
        <f ca="1">INDIRECT(_xlfn.TEXTJOIN("",TRUE,A887,"!",ADDRESS(20+(A888-1)*A884,14)))</f>
        <v>0</v>
      </c>
    </row>
    <row r="879" spans="1:10" ht="28" customHeight="1" x14ac:dyDescent="0.2">
      <c r="A879" s="35">
        <f ca="1">INDIRECT(_xlfn.TEXTJOIN("",TRUE,A887,"!",ADDRESS(21+(A888-1)*A884,1)))</f>
        <v>0</v>
      </c>
      <c r="B879" s="36"/>
      <c r="C879" s="37">
        <f ca="1">INDIRECT(_xlfn.TEXTJOIN("",TRUE,A887,"!",ADDRESS(21+(A888-1)*A884,2)))</f>
        <v>0</v>
      </c>
      <c r="D879" s="38"/>
      <c r="E879" s="38"/>
      <c r="F879" s="38"/>
      <c r="G879" s="39"/>
      <c r="H879" s="20">
        <f ca="1">INDIRECT(_xlfn.TEXTJOIN("",TRUE,A887,"!",ADDRESS(21+(A888-1)*A884,6)))</f>
        <v>0</v>
      </c>
      <c r="I879" s="20">
        <f ca="1">INDIRECT(_xlfn.TEXTJOIN("",TRUE,A887,"!",ADDRESS(21+(A888-1)*A884,13)))</f>
        <v>0</v>
      </c>
      <c r="J879" s="20">
        <f ca="1">INDIRECT(_xlfn.TEXTJOIN("",TRUE,A887,"!",ADDRESS(21+(A888-1)*A884,14)))</f>
        <v>0</v>
      </c>
    </row>
    <row r="880" spans="1:10" ht="28" customHeight="1" x14ac:dyDescent="0.2">
      <c r="A880" s="35">
        <f ca="1">INDIRECT(_xlfn.TEXTJOIN("",TRUE,A887,"!",ADDRESS(22+(A888-1)*A884,1)))</f>
        <v>0</v>
      </c>
      <c r="B880" s="36"/>
      <c r="C880" s="37">
        <f ca="1">INDIRECT(_xlfn.TEXTJOIN("",TRUE,A887,"!",ADDRESS(22+(A888-1)*A884,2)))</f>
        <v>0</v>
      </c>
      <c r="D880" s="38"/>
      <c r="E880" s="38"/>
      <c r="F880" s="38"/>
      <c r="G880" s="39"/>
      <c r="H880" s="20">
        <f ca="1">INDIRECT(_xlfn.TEXTJOIN("",TRUE,A887,"!",ADDRESS(22+(A888-1)*A884,6)))</f>
        <v>0</v>
      </c>
      <c r="I880" s="20">
        <f ca="1">INDIRECT(_xlfn.TEXTJOIN("",TRUE,A887,"!",ADDRESS(22+(A888-1)*A884,13)))</f>
        <v>0</v>
      </c>
      <c r="J880" s="20">
        <f ca="1">INDIRECT(_xlfn.TEXTJOIN("",TRUE,A887,"!",ADDRESS(22+(A888-1)*A884,14)))</f>
        <v>0</v>
      </c>
    </row>
    <row r="881" spans="1:10" ht="28" customHeight="1" x14ac:dyDescent="0.2">
      <c r="A881" s="35">
        <f ca="1">INDIRECT(_xlfn.TEXTJOIN("",TRUE,A887,"!",ADDRESS(23+(A888-1)*A884,1)))</f>
        <v>0</v>
      </c>
      <c r="B881" s="36"/>
      <c r="C881" s="37">
        <f ca="1">INDIRECT(_xlfn.TEXTJOIN("",TRUE,A887,"!",ADDRESS(23+(A888-1)*A884,2)))</f>
        <v>0</v>
      </c>
      <c r="D881" s="38"/>
      <c r="E881" s="38"/>
      <c r="F881" s="38"/>
      <c r="G881" s="39"/>
      <c r="H881" s="20">
        <f ca="1">INDIRECT(_xlfn.TEXTJOIN("",TRUE,A887,"!",ADDRESS(23+(A888-1)*A884,6)))</f>
        <v>0</v>
      </c>
      <c r="I881" s="20">
        <f ca="1">INDIRECT(_xlfn.TEXTJOIN("",TRUE,A887,"!",ADDRESS(23+(A888-1)*A884,13)))</f>
        <v>0</v>
      </c>
      <c r="J881" s="20">
        <f ca="1">INDIRECT(_xlfn.TEXTJOIN("",TRUE,A887,"!",ADDRESS(23+(A888-1)*A884,14)))</f>
        <v>0</v>
      </c>
    </row>
    <row r="882" spans="1:10" ht="28" customHeight="1" x14ac:dyDescent="0.2">
      <c r="A882" s="35">
        <f ca="1">INDIRECT(_xlfn.TEXTJOIN("",TRUE,A887,"!",ADDRESS(24+(A888-1)*A884,1)))</f>
        <v>0</v>
      </c>
      <c r="B882" s="36"/>
      <c r="C882" s="37">
        <f ca="1">INDIRECT(_xlfn.TEXTJOIN("",TRUE,A887,"!",ADDRESS(24+(A888-1)*A884,2)))</f>
        <v>0</v>
      </c>
      <c r="D882" s="38"/>
      <c r="E882" s="38"/>
      <c r="F882" s="38"/>
      <c r="G882" s="39"/>
      <c r="H882" s="20">
        <f ca="1">INDIRECT(_xlfn.TEXTJOIN("",TRUE,A887,"!",ADDRESS(24+(A888-1)*A884,6)))</f>
        <v>0</v>
      </c>
      <c r="I882" s="40">
        <f ca="1">INDIRECT(_xlfn.TEXTJOIN("",TRUE,A887,"!",ADDRESS(24+(A888-1)*A884,13)))</f>
        <v>0</v>
      </c>
      <c r="J882" s="41"/>
    </row>
    <row r="883" spans="1:10" ht="28" customHeight="1" x14ac:dyDescent="0.2">
      <c r="A883" s="42" t="s">
        <v>52</v>
      </c>
      <c r="B883" s="42"/>
      <c r="C883" s="42"/>
      <c r="D883" s="42"/>
      <c r="E883" s="42"/>
      <c r="F883" s="42"/>
      <c r="G883" s="42"/>
      <c r="H883" s="16">
        <f ca="1">SUM(H871:H882)</f>
        <v>0</v>
      </c>
      <c r="I883" s="16" t="s">
        <v>44</v>
      </c>
      <c r="J883" s="16">
        <f ca="1">SUMPRODUCT(J871:J881,H871:H881)</f>
        <v>0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43" t="s">
        <v>40</v>
      </c>
      <c r="B885" s="43"/>
      <c r="C885" s="21">
        <f ca="1">INDIRECT(_xlfn.TEXTJOIN("",TRUE,A887,"!",ADDRESS(5+A888*A884,12)))</f>
        <v>0</v>
      </c>
      <c r="D885" s="43" t="s">
        <v>38</v>
      </c>
      <c r="E885" s="43"/>
      <c r="F885" s="18">
        <f ca="1">INDIRECT(_xlfn.TEXTJOIN("",TRUE,A887,"!",ADDRESS(5+A888*A884,8)))</f>
        <v>0</v>
      </c>
      <c r="G885" s="43" t="s">
        <v>39</v>
      </c>
      <c r="H885" s="43"/>
      <c r="I885" s="44">
        <f ca="1">INDIRECT(_xlfn.TEXTJOIN("",TRUE,A887,"!",ADDRESS(5+A888*A884,10)))</f>
        <v>0</v>
      </c>
      <c r="J885" s="44"/>
    </row>
    <row r="886" spans="1:10" ht="28" customHeight="1" x14ac:dyDescent="0.2">
      <c r="A886" s="19" t="s">
        <v>36</v>
      </c>
      <c r="B886" s="45">
        <f ca="1">INDIRECT(_xlfn.TEXTJOIN("",TRUE,A887,"!",ADDRESS(5+A888*A884,2)))</f>
        <v>0</v>
      </c>
      <c r="C886" s="45"/>
      <c r="D886" s="46" t="s">
        <v>37</v>
      </c>
      <c r="E886" s="46"/>
      <c r="F886" s="47">
        <f ca="1">INDIRECT(_xlfn.TEXTJOIN("",TRUE,A887,"!",ADDRESS(5+A888*A884,5)))</f>
        <v>0</v>
      </c>
      <c r="G886" s="47"/>
      <c r="H886" s="47"/>
      <c r="I886" s="47"/>
      <c r="J886" s="47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48" t="s">
        <v>24</v>
      </c>
      <c r="B889" s="48"/>
      <c r="C889" s="48">
        <f ca="1">INDIRECT(_xlfn.TEXTJOIN("",TRUE,A908,"!",ADDRESS(9+(A909-1)*A905,2)))</f>
        <v>0</v>
      </c>
      <c r="D889" s="48"/>
      <c r="E889" s="48"/>
      <c r="F889" s="48" t="s">
        <v>50</v>
      </c>
      <c r="G889" s="48"/>
      <c r="H889" s="48"/>
      <c r="I889" s="49">
        <f ca="1">INDIRECT(_xlfn.TEXTJOIN("",TRUE,A908,"!",ADDRESS(9+(A909-1)*A905,9)))</f>
        <v>0</v>
      </c>
      <c r="J889" s="49"/>
    </row>
    <row r="890" spans="1:10" ht="28" customHeight="1" x14ac:dyDescent="0.2">
      <c r="A890" s="48" t="s">
        <v>25</v>
      </c>
      <c r="B890" s="48"/>
      <c r="C890" s="48">
        <f ca="1">INDIRECT(_xlfn.TEXTJOIN("",TRUE,A908,"!",ADDRESS(9+(A909-1)*A905,5)))</f>
        <v>0</v>
      </c>
      <c r="D890" s="48"/>
      <c r="E890" s="48"/>
      <c r="F890" s="50" t="s">
        <v>51</v>
      </c>
      <c r="G890" s="50"/>
      <c r="H890" s="50"/>
      <c r="I890" s="49">
        <f ca="1">INDIRECT(_xlfn.TEXTJOIN("",TRUE,A908,"!",ADDRESS(9+(A909-1)*A905,13)))</f>
        <v>0</v>
      </c>
      <c r="J890" s="49"/>
    </row>
    <row r="891" spans="1:10" ht="28" customHeight="1" x14ac:dyDescent="0.2">
      <c r="A891" s="45" t="s">
        <v>28</v>
      </c>
      <c r="B891" s="45"/>
      <c r="C891" s="45" t="s">
        <v>29</v>
      </c>
      <c r="D891" s="45"/>
      <c r="E891" s="45"/>
      <c r="F891" s="45"/>
      <c r="G891" s="45"/>
      <c r="H891" s="15" t="s">
        <v>30</v>
      </c>
      <c r="I891" s="15" t="s">
        <v>10</v>
      </c>
      <c r="J891" s="15" t="s">
        <v>34</v>
      </c>
    </row>
    <row r="892" spans="1:10" ht="28" customHeight="1" x14ac:dyDescent="0.2">
      <c r="A892" s="35">
        <f ca="1">INDIRECT(_xlfn.TEXTJOIN("",TRUE,A908,"!",ADDRESS(13+(A909-1)*A905,1)))</f>
        <v>0</v>
      </c>
      <c r="B892" s="36"/>
      <c r="C892" s="37">
        <f ca="1">INDIRECT(_xlfn.TEXTJOIN("",TRUE,A908,"!",ADDRESS(13+(A909-1)*A905,2)))</f>
        <v>0</v>
      </c>
      <c r="D892" s="38"/>
      <c r="E892" s="38"/>
      <c r="F892" s="38"/>
      <c r="G892" s="39"/>
      <c r="H892" s="20">
        <f ca="1">INDIRECT(_xlfn.TEXTJOIN("",TRUE,A908,"!",ADDRESS(13+(A909-1)*A905,6)))</f>
        <v>0</v>
      </c>
      <c r="I892" s="20">
        <f ca="1">INDIRECT(_xlfn.TEXTJOIN("",TRUE,A908,"!",ADDRESS(13+(A909-1)*A905,13)))</f>
        <v>0</v>
      </c>
      <c r="J892" s="20">
        <f ca="1">INDIRECT(_xlfn.TEXTJOIN("",TRUE,A908,"!",ADDRESS(13+(A909-1)*A905,14)))</f>
        <v>0</v>
      </c>
    </row>
    <row r="893" spans="1:10" ht="28" customHeight="1" x14ac:dyDescent="0.2">
      <c r="A893" s="35">
        <f ca="1">INDIRECT(_xlfn.TEXTJOIN("",TRUE,A908,"!",ADDRESS(14+(A909-1)*A905,1)))</f>
        <v>0</v>
      </c>
      <c r="B893" s="36"/>
      <c r="C893" s="37">
        <f ca="1">INDIRECT(_xlfn.TEXTJOIN("",TRUE,A908,"!",ADDRESS(14+(A909-1)*A905,2)))</f>
        <v>0</v>
      </c>
      <c r="D893" s="38"/>
      <c r="E893" s="38"/>
      <c r="F893" s="38"/>
      <c r="G893" s="39"/>
      <c r="H893" s="20">
        <f ca="1">INDIRECT(_xlfn.TEXTJOIN("",TRUE,A908,"!",ADDRESS(14+(A909-1)*A905,6)))</f>
        <v>0</v>
      </c>
      <c r="I893" s="20">
        <f ca="1">INDIRECT(_xlfn.TEXTJOIN("",TRUE,A908,"!",ADDRESS(14+(A909-1)*A905,13)))</f>
        <v>0</v>
      </c>
      <c r="J893" s="20">
        <f ca="1">INDIRECT(_xlfn.TEXTJOIN("",TRUE,A908,"!",ADDRESS(14+(A909-1)*A905,14)))</f>
        <v>0</v>
      </c>
    </row>
    <row r="894" spans="1:10" ht="28" customHeight="1" x14ac:dyDescent="0.2">
      <c r="A894" s="35">
        <f ca="1">INDIRECT(_xlfn.TEXTJOIN("",TRUE,A908,"!",ADDRESS(15+(A909-1)*A905,1)))</f>
        <v>0</v>
      </c>
      <c r="B894" s="36"/>
      <c r="C894" s="37">
        <f ca="1">INDIRECT(_xlfn.TEXTJOIN("",TRUE,A908,"!",ADDRESS(15+(A909-1)*A905,2)))</f>
        <v>0</v>
      </c>
      <c r="D894" s="38"/>
      <c r="E894" s="38"/>
      <c r="F894" s="38"/>
      <c r="G894" s="39"/>
      <c r="H894" s="20">
        <f ca="1">INDIRECT(_xlfn.TEXTJOIN("",TRUE,A908,"!",ADDRESS(15+(A909-1)*A905,6)))</f>
        <v>0</v>
      </c>
      <c r="I894" s="20">
        <f ca="1">INDIRECT(_xlfn.TEXTJOIN("",TRUE,A908,"!",ADDRESS(15+(A909-1)*A905,13)))</f>
        <v>0</v>
      </c>
      <c r="J894" s="20">
        <f ca="1">INDIRECT(_xlfn.TEXTJOIN("",TRUE,A908,"!",ADDRESS(15+(A909-1)*A905,14)))</f>
        <v>0</v>
      </c>
    </row>
    <row r="895" spans="1:10" ht="28" customHeight="1" x14ac:dyDescent="0.2">
      <c r="A895" s="35">
        <f ca="1">INDIRECT(_xlfn.TEXTJOIN("",TRUE,A908,"!",ADDRESS(16+(A909-1)*A905,1)))</f>
        <v>0</v>
      </c>
      <c r="B895" s="36"/>
      <c r="C895" s="37">
        <f ca="1">INDIRECT(_xlfn.TEXTJOIN("",TRUE,A908,"!",ADDRESS(16+(A909-1)*A905,2)))</f>
        <v>0</v>
      </c>
      <c r="D895" s="38"/>
      <c r="E895" s="38"/>
      <c r="F895" s="38"/>
      <c r="G895" s="39"/>
      <c r="H895" s="20">
        <f ca="1">INDIRECT(_xlfn.TEXTJOIN("",TRUE,A908,"!",ADDRESS(16+(A909-1)*A905,6)))</f>
        <v>0</v>
      </c>
      <c r="I895" s="20">
        <f ca="1">INDIRECT(_xlfn.TEXTJOIN("",TRUE,A908,"!",ADDRESS(16+(A909-1)*A905,13)))</f>
        <v>0</v>
      </c>
      <c r="J895" s="20">
        <f ca="1">INDIRECT(_xlfn.TEXTJOIN("",TRUE,A908,"!",ADDRESS(16+(A909-1)*A905,14)))</f>
        <v>0</v>
      </c>
    </row>
    <row r="896" spans="1:10" ht="28" customHeight="1" x14ac:dyDescent="0.2">
      <c r="A896" s="35">
        <f ca="1">INDIRECT(_xlfn.TEXTJOIN("",TRUE,A908,"!",ADDRESS(17+(A909-1)*A905,1)))</f>
        <v>0</v>
      </c>
      <c r="B896" s="36"/>
      <c r="C896" s="37">
        <f ca="1">INDIRECT(_xlfn.TEXTJOIN("",TRUE,A908,"!",ADDRESS(17+(A909-1)*A905,2)))</f>
        <v>0</v>
      </c>
      <c r="D896" s="38"/>
      <c r="E896" s="38"/>
      <c r="F896" s="38"/>
      <c r="G896" s="39"/>
      <c r="H896" s="20">
        <f ca="1">INDIRECT(_xlfn.TEXTJOIN("",TRUE,A908,"!",ADDRESS(17+(A909-1)*A905,6)))</f>
        <v>0</v>
      </c>
      <c r="I896" s="20">
        <f ca="1">INDIRECT(_xlfn.TEXTJOIN("",TRUE,A908,"!",ADDRESS(17+(A909-1)*A905,13)))</f>
        <v>0</v>
      </c>
      <c r="J896" s="20">
        <f ca="1">INDIRECT(_xlfn.TEXTJOIN("",TRUE,A908,"!",ADDRESS(17+(A909-1)*A905,14)))</f>
        <v>0</v>
      </c>
    </row>
    <row r="897" spans="1:10" ht="28" customHeight="1" x14ac:dyDescent="0.2">
      <c r="A897" s="35">
        <f ca="1">INDIRECT(_xlfn.TEXTJOIN("",TRUE,A908,"!",ADDRESS(18+(A909-1)*A905,1)))</f>
        <v>0</v>
      </c>
      <c r="B897" s="36"/>
      <c r="C897" s="37">
        <f ca="1">INDIRECT(_xlfn.TEXTJOIN("",TRUE,A908,"!",ADDRESS(18+(A909-1)*A905,2)))</f>
        <v>0</v>
      </c>
      <c r="D897" s="38"/>
      <c r="E897" s="38"/>
      <c r="F897" s="38"/>
      <c r="G897" s="39"/>
      <c r="H897" s="20">
        <f ca="1">INDIRECT(_xlfn.TEXTJOIN("",TRUE,A908,"!",ADDRESS(18+(A909-1)*A905,6)))</f>
        <v>0</v>
      </c>
      <c r="I897" s="20">
        <f ca="1">INDIRECT(_xlfn.TEXTJOIN("",TRUE,A908,"!",ADDRESS(18+(A909-1)*A905,13)))</f>
        <v>0</v>
      </c>
      <c r="J897" s="20">
        <f ca="1">INDIRECT(_xlfn.TEXTJOIN("",TRUE,A908,"!",ADDRESS(18+(A909-1)*A905,14)))</f>
        <v>0</v>
      </c>
    </row>
    <row r="898" spans="1:10" ht="28" customHeight="1" x14ac:dyDescent="0.2">
      <c r="A898" s="35">
        <f ca="1">INDIRECT(_xlfn.TEXTJOIN("",TRUE,A908,"!",ADDRESS(19+(A909-1)*A905,1)))</f>
        <v>0</v>
      </c>
      <c r="B898" s="36"/>
      <c r="C898" s="37">
        <f ca="1">INDIRECT(_xlfn.TEXTJOIN("",TRUE,A908,"!",ADDRESS(19+(A909-1)*A905,2)))</f>
        <v>0</v>
      </c>
      <c r="D898" s="38"/>
      <c r="E898" s="38"/>
      <c r="F898" s="38"/>
      <c r="G898" s="39"/>
      <c r="H898" s="20">
        <f ca="1">INDIRECT(_xlfn.TEXTJOIN("",TRUE,A908,"!",ADDRESS(19+(A909-1)*A905,6)))</f>
        <v>0</v>
      </c>
      <c r="I898" s="20">
        <f ca="1">INDIRECT(_xlfn.TEXTJOIN("",TRUE,A908,"!",ADDRESS(19+(A909-1)*A905,13)))</f>
        <v>0</v>
      </c>
      <c r="J898" s="20">
        <f ca="1">INDIRECT(_xlfn.TEXTJOIN("",TRUE,A908,"!",ADDRESS(19+(A909-1)*A905,14)))</f>
        <v>0</v>
      </c>
    </row>
    <row r="899" spans="1:10" ht="28" customHeight="1" x14ac:dyDescent="0.2">
      <c r="A899" s="35">
        <f ca="1">INDIRECT(_xlfn.TEXTJOIN("",TRUE,A908,"!",ADDRESS(20+(A909-1)*A905,1)))</f>
        <v>0</v>
      </c>
      <c r="B899" s="36"/>
      <c r="C899" s="37">
        <f ca="1">INDIRECT(_xlfn.TEXTJOIN("",TRUE,A908,"!",ADDRESS(20+(A909-1)*A905,2)))</f>
        <v>0</v>
      </c>
      <c r="D899" s="38"/>
      <c r="E899" s="38"/>
      <c r="F899" s="38"/>
      <c r="G899" s="39"/>
      <c r="H899" s="20">
        <f ca="1">INDIRECT(_xlfn.TEXTJOIN("",TRUE,A908,"!",ADDRESS(20+(A909-1)*A905,6)))</f>
        <v>0</v>
      </c>
      <c r="I899" s="20">
        <f ca="1">INDIRECT(_xlfn.TEXTJOIN("",TRUE,A908,"!",ADDRESS(20+(A909-1)*A905,13)))</f>
        <v>0</v>
      </c>
      <c r="J899" s="20">
        <f ca="1">INDIRECT(_xlfn.TEXTJOIN("",TRUE,A908,"!",ADDRESS(20+(A909-1)*A905,14)))</f>
        <v>0</v>
      </c>
    </row>
    <row r="900" spans="1:10" ht="28" customHeight="1" x14ac:dyDescent="0.2">
      <c r="A900" s="35">
        <f ca="1">INDIRECT(_xlfn.TEXTJOIN("",TRUE,A908,"!",ADDRESS(21+(A909-1)*A905,1)))</f>
        <v>0</v>
      </c>
      <c r="B900" s="36"/>
      <c r="C900" s="37">
        <f ca="1">INDIRECT(_xlfn.TEXTJOIN("",TRUE,A908,"!",ADDRESS(21+(A909-1)*A905,2)))</f>
        <v>0</v>
      </c>
      <c r="D900" s="38"/>
      <c r="E900" s="38"/>
      <c r="F900" s="38"/>
      <c r="G900" s="39"/>
      <c r="H900" s="20">
        <f ca="1">INDIRECT(_xlfn.TEXTJOIN("",TRUE,A908,"!",ADDRESS(21+(A909-1)*A905,6)))</f>
        <v>0</v>
      </c>
      <c r="I900" s="20">
        <f ca="1">INDIRECT(_xlfn.TEXTJOIN("",TRUE,A908,"!",ADDRESS(21+(A909-1)*A905,13)))</f>
        <v>0</v>
      </c>
      <c r="J900" s="20">
        <f ca="1">INDIRECT(_xlfn.TEXTJOIN("",TRUE,A908,"!",ADDRESS(21+(A909-1)*A905,14)))</f>
        <v>0</v>
      </c>
    </row>
    <row r="901" spans="1:10" ht="28" customHeight="1" x14ac:dyDescent="0.2">
      <c r="A901" s="35">
        <f ca="1">INDIRECT(_xlfn.TEXTJOIN("",TRUE,A908,"!",ADDRESS(22+(A909-1)*A905,1)))</f>
        <v>0</v>
      </c>
      <c r="B901" s="36"/>
      <c r="C901" s="37">
        <f ca="1">INDIRECT(_xlfn.TEXTJOIN("",TRUE,A908,"!",ADDRESS(22+(A909-1)*A905,2)))</f>
        <v>0</v>
      </c>
      <c r="D901" s="38"/>
      <c r="E901" s="38"/>
      <c r="F901" s="38"/>
      <c r="G901" s="39"/>
      <c r="H901" s="20">
        <f ca="1">INDIRECT(_xlfn.TEXTJOIN("",TRUE,A908,"!",ADDRESS(22+(A909-1)*A905,6)))</f>
        <v>0</v>
      </c>
      <c r="I901" s="20">
        <f ca="1">INDIRECT(_xlfn.TEXTJOIN("",TRUE,A908,"!",ADDRESS(22+(A909-1)*A905,13)))</f>
        <v>0</v>
      </c>
      <c r="J901" s="20">
        <f ca="1">INDIRECT(_xlfn.TEXTJOIN("",TRUE,A908,"!",ADDRESS(22+(A909-1)*A905,14)))</f>
        <v>0</v>
      </c>
    </row>
    <row r="902" spans="1:10" ht="28" customHeight="1" x14ac:dyDescent="0.2">
      <c r="A902" s="35">
        <f ca="1">INDIRECT(_xlfn.TEXTJOIN("",TRUE,A908,"!",ADDRESS(23+(A909-1)*A905,1)))</f>
        <v>0</v>
      </c>
      <c r="B902" s="36"/>
      <c r="C902" s="37">
        <f ca="1">INDIRECT(_xlfn.TEXTJOIN("",TRUE,A908,"!",ADDRESS(23+(A909-1)*A905,2)))</f>
        <v>0</v>
      </c>
      <c r="D902" s="38"/>
      <c r="E902" s="38"/>
      <c r="F902" s="38"/>
      <c r="G902" s="39"/>
      <c r="H902" s="20">
        <f ca="1">INDIRECT(_xlfn.TEXTJOIN("",TRUE,A908,"!",ADDRESS(23+(A909-1)*A905,6)))</f>
        <v>0</v>
      </c>
      <c r="I902" s="20">
        <f ca="1">INDIRECT(_xlfn.TEXTJOIN("",TRUE,A908,"!",ADDRESS(23+(A909-1)*A905,13)))</f>
        <v>0</v>
      </c>
      <c r="J902" s="20">
        <f ca="1">INDIRECT(_xlfn.TEXTJOIN("",TRUE,A908,"!",ADDRESS(23+(A909-1)*A905,14)))</f>
        <v>0</v>
      </c>
    </row>
    <row r="903" spans="1:10" ht="28" customHeight="1" x14ac:dyDescent="0.2">
      <c r="A903" s="35">
        <f ca="1">INDIRECT(_xlfn.TEXTJOIN("",TRUE,A908,"!",ADDRESS(24+(A909-1)*A905,1)))</f>
        <v>0</v>
      </c>
      <c r="B903" s="36"/>
      <c r="C903" s="37">
        <f ca="1">INDIRECT(_xlfn.TEXTJOIN("",TRUE,A908,"!",ADDRESS(24+(A909-1)*A905,2)))</f>
        <v>0</v>
      </c>
      <c r="D903" s="38"/>
      <c r="E903" s="38"/>
      <c r="F903" s="38"/>
      <c r="G903" s="39"/>
      <c r="H903" s="20">
        <f ca="1">INDIRECT(_xlfn.TEXTJOIN("",TRUE,A908,"!",ADDRESS(24+(A909-1)*A905,6)))</f>
        <v>0</v>
      </c>
      <c r="I903" s="40">
        <f ca="1">INDIRECT(_xlfn.TEXTJOIN("",TRUE,A908,"!",ADDRESS(24+(A909-1)*A905,13)))</f>
        <v>0</v>
      </c>
      <c r="J903" s="41"/>
    </row>
    <row r="904" spans="1:10" ht="28" customHeight="1" x14ac:dyDescent="0.2">
      <c r="A904" s="42" t="s">
        <v>52</v>
      </c>
      <c r="B904" s="42"/>
      <c r="C904" s="42"/>
      <c r="D904" s="42"/>
      <c r="E904" s="42"/>
      <c r="F904" s="42"/>
      <c r="G904" s="42"/>
      <c r="H904" s="16">
        <f ca="1">SUM(H892:H903)</f>
        <v>0</v>
      </c>
      <c r="I904" s="16" t="s">
        <v>44</v>
      </c>
      <c r="J904" s="16">
        <f ca="1">SUMPRODUCT(J892:J902,H892:H902)</f>
        <v>0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43" t="s">
        <v>40</v>
      </c>
      <c r="B906" s="43"/>
      <c r="C906" s="21">
        <f ca="1">INDIRECT(_xlfn.TEXTJOIN("",TRUE,A908,"!",ADDRESS(5+A909*A905,12)))</f>
        <v>0</v>
      </c>
      <c r="D906" s="43" t="s">
        <v>38</v>
      </c>
      <c r="E906" s="43"/>
      <c r="F906" s="18">
        <f ca="1">INDIRECT(_xlfn.TEXTJOIN("",TRUE,A908,"!",ADDRESS(5+A909*A905,8)))</f>
        <v>0</v>
      </c>
      <c r="G906" s="43" t="s">
        <v>39</v>
      </c>
      <c r="H906" s="43"/>
      <c r="I906" s="44">
        <f ca="1">INDIRECT(_xlfn.TEXTJOIN("",TRUE,A908,"!",ADDRESS(5+A909*A905,10)))</f>
        <v>0</v>
      </c>
      <c r="J906" s="44"/>
    </row>
    <row r="907" spans="1:10" ht="28" customHeight="1" x14ac:dyDescent="0.2">
      <c r="A907" s="19" t="s">
        <v>36</v>
      </c>
      <c r="B907" s="45">
        <f ca="1">INDIRECT(_xlfn.TEXTJOIN("",TRUE,A908,"!",ADDRESS(5+A909*A905,2)))</f>
        <v>0</v>
      </c>
      <c r="C907" s="45"/>
      <c r="D907" s="46" t="s">
        <v>37</v>
      </c>
      <c r="E907" s="46"/>
      <c r="F907" s="47">
        <f ca="1">INDIRECT(_xlfn.TEXTJOIN("",TRUE,A908,"!",ADDRESS(5+A909*A905,5)))</f>
        <v>0</v>
      </c>
      <c r="G907" s="47"/>
      <c r="H907" s="47"/>
      <c r="I907" s="47"/>
      <c r="J907" s="47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48" t="s">
        <v>24</v>
      </c>
      <c r="B910" s="48"/>
      <c r="C910" s="48">
        <f ca="1">INDIRECT(_xlfn.TEXTJOIN("",TRUE,A929,"!",ADDRESS(9+(A930-1)*A926,2)))</f>
        <v>0</v>
      </c>
      <c r="D910" s="48"/>
      <c r="E910" s="48"/>
      <c r="F910" s="48" t="s">
        <v>50</v>
      </c>
      <c r="G910" s="48"/>
      <c r="H910" s="48"/>
      <c r="I910" s="49">
        <f ca="1">INDIRECT(_xlfn.TEXTJOIN("",TRUE,A929,"!",ADDRESS(9+(A930-1)*A926,9)))</f>
        <v>0</v>
      </c>
      <c r="J910" s="49"/>
    </row>
    <row r="911" spans="1:10" ht="28" customHeight="1" x14ac:dyDescent="0.2">
      <c r="A911" s="48" t="s">
        <v>25</v>
      </c>
      <c r="B911" s="48"/>
      <c r="C911" s="48">
        <f ca="1">INDIRECT(_xlfn.TEXTJOIN("",TRUE,A929,"!",ADDRESS(9+(A930-1)*A926,5)))</f>
        <v>0</v>
      </c>
      <c r="D911" s="48"/>
      <c r="E911" s="48"/>
      <c r="F911" s="50" t="s">
        <v>51</v>
      </c>
      <c r="G911" s="50"/>
      <c r="H911" s="50"/>
      <c r="I911" s="49">
        <f ca="1">INDIRECT(_xlfn.TEXTJOIN("",TRUE,A929,"!",ADDRESS(9+(A930-1)*A926,13)))</f>
        <v>0</v>
      </c>
      <c r="J911" s="49"/>
    </row>
    <row r="912" spans="1:10" ht="28" customHeight="1" x14ac:dyDescent="0.2">
      <c r="A912" s="45" t="s">
        <v>28</v>
      </c>
      <c r="B912" s="45"/>
      <c r="C912" s="45" t="s">
        <v>29</v>
      </c>
      <c r="D912" s="45"/>
      <c r="E912" s="45"/>
      <c r="F912" s="45"/>
      <c r="G912" s="45"/>
      <c r="H912" s="15" t="s">
        <v>30</v>
      </c>
      <c r="I912" s="15" t="s">
        <v>10</v>
      </c>
      <c r="J912" s="15" t="s">
        <v>34</v>
      </c>
    </row>
    <row r="913" spans="1:10" ht="28" customHeight="1" x14ac:dyDescent="0.2">
      <c r="A913" s="35">
        <f ca="1">INDIRECT(_xlfn.TEXTJOIN("",TRUE,A929,"!",ADDRESS(13+(A930-1)*A926,1)))</f>
        <v>0</v>
      </c>
      <c r="B913" s="36"/>
      <c r="C913" s="37">
        <f ca="1">INDIRECT(_xlfn.TEXTJOIN("",TRUE,A929,"!",ADDRESS(13+(A930-1)*A926,2)))</f>
        <v>0</v>
      </c>
      <c r="D913" s="38"/>
      <c r="E913" s="38"/>
      <c r="F913" s="38"/>
      <c r="G913" s="39"/>
      <c r="H913" s="20">
        <f ca="1">INDIRECT(_xlfn.TEXTJOIN("",TRUE,A929,"!",ADDRESS(13+(A930-1)*A926,6)))</f>
        <v>0</v>
      </c>
      <c r="I913" s="20">
        <f ca="1">INDIRECT(_xlfn.TEXTJOIN("",TRUE,A929,"!",ADDRESS(13+(A930-1)*A926,13)))</f>
        <v>0</v>
      </c>
      <c r="J913" s="20">
        <f ca="1">INDIRECT(_xlfn.TEXTJOIN("",TRUE,A929,"!",ADDRESS(13+(A930-1)*A926,14)))</f>
        <v>0</v>
      </c>
    </row>
    <row r="914" spans="1:10" ht="28" customHeight="1" x14ac:dyDescent="0.2">
      <c r="A914" s="35">
        <f ca="1">INDIRECT(_xlfn.TEXTJOIN("",TRUE,A929,"!",ADDRESS(14+(A930-1)*A926,1)))</f>
        <v>0</v>
      </c>
      <c r="B914" s="36"/>
      <c r="C914" s="37">
        <f ca="1">INDIRECT(_xlfn.TEXTJOIN("",TRUE,A929,"!",ADDRESS(14+(A930-1)*A926,2)))</f>
        <v>0</v>
      </c>
      <c r="D914" s="38"/>
      <c r="E914" s="38"/>
      <c r="F914" s="38"/>
      <c r="G914" s="39"/>
      <c r="H914" s="20">
        <f ca="1">INDIRECT(_xlfn.TEXTJOIN("",TRUE,A929,"!",ADDRESS(14+(A930-1)*A926,6)))</f>
        <v>0</v>
      </c>
      <c r="I914" s="20">
        <f ca="1">INDIRECT(_xlfn.TEXTJOIN("",TRUE,A929,"!",ADDRESS(14+(A930-1)*A926,13)))</f>
        <v>0</v>
      </c>
      <c r="J914" s="20">
        <f ca="1">INDIRECT(_xlfn.TEXTJOIN("",TRUE,A929,"!",ADDRESS(14+(A930-1)*A926,14)))</f>
        <v>0</v>
      </c>
    </row>
    <row r="915" spans="1:10" ht="28" customHeight="1" x14ac:dyDescent="0.2">
      <c r="A915" s="35">
        <f ca="1">INDIRECT(_xlfn.TEXTJOIN("",TRUE,A929,"!",ADDRESS(15+(A930-1)*A926,1)))</f>
        <v>0</v>
      </c>
      <c r="B915" s="36"/>
      <c r="C915" s="37">
        <f ca="1">INDIRECT(_xlfn.TEXTJOIN("",TRUE,A929,"!",ADDRESS(15+(A930-1)*A926,2)))</f>
        <v>0</v>
      </c>
      <c r="D915" s="38"/>
      <c r="E915" s="38"/>
      <c r="F915" s="38"/>
      <c r="G915" s="39"/>
      <c r="H915" s="20">
        <f ca="1">INDIRECT(_xlfn.TEXTJOIN("",TRUE,A929,"!",ADDRESS(15+(A930-1)*A926,6)))</f>
        <v>0</v>
      </c>
      <c r="I915" s="20">
        <f ca="1">INDIRECT(_xlfn.TEXTJOIN("",TRUE,A929,"!",ADDRESS(15+(A930-1)*A926,13)))</f>
        <v>0</v>
      </c>
      <c r="J915" s="20">
        <f ca="1">INDIRECT(_xlfn.TEXTJOIN("",TRUE,A929,"!",ADDRESS(15+(A930-1)*A926,14)))</f>
        <v>0</v>
      </c>
    </row>
    <row r="916" spans="1:10" ht="28" customHeight="1" x14ac:dyDescent="0.2">
      <c r="A916" s="35">
        <f ca="1">INDIRECT(_xlfn.TEXTJOIN("",TRUE,A929,"!",ADDRESS(16+(A930-1)*A926,1)))</f>
        <v>0</v>
      </c>
      <c r="B916" s="36"/>
      <c r="C916" s="37">
        <f ca="1">INDIRECT(_xlfn.TEXTJOIN("",TRUE,A929,"!",ADDRESS(16+(A930-1)*A926,2)))</f>
        <v>0</v>
      </c>
      <c r="D916" s="38"/>
      <c r="E916" s="38"/>
      <c r="F916" s="38"/>
      <c r="G916" s="39"/>
      <c r="H916" s="20">
        <f ca="1">INDIRECT(_xlfn.TEXTJOIN("",TRUE,A929,"!",ADDRESS(16+(A930-1)*A926,6)))</f>
        <v>0</v>
      </c>
      <c r="I916" s="20">
        <f ca="1">INDIRECT(_xlfn.TEXTJOIN("",TRUE,A929,"!",ADDRESS(16+(A930-1)*A926,13)))</f>
        <v>0</v>
      </c>
      <c r="J916" s="20">
        <f ca="1">INDIRECT(_xlfn.TEXTJOIN("",TRUE,A929,"!",ADDRESS(16+(A930-1)*A926,14)))</f>
        <v>0</v>
      </c>
    </row>
    <row r="917" spans="1:10" ht="28" customHeight="1" x14ac:dyDescent="0.2">
      <c r="A917" s="35">
        <f ca="1">INDIRECT(_xlfn.TEXTJOIN("",TRUE,A929,"!",ADDRESS(17+(A930-1)*A926,1)))</f>
        <v>0</v>
      </c>
      <c r="B917" s="36"/>
      <c r="C917" s="37">
        <f ca="1">INDIRECT(_xlfn.TEXTJOIN("",TRUE,A929,"!",ADDRESS(17+(A930-1)*A926,2)))</f>
        <v>0</v>
      </c>
      <c r="D917" s="38"/>
      <c r="E917" s="38"/>
      <c r="F917" s="38"/>
      <c r="G917" s="39"/>
      <c r="H917" s="20">
        <f ca="1">INDIRECT(_xlfn.TEXTJOIN("",TRUE,A929,"!",ADDRESS(17+(A930-1)*A926,6)))</f>
        <v>0</v>
      </c>
      <c r="I917" s="20">
        <f ca="1">INDIRECT(_xlfn.TEXTJOIN("",TRUE,A929,"!",ADDRESS(17+(A930-1)*A926,13)))</f>
        <v>0</v>
      </c>
      <c r="J917" s="20">
        <f ca="1">INDIRECT(_xlfn.TEXTJOIN("",TRUE,A929,"!",ADDRESS(17+(A930-1)*A926,14)))</f>
        <v>0</v>
      </c>
    </row>
    <row r="918" spans="1:10" ht="28" customHeight="1" x14ac:dyDescent="0.2">
      <c r="A918" s="35">
        <f ca="1">INDIRECT(_xlfn.TEXTJOIN("",TRUE,A929,"!",ADDRESS(18+(A930-1)*A926,1)))</f>
        <v>0</v>
      </c>
      <c r="B918" s="36"/>
      <c r="C918" s="37">
        <f ca="1">INDIRECT(_xlfn.TEXTJOIN("",TRUE,A929,"!",ADDRESS(18+(A930-1)*A926,2)))</f>
        <v>0</v>
      </c>
      <c r="D918" s="38"/>
      <c r="E918" s="38"/>
      <c r="F918" s="38"/>
      <c r="G918" s="39"/>
      <c r="H918" s="20">
        <f ca="1">INDIRECT(_xlfn.TEXTJOIN("",TRUE,A929,"!",ADDRESS(18+(A930-1)*A926,6)))</f>
        <v>0</v>
      </c>
      <c r="I918" s="20">
        <f ca="1">INDIRECT(_xlfn.TEXTJOIN("",TRUE,A929,"!",ADDRESS(18+(A930-1)*A926,13)))</f>
        <v>0</v>
      </c>
      <c r="J918" s="20">
        <f ca="1">INDIRECT(_xlfn.TEXTJOIN("",TRUE,A929,"!",ADDRESS(18+(A930-1)*A926,14)))</f>
        <v>0</v>
      </c>
    </row>
    <row r="919" spans="1:10" ht="28" customHeight="1" x14ac:dyDescent="0.2">
      <c r="A919" s="35">
        <f ca="1">INDIRECT(_xlfn.TEXTJOIN("",TRUE,A929,"!",ADDRESS(19+(A930-1)*A926,1)))</f>
        <v>0</v>
      </c>
      <c r="B919" s="36"/>
      <c r="C919" s="37">
        <f ca="1">INDIRECT(_xlfn.TEXTJOIN("",TRUE,A929,"!",ADDRESS(19+(A930-1)*A926,2)))</f>
        <v>0</v>
      </c>
      <c r="D919" s="38"/>
      <c r="E919" s="38"/>
      <c r="F919" s="38"/>
      <c r="G919" s="39"/>
      <c r="H919" s="20">
        <f ca="1">INDIRECT(_xlfn.TEXTJOIN("",TRUE,A929,"!",ADDRESS(19+(A930-1)*A926,6)))</f>
        <v>0</v>
      </c>
      <c r="I919" s="20">
        <f ca="1">INDIRECT(_xlfn.TEXTJOIN("",TRUE,A929,"!",ADDRESS(19+(A930-1)*A926,13)))</f>
        <v>0</v>
      </c>
      <c r="J919" s="20">
        <f ca="1">INDIRECT(_xlfn.TEXTJOIN("",TRUE,A929,"!",ADDRESS(19+(A930-1)*A926,14)))</f>
        <v>0</v>
      </c>
    </row>
    <row r="920" spans="1:10" ht="28" customHeight="1" x14ac:dyDescent="0.2">
      <c r="A920" s="35">
        <f ca="1">INDIRECT(_xlfn.TEXTJOIN("",TRUE,A929,"!",ADDRESS(20+(A930-1)*A926,1)))</f>
        <v>0</v>
      </c>
      <c r="B920" s="36"/>
      <c r="C920" s="37">
        <f ca="1">INDIRECT(_xlfn.TEXTJOIN("",TRUE,A929,"!",ADDRESS(20+(A930-1)*A926,2)))</f>
        <v>0</v>
      </c>
      <c r="D920" s="38"/>
      <c r="E920" s="38"/>
      <c r="F920" s="38"/>
      <c r="G920" s="39"/>
      <c r="H920" s="20">
        <f ca="1">INDIRECT(_xlfn.TEXTJOIN("",TRUE,A929,"!",ADDRESS(20+(A930-1)*A926,6)))</f>
        <v>0</v>
      </c>
      <c r="I920" s="20">
        <f ca="1">INDIRECT(_xlfn.TEXTJOIN("",TRUE,A929,"!",ADDRESS(20+(A930-1)*A926,13)))</f>
        <v>0</v>
      </c>
      <c r="J920" s="20">
        <f ca="1">INDIRECT(_xlfn.TEXTJOIN("",TRUE,A929,"!",ADDRESS(20+(A930-1)*A926,14)))</f>
        <v>0</v>
      </c>
    </row>
    <row r="921" spans="1:10" ht="28" customHeight="1" x14ac:dyDescent="0.2">
      <c r="A921" s="35">
        <f ca="1">INDIRECT(_xlfn.TEXTJOIN("",TRUE,A929,"!",ADDRESS(21+(A930-1)*A926,1)))</f>
        <v>0</v>
      </c>
      <c r="B921" s="36"/>
      <c r="C921" s="37">
        <f ca="1">INDIRECT(_xlfn.TEXTJOIN("",TRUE,A929,"!",ADDRESS(21+(A930-1)*A926,2)))</f>
        <v>0</v>
      </c>
      <c r="D921" s="38"/>
      <c r="E921" s="38"/>
      <c r="F921" s="38"/>
      <c r="G921" s="39"/>
      <c r="H921" s="20">
        <f ca="1">INDIRECT(_xlfn.TEXTJOIN("",TRUE,A929,"!",ADDRESS(21+(A930-1)*A926,6)))</f>
        <v>0</v>
      </c>
      <c r="I921" s="20">
        <f ca="1">INDIRECT(_xlfn.TEXTJOIN("",TRUE,A929,"!",ADDRESS(21+(A930-1)*A926,13)))</f>
        <v>0</v>
      </c>
      <c r="J921" s="20">
        <f ca="1">INDIRECT(_xlfn.TEXTJOIN("",TRUE,A929,"!",ADDRESS(21+(A930-1)*A926,14)))</f>
        <v>0</v>
      </c>
    </row>
    <row r="922" spans="1:10" ht="28" customHeight="1" x14ac:dyDescent="0.2">
      <c r="A922" s="35">
        <f ca="1">INDIRECT(_xlfn.TEXTJOIN("",TRUE,A929,"!",ADDRESS(22+(A930-1)*A926,1)))</f>
        <v>0</v>
      </c>
      <c r="B922" s="36"/>
      <c r="C922" s="37">
        <f ca="1">INDIRECT(_xlfn.TEXTJOIN("",TRUE,A929,"!",ADDRESS(22+(A930-1)*A926,2)))</f>
        <v>0</v>
      </c>
      <c r="D922" s="38"/>
      <c r="E922" s="38"/>
      <c r="F922" s="38"/>
      <c r="G922" s="39"/>
      <c r="H922" s="20">
        <f ca="1">INDIRECT(_xlfn.TEXTJOIN("",TRUE,A929,"!",ADDRESS(22+(A930-1)*A926,6)))</f>
        <v>0</v>
      </c>
      <c r="I922" s="20">
        <f ca="1">INDIRECT(_xlfn.TEXTJOIN("",TRUE,A929,"!",ADDRESS(22+(A930-1)*A926,13)))</f>
        <v>0</v>
      </c>
      <c r="J922" s="20">
        <f ca="1">INDIRECT(_xlfn.TEXTJOIN("",TRUE,A929,"!",ADDRESS(22+(A930-1)*A926,14)))</f>
        <v>0</v>
      </c>
    </row>
    <row r="923" spans="1:10" ht="28" customHeight="1" x14ac:dyDescent="0.2">
      <c r="A923" s="35">
        <f ca="1">INDIRECT(_xlfn.TEXTJOIN("",TRUE,A929,"!",ADDRESS(23+(A930-1)*A926,1)))</f>
        <v>0</v>
      </c>
      <c r="B923" s="36"/>
      <c r="C923" s="37">
        <f ca="1">INDIRECT(_xlfn.TEXTJOIN("",TRUE,A929,"!",ADDRESS(23+(A930-1)*A926,2)))</f>
        <v>0</v>
      </c>
      <c r="D923" s="38"/>
      <c r="E923" s="38"/>
      <c r="F923" s="38"/>
      <c r="G923" s="39"/>
      <c r="H923" s="20">
        <f ca="1">INDIRECT(_xlfn.TEXTJOIN("",TRUE,A929,"!",ADDRESS(23+(A930-1)*A926,6)))</f>
        <v>0</v>
      </c>
      <c r="I923" s="20">
        <f ca="1">INDIRECT(_xlfn.TEXTJOIN("",TRUE,A929,"!",ADDRESS(23+(A930-1)*A926,13)))</f>
        <v>0</v>
      </c>
      <c r="J923" s="20">
        <f ca="1">INDIRECT(_xlfn.TEXTJOIN("",TRUE,A929,"!",ADDRESS(23+(A930-1)*A926,14)))</f>
        <v>0</v>
      </c>
    </row>
    <row r="924" spans="1:10" ht="28" customHeight="1" x14ac:dyDescent="0.2">
      <c r="A924" s="35">
        <f ca="1">INDIRECT(_xlfn.TEXTJOIN("",TRUE,A929,"!",ADDRESS(24+(A930-1)*A926,1)))</f>
        <v>0</v>
      </c>
      <c r="B924" s="36"/>
      <c r="C924" s="37">
        <f ca="1">INDIRECT(_xlfn.TEXTJOIN("",TRUE,A929,"!",ADDRESS(24+(A930-1)*A926,2)))</f>
        <v>0</v>
      </c>
      <c r="D924" s="38"/>
      <c r="E924" s="38"/>
      <c r="F924" s="38"/>
      <c r="G924" s="39"/>
      <c r="H924" s="20">
        <f ca="1">INDIRECT(_xlfn.TEXTJOIN("",TRUE,A929,"!",ADDRESS(24+(A930-1)*A926,6)))</f>
        <v>0</v>
      </c>
      <c r="I924" s="40">
        <f ca="1">INDIRECT(_xlfn.TEXTJOIN("",TRUE,A929,"!",ADDRESS(24+(A930-1)*A926,13)))</f>
        <v>0</v>
      </c>
      <c r="J924" s="41"/>
    </row>
    <row r="925" spans="1:10" ht="28" customHeight="1" x14ac:dyDescent="0.2">
      <c r="A925" s="42" t="s">
        <v>52</v>
      </c>
      <c r="B925" s="42"/>
      <c r="C925" s="42"/>
      <c r="D925" s="42"/>
      <c r="E925" s="42"/>
      <c r="F925" s="42"/>
      <c r="G925" s="42"/>
      <c r="H925" s="16">
        <f ca="1">SUM(H913:H924)</f>
        <v>0</v>
      </c>
      <c r="I925" s="16" t="s">
        <v>44</v>
      </c>
      <c r="J925" s="16">
        <f ca="1">SUMPRODUCT(J913:J923,H913:H923)</f>
        <v>0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43" t="s">
        <v>40</v>
      </c>
      <c r="B927" s="43"/>
      <c r="C927" s="21">
        <f ca="1">INDIRECT(_xlfn.TEXTJOIN("",TRUE,A929,"!",ADDRESS(5+A930*A926,12)))</f>
        <v>0</v>
      </c>
      <c r="D927" s="43" t="s">
        <v>38</v>
      </c>
      <c r="E927" s="43"/>
      <c r="F927" s="18">
        <f ca="1">INDIRECT(_xlfn.TEXTJOIN("",TRUE,A929,"!",ADDRESS(5+A930*A926,8)))</f>
        <v>0</v>
      </c>
      <c r="G927" s="43" t="s">
        <v>39</v>
      </c>
      <c r="H927" s="43"/>
      <c r="I927" s="44">
        <f ca="1">INDIRECT(_xlfn.TEXTJOIN("",TRUE,A929,"!",ADDRESS(5+A930*A926,10)))</f>
        <v>0</v>
      </c>
      <c r="J927" s="44"/>
    </row>
    <row r="928" spans="1:10" ht="28" customHeight="1" x14ac:dyDescent="0.2">
      <c r="A928" s="19" t="s">
        <v>36</v>
      </c>
      <c r="B928" s="45">
        <f ca="1">INDIRECT(_xlfn.TEXTJOIN("",TRUE,A929,"!",ADDRESS(5+A930*A926,2)))</f>
        <v>0</v>
      </c>
      <c r="C928" s="45"/>
      <c r="D928" s="46" t="s">
        <v>37</v>
      </c>
      <c r="E928" s="46"/>
      <c r="F928" s="47">
        <f ca="1">INDIRECT(_xlfn.TEXTJOIN("",TRUE,A929,"!",ADDRESS(5+A930*A926,5)))</f>
        <v>0</v>
      </c>
      <c r="G928" s="47"/>
      <c r="H928" s="47"/>
      <c r="I928" s="47"/>
      <c r="J928" s="47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48" t="s">
        <v>24</v>
      </c>
      <c r="B931" s="48"/>
      <c r="C931" s="48">
        <f ca="1">INDIRECT(_xlfn.TEXTJOIN("",TRUE,A950,"!",ADDRESS(9+(A951-1)*A947,2)))</f>
        <v>0</v>
      </c>
      <c r="D931" s="48"/>
      <c r="E931" s="48"/>
      <c r="F931" s="48" t="s">
        <v>50</v>
      </c>
      <c r="G931" s="48"/>
      <c r="H931" s="48"/>
      <c r="I931" s="49">
        <f ca="1">INDIRECT(_xlfn.TEXTJOIN("",TRUE,A950,"!",ADDRESS(9+(A951-1)*A947,9)))</f>
        <v>0</v>
      </c>
      <c r="J931" s="49"/>
    </row>
    <row r="932" spans="1:10" ht="28" customHeight="1" x14ac:dyDescent="0.2">
      <c r="A932" s="48" t="s">
        <v>25</v>
      </c>
      <c r="B932" s="48"/>
      <c r="C932" s="48">
        <f ca="1">INDIRECT(_xlfn.TEXTJOIN("",TRUE,A950,"!",ADDRESS(9+(A951-1)*A947,5)))</f>
        <v>0</v>
      </c>
      <c r="D932" s="48"/>
      <c r="E932" s="48"/>
      <c r="F932" s="50" t="s">
        <v>51</v>
      </c>
      <c r="G932" s="50"/>
      <c r="H932" s="50"/>
      <c r="I932" s="49">
        <f ca="1">INDIRECT(_xlfn.TEXTJOIN("",TRUE,A950,"!",ADDRESS(9+(A951-1)*A947,13)))</f>
        <v>0</v>
      </c>
      <c r="J932" s="49"/>
    </row>
    <row r="933" spans="1:10" ht="28" customHeight="1" x14ac:dyDescent="0.2">
      <c r="A933" s="45" t="s">
        <v>28</v>
      </c>
      <c r="B933" s="45"/>
      <c r="C933" s="45" t="s">
        <v>29</v>
      </c>
      <c r="D933" s="45"/>
      <c r="E933" s="45"/>
      <c r="F933" s="45"/>
      <c r="G933" s="45"/>
      <c r="H933" s="15" t="s">
        <v>30</v>
      </c>
      <c r="I933" s="15" t="s">
        <v>10</v>
      </c>
      <c r="J933" s="15" t="s">
        <v>34</v>
      </c>
    </row>
    <row r="934" spans="1:10" ht="28" customHeight="1" x14ac:dyDescent="0.2">
      <c r="A934" s="35">
        <f ca="1">INDIRECT(_xlfn.TEXTJOIN("",TRUE,A950,"!",ADDRESS(13+(A951-1)*A947,1)))</f>
        <v>0</v>
      </c>
      <c r="B934" s="36"/>
      <c r="C934" s="37">
        <f ca="1">INDIRECT(_xlfn.TEXTJOIN("",TRUE,A950,"!",ADDRESS(13+(A951-1)*A947,2)))</f>
        <v>0</v>
      </c>
      <c r="D934" s="38"/>
      <c r="E934" s="38"/>
      <c r="F934" s="38"/>
      <c r="G934" s="39"/>
      <c r="H934" s="20">
        <f ca="1">INDIRECT(_xlfn.TEXTJOIN("",TRUE,A950,"!",ADDRESS(13+(A951-1)*A947,6)))</f>
        <v>0</v>
      </c>
      <c r="I934" s="20">
        <f ca="1">INDIRECT(_xlfn.TEXTJOIN("",TRUE,A950,"!",ADDRESS(13+(A951-1)*A947,13)))</f>
        <v>0</v>
      </c>
      <c r="J934" s="20">
        <f ca="1">INDIRECT(_xlfn.TEXTJOIN("",TRUE,A950,"!",ADDRESS(13+(A951-1)*A947,14)))</f>
        <v>0</v>
      </c>
    </row>
    <row r="935" spans="1:10" ht="28" customHeight="1" x14ac:dyDescent="0.2">
      <c r="A935" s="35">
        <f ca="1">INDIRECT(_xlfn.TEXTJOIN("",TRUE,A950,"!",ADDRESS(14+(A951-1)*A947,1)))</f>
        <v>0</v>
      </c>
      <c r="B935" s="36"/>
      <c r="C935" s="37">
        <f ca="1">INDIRECT(_xlfn.TEXTJOIN("",TRUE,A950,"!",ADDRESS(14+(A951-1)*A947,2)))</f>
        <v>0</v>
      </c>
      <c r="D935" s="38"/>
      <c r="E935" s="38"/>
      <c r="F935" s="38"/>
      <c r="G935" s="39"/>
      <c r="H935" s="20">
        <f ca="1">INDIRECT(_xlfn.TEXTJOIN("",TRUE,A950,"!",ADDRESS(14+(A951-1)*A947,6)))</f>
        <v>0</v>
      </c>
      <c r="I935" s="20">
        <f ca="1">INDIRECT(_xlfn.TEXTJOIN("",TRUE,A950,"!",ADDRESS(14+(A951-1)*A947,13)))</f>
        <v>0</v>
      </c>
      <c r="J935" s="20">
        <f ca="1">INDIRECT(_xlfn.TEXTJOIN("",TRUE,A950,"!",ADDRESS(14+(A951-1)*A947,14)))</f>
        <v>0</v>
      </c>
    </row>
    <row r="936" spans="1:10" ht="28" customHeight="1" x14ac:dyDescent="0.2">
      <c r="A936" s="35">
        <f ca="1">INDIRECT(_xlfn.TEXTJOIN("",TRUE,A950,"!",ADDRESS(15+(A951-1)*A947,1)))</f>
        <v>0</v>
      </c>
      <c r="B936" s="36"/>
      <c r="C936" s="37">
        <f ca="1">INDIRECT(_xlfn.TEXTJOIN("",TRUE,A950,"!",ADDRESS(15+(A951-1)*A947,2)))</f>
        <v>0</v>
      </c>
      <c r="D936" s="38"/>
      <c r="E936" s="38"/>
      <c r="F936" s="38"/>
      <c r="G936" s="39"/>
      <c r="H936" s="20">
        <f ca="1">INDIRECT(_xlfn.TEXTJOIN("",TRUE,A950,"!",ADDRESS(15+(A951-1)*A947,6)))</f>
        <v>0</v>
      </c>
      <c r="I936" s="20">
        <f ca="1">INDIRECT(_xlfn.TEXTJOIN("",TRUE,A950,"!",ADDRESS(15+(A951-1)*A947,13)))</f>
        <v>0</v>
      </c>
      <c r="J936" s="20">
        <f ca="1">INDIRECT(_xlfn.TEXTJOIN("",TRUE,A950,"!",ADDRESS(15+(A951-1)*A947,14)))</f>
        <v>0</v>
      </c>
    </row>
    <row r="937" spans="1:10" ht="28" customHeight="1" x14ac:dyDescent="0.2">
      <c r="A937" s="35">
        <f ca="1">INDIRECT(_xlfn.TEXTJOIN("",TRUE,A950,"!",ADDRESS(16+(A951-1)*A947,1)))</f>
        <v>0</v>
      </c>
      <c r="B937" s="36"/>
      <c r="C937" s="37">
        <f ca="1">INDIRECT(_xlfn.TEXTJOIN("",TRUE,A950,"!",ADDRESS(16+(A951-1)*A947,2)))</f>
        <v>0</v>
      </c>
      <c r="D937" s="38"/>
      <c r="E937" s="38"/>
      <c r="F937" s="38"/>
      <c r="G937" s="39"/>
      <c r="H937" s="20">
        <f ca="1">INDIRECT(_xlfn.TEXTJOIN("",TRUE,A950,"!",ADDRESS(16+(A951-1)*A947,6)))</f>
        <v>0</v>
      </c>
      <c r="I937" s="20">
        <f ca="1">INDIRECT(_xlfn.TEXTJOIN("",TRUE,A950,"!",ADDRESS(16+(A951-1)*A947,13)))</f>
        <v>0</v>
      </c>
      <c r="J937" s="20">
        <f ca="1">INDIRECT(_xlfn.TEXTJOIN("",TRUE,A950,"!",ADDRESS(16+(A951-1)*A947,14)))</f>
        <v>0</v>
      </c>
    </row>
    <row r="938" spans="1:10" ht="28" customHeight="1" x14ac:dyDescent="0.2">
      <c r="A938" s="35">
        <f ca="1">INDIRECT(_xlfn.TEXTJOIN("",TRUE,A950,"!",ADDRESS(17+(A951-1)*A947,1)))</f>
        <v>0</v>
      </c>
      <c r="B938" s="36"/>
      <c r="C938" s="37">
        <f ca="1">INDIRECT(_xlfn.TEXTJOIN("",TRUE,A950,"!",ADDRESS(17+(A951-1)*A947,2)))</f>
        <v>0</v>
      </c>
      <c r="D938" s="38"/>
      <c r="E938" s="38"/>
      <c r="F938" s="38"/>
      <c r="G938" s="39"/>
      <c r="H938" s="20">
        <f ca="1">INDIRECT(_xlfn.TEXTJOIN("",TRUE,A950,"!",ADDRESS(17+(A951-1)*A947,6)))</f>
        <v>0</v>
      </c>
      <c r="I938" s="20">
        <f ca="1">INDIRECT(_xlfn.TEXTJOIN("",TRUE,A950,"!",ADDRESS(17+(A951-1)*A947,13)))</f>
        <v>0</v>
      </c>
      <c r="J938" s="20">
        <f ca="1">INDIRECT(_xlfn.TEXTJOIN("",TRUE,A950,"!",ADDRESS(17+(A951-1)*A947,14)))</f>
        <v>0</v>
      </c>
    </row>
    <row r="939" spans="1:10" ht="28" customHeight="1" x14ac:dyDescent="0.2">
      <c r="A939" s="35">
        <f ca="1">INDIRECT(_xlfn.TEXTJOIN("",TRUE,A950,"!",ADDRESS(18+(A951-1)*A947,1)))</f>
        <v>0</v>
      </c>
      <c r="B939" s="36"/>
      <c r="C939" s="37">
        <f ca="1">INDIRECT(_xlfn.TEXTJOIN("",TRUE,A950,"!",ADDRESS(18+(A951-1)*A947,2)))</f>
        <v>0</v>
      </c>
      <c r="D939" s="38"/>
      <c r="E939" s="38"/>
      <c r="F939" s="38"/>
      <c r="G939" s="39"/>
      <c r="H939" s="20">
        <f ca="1">INDIRECT(_xlfn.TEXTJOIN("",TRUE,A950,"!",ADDRESS(18+(A951-1)*A947,6)))</f>
        <v>0</v>
      </c>
      <c r="I939" s="20">
        <f ca="1">INDIRECT(_xlfn.TEXTJOIN("",TRUE,A950,"!",ADDRESS(18+(A951-1)*A947,13)))</f>
        <v>0</v>
      </c>
      <c r="J939" s="20">
        <f ca="1">INDIRECT(_xlfn.TEXTJOIN("",TRUE,A950,"!",ADDRESS(18+(A951-1)*A947,14)))</f>
        <v>0</v>
      </c>
    </row>
    <row r="940" spans="1:10" ht="28" customHeight="1" x14ac:dyDescent="0.2">
      <c r="A940" s="35">
        <f ca="1">INDIRECT(_xlfn.TEXTJOIN("",TRUE,A950,"!",ADDRESS(19+(A951-1)*A947,1)))</f>
        <v>0</v>
      </c>
      <c r="B940" s="36"/>
      <c r="C940" s="37">
        <f ca="1">INDIRECT(_xlfn.TEXTJOIN("",TRUE,A950,"!",ADDRESS(19+(A951-1)*A947,2)))</f>
        <v>0</v>
      </c>
      <c r="D940" s="38"/>
      <c r="E940" s="38"/>
      <c r="F940" s="38"/>
      <c r="G940" s="39"/>
      <c r="H940" s="20">
        <f ca="1">INDIRECT(_xlfn.TEXTJOIN("",TRUE,A950,"!",ADDRESS(19+(A951-1)*A947,6)))</f>
        <v>0</v>
      </c>
      <c r="I940" s="20">
        <f ca="1">INDIRECT(_xlfn.TEXTJOIN("",TRUE,A950,"!",ADDRESS(19+(A951-1)*A947,13)))</f>
        <v>0</v>
      </c>
      <c r="J940" s="20">
        <f ca="1">INDIRECT(_xlfn.TEXTJOIN("",TRUE,A950,"!",ADDRESS(19+(A951-1)*A947,14)))</f>
        <v>0</v>
      </c>
    </row>
    <row r="941" spans="1:10" ht="28" customHeight="1" x14ac:dyDescent="0.2">
      <c r="A941" s="35">
        <f ca="1">INDIRECT(_xlfn.TEXTJOIN("",TRUE,A950,"!",ADDRESS(20+(A951-1)*A947,1)))</f>
        <v>0</v>
      </c>
      <c r="B941" s="36"/>
      <c r="C941" s="37">
        <f ca="1">INDIRECT(_xlfn.TEXTJOIN("",TRUE,A950,"!",ADDRESS(20+(A951-1)*A947,2)))</f>
        <v>0</v>
      </c>
      <c r="D941" s="38"/>
      <c r="E941" s="38"/>
      <c r="F941" s="38"/>
      <c r="G941" s="39"/>
      <c r="H941" s="20">
        <f ca="1">INDIRECT(_xlfn.TEXTJOIN("",TRUE,A950,"!",ADDRESS(20+(A951-1)*A947,6)))</f>
        <v>0</v>
      </c>
      <c r="I941" s="20">
        <f ca="1">INDIRECT(_xlfn.TEXTJOIN("",TRUE,A950,"!",ADDRESS(20+(A951-1)*A947,13)))</f>
        <v>0</v>
      </c>
      <c r="J941" s="20">
        <f ca="1">INDIRECT(_xlfn.TEXTJOIN("",TRUE,A950,"!",ADDRESS(20+(A951-1)*A947,14)))</f>
        <v>0</v>
      </c>
    </row>
    <row r="942" spans="1:10" ht="28" customHeight="1" x14ac:dyDescent="0.2">
      <c r="A942" s="35">
        <f ca="1">INDIRECT(_xlfn.TEXTJOIN("",TRUE,A950,"!",ADDRESS(21+(A951-1)*A947,1)))</f>
        <v>0</v>
      </c>
      <c r="B942" s="36"/>
      <c r="C942" s="37">
        <f ca="1">INDIRECT(_xlfn.TEXTJOIN("",TRUE,A950,"!",ADDRESS(21+(A951-1)*A947,2)))</f>
        <v>0</v>
      </c>
      <c r="D942" s="38"/>
      <c r="E942" s="38"/>
      <c r="F942" s="38"/>
      <c r="G942" s="39"/>
      <c r="H942" s="20">
        <f ca="1">INDIRECT(_xlfn.TEXTJOIN("",TRUE,A950,"!",ADDRESS(21+(A951-1)*A947,6)))</f>
        <v>0</v>
      </c>
      <c r="I942" s="20">
        <f ca="1">INDIRECT(_xlfn.TEXTJOIN("",TRUE,A950,"!",ADDRESS(21+(A951-1)*A947,13)))</f>
        <v>0</v>
      </c>
      <c r="J942" s="20">
        <f ca="1">INDIRECT(_xlfn.TEXTJOIN("",TRUE,A950,"!",ADDRESS(21+(A951-1)*A947,14)))</f>
        <v>0</v>
      </c>
    </row>
    <row r="943" spans="1:10" ht="28" customHeight="1" x14ac:dyDescent="0.2">
      <c r="A943" s="35">
        <f ca="1">INDIRECT(_xlfn.TEXTJOIN("",TRUE,A950,"!",ADDRESS(22+(A951-1)*A947,1)))</f>
        <v>0</v>
      </c>
      <c r="B943" s="36"/>
      <c r="C943" s="37">
        <f ca="1">INDIRECT(_xlfn.TEXTJOIN("",TRUE,A950,"!",ADDRESS(22+(A951-1)*A947,2)))</f>
        <v>0</v>
      </c>
      <c r="D943" s="38"/>
      <c r="E943" s="38"/>
      <c r="F943" s="38"/>
      <c r="G943" s="39"/>
      <c r="H943" s="20">
        <f ca="1">INDIRECT(_xlfn.TEXTJOIN("",TRUE,A950,"!",ADDRESS(22+(A951-1)*A947,6)))</f>
        <v>0</v>
      </c>
      <c r="I943" s="20">
        <f ca="1">INDIRECT(_xlfn.TEXTJOIN("",TRUE,A950,"!",ADDRESS(22+(A951-1)*A947,13)))</f>
        <v>0</v>
      </c>
      <c r="J943" s="20">
        <f ca="1">INDIRECT(_xlfn.TEXTJOIN("",TRUE,A950,"!",ADDRESS(22+(A951-1)*A947,14)))</f>
        <v>0</v>
      </c>
    </row>
    <row r="944" spans="1:10" ht="28" customHeight="1" x14ac:dyDescent="0.2">
      <c r="A944" s="35">
        <f ca="1">INDIRECT(_xlfn.TEXTJOIN("",TRUE,A950,"!",ADDRESS(23+(A951-1)*A947,1)))</f>
        <v>0</v>
      </c>
      <c r="B944" s="36"/>
      <c r="C944" s="37">
        <f ca="1">INDIRECT(_xlfn.TEXTJOIN("",TRUE,A950,"!",ADDRESS(23+(A951-1)*A947,2)))</f>
        <v>0</v>
      </c>
      <c r="D944" s="38"/>
      <c r="E944" s="38"/>
      <c r="F944" s="38"/>
      <c r="G944" s="39"/>
      <c r="H944" s="20">
        <f ca="1">INDIRECT(_xlfn.TEXTJOIN("",TRUE,A950,"!",ADDRESS(23+(A951-1)*A947,6)))</f>
        <v>0</v>
      </c>
      <c r="I944" s="20">
        <f ca="1">INDIRECT(_xlfn.TEXTJOIN("",TRUE,A950,"!",ADDRESS(23+(A951-1)*A947,13)))</f>
        <v>0</v>
      </c>
      <c r="J944" s="20">
        <f ca="1">INDIRECT(_xlfn.TEXTJOIN("",TRUE,A950,"!",ADDRESS(23+(A951-1)*A947,14)))</f>
        <v>0</v>
      </c>
    </row>
    <row r="945" spans="1:10" ht="28" customHeight="1" x14ac:dyDescent="0.2">
      <c r="A945" s="35">
        <f ca="1">INDIRECT(_xlfn.TEXTJOIN("",TRUE,A950,"!",ADDRESS(24+(A951-1)*A947,1)))</f>
        <v>0</v>
      </c>
      <c r="B945" s="36"/>
      <c r="C945" s="37">
        <f ca="1">INDIRECT(_xlfn.TEXTJOIN("",TRUE,A950,"!",ADDRESS(24+(A951-1)*A947,2)))</f>
        <v>0</v>
      </c>
      <c r="D945" s="38"/>
      <c r="E945" s="38"/>
      <c r="F945" s="38"/>
      <c r="G945" s="39"/>
      <c r="H945" s="20">
        <f ca="1">INDIRECT(_xlfn.TEXTJOIN("",TRUE,A950,"!",ADDRESS(24+(A951-1)*A947,6)))</f>
        <v>0</v>
      </c>
      <c r="I945" s="40">
        <f ca="1">INDIRECT(_xlfn.TEXTJOIN("",TRUE,A950,"!",ADDRESS(24+(A951-1)*A947,13)))</f>
        <v>0</v>
      </c>
      <c r="J945" s="41"/>
    </row>
    <row r="946" spans="1:10" ht="28" customHeight="1" x14ac:dyDescent="0.2">
      <c r="A946" s="42" t="s">
        <v>52</v>
      </c>
      <c r="B946" s="42"/>
      <c r="C946" s="42"/>
      <c r="D946" s="42"/>
      <c r="E946" s="42"/>
      <c r="F946" s="42"/>
      <c r="G946" s="42"/>
      <c r="H946" s="16">
        <f ca="1">SUM(H934:H945)</f>
        <v>0</v>
      </c>
      <c r="I946" s="16" t="s">
        <v>44</v>
      </c>
      <c r="J946" s="16">
        <f ca="1">SUMPRODUCT(J934:J944,H934:H944)</f>
        <v>0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43" t="s">
        <v>40</v>
      </c>
      <c r="B948" s="43"/>
      <c r="C948" s="21">
        <f ca="1">INDIRECT(_xlfn.TEXTJOIN("",TRUE,A950,"!",ADDRESS(5+A951*A947,12)))</f>
        <v>0</v>
      </c>
      <c r="D948" s="43" t="s">
        <v>38</v>
      </c>
      <c r="E948" s="43"/>
      <c r="F948" s="18">
        <f ca="1">INDIRECT(_xlfn.TEXTJOIN("",TRUE,A950,"!",ADDRESS(5+A951*A947,8)))</f>
        <v>0</v>
      </c>
      <c r="G948" s="43" t="s">
        <v>39</v>
      </c>
      <c r="H948" s="43"/>
      <c r="I948" s="44">
        <f ca="1">INDIRECT(_xlfn.TEXTJOIN("",TRUE,A950,"!",ADDRESS(5+A951*A947,10)))</f>
        <v>0</v>
      </c>
      <c r="J948" s="44"/>
    </row>
    <row r="949" spans="1:10" ht="28" customHeight="1" x14ac:dyDescent="0.2">
      <c r="A949" s="19" t="s">
        <v>36</v>
      </c>
      <c r="B949" s="45">
        <f ca="1">INDIRECT(_xlfn.TEXTJOIN("",TRUE,A950,"!",ADDRESS(5+A951*A947,2)))</f>
        <v>0</v>
      </c>
      <c r="C949" s="45"/>
      <c r="D949" s="46" t="s">
        <v>37</v>
      </c>
      <c r="E949" s="46"/>
      <c r="F949" s="47">
        <f ca="1">INDIRECT(_xlfn.TEXTJOIN("",TRUE,A950,"!",ADDRESS(5+A951*A947,5)))</f>
        <v>0</v>
      </c>
      <c r="G949" s="47"/>
      <c r="H949" s="47"/>
      <c r="I949" s="47"/>
      <c r="J949" s="47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48" t="s">
        <v>24</v>
      </c>
      <c r="B952" s="48"/>
      <c r="C952" s="48">
        <f ca="1">INDIRECT(_xlfn.TEXTJOIN("",TRUE,A971,"!",ADDRESS(9+(A972-1)*A968,2)))</f>
        <v>0</v>
      </c>
      <c r="D952" s="48"/>
      <c r="E952" s="48"/>
      <c r="F952" s="48" t="s">
        <v>50</v>
      </c>
      <c r="G952" s="48"/>
      <c r="H952" s="48"/>
      <c r="I952" s="49">
        <f ca="1">INDIRECT(_xlfn.TEXTJOIN("",TRUE,A971,"!",ADDRESS(9+(A972-1)*A968,9)))</f>
        <v>0</v>
      </c>
      <c r="J952" s="49"/>
    </row>
    <row r="953" spans="1:10" ht="28" customHeight="1" x14ac:dyDescent="0.2">
      <c r="A953" s="48" t="s">
        <v>25</v>
      </c>
      <c r="B953" s="48"/>
      <c r="C953" s="48">
        <f ca="1">INDIRECT(_xlfn.TEXTJOIN("",TRUE,A971,"!",ADDRESS(9+(A972-1)*A968,5)))</f>
        <v>0</v>
      </c>
      <c r="D953" s="48"/>
      <c r="E953" s="48"/>
      <c r="F953" s="50" t="s">
        <v>51</v>
      </c>
      <c r="G953" s="50"/>
      <c r="H953" s="50"/>
      <c r="I953" s="49">
        <f ca="1">INDIRECT(_xlfn.TEXTJOIN("",TRUE,A971,"!",ADDRESS(9+(A972-1)*A968,13)))</f>
        <v>0</v>
      </c>
      <c r="J953" s="49"/>
    </row>
    <row r="954" spans="1:10" ht="28" customHeight="1" x14ac:dyDescent="0.2">
      <c r="A954" s="45" t="s">
        <v>28</v>
      </c>
      <c r="B954" s="45"/>
      <c r="C954" s="45" t="s">
        <v>29</v>
      </c>
      <c r="D954" s="45"/>
      <c r="E954" s="45"/>
      <c r="F954" s="45"/>
      <c r="G954" s="45"/>
      <c r="H954" s="15" t="s">
        <v>30</v>
      </c>
      <c r="I954" s="15" t="s">
        <v>10</v>
      </c>
      <c r="J954" s="15" t="s">
        <v>34</v>
      </c>
    </row>
    <row r="955" spans="1:10" ht="28" customHeight="1" x14ac:dyDescent="0.2">
      <c r="A955" s="35">
        <f ca="1">INDIRECT(_xlfn.TEXTJOIN("",TRUE,A971,"!",ADDRESS(13+(A972-1)*A968,1)))</f>
        <v>0</v>
      </c>
      <c r="B955" s="36"/>
      <c r="C955" s="37">
        <f ca="1">INDIRECT(_xlfn.TEXTJOIN("",TRUE,A971,"!",ADDRESS(13+(A972-1)*A968,2)))</f>
        <v>0</v>
      </c>
      <c r="D955" s="38"/>
      <c r="E955" s="38"/>
      <c r="F955" s="38"/>
      <c r="G955" s="39"/>
      <c r="H955" s="20">
        <f ca="1">INDIRECT(_xlfn.TEXTJOIN("",TRUE,A971,"!",ADDRESS(13+(A972-1)*A968,6)))</f>
        <v>0</v>
      </c>
      <c r="I955" s="20">
        <f ca="1">INDIRECT(_xlfn.TEXTJOIN("",TRUE,A971,"!",ADDRESS(13+(A972-1)*A968,13)))</f>
        <v>0</v>
      </c>
      <c r="J955" s="20">
        <f ca="1">INDIRECT(_xlfn.TEXTJOIN("",TRUE,A971,"!",ADDRESS(13+(A972-1)*A968,14)))</f>
        <v>0</v>
      </c>
    </row>
    <row r="956" spans="1:10" ht="28" customHeight="1" x14ac:dyDescent="0.2">
      <c r="A956" s="35">
        <f ca="1">INDIRECT(_xlfn.TEXTJOIN("",TRUE,A971,"!",ADDRESS(14+(A972-1)*A968,1)))</f>
        <v>0</v>
      </c>
      <c r="B956" s="36"/>
      <c r="C956" s="37">
        <f ca="1">INDIRECT(_xlfn.TEXTJOIN("",TRUE,A971,"!",ADDRESS(14+(A972-1)*A968,2)))</f>
        <v>0</v>
      </c>
      <c r="D956" s="38"/>
      <c r="E956" s="38"/>
      <c r="F956" s="38"/>
      <c r="G956" s="39"/>
      <c r="H956" s="20">
        <f ca="1">INDIRECT(_xlfn.TEXTJOIN("",TRUE,A971,"!",ADDRESS(14+(A972-1)*A968,6)))</f>
        <v>0</v>
      </c>
      <c r="I956" s="20">
        <f ca="1">INDIRECT(_xlfn.TEXTJOIN("",TRUE,A971,"!",ADDRESS(14+(A972-1)*A968,13)))</f>
        <v>0</v>
      </c>
      <c r="J956" s="20">
        <f ca="1">INDIRECT(_xlfn.TEXTJOIN("",TRUE,A971,"!",ADDRESS(14+(A972-1)*A968,14)))</f>
        <v>0</v>
      </c>
    </row>
    <row r="957" spans="1:10" ht="28" customHeight="1" x14ac:dyDescent="0.2">
      <c r="A957" s="35">
        <f ca="1">INDIRECT(_xlfn.TEXTJOIN("",TRUE,A971,"!",ADDRESS(15+(A972-1)*A968,1)))</f>
        <v>0</v>
      </c>
      <c r="B957" s="36"/>
      <c r="C957" s="37">
        <f ca="1">INDIRECT(_xlfn.TEXTJOIN("",TRUE,A971,"!",ADDRESS(15+(A972-1)*A968,2)))</f>
        <v>0</v>
      </c>
      <c r="D957" s="38"/>
      <c r="E957" s="38"/>
      <c r="F957" s="38"/>
      <c r="G957" s="39"/>
      <c r="H957" s="20">
        <f ca="1">INDIRECT(_xlfn.TEXTJOIN("",TRUE,A971,"!",ADDRESS(15+(A972-1)*A968,6)))</f>
        <v>0</v>
      </c>
      <c r="I957" s="20">
        <f ca="1">INDIRECT(_xlfn.TEXTJOIN("",TRUE,A971,"!",ADDRESS(15+(A972-1)*A968,13)))</f>
        <v>0</v>
      </c>
      <c r="J957" s="20">
        <f ca="1">INDIRECT(_xlfn.TEXTJOIN("",TRUE,A971,"!",ADDRESS(15+(A972-1)*A968,14)))</f>
        <v>0</v>
      </c>
    </row>
    <row r="958" spans="1:10" ht="28" customHeight="1" x14ac:dyDescent="0.2">
      <c r="A958" s="35">
        <f ca="1">INDIRECT(_xlfn.TEXTJOIN("",TRUE,A971,"!",ADDRESS(16+(A972-1)*A968,1)))</f>
        <v>0</v>
      </c>
      <c r="B958" s="36"/>
      <c r="C958" s="37">
        <f ca="1">INDIRECT(_xlfn.TEXTJOIN("",TRUE,A971,"!",ADDRESS(16+(A972-1)*A968,2)))</f>
        <v>0</v>
      </c>
      <c r="D958" s="38"/>
      <c r="E958" s="38"/>
      <c r="F958" s="38"/>
      <c r="G958" s="39"/>
      <c r="H958" s="20">
        <f ca="1">INDIRECT(_xlfn.TEXTJOIN("",TRUE,A971,"!",ADDRESS(16+(A972-1)*A968,6)))</f>
        <v>0</v>
      </c>
      <c r="I958" s="20">
        <f ca="1">INDIRECT(_xlfn.TEXTJOIN("",TRUE,A971,"!",ADDRESS(16+(A972-1)*A968,13)))</f>
        <v>0</v>
      </c>
      <c r="J958" s="20">
        <f ca="1">INDIRECT(_xlfn.TEXTJOIN("",TRUE,A971,"!",ADDRESS(16+(A972-1)*A968,14)))</f>
        <v>0</v>
      </c>
    </row>
    <row r="959" spans="1:10" ht="28" customHeight="1" x14ac:dyDescent="0.2">
      <c r="A959" s="35">
        <f ca="1">INDIRECT(_xlfn.TEXTJOIN("",TRUE,A971,"!",ADDRESS(17+(A972-1)*A968,1)))</f>
        <v>0</v>
      </c>
      <c r="B959" s="36"/>
      <c r="C959" s="37">
        <f ca="1">INDIRECT(_xlfn.TEXTJOIN("",TRUE,A971,"!",ADDRESS(17+(A972-1)*A968,2)))</f>
        <v>0</v>
      </c>
      <c r="D959" s="38"/>
      <c r="E959" s="38"/>
      <c r="F959" s="38"/>
      <c r="G959" s="39"/>
      <c r="H959" s="20">
        <f ca="1">INDIRECT(_xlfn.TEXTJOIN("",TRUE,A971,"!",ADDRESS(17+(A972-1)*A968,6)))</f>
        <v>0</v>
      </c>
      <c r="I959" s="20">
        <f ca="1">INDIRECT(_xlfn.TEXTJOIN("",TRUE,A971,"!",ADDRESS(17+(A972-1)*A968,13)))</f>
        <v>0</v>
      </c>
      <c r="J959" s="20">
        <f ca="1">INDIRECT(_xlfn.TEXTJOIN("",TRUE,A971,"!",ADDRESS(17+(A972-1)*A968,14)))</f>
        <v>0</v>
      </c>
    </row>
    <row r="960" spans="1:10" ht="28" customHeight="1" x14ac:dyDescent="0.2">
      <c r="A960" s="35">
        <f ca="1">INDIRECT(_xlfn.TEXTJOIN("",TRUE,A971,"!",ADDRESS(18+(A972-1)*A968,1)))</f>
        <v>0</v>
      </c>
      <c r="B960" s="36"/>
      <c r="C960" s="37">
        <f ca="1">INDIRECT(_xlfn.TEXTJOIN("",TRUE,A971,"!",ADDRESS(18+(A972-1)*A968,2)))</f>
        <v>0</v>
      </c>
      <c r="D960" s="38"/>
      <c r="E960" s="38"/>
      <c r="F960" s="38"/>
      <c r="G960" s="39"/>
      <c r="H960" s="20">
        <f ca="1">INDIRECT(_xlfn.TEXTJOIN("",TRUE,A971,"!",ADDRESS(18+(A972-1)*A968,6)))</f>
        <v>0</v>
      </c>
      <c r="I960" s="20">
        <f ca="1">INDIRECT(_xlfn.TEXTJOIN("",TRUE,A971,"!",ADDRESS(18+(A972-1)*A968,13)))</f>
        <v>0</v>
      </c>
      <c r="J960" s="20">
        <f ca="1">INDIRECT(_xlfn.TEXTJOIN("",TRUE,A971,"!",ADDRESS(18+(A972-1)*A968,14)))</f>
        <v>0</v>
      </c>
    </row>
    <row r="961" spans="1:10" ht="28" customHeight="1" x14ac:dyDescent="0.2">
      <c r="A961" s="35">
        <f ca="1">INDIRECT(_xlfn.TEXTJOIN("",TRUE,A971,"!",ADDRESS(19+(A972-1)*A968,1)))</f>
        <v>0</v>
      </c>
      <c r="B961" s="36"/>
      <c r="C961" s="37">
        <f ca="1">INDIRECT(_xlfn.TEXTJOIN("",TRUE,A971,"!",ADDRESS(19+(A972-1)*A968,2)))</f>
        <v>0</v>
      </c>
      <c r="D961" s="38"/>
      <c r="E961" s="38"/>
      <c r="F961" s="38"/>
      <c r="G961" s="39"/>
      <c r="H961" s="20">
        <f ca="1">INDIRECT(_xlfn.TEXTJOIN("",TRUE,A971,"!",ADDRESS(19+(A972-1)*A968,6)))</f>
        <v>0</v>
      </c>
      <c r="I961" s="20">
        <f ca="1">INDIRECT(_xlfn.TEXTJOIN("",TRUE,A971,"!",ADDRESS(19+(A972-1)*A968,13)))</f>
        <v>0</v>
      </c>
      <c r="J961" s="20">
        <f ca="1">INDIRECT(_xlfn.TEXTJOIN("",TRUE,A971,"!",ADDRESS(19+(A972-1)*A968,14)))</f>
        <v>0</v>
      </c>
    </row>
    <row r="962" spans="1:10" ht="28" customHeight="1" x14ac:dyDescent="0.2">
      <c r="A962" s="35">
        <f ca="1">INDIRECT(_xlfn.TEXTJOIN("",TRUE,A971,"!",ADDRESS(20+(A972-1)*A968,1)))</f>
        <v>0</v>
      </c>
      <c r="B962" s="36"/>
      <c r="C962" s="37">
        <f ca="1">INDIRECT(_xlfn.TEXTJOIN("",TRUE,A971,"!",ADDRESS(20+(A972-1)*A968,2)))</f>
        <v>0</v>
      </c>
      <c r="D962" s="38"/>
      <c r="E962" s="38"/>
      <c r="F962" s="38"/>
      <c r="G962" s="39"/>
      <c r="H962" s="20">
        <f ca="1">INDIRECT(_xlfn.TEXTJOIN("",TRUE,A971,"!",ADDRESS(20+(A972-1)*A968,6)))</f>
        <v>0</v>
      </c>
      <c r="I962" s="20">
        <f ca="1">INDIRECT(_xlfn.TEXTJOIN("",TRUE,A971,"!",ADDRESS(20+(A972-1)*A968,13)))</f>
        <v>0</v>
      </c>
      <c r="J962" s="20">
        <f ca="1">INDIRECT(_xlfn.TEXTJOIN("",TRUE,A971,"!",ADDRESS(20+(A972-1)*A968,14)))</f>
        <v>0</v>
      </c>
    </row>
    <row r="963" spans="1:10" ht="28" customHeight="1" x14ac:dyDescent="0.2">
      <c r="A963" s="35">
        <f ca="1">INDIRECT(_xlfn.TEXTJOIN("",TRUE,A971,"!",ADDRESS(21+(A972-1)*A968,1)))</f>
        <v>0</v>
      </c>
      <c r="B963" s="36"/>
      <c r="C963" s="37">
        <f ca="1">INDIRECT(_xlfn.TEXTJOIN("",TRUE,A971,"!",ADDRESS(21+(A972-1)*A968,2)))</f>
        <v>0</v>
      </c>
      <c r="D963" s="38"/>
      <c r="E963" s="38"/>
      <c r="F963" s="38"/>
      <c r="G963" s="39"/>
      <c r="H963" s="20">
        <f ca="1">INDIRECT(_xlfn.TEXTJOIN("",TRUE,A971,"!",ADDRESS(21+(A972-1)*A968,6)))</f>
        <v>0</v>
      </c>
      <c r="I963" s="20">
        <f ca="1">INDIRECT(_xlfn.TEXTJOIN("",TRUE,A971,"!",ADDRESS(21+(A972-1)*A968,13)))</f>
        <v>0</v>
      </c>
      <c r="J963" s="20">
        <f ca="1">INDIRECT(_xlfn.TEXTJOIN("",TRUE,A971,"!",ADDRESS(21+(A972-1)*A968,14)))</f>
        <v>0</v>
      </c>
    </row>
    <row r="964" spans="1:10" ht="28" customHeight="1" x14ac:dyDescent="0.2">
      <c r="A964" s="35">
        <f ca="1">INDIRECT(_xlfn.TEXTJOIN("",TRUE,A971,"!",ADDRESS(22+(A972-1)*A968,1)))</f>
        <v>0</v>
      </c>
      <c r="B964" s="36"/>
      <c r="C964" s="37">
        <f ca="1">INDIRECT(_xlfn.TEXTJOIN("",TRUE,A971,"!",ADDRESS(22+(A972-1)*A968,2)))</f>
        <v>0</v>
      </c>
      <c r="D964" s="38"/>
      <c r="E964" s="38"/>
      <c r="F964" s="38"/>
      <c r="G964" s="39"/>
      <c r="H964" s="20">
        <f ca="1">INDIRECT(_xlfn.TEXTJOIN("",TRUE,A971,"!",ADDRESS(22+(A972-1)*A968,6)))</f>
        <v>0</v>
      </c>
      <c r="I964" s="20">
        <f ca="1">INDIRECT(_xlfn.TEXTJOIN("",TRUE,A971,"!",ADDRESS(22+(A972-1)*A968,13)))</f>
        <v>0</v>
      </c>
      <c r="J964" s="20">
        <f ca="1">INDIRECT(_xlfn.TEXTJOIN("",TRUE,A971,"!",ADDRESS(22+(A972-1)*A968,14)))</f>
        <v>0</v>
      </c>
    </row>
    <row r="965" spans="1:10" ht="28" customHeight="1" x14ac:dyDescent="0.2">
      <c r="A965" s="35">
        <f ca="1">INDIRECT(_xlfn.TEXTJOIN("",TRUE,A971,"!",ADDRESS(23+(A972-1)*A968,1)))</f>
        <v>0</v>
      </c>
      <c r="B965" s="36"/>
      <c r="C965" s="37">
        <f ca="1">INDIRECT(_xlfn.TEXTJOIN("",TRUE,A971,"!",ADDRESS(23+(A972-1)*A968,2)))</f>
        <v>0</v>
      </c>
      <c r="D965" s="38"/>
      <c r="E965" s="38"/>
      <c r="F965" s="38"/>
      <c r="G965" s="39"/>
      <c r="H965" s="20">
        <f ca="1">INDIRECT(_xlfn.TEXTJOIN("",TRUE,A971,"!",ADDRESS(23+(A972-1)*A968,6)))</f>
        <v>0</v>
      </c>
      <c r="I965" s="20">
        <f ca="1">INDIRECT(_xlfn.TEXTJOIN("",TRUE,A971,"!",ADDRESS(23+(A972-1)*A968,13)))</f>
        <v>0</v>
      </c>
      <c r="J965" s="20">
        <f ca="1">INDIRECT(_xlfn.TEXTJOIN("",TRUE,A971,"!",ADDRESS(23+(A972-1)*A968,14)))</f>
        <v>0</v>
      </c>
    </row>
    <row r="966" spans="1:10" ht="28" customHeight="1" x14ac:dyDescent="0.2">
      <c r="A966" s="35">
        <f ca="1">INDIRECT(_xlfn.TEXTJOIN("",TRUE,A971,"!",ADDRESS(24+(A972-1)*A968,1)))</f>
        <v>0</v>
      </c>
      <c r="B966" s="36"/>
      <c r="C966" s="37">
        <f ca="1">INDIRECT(_xlfn.TEXTJOIN("",TRUE,A971,"!",ADDRESS(24+(A972-1)*A968,2)))</f>
        <v>0</v>
      </c>
      <c r="D966" s="38"/>
      <c r="E966" s="38"/>
      <c r="F966" s="38"/>
      <c r="G966" s="39"/>
      <c r="H966" s="20">
        <f ca="1">INDIRECT(_xlfn.TEXTJOIN("",TRUE,A971,"!",ADDRESS(24+(A972-1)*A968,6)))</f>
        <v>0</v>
      </c>
      <c r="I966" s="40">
        <f ca="1">INDIRECT(_xlfn.TEXTJOIN("",TRUE,A971,"!",ADDRESS(24+(A972-1)*A968,13)))</f>
        <v>0</v>
      </c>
      <c r="J966" s="41"/>
    </row>
    <row r="967" spans="1:10" ht="28" customHeight="1" x14ac:dyDescent="0.2">
      <c r="A967" s="42" t="s">
        <v>52</v>
      </c>
      <c r="B967" s="42"/>
      <c r="C967" s="42"/>
      <c r="D967" s="42"/>
      <c r="E967" s="42"/>
      <c r="F967" s="42"/>
      <c r="G967" s="42"/>
      <c r="H967" s="16">
        <f ca="1">SUM(H955:H966)</f>
        <v>0</v>
      </c>
      <c r="I967" s="16" t="s">
        <v>44</v>
      </c>
      <c r="J967" s="16">
        <f ca="1">SUMPRODUCT(J955:J965,H955:H965)</f>
        <v>0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43" t="s">
        <v>40</v>
      </c>
      <c r="B969" s="43"/>
      <c r="C969" s="21">
        <f ca="1">INDIRECT(_xlfn.TEXTJOIN("",TRUE,A971,"!",ADDRESS(5+A972*A968,12)))</f>
        <v>0</v>
      </c>
      <c r="D969" s="43" t="s">
        <v>38</v>
      </c>
      <c r="E969" s="43"/>
      <c r="F969" s="18">
        <f ca="1">INDIRECT(_xlfn.TEXTJOIN("",TRUE,A971,"!",ADDRESS(5+A972*A968,8)))</f>
        <v>0</v>
      </c>
      <c r="G969" s="43" t="s">
        <v>39</v>
      </c>
      <c r="H969" s="43"/>
      <c r="I969" s="44">
        <f ca="1">INDIRECT(_xlfn.TEXTJOIN("",TRUE,A971,"!",ADDRESS(5+A972*A968,10)))</f>
        <v>0</v>
      </c>
      <c r="J969" s="44"/>
    </row>
    <row r="970" spans="1:10" ht="28" customHeight="1" x14ac:dyDescent="0.2">
      <c r="A970" s="19" t="s">
        <v>36</v>
      </c>
      <c r="B970" s="45">
        <f ca="1">INDIRECT(_xlfn.TEXTJOIN("",TRUE,A971,"!",ADDRESS(5+A972*A968,2)))</f>
        <v>0</v>
      </c>
      <c r="C970" s="45"/>
      <c r="D970" s="46" t="s">
        <v>37</v>
      </c>
      <c r="E970" s="46"/>
      <c r="F970" s="47">
        <f ca="1">INDIRECT(_xlfn.TEXTJOIN("",TRUE,A971,"!",ADDRESS(5+A972*A968,5)))</f>
        <v>0</v>
      </c>
      <c r="G970" s="47"/>
      <c r="H970" s="47"/>
      <c r="I970" s="47"/>
      <c r="J970" s="47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48" t="s">
        <v>24</v>
      </c>
      <c r="B973" s="48"/>
      <c r="C973" s="48">
        <f ca="1">INDIRECT(_xlfn.TEXTJOIN("",TRUE,A992,"!",ADDRESS(9+(A993-1)*A989,2)))</f>
        <v>0</v>
      </c>
      <c r="D973" s="48"/>
      <c r="E973" s="48"/>
      <c r="F973" s="48" t="s">
        <v>50</v>
      </c>
      <c r="G973" s="48"/>
      <c r="H973" s="48"/>
      <c r="I973" s="49">
        <f ca="1">INDIRECT(_xlfn.TEXTJOIN("",TRUE,A992,"!",ADDRESS(9+(A993-1)*A989,9)))</f>
        <v>0</v>
      </c>
      <c r="J973" s="49"/>
    </row>
    <row r="974" spans="1:10" ht="28" customHeight="1" x14ac:dyDescent="0.2">
      <c r="A974" s="48" t="s">
        <v>25</v>
      </c>
      <c r="B974" s="48"/>
      <c r="C974" s="48">
        <f ca="1">INDIRECT(_xlfn.TEXTJOIN("",TRUE,A992,"!",ADDRESS(9+(A993-1)*A989,5)))</f>
        <v>0</v>
      </c>
      <c r="D974" s="48"/>
      <c r="E974" s="48"/>
      <c r="F974" s="50" t="s">
        <v>51</v>
      </c>
      <c r="G974" s="50"/>
      <c r="H974" s="50"/>
      <c r="I974" s="49">
        <f ca="1">INDIRECT(_xlfn.TEXTJOIN("",TRUE,A992,"!",ADDRESS(9+(A993-1)*A989,13)))</f>
        <v>0</v>
      </c>
      <c r="J974" s="49"/>
    </row>
    <row r="975" spans="1:10" ht="28" customHeight="1" x14ac:dyDescent="0.2">
      <c r="A975" s="45" t="s">
        <v>28</v>
      </c>
      <c r="B975" s="45"/>
      <c r="C975" s="45" t="s">
        <v>29</v>
      </c>
      <c r="D975" s="45"/>
      <c r="E975" s="45"/>
      <c r="F975" s="45"/>
      <c r="G975" s="45"/>
      <c r="H975" s="15" t="s">
        <v>30</v>
      </c>
      <c r="I975" s="15" t="s">
        <v>10</v>
      </c>
      <c r="J975" s="15" t="s">
        <v>34</v>
      </c>
    </row>
    <row r="976" spans="1:10" ht="28" customHeight="1" x14ac:dyDescent="0.2">
      <c r="A976" s="35">
        <f ca="1">INDIRECT(_xlfn.TEXTJOIN("",TRUE,A992,"!",ADDRESS(13+(A993-1)*A989,1)))</f>
        <v>0</v>
      </c>
      <c r="B976" s="36"/>
      <c r="C976" s="37">
        <f ca="1">INDIRECT(_xlfn.TEXTJOIN("",TRUE,A992,"!",ADDRESS(13+(A993-1)*A989,2)))</f>
        <v>0</v>
      </c>
      <c r="D976" s="38"/>
      <c r="E976" s="38"/>
      <c r="F976" s="38"/>
      <c r="G976" s="39"/>
      <c r="H976" s="20">
        <f ca="1">INDIRECT(_xlfn.TEXTJOIN("",TRUE,A992,"!",ADDRESS(13+(A993-1)*A989,6)))</f>
        <v>0</v>
      </c>
      <c r="I976" s="20">
        <f ca="1">INDIRECT(_xlfn.TEXTJOIN("",TRUE,A992,"!",ADDRESS(13+(A993-1)*A989,13)))</f>
        <v>0</v>
      </c>
      <c r="J976" s="20">
        <f ca="1">INDIRECT(_xlfn.TEXTJOIN("",TRUE,A992,"!",ADDRESS(13+(A993-1)*A989,14)))</f>
        <v>0</v>
      </c>
    </row>
    <row r="977" spans="1:10" ht="28" customHeight="1" x14ac:dyDescent="0.2">
      <c r="A977" s="35">
        <f ca="1">INDIRECT(_xlfn.TEXTJOIN("",TRUE,A992,"!",ADDRESS(14+(A993-1)*A989,1)))</f>
        <v>0</v>
      </c>
      <c r="B977" s="36"/>
      <c r="C977" s="37">
        <f ca="1">INDIRECT(_xlfn.TEXTJOIN("",TRUE,A992,"!",ADDRESS(14+(A993-1)*A989,2)))</f>
        <v>0</v>
      </c>
      <c r="D977" s="38"/>
      <c r="E977" s="38"/>
      <c r="F977" s="38"/>
      <c r="G977" s="39"/>
      <c r="H977" s="20">
        <f ca="1">INDIRECT(_xlfn.TEXTJOIN("",TRUE,A992,"!",ADDRESS(14+(A993-1)*A989,6)))</f>
        <v>0</v>
      </c>
      <c r="I977" s="20">
        <f ca="1">INDIRECT(_xlfn.TEXTJOIN("",TRUE,A992,"!",ADDRESS(14+(A993-1)*A989,13)))</f>
        <v>0</v>
      </c>
      <c r="J977" s="20">
        <f ca="1">INDIRECT(_xlfn.TEXTJOIN("",TRUE,A992,"!",ADDRESS(14+(A993-1)*A989,14)))</f>
        <v>0</v>
      </c>
    </row>
    <row r="978" spans="1:10" ht="28" customHeight="1" x14ac:dyDescent="0.2">
      <c r="A978" s="35">
        <f ca="1">INDIRECT(_xlfn.TEXTJOIN("",TRUE,A992,"!",ADDRESS(15+(A993-1)*A989,1)))</f>
        <v>0</v>
      </c>
      <c r="B978" s="36"/>
      <c r="C978" s="37">
        <f ca="1">INDIRECT(_xlfn.TEXTJOIN("",TRUE,A992,"!",ADDRESS(15+(A993-1)*A989,2)))</f>
        <v>0</v>
      </c>
      <c r="D978" s="38"/>
      <c r="E978" s="38"/>
      <c r="F978" s="38"/>
      <c r="G978" s="39"/>
      <c r="H978" s="20">
        <f ca="1">INDIRECT(_xlfn.TEXTJOIN("",TRUE,A992,"!",ADDRESS(15+(A993-1)*A989,6)))</f>
        <v>0</v>
      </c>
      <c r="I978" s="20">
        <f ca="1">INDIRECT(_xlfn.TEXTJOIN("",TRUE,A992,"!",ADDRESS(15+(A993-1)*A989,13)))</f>
        <v>0</v>
      </c>
      <c r="J978" s="20">
        <f ca="1">INDIRECT(_xlfn.TEXTJOIN("",TRUE,A992,"!",ADDRESS(15+(A993-1)*A989,14)))</f>
        <v>0</v>
      </c>
    </row>
    <row r="979" spans="1:10" ht="28" customHeight="1" x14ac:dyDescent="0.2">
      <c r="A979" s="35">
        <f ca="1">INDIRECT(_xlfn.TEXTJOIN("",TRUE,A992,"!",ADDRESS(16+(A993-1)*A989,1)))</f>
        <v>0</v>
      </c>
      <c r="B979" s="36"/>
      <c r="C979" s="37">
        <f ca="1">INDIRECT(_xlfn.TEXTJOIN("",TRUE,A992,"!",ADDRESS(16+(A993-1)*A989,2)))</f>
        <v>0</v>
      </c>
      <c r="D979" s="38"/>
      <c r="E979" s="38"/>
      <c r="F979" s="38"/>
      <c r="G979" s="39"/>
      <c r="H979" s="20">
        <f ca="1">INDIRECT(_xlfn.TEXTJOIN("",TRUE,A992,"!",ADDRESS(16+(A993-1)*A989,6)))</f>
        <v>0</v>
      </c>
      <c r="I979" s="20">
        <f ca="1">INDIRECT(_xlfn.TEXTJOIN("",TRUE,A992,"!",ADDRESS(16+(A993-1)*A989,13)))</f>
        <v>0</v>
      </c>
      <c r="J979" s="20">
        <f ca="1">INDIRECT(_xlfn.TEXTJOIN("",TRUE,A992,"!",ADDRESS(16+(A993-1)*A989,14)))</f>
        <v>0</v>
      </c>
    </row>
    <row r="980" spans="1:10" ht="28" customHeight="1" x14ac:dyDescent="0.2">
      <c r="A980" s="35">
        <f ca="1">INDIRECT(_xlfn.TEXTJOIN("",TRUE,A992,"!",ADDRESS(17+(A993-1)*A989,1)))</f>
        <v>0</v>
      </c>
      <c r="B980" s="36"/>
      <c r="C980" s="37">
        <f ca="1">INDIRECT(_xlfn.TEXTJOIN("",TRUE,A992,"!",ADDRESS(17+(A993-1)*A989,2)))</f>
        <v>0</v>
      </c>
      <c r="D980" s="38"/>
      <c r="E980" s="38"/>
      <c r="F980" s="38"/>
      <c r="G980" s="39"/>
      <c r="H980" s="20">
        <f ca="1">INDIRECT(_xlfn.TEXTJOIN("",TRUE,A992,"!",ADDRESS(17+(A993-1)*A989,6)))</f>
        <v>0</v>
      </c>
      <c r="I980" s="20">
        <f ca="1">INDIRECT(_xlfn.TEXTJOIN("",TRUE,A992,"!",ADDRESS(17+(A993-1)*A989,13)))</f>
        <v>0</v>
      </c>
      <c r="J980" s="20">
        <f ca="1">INDIRECT(_xlfn.TEXTJOIN("",TRUE,A992,"!",ADDRESS(17+(A993-1)*A989,14)))</f>
        <v>0</v>
      </c>
    </row>
    <row r="981" spans="1:10" ht="28" customHeight="1" x14ac:dyDescent="0.2">
      <c r="A981" s="35">
        <f ca="1">INDIRECT(_xlfn.TEXTJOIN("",TRUE,A992,"!",ADDRESS(18+(A993-1)*A989,1)))</f>
        <v>0</v>
      </c>
      <c r="B981" s="36"/>
      <c r="C981" s="37">
        <f ca="1">INDIRECT(_xlfn.TEXTJOIN("",TRUE,A992,"!",ADDRESS(18+(A993-1)*A989,2)))</f>
        <v>0</v>
      </c>
      <c r="D981" s="38"/>
      <c r="E981" s="38"/>
      <c r="F981" s="38"/>
      <c r="G981" s="39"/>
      <c r="H981" s="20">
        <f ca="1">INDIRECT(_xlfn.TEXTJOIN("",TRUE,A992,"!",ADDRESS(18+(A993-1)*A989,6)))</f>
        <v>0</v>
      </c>
      <c r="I981" s="20">
        <f ca="1">INDIRECT(_xlfn.TEXTJOIN("",TRUE,A992,"!",ADDRESS(18+(A993-1)*A989,13)))</f>
        <v>0</v>
      </c>
      <c r="J981" s="20">
        <f ca="1">INDIRECT(_xlfn.TEXTJOIN("",TRUE,A992,"!",ADDRESS(18+(A993-1)*A989,14)))</f>
        <v>0</v>
      </c>
    </row>
    <row r="982" spans="1:10" ht="28" customHeight="1" x14ac:dyDescent="0.2">
      <c r="A982" s="35">
        <f ca="1">INDIRECT(_xlfn.TEXTJOIN("",TRUE,A992,"!",ADDRESS(19+(A993-1)*A989,1)))</f>
        <v>0</v>
      </c>
      <c r="B982" s="36"/>
      <c r="C982" s="37">
        <f ca="1">INDIRECT(_xlfn.TEXTJOIN("",TRUE,A992,"!",ADDRESS(19+(A993-1)*A989,2)))</f>
        <v>0</v>
      </c>
      <c r="D982" s="38"/>
      <c r="E982" s="38"/>
      <c r="F982" s="38"/>
      <c r="G982" s="39"/>
      <c r="H982" s="20">
        <f ca="1">INDIRECT(_xlfn.TEXTJOIN("",TRUE,A992,"!",ADDRESS(19+(A993-1)*A989,6)))</f>
        <v>0</v>
      </c>
      <c r="I982" s="20">
        <f ca="1">INDIRECT(_xlfn.TEXTJOIN("",TRUE,A992,"!",ADDRESS(19+(A993-1)*A989,13)))</f>
        <v>0</v>
      </c>
      <c r="J982" s="20">
        <f ca="1">INDIRECT(_xlfn.TEXTJOIN("",TRUE,A992,"!",ADDRESS(19+(A993-1)*A989,14)))</f>
        <v>0</v>
      </c>
    </row>
    <row r="983" spans="1:10" ht="28" customHeight="1" x14ac:dyDescent="0.2">
      <c r="A983" s="35">
        <f ca="1">INDIRECT(_xlfn.TEXTJOIN("",TRUE,A992,"!",ADDRESS(20+(A993-1)*A989,1)))</f>
        <v>0</v>
      </c>
      <c r="B983" s="36"/>
      <c r="C983" s="37">
        <f ca="1">INDIRECT(_xlfn.TEXTJOIN("",TRUE,A992,"!",ADDRESS(20+(A993-1)*A989,2)))</f>
        <v>0</v>
      </c>
      <c r="D983" s="38"/>
      <c r="E983" s="38"/>
      <c r="F983" s="38"/>
      <c r="G983" s="39"/>
      <c r="H983" s="20">
        <f ca="1">INDIRECT(_xlfn.TEXTJOIN("",TRUE,A992,"!",ADDRESS(20+(A993-1)*A989,6)))</f>
        <v>0</v>
      </c>
      <c r="I983" s="20">
        <f ca="1">INDIRECT(_xlfn.TEXTJOIN("",TRUE,A992,"!",ADDRESS(20+(A993-1)*A989,13)))</f>
        <v>0</v>
      </c>
      <c r="J983" s="20">
        <f ca="1">INDIRECT(_xlfn.TEXTJOIN("",TRUE,A992,"!",ADDRESS(20+(A993-1)*A989,14)))</f>
        <v>0</v>
      </c>
    </row>
    <row r="984" spans="1:10" ht="28" customHeight="1" x14ac:dyDescent="0.2">
      <c r="A984" s="35">
        <f ca="1">INDIRECT(_xlfn.TEXTJOIN("",TRUE,A992,"!",ADDRESS(21+(A993-1)*A989,1)))</f>
        <v>0</v>
      </c>
      <c r="B984" s="36"/>
      <c r="C984" s="37">
        <f ca="1">INDIRECT(_xlfn.TEXTJOIN("",TRUE,A992,"!",ADDRESS(21+(A993-1)*A989,2)))</f>
        <v>0</v>
      </c>
      <c r="D984" s="38"/>
      <c r="E984" s="38"/>
      <c r="F984" s="38"/>
      <c r="G984" s="39"/>
      <c r="H984" s="20">
        <f ca="1">INDIRECT(_xlfn.TEXTJOIN("",TRUE,A992,"!",ADDRESS(21+(A993-1)*A989,6)))</f>
        <v>0</v>
      </c>
      <c r="I984" s="20">
        <f ca="1">INDIRECT(_xlfn.TEXTJOIN("",TRUE,A992,"!",ADDRESS(21+(A993-1)*A989,13)))</f>
        <v>0</v>
      </c>
      <c r="J984" s="20">
        <f ca="1">INDIRECT(_xlfn.TEXTJOIN("",TRUE,A992,"!",ADDRESS(21+(A993-1)*A989,14)))</f>
        <v>0</v>
      </c>
    </row>
    <row r="985" spans="1:10" ht="28" customHeight="1" x14ac:dyDescent="0.2">
      <c r="A985" s="35">
        <f ca="1">INDIRECT(_xlfn.TEXTJOIN("",TRUE,A992,"!",ADDRESS(22+(A993-1)*A989,1)))</f>
        <v>0</v>
      </c>
      <c r="B985" s="36"/>
      <c r="C985" s="37">
        <f ca="1">INDIRECT(_xlfn.TEXTJOIN("",TRUE,A992,"!",ADDRESS(22+(A993-1)*A989,2)))</f>
        <v>0</v>
      </c>
      <c r="D985" s="38"/>
      <c r="E985" s="38"/>
      <c r="F985" s="38"/>
      <c r="G985" s="39"/>
      <c r="H985" s="20">
        <f ca="1">INDIRECT(_xlfn.TEXTJOIN("",TRUE,A992,"!",ADDRESS(22+(A993-1)*A989,6)))</f>
        <v>0</v>
      </c>
      <c r="I985" s="20">
        <f ca="1">INDIRECT(_xlfn.TEXTJOIN("",TRUE,A992,"!",ADDRESS(22+(A993-1)*A989,13)))</f>
        <v>0</v>
      </c>
      <c r="J985" s="20">
        <f ca="1">INDIRECT(_xlfn.TEXTJOIN("",TRUE,A992,"!",ADDRESS(22+(A993-1)*A989,14)))</f>
        <v>0</v>
      </c>
    </row>
    <row r="986" spans="1:10" ht="28" customHeight="1" x14ac:dyDescent="0.2">
      <c r="A986" s="35">
        <f ca="1">INDIRECT(_xlfn.TEXTJOIN("",TRUE,A992,"!",ADDRESS(23+(A993-1)*A989,1)))</f>
        <v>0</v>
      </c>
      <c r="B986" s="36"/>
      <c r="C986" s="37">
        <f ca="1">INDIRECT(_xlfn.TEXTJOIN("",TRUE,A992,"!",ADDRESS(23+(A993-1)*A989,2)))</f>
        <v>0</v>
      </c>
      <c r="D986" s="38"/>
      <c r="E986" s="38"/>
      <c r="F986" s="38"/>
      <c r="G986" s="39"/>
      <c r="H986" s="20">
        <f ca="1">INDIRECT(_xlfn.TEXTJOIN("",TRUE,A992,"!",ADDRESS(23+(A993-1)*A989,6)))</f>
        <v>0</v>
      </c>
      <c r="I986" s="20">
        <f ca="1">INDIRECT(_xlfn.TEXTJOIN("",TRUE,A992,"!",ADDRESS(23+(A993-1)*A989,13)))</f>
        <v>0</v>
      </c>
      <c r="J986" s="20">
        <f ca="1">INDIRECT(_xlfn.TEXTJOIN("",TRUE,A992,"!",ADDRESS(23+(A993-1)*A989,14)))</f>
        <v>0</v>
      </c>
    </row>
    <row r="987" spans="1:10" ht="28" customHeight="1" x14ac:dyDescent="0.2">
      <c r="A987" s="35">
        <f ca="1">INDIRECT(_xlfn.TEXTJOIN("",TRUE,A992,"!",ADDRESS(24+(A993-1)*A989,1)))</f>
        <v>0</v>
      </c>
      <c r="B987" s="36"/>
      <c r="C987" s="37">
        <f ca="1">INDIRECT(_xlfn.TEXTJOIN("",TRUE,A992,"!",ADDRESS(24+(A993-1)*A989,2)))</f>
        <v>0</v>
      </c>
      <c r="D987" s="38"/>
      <c r="E987" s="38"/>
      <c r="F987" s="38"/>
      <c r="G987" s="39"/>
      <c r="H987" s="20">
        <f ca="1">INDIRECT(_xlfn.TEXTJOIN("",TRUE,A992,"!",ADDRESS(24+(A993-1)*A989,6)))</f>
        <v>0</v>
      </c>
      <c r="I987" s="40">
        <f ca="1">INDIRECT(_xlfn.TEXTJOIN("",TRUE,A992,"!",ADDRESS(24+(A993-1)*A989,13)))</f>
        <v>0</v>
      </c>
      <c r="J987" s="41"/>
    </row>
    <row r="988" spans="1:10" ht="28" customHeight="1" x14ac:dyDescent="0.2">
      <c r="A988" s="42" t="s">
        <v>52</v>
      </c>
      <c r="B988" s="42"/>
      <c r="C988" s="42"/>
      <c r="D988" s="42"/>
      <c r="E988" s="42"/>
      <c r="F988" s="42"/>
      <c r="G988" s="42"/>
      <c r="H988" s="16">
        <f ca="1">SUM(H976:H987)</f>
        <v>0</v>
      </c>
      <c r="I988" s="16" t="s">
        <v>44</v>
      </c>
      <c r="J988" s="16">
        <f ca="1">SUMPRODUCT(J976:J986,H976:H986)</f>
        <v>0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43" t="s">
        <v>40</v>
      </c>
      <c r="B990" s="43"/>
      <c r="C990" s="21">
        <f ca="1">INDIRECT(_xlfn.TEXTJOIN("",TRUE,A992,"!",ADDRESS(5+A993*A989,12)))</f>
        <v>0</v>
      </c>
      <c r="D990" s="43" t="s">
        <v>38</v>
      </c>
      <c r="E990" s="43"/>
      <c r="F990" s="18">
        <f ca="1">INDIRECT(_xlfn.TEXTJOIN("",TRUE,A992,"!",ADDRESS(5+A993*A989,8)))</f>
        <v>0</v>
      </c>
      <c r="G990" s="43" t="s">
        <v>39</v>
      </c>
      <c r="H990" s="43"/>
      <c r="I990" s="44">
        <f ca="1">INDIRECT(_xlfn.TEXTJOIN("",TRUE,A992,"!",ADDRESS(5+A993*A989,10)))</f>
        <v>0</v>
      </c>
      <c r="J990" s="44"/>
    </row>
    <row r="991" spans="1:10" ht="28" customHeight="1" x14ac:dyDescent="0.2">
      <c r="A991" s="19" t="s">
        <v>36</v>
      </c>
      <c r="B991" s="45">
        <f ca="1">INDIRECT(_xlfn.TEXTJOIN("",TRUE,A992,"!",ADDRESS(5+A993*A989,2)))</f>
        <v>0</v>
      </c>
      <c r="C991" s="45"/>
      <c r="D991" s="46" t="s">
        <v>37</v>
      </c>
      <c r="E991" s="46"/>
      <c r="F991" s="47">
        <f ca="1">INDIRECT(_xlfn.TEXTJOIN("",TRUE,A992,"!",ADDRESS(5+A993*A989,5)))</f>
        <v>0</v>
      </c>
      <c r="G991" s="47"/>
      <c r="H991" s="47"/>
      <c r="I991" s="47"/>
      <c r="J991" s="47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48" t="s">
        <v>24</v>
      </c>
      <c r="B994" s="48"/>
      <c r="C994" s="48">
        <f ca="1">INDIRECT(_xlfn.TEXTJOIN("",TRUE,A1013,"!",ADDRESS(9+(A1014-1)*A1010,2)))</f>
        <v>0</v>
      </c>
      <c r="D994" s="48"/>
      <c r="E994" s="48"/>
      <c r="F994" s="48" t="s">
        <v>50</v>
      </c>
      <c r="G994" s="48"/>
      <c r="H994" s="48"/>
      <c r="I994" s="49">
        <f ca="1">INDIRECT(_xlfn.TEXTJOIN("",TRUE,A1013,"!",ADDRESS(9+(A1014-1)*A1010,9)))</f>
        <v>0</v>
      </c>
      <c r="J994" s="49"/>
    </row>
    <row r="995" spans="1:10" ht="28" customHeight="1" x14ac:dyDescent="0.2">
      <c r="A995" s="48" t="s">
        <v>25</v>
      </c>
      <c r="B995" s="48"/>
      <c r="C995" s="48">
        <f ca="1">INDIRECT(_xlfn.TEXTJOIN("",TRUE,A1013,"!",ADDRESS(9+(A1014-1)*A1010,5)))</f>
        <v>0</v>
      </c>
      <c r="D995" s="48"/>
      <c r="E995" s="48"/>
      <c r="F995" s="50" t="s">
        <v>51</v>
      </c>
      <c r="G995" s="50"/>
      <c r="H995" s="50"/>
      <c r="I995" s="49">
        <f ca="1">INDIRECT(_xlfn.TEXTJOIN("",TRUE,A1013,"!",ADDRESS(9+(A1014-1)*A1010,13)))</f>
        <v>0</v>
      </c>
      <c r="J995" s="49"/>
    </row>
    <row r="996" spans="1:10" ht="28" customHeight="1" x14ac:dyDescent="0.2">
      <c r="A996" s="45" t="s">
        <v>28</v>
      </c>
      <c r="B996" s="45"/>
      <c r="C996" s="45" t="s">
        <v>29</v>
      </c>
      <c r="D996" s="45"/>
      <c r="E996" s="45"/>
      <c r="F996" s="45"/>
      <c r="G996" s="45"/>
      <c r="H996" s="15" t="s">
        <v>30</v>
      </c>
      <c r="I996" s="15" t="s">
        <v>10</v>
      </c>
      <c r="J996" s="15" t="s">
        <v>34</v>
      </c>
    </row>
    <row r="997" spans="1:10" ht="28" customHeight="1" x14ac:dyDescent="0.2">
      <c r="A997" s="35">
        <f ca="1">INDIRECT(_xlfn.TEXTJOIN("",TRUE,A1013,"!",ADDRESS(13+(A1014-1)*A1010,1)))</f>
        <v>0</v>
      </c>
      <c r="B997" s="36"/>
      <c r="C997" s="37">
        <f ca="1">INDIRECT(_xlfn.TEXTJOIN("",TRUE,A1013,"!",ADDRESS(13+(A1014-1)*A1010,2)))</f>
        <v>0</v>
      </c>
      <c r="D997" s="38"/>
      <c r="E997" s="38"/>
      <c r="F997" s="38"/>
      <c r="G997" s="39"/>
      <c r="H997" s="20">
        <f ca="1">INDIRECT(_xlfn.TEXTJOIN("",TRUE,A1013,"!",ADDRESS(13+(A1014-1)*A1010,6)))</f>
        <v>0</v>
      </c>
      <c r="I997" s="20">
        <f ca="1">INDIRECT(_xlfn.TEXTJOIN("",TRUE,A1013,"!",ADDRESS(13+(A1014-1)*A1010,13)))</f>
        <v>0</v>
      </c>
      <c r="J997" s="20">
        <f ca="1">INDIRECT(_xlfn.TEXTJOIN("",TRUE,A1013,"!",ADDRESS(13+(A1014-1)*A1010,14)))</f>
        <v>0</v>
      </c>
    </row>
    <row r="998" spans="1:10" ht="28" customHeight="1" x14ac:dyDescent="0.2">
      <c r="A998" s="35">
        <f ca="1">INDIRECT(_xlfn.TEXTJOIN("",TRUE,A1013,"!",ADDRESS(14+(A1014-1)*A1010,1)))</f>
        <v>0</v>
      </c>
      <c r="B998" s="36"/>
      <c r="C998" s="37">
        <f ca="1">INDIRECT(_xlfn.TEXTJOIN("",TRUE,A1013,"!",ADDRESS(14+(A1014-1)*A1010,2)))</f>
        <v>0</v>
      </c>
      <c r="D998" s="38"/>
      <c r="E998" s="38"/>
      <c r="F998" s="38"/>
      <c r="G998" s="39"/>
      <c r="H998" s="20">
        <f ca="1">INDIRECT(_xlfn.TEXTJOIN("",TRUE,A1013,"!",ADDRESS(14+(A1014-1)*A1010,6)))</f>
        <v>0</v>
      </c>
      <c r="I998" s="20">
        <f ca="1">INDIRECT(_xlfn.TEXTJOIN("",TRUE,A1013,"!",ADDRESS(14+(A1014-1)*A1010,13)))</f>
        <v>0</v>
      </c>
      <c r="J998" s="20">
        <f ca="1">INDIRECT(_xlfn.TEXTJOIN("",TRUE,A1013,"!",ADDRESS(14+(A1014-1)*A1010,14)))</f>
        <v>0</v>
      </c>
    </row>
    <row r="999" spans="1:10" ht="28" customHeight="1" x14ac:dyDescent="0.2">
      <c r="A999" s="35">
        <f ca="1">INDIRECT(_xlfn.TEXTJOIN("",TRUE,A1013,"!",ADDRESS(15+(A1014-1)*A1010,1)))</f>
        <v>0</v>
      </c>
      <c r="B999" s="36"/>
      <c r="C999" s="37">
        <f ca="1">INDIRECT(_xlfn.TEXTJOIN("",TRUE,A1013,"!",ADDRESS(15+(A1014-1)*A1010,2)))</f>
        <v>0</v>
      </c>
      <c r="D999" s="38"/>
      <c r="E999" s="38"/>
      <c r="F999" s="38"/>
      <c r="G999" s="39"/>
      <c r="H999" s="20">
        <f ca="1">INDIRECT(_xlfn.TEXTJOIN("",TRUE,A1013,"!",ADDRESS(15+(A1014-1)*A1010,6)))</f>
        <v>0</v>
      </c>
      <c r="I999" s="20">
        <f ca="1">INDIRECT(_xlfn.TEXTJOIN("",TRUE,A1013,"!",ADDRESS(15+(A1014-1)*A1010,13)))</f>
        <v>0</v>
      </c>
      <c r="J999" s="20">
        <f ca="1">INDIRECT(_xlfn.TEXTJOIN("",TRUE,A1013,"!",ADDRESS(15+(A1014-1)*A1010,14)))</f>
        <v>0</v>
      </c>
    </row>
    <row r="1000" spans="1:10" ht="28" customHeight="1" x14ac:dyDescent="0.2">
      <c r="A1000" s="35">
        <f ca="1">INDIRECT(_xlfn.TEXTJOIN("",TRUE,A1013,"!",ADDRESS(16+(A1014-1)*A1010,1)))</f>
        <v>0</v>
      </c>
      <c r="B1000" s="36"/>
      <c r="C1000" s="37">
        <f ca="1">INDIRECT(_xlfn.TEXTJOIN("",TRUE,A1013,"!",ADDRESS(16+(A1014-1)*A1010,2)))</f>
        <v>0</v>
      </c>
      <c r="D1000" s="38"/>
      <c r="E1000" s="38"/>
      <c r="F1000" s="38"/>
      <c r="G1000" s="39"/>
      <c r="H1000" s="20">
        <f ca="1">INDIRECT(_xlfn.TEXTJOIN("",TRUE,A1013,"!",ADDRESS(16+(A1014-1)*A1010,6)))</f>
        <v>0</v>
      </c>
      <c r="I1000" s="20">
        <f ca="1">INDIRECT(_xlfn.TEXTJOIN("",TRUE,A1013,"!",ADDRESS(16+(A1014-1)*A1010,13)))</f>
        <v>0</v>
      </c>
      <c r="J1000" s="20">
        <f ca="1">INDIRECT(_xlfn.TEXTJOIN("",TRUE,A1013,"!",ADDRESS(16+(A1014-1)*A1010,14)))</f>
        <v>0</v>
      </c>
    </row>
    <row r="1001" spans="1:10" ht="28" customHeight="1" x14ac:dyDescent="0.2">
      <c r="A1001" s="35">
        <f ca="1">INDIRECT(_xlfn.TEXTJOIN("",TRUE,A1013,"!",ADDRESS(17+(A1014-1)*A1010,1)))</f>
        <v>0</v>
      </c>
      <c r="B1001" s="36"/>
      <c r="C1001" s="37">
        <f ca="1">INDIRECT(_xlfn.TEXTJOIN("",TRUE,A1013,"!",ADDRESS(17+(A1014-1)*A1010,2)))</f>
        <v>0</v>
      </c>
      <c r="D1001" s="38"/>
      <c r="E1001" s="38"/>
      <c r="F1001" s="38"/>
      <c r="G1001" s="39"/>
      <c r="H1001" s="20">
        <f ca="1">INDIRECT(_xlfn.TEXTJOIN("",TRUE,A1013,"!",ADDRESS(17+(A1014-1)*A1010,6)))</f>
        <v>0</v>
      </c>
      <c r="I1001" s="20">
        <f ca="1">INDIRECT(_xlfn.TEXTJOIN("",TRUE,A1013,"!",ADDRESS(17+(A1014-1)*A1010,13)))</f>
        <v>0</v>
      </c>
      <c r="J1001" s="20">
        <f ca="1">INDIRECT(_xlfn.TEXTJOIN("",TRUE,A1013,"!",ADDRESS(17+(A1014-1)*A1010,14)))</f>
        <v>0</v>
      </c>
    </row>
    <row r="1002" spans="1:10" ht="28" customHeight="1" x14ac:dyDescent="0.2">
      <c r="A1002" s="35">
        <f ca="1">INDIRECT(_xlfn.TEXTJOIN("",TRUE,A1013,"!",ADDRESS(18+(A1014-1)*A1010,1)))</f>
        <v>0</v>
      </c>
      <c r="B1002" s="36"/>
      <c r="C1002" s="37">
        <f ca="1">INDIRECT(_xlfn.TEXTJOIN("",TRUE,A1013,"!",ADDRESS(18+(A1014-1)*A1010,2)))</f>
        <v>0</v>
      </c>
      <c r="D1002" s="38"/>
      <c r="E1002" s="38"/>
      <c r="F1002" s="38"/>
      <c r="G1002" s="39"/>
      <c r="H1002" s="20">
        <f ca="1">INDIRECT(_xlfn.TEXTJOIN("",TRUE,A1013,"!",ADDRESS(18+(A1014-1)*A1010,6)))</f>
        <v>0</v>
      </c>
      <c r="I1002" s="20">
        <f ca="1">INDIRECT(_xlfn.TEXTJOIN("",TRUE,A1013,"!",ADDRESS(18+(A1014-1)*A1010,13)))</f>
        <v>0</v>
      </c>
      <c r="J1002" s="20">
        <f ca="1">INDIRECT(_xlfn.TEXTJOIN("",TRUE,A1013,"!",ADDRESS(18+(A1014-1)*A1010,14)))</f>
        <v>0</v>
      </c>
    </row>
    <row r="1003" spans="1:10" ht="28" customHeight="1" x14ac:dyDescent="0.2">
      <c r="A1003" s="35">
        <f ca="1">INDIRECT(_xlfn.TEXTJOIN("",TRUE,A1013,"!",ADDRESS(19+(A1014-1)*A1010,1)))</f>
        <v>0</v>
      </c>
      <c r="B1003" s="36"/>
      <c r="C1003" s="37">
        <f ca="1">INDIRECT(_xlfn.TEXTJOIN("",TRUE,A1013,"!",ADDRESS(19+(A1014-1)*A1010,2)))</f>
        <v>0</v>
      </c>
      <c r="D1003" s="38"/>
      <c r="E1003" s="38"/>
      <c r="F1003" s="38"/>
      <c r="G1003" s="39"/>
      <c r="H1003" s="20">
        <f ca="1">INDIRECT(_xlfn.TEXTJOIN("",TRUE,A1013,"!",ADDRESS(19+(A1014-1)*A1010,6)))</f>
        <v>0</v>
      </c>
      <c r="I1003" s="20">
        <f ca="1">INDIRECT(_xlfn.TEXTJOIN("",TRUE,A1013,"!",ADDRESS(19+(A1014-1)*A1010,13)))</f>
        <v>0</v>
      </c>
      <c r="J1003" s="20">
        <f ca="1">INDIRECT(_xlfn.TEXTJOIN("",TRUE,A1013,"!",ADDRESS(19+(A1014-1)*A1010,14)))</f>
        <v>0</v>
      </c>
    </row>
    <row r="1004" spans="1:10" ht="28" customHeight="1" x14ac:dyDescent="0.2">
      <c r="A1004" s="35">
        <f ca="1">INDIRECT(_xlfn.TEXTJOIN("",TRUE,A1013,"!",ADDRESS(20+(A1014-1)*A1010,1)))</f>
        <v>0</v>
      </c>
      <c r="B1004" s="36"/>
      <c r="C1004" s="37">
        <f ca="1">INDIRECT(_xlfn.TEXTJOIN("",TRUE,A1013,"!",ADDRESS(20+(A1014-1)*A1010,2)))</f>
        <v>0</v>
      </c>
      <c r="D1004" s="38"/>
      <c r="E1004" s="38"/>
      <c r="F1004" s="38"/>
      <c r="G1004" s="39"/>
      <c r="H1004" s="20">
        <f ca="1">INDIRECT(_xlfn.TEXTJOIN("",TRUE,A1013,"!",ADDRESS(20+(A1014-1)*A1010,6)))</f>
        <v>0</v>
      </c>
      <c r="I1004" s="20">
        <f ca="1">INDIRECT(_xlfn.TEXTJOIN("",TRUE,A1013,"!",ADDRESS(20+(A1014-1)*A1010,13)))</f>
        <v>0</v>
      </c>
      <c r="J1004" s="20">
        <f ca="1">INDIRECT(_xlfn.TEXTJOIN("",TRUE,A1013,"!",ADDRESS(20+(A1014-1)*A1010,14)))</f>
        <v>0</v>
      </c>
    </row>
    <row r="1005" spans="1:10" ht="28" customHeight="1" x14ac:dyDescent="0.2">
      <c r="A1005" s="35">
        <f ca="1">INDIRECT(_xlfn.TEXTJOIN("",TRUE,A1013,"!",ADDRESS(21+(A1014-1)*A1010,1)))</f>
        <v>0</v>
      </c>
      <c r="B1005" s="36"/>
      <c r="C1005" s="37">
        <f ca="1">INDIRECT(_xlfn.TEXTJOIN("",TRUE,A1013,"!",ADDRESS(21+(A1014-1)*A1010,2)))</f>
        <v>0</v>
      </c>
      <c r="D1005" s="38"/>
      <c r="E1005" s="38"/>
      <c r="F1005" s="38"/>
      <c r="G1005" s="39"/>
      <c r="H1005" s="20">
        <f ca="1">INDIRECT(_xlfn.TEXTJOIN("",TRUE,A1013,"!",ADDRESS(21+(A1014-1)*A1010,6)))</f>
        <v>0</v>
      </c>
      <c r="I1005" s="20">
        <f ca="1">INDIRECT(_xlfn.TEXTJOIN("",TRUE,A1013,"!",ADDRESS(21+(A1014-1)*A1010,13)))</f>
        <v>0</v>
      </c>
      <c r="J1005" s="20">
        <f ca="1">INDIRECT(_xlfn.TEXTJOIN("",TRUE,A1013,"!",ADDRESS(21+(A1014-1)*A1010,14)))</f>
        <v>0</v>
      </c>
    </row>
    <row r="1006" spans="1:10" ht="28" customHeight="1" x14ac:dyDescent="0.2">
      <c r="A1006" s="35">
        <f ca="1">INDIRECT(_xlfn.TEXTJOIN("",TRUE,A1013,"!",ADDRESS(22+(A1014-1)*A1010,1)))</f>
        <v>0</v>
      </c>
      <c r="B1006" s="36"/>
      <c r="C1006" s="37">
        <f ca="1">INDIRECT(_xlfn.TEXTJOIN("",TRUE,A1013,"!",ADDRESS(22+(A1014-1)*A1010,2)))</f>
        <v>0</v>
      </c>
      <c r="D1006" s="38"/>
      <c r="E1006" s="38"/>
      <c r="F1006" s="38"/>
      <c r="G1006" s="39"/>
      <c r="H1006" s="20">
        <f ca="1">INDIRECT(_xlfn.TEXTJOIN("",TRUE,A1013,"!",ADDRESS(22+(A1014-1)*A1010,6)))</f>
        <v>0</v>
      </c>
      <c r="I1006" s="20">
        <f ca="1">INDIRECT(_xlfn.TEXTJOIN("",TRUE,A1013,"!",ADDRESS(22+(A1014-1)*A1010,13)))</f>
        <v>0</v>
      </c>
      <c r="J1006" s="20">
        <f ca="1">INDIRECT(_xlfn.TEXTJOIN("",TRUE,A1013,"!",ADDRESS(22+(A1014-1)*A1010,14)))</f>
        <v>0</v>
      </c>
    </row>
    <row r="1007" spans="1:10" ht="28" customHeight="1" x14ac:dyDescent="0.2">
      <c r="A1007" s="35">
        <f ca="1">INDIRECT(_xlfn.TEXTJOIN("",TRUE,A1013,"!",ADDRESS(23+(A1014-1)*A1010,1)))</f>
        <v>0</v>
      </c>
      <c r="B1007" s="36"/>
      <c r="C1007" s="37">
        <f ca="1">INDIRECT(_xlfn.TEXTJOIN("",TRUE,A1013,"!",ADDRESS(23+(A1014-1)*A1010,2)))</f>
        <v>0</v>
      </c>
      <c r="D1007" s="38"/>
      <c r="E1007" s="38"/>
      <c r="F1007" s="38"/>
      <c r="G1007" s="39"/>
      <c r="H1007" s="20">
        <f ca="1">INDIRECT(_xlfn.TEXTJOIN("",TRUE,A1013,"!",ADDRESS(23+(A1014-1)*A1010,6)))</f>
        <v>0</v>
      </c>
      <c r="I1007" s="20">
        <f ca="1">INDIRECT(_xlfn.TEXTJOIN("",TRUE,A1013,"!",ADDRESS(23+(A1014-1)*A1010,13)))</f>
        <v>0</v>
      </c>
      <c r="J1007" s="20">
        <f ca="1">INDIRECT(_xlfn.TEXTJOIN("",TRUE,A1013,"!",ADDRESS(23+(A1014-1)*A1010,14)))</f>
        <v>0</v>
      </c>
    </row>
    <row r="1008" spans="1:10" ht="28" customHeight="1" x14ac:dyDescent="0.2">
      <c r="A1008" s="35">
        <f ca="1">INDIRECT(_xlfn.TEXTJOIN("",TRUE,A1013,"!",ADDRESS(24+(A1014-1)*A1010,1)))</f>
        <v>0</v>
      </c>
      <c r="B1008" s="36"/>
      <c r="C1008" s="37">
        <f ca="1">INDIRECT(_xlfn.TEXTJOIN("",TRUE,A1013,"!",ADDRESS(24+(A1014-1)*A1010,2)))</f>
        <v>0</v>
      </c>
      <c r="D1008" s="38"/>
      <c r="E1008" s="38"/>
      <c r="F1008" s="38"/>
      <c r="G1008" s="39"/>
      <c r="H1008" s="20">
        <f ca="1">INDIRECT(_xlfn.TEXTJOIN("",TRUE,A1013,"!",ADDRESS(24+(A1014-1)*A1010,6)))</f>
        <v>0</v>
      </c>
      <c r="I1008" s="40">
        <f ca="1">INDIRECT(_xlfn.TEXTJOIN("",TRUE,A1013,"!",ADDRESS(24+(A1014-1)*A1010,13)))</f>
        <v>0</v>
      </c>
      <c r="J1008" s="41"/>
    </row>
    <row r="1009" spans="1:10" ht="28" customHeight="1" x14ac:dyDescent="0.2">
      <c r="A1009" s="42" t="s">
        <v>52</v>
      </c>
      <c r="B1009" s="42"/>
      <c r="C1009" s="42"/>
      <c r="D1009" s="42"/>
      <c r="E1009" s="42"/>
      <c r="F1009" s="42"/>
      <c r="G1009" s="42"/>
      <c r="H1009" s="16">
        <f ca="1">SUM(H997:H1008)</f>
        <v>0</v>
      </c>
      <c r="I1009" s="16" t="s">
        <v>44</v>
      </c>
      <c r="J1009" s="16">
        <f ca="1">SUMPRODUCT(J997:J1007,H997:H1007)</f>
        <v>0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43" t="s">
        <v>40</v>
      </c>
      <c r="B1011" s="43"/>
      <c r="C1011" s="21">
        <f ca="1">INDIRECT(_xlfn.TEXTJOIN("",TRUE,A1013,"!",ADDRESS(5+A1014*A1010,12)))</f>
        <v>0</v>
      </c>
      <c r="D1011" s="43" t="s">
        <v>38</v>
      </c>
      <c r="E1011" s="43"/>
      <c r="F1011" s="18">
        <f ca="1">INDIRECT(_xlfn.TEXTJOIN("",TRUE,A1013,"!",ADDRESS(5+A1014*A1010,8)))</f>
        <v>0</v>
      </c>
      <c r="G1011" s="43" t="s">
        <v>39</v>
      </c>
      <c r="H1011" s="43"/>
      <c r="I1011" s="44">
        <f ca="1">INDIRECT(_xlfn.TEXTJOIN("",TRUE,A1013,"!",ADDRESS(5+A1014*A1010,10)))</f>
        <v>0</v>
      </c>
      <c r="J1011" s="44"/>
    </row>
    <row r="1012" spans="1:10" ht="28" customHeight="1" x14ac:dyDescent="0.2">
      <c r="A1012" s="19" t="s">
        <v>36</v>
      </c>
      <c r="B1012" s="45">
        <f ca="1">INDIRECT(_xlfn.TEXTJOIN("",TRUE,A1013,"!",ADDRESS(5+A1014*A1010,2)))</f>
        <v>0</v>
      </c>
      <c r="C1012" s="45"/>
      <c r="D1012" s="46" t="s">
        <v>37</v>
      </c>
      <c r="E1012" s="46"/>
      <c r="F1012" s="47">
        <f ca="1">INDIRECT(_xlfn.TEXTJOIN("",TRUE,A1013,"!",ADDRESS(5+A1014*A1010,5)))</f>
        <v>0</v>
      </c>
      <c r="G1012" s="47"/>
      <c r="H1012" s="47"/>
      <c r="I1012" s="47"/>
      <c r="J1012" s="47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48" t="s">
        <v>24</v>
      </c>
      <c r="B1015" s="48"/>
      <c r="C1015" s="48">
        <f ca="1">INDIRECT(_xlfn.TEXTJOIN("",TRUE,A1034,"!",ADDRESS(9+(A1035-1)*A1031,2)))</f>
        <v>0</v>
      </c>
      <c r="D1015" s="48"/>
      <c r="E1015" s="48"/>
      <c r="F1015" s="48" t="s">
        <v>50</v>
      </c>
      <c r="G1015" s="48"/>
      <c r="H1015" s="48"/>
      <c r="I1015" s="49">
        <f ca="1">INDIRECT(_xlfn.TEXTJOIN("",TRUE,A1034,"!",ADDRESS(9+(A1035-1)*A1031,9)))</f>
        <v>0</v>
      </c>
      <c r="J1015" s="49"/>
    </row>
    <row r="1016" spans="1:10" ht="28" customHeight="1" x14ac:dyDescent="0.2">
      <c r="A1016" s="48" t="s">
        <v>25</v>
      </c>
      <c r="B1016" s="48"/>
      <c r="C1016" s="48">
        <f ca="1">INDIRECT(_xlfn.TEXTJOIN("",TRUE,A1034,"!",ADDRESS(9+(A1035-1)*A1031,5)))</f>
        <v>0</v>
      </c>
      <c r="D1016" s="48"/>
      <c r="E1016" s="48"/>
      <c r="F1016" s="50" t="s">
        <v>51</v>
      </c>
      <c r="G1016" s="50"/>
      <c r="H1016" s="50"/>
      <c r="I1016" s="49">
        <f ca="1">INDIRECT(_xlfn.TEXTJOIN("",TRUE,A1034,"!",ADDRESS(9+(A1035-1)*A1031,13)))</f>
        <v>0</v>
      </c>
      <c r="J1016" s="49"/>
    </row>
    <row r="1017" spans="1:10" ht="28" customHeight="1" x14ac:dyDescent="0.2">
      <c r="A1017" s="45" t="s">
        <v>28</v>
      </c>
      <c r="B1017" s="45"/>
      <c r="C1017" s="45" t="s">
        <v>29</v>
      </c>
      <c r="D1017" s="45"/>
      <c r="E1017" s="45"/>
      <c r="F1017" s="45"/>
      <c r="G1017" s="45"/>
      <c r="H1017" s="15" t="s">
        <v>30</v>
      </c>
      <c r="I1017" s="15" t="s">
        <v>10</v>
      </c>
      <c r="J1017" s="15" t="s">
        <v>34</v>
      </c>
    </row>
    <row r="1018" spans="1:10" ht="28" customHeight="1" x14ac:dyDescent="0.2">
      <c r="A1018" s="35">
        <f ca="1">INDIRECT(_xlfn.TEXTJOIN("",TRUE,A1034,"!",ADDRESS(13+(A1035-1)*A1031,1)))</f>
        <v>0</v>
      </c>
      <c r="B1018" s="36"/>
      <c r="C1018" s="37">
        <f ca="1">INDIRECT(_xlfn.TEXTJOIN("",TRUE,A1034,"!",ADDRESS(13+(A1035-1)*A1031,2)))</f>
        <v>0</v>
      </c>
      <c r="D1018" s="38"/>
      <c r="E1018" s="38"/>
      <c r="F1018" s="38"/>
      <c r="G1018" s="39"/>
      <c r="H1018" s="20">
        <f ca="1">INDIRECT(_xlfn.TEXTJOIN("",TRUE,A1034,"!",ADDRESS(13+(A1035-1)*A1031,6)))</f>
        <v>0</v>
      </c>
      <c r="I1018" s="20">
        <f ca="1">INDIRECT(_xlfn.TEXTJOIN("",TRUE,A1034,"!",ADDRESS(13+(A1035-1)*A1031,13)))</f>
        <v>0</v>
      </c>
      <c r="J1018" s="20">
        <f ca="1">INDIRECT(_xlfn.TEXTJOIN("",TRUE,A1034,"!",ADDRESS(13+(A1035-1)*A1031,14)))</f>
        <v>0</v>
      </c>
    </row>
    <row r="1019" spans="1:10" ht="28" customHeight="1" x14ac:dyDescent="0.2">
      <c r="A1019" s="35">
        <f ca="1">INDIRECT(_xlfn.TEXTJOIN("",TRUE,A1034,"!",ADDRESS(14+(A1035-1)*A1031,1)))</f>
        <v>0</v>
      </c>
      <c r="B1019" s="36"/>
      <c r="C1019" s="37">
        <f ca="1">INDIRECT(_xlfn.TEXTJOIN("",TRUE,A1034,"!",ADDRESS(14+(A1035-1)*A1031,2)))</f>
        <v>0</v>
      </c>
      <c r="D1019" s="38"/>
      <c r="E1019" s="38"/>
      <c r="F1019" s="38"/>
      <c r="G1019" s="39"/>
      <c r="H1019" s="20">
        <f ca="1">INDIRECT(_xlfn.TEXTJOIN("",TRUE,A1034,"!",ADDRESS(14+(A1035-1)*A1031,6)))</f>
        <v>0</v>
      </c>
      <c r="I1019" s="20">
        <f ca="1">INDIRECT(_xlfn.TEXTJOIN("",TRUE,A1034,"!",ADDRESS(14+(A1035-1)*A1031,13)))</f>
        <v>0</v>
      </c>
      <c r="J1019" s="20">
        <f ca="1">INDIRECT(_xlfn.TEXTJOIN("",TRUE,A1034,"!",ADDRESS(14+(A1035-1)*A1031,14)))</f>
        <v>0</v>
      </c>
    </row>
    <row r="1020" spans="1:10" ht="28" customHeight="1" x14ac:dyDescent="0.2">
      <c r="A1020" s="35">
        <f ca="1">INDIRECT(_xlfn.TEXTJOIN("",TRUE,A1034,"!",ADDRESS(15+(A1035-1)*A1031,1)))</f>
        <v>0</v>
      </c>
      <c r="B1020" s="36"/>
      <c r="C1020" s="37">
        <f ca="1">INDIRECT(_xlfn.TEXTJOIN("",TRUE,A1034,"!",ADDRESS(15+(A1035-1)*A1031,2)))</f>
        <v>0</v>
      </c>
      <c r="D1020" s="38"/>
      <c r="E1020" s="38"/>
      <c r="F1020" s="38"/>
      <c r="G1020" s="39"/>
      <c r="H1020" s="20">
        <f ca="1">INDIRECT(_xlfn.TEXTJOIN("",TRUE,A1034,"!",ADDRESS(15+(A1035-1)*A1031,6)))</f>
        <v>0</v>
      </c>
      <c r="I1020" s="20">
        <f ca="1">INDIRECT(_xlfn.TEXTJOIN("",TRUE,A1034,"!",ADDRESS(15+(A1035-1)*A1031,13)))</f>
        <v>0</v>
      </c>
      <c r="J1020" s="20">
        <f ca="1">INDIRECT(_xlfn.TEXTJOIN("",TRUE,A1034,"!",ADDRESS(15+(A1035-1)*A1031,14)))</f>
        <v>0</v>
      </c>
    </row>
    <row r="1021" spans="1:10" ht="28" customHeight="1" x14ac:dyDescent="0.2">
      <c r="A1021" s="35">
        <f ca="1">INDIRECT(_xlfn.TEXTJOIN("",TRUE,A1034,"!",ADDRESS(16+(A1035-1)*A1031,1)))</f>
        <v>0</v>
      </c>
      <c r="B1021" s="36"/>
      <c r="C1021" s="37">
        <f ca="1">INDIRECT(_xlfn.TEXTJOIN("",TRUE,A1034,"!",ADDRESS(16+(A1035-1)*A1031,2)))</f>
        <v>0</v>
      </c>
      <c r="D1021" s="38"/>
      <c r="E1021" s="38"/>
      <c r="F1021" s="38"/>
      <c r="G1021" s="39"/>
      <c r="H1021" s="20">
        <f ca="1">INDIRECT(_xlfn.TEXTJOIN("",TRUE,A1034,"!",ADDRESS(16+(A1035-1)*A1031,6)))</f>
        <v>0</v>
      </c>
      <c r="I1021" s="20">
        <f ca="1">INDIRECT(_xlfn.TEXTJOIN("",TRUE,A1034,"!",ADDRESS(16+(A1035-1)*A1031,13)))</f>
        <v>0</v>
      </c>
      <c r="J1021" s="20">
        <f ca="1">INDIRECT(_xlfn.TEXTJOIN("",TRUE,A1034,"!",ADDRESS(16+(A1035-1)*A1031,14)))</f>
        <v>0</v>
      </c>
    </row>
    <row r="1022" spans="1:10" ht="28" customHeight="1" x14ac:dyDescent="0.2">
      <c r="A1022" s="35">
        <f ca="1">INDIRECT(_xlfn.TEXTJOIN("",TRUE,A1034,"!",ADDRESS(17+(A1035-1)*A1031,1)))</f>
        <v>0</v>
      </c>
      <c r="B1022" s="36"/>
      <c r="C1022" s="37">
        <f ca="1">INDIRECT(_xlfn.TEXTJOIN("",TRUE,A1034,"!",ADDRESS(17+(A1035-1)*A1031,2)))</f>
        <v>0</v>
      </c>
      <c r="D1022" s="38"/>
      <c r="E1022" s="38"/>
      <c r="F1022" s="38"/>
      <c r="G1022" s="39"/>
      <c r="H1022" s="20">
        <f ca="1">INDIRECT(_xlfn.TEXTJOIN("",TRUE,A1034,"!",ADDRESS(17+(A1035-1)*A1031,6)))</f>
        <v>0</v>
      </c>
      <c r="I1022" s="20">
        <f ca="1">INDIRECT(_xlfn.TEXTJOIN("",TRUE,A1034,"!",ADDRESS(17+(A1035-1)*A1031,13)))</f>
        <v>0</v>
      </c>
      <c r="J1022" s="20">
        <f ca="1">INDIRECT(_xlfn.TEXTJOIN("",TRUE,A1034,"!",ADDRESS(17+(A1035-1)*A1031,14)))</f>
        <v>0</v>
      </c>
    </row>
    <row r="1023" spans="1:10" ht="28" customHeight="1" x14ac:dyDescent="0.2">
      <c r="A1023" s="35">
        <f ca="1">INDIRECT(_xlfn.TEXTJOIN("",TRUE,A1034,"!",ADDRESS(18+(A1035-1)*A1031,1)))</f>
        <v>0</v>
      </c>
      <c r="B1023" s="36"/>
      <c r="C1023" s="37">
        <f ca="1">INDIRECT(_xlfn.TEXTJOIN("",TRUE,A1034,"!",ADDRESS(18+(A1035-1)*A1031,2)))</f>
        <v>0</v>
      </c>
      <c r="D1023" s="38"/>
      <c r="E1023" s="38"/>
      <c r="F1023" s="38"/>
      <c r="G1023" s="39"/>
      <c r="H1023" s="20">
        <f ca="1">INDIRECT(_xlfn.TEXTJOIN("",TRUE,A1034,"!",ADDRESS(18+(A1035-1)*A1031,6)))</f>
        <v>0</v>
      </c>
      <c r="I1023" s="20">
        <f ca="1">INDIRECT(_xlfn.TEXTJOIN("",TRUE,A1034,"!",ADDRESS(18+(A1035-1)*A1031,13)))</f>
        <v>0</v>
      </c>
      <c r="J1023" s="20">
        <f ca="1">INDIRECT(_xlfn.TEXTJOIN("",TRUE,A1034,"!",ADDRESS(18+(A1035-1)*A1031,14)))</f>
        <v>0</v>
      </c>
    </row>
    <row r="1024" spans="1:10" ht="28" customHeight="1" x14ac:dyDescent="0.2">
      <c r="A1024" s="35">
        <f ca="1">INDIRECT(_xlfn.TEXTJOIN("",TRUE,A1034,"!",ADDRESS(19+(A1035-1)*A1031,1)))</f>
        <v>0</v>
      </c>
      <c r="B1024" s="36"/>
      <c r="C1024" s="37">
        <f ca="1">INDIRECT(_xlfn.TEXTJOIN("",TRUE,A1034,"!",ADDRESS(19+(A1035-1)*A1031,2)))</f>
        <v>0</v>
      </c>
      <c r="D1024" s="38"/>
      <c r="E1024" s="38"/>
      <c r="F1024" s="38"/>
      <c r="G1024" s="39"/>
      <c r="H1024" s="20">
        <f ca="1">INDIRECT(_xlfn.TEXTJOIN("",TRUE,A1034,"!",ADDRESS(19+(A1035-1)*A1031,6)))</f>
        <v>0</v>
      </c>
      <c r="I1024" s="20">
        <f ca="1">INDIRECT(_xlfn.TEXTJOIN("",TRUE,A1034,"!",ADDRESS(19+(A1035-1)*A1031,13)))</f>
        <v>0</v>
      </c>
      <c r="J1024" s="20">
        <f ca="1">INDIRECT(_xlfn.TEXTJOIN("",TRUE,A1034,"!",ADDRESS(19+(A1035-1)*A1031,14)))</f>
        <v>0</v>
      </c>
    </row>
    <row r="1025" spans="1:10" ht="28" customHeight="1" x14ac:dyDescent="0.2">
      <c r="A1025" s="35">
        <f ca="1">INDIRECT(_xlfn.TEXTJOIN("",TRUE,A1034,"!",ADDRESS(20+(A1035-1)*A1031,1)))</f>
        <v>0</v>
      </c>
      <c r="B1025" s="36"/>
      <c r="C1025" s="37">
        <f ca="1">INDIRECT(_xlfn.TEXTJOIN("",TRUE,A1034,"!",ADDRESS(20+(A1035-1)*A1031,2)))</f>
        <v>0</v>
      </c>
      <c r="D1025" s="38"/>
      <c r="E1025" s="38"/>
      <c r="F1025" s="38"/>
      <c r="G1025" s="39"/>
      <c r="H1025" s="20">
        <f ca="1">INDIRECT(_xlfn.TEXTJOIN("",TRUE,A1034,"!",ADDRESS(20+(A1035-1)*A1031,6)))</f>
        <v>0</v>
      </c>
      <c r="I1025" s="20">
        <f ca="1">INDIRECT(_xlfn.TEXTJOIN("",TRUE,A1034,"!",ADDRESS(20+(A1035-1)*A1031,13)))</f>
        <v>0</v>
      </c>
      <c r="J1025" s="20">
        <f ca="1">INDIRECT(_xlfn.TEXTJOIN("",TRUE,A1034,"!",ADDRESS(20+(A1035-1)*A1031,14)))</f>
        <v>0</v>
      </c>
    </row>
    <row r="1026" spans="1:10" ht="28" customHeight="1" x14ac:dyDescent="0.2">
      <c r="A1026" s="35">
        <f ca="1">INDIRECT(_xlfn.TEXTJOIN("",TRUE,A1034,"!",ADDRESS(21+(A1035-1)*A1031,1)))</f>
        <v>0</v>
      </c>
      <c r="B1026" s="36"/>
      <c r="C1026" s="37">
        <f ca="1">INDIRECT(_xlfn.TEXTJOIN("",TRUE,A1034,"!",ADDRESS(21+(A1035-1)*A1031,2)))</f>
        <v>0</v>
      </c>
      <c r="D1026" s="38"/>
      <c r="E1026" s="38"/>
      <c r="F1026" s="38"/>
      <c r="G1026" s="39"/>
      <c r="H1026" s="20">
        <f ca="1">INDIRECT(_xlfn.TEXTJOIN("",TRUE,A1034,"!",ADDRESS(21+(A1035-1)*A1031,6)))</f>
        <v>0</v>
      </c>
      <c r="I1026" s="20">
        <f ca="1">INDIRECT(_xlfn.TEXTJOIN("",TRUE,A1034,"!",ADDRESS(21+(A1035-1)*A1031,13)))</f>
        <v>0</v>
      </c>
      <c r="J1026" s="20">
        <f ca="1">INDIRECT(_xlfn.TEXTJOIN("",TRUE,A1034,"!",ADDRESS(21+(A1035-1)*A1031,14)))</f>
        <v>0</v>
      </c>
    </row>
    <row r="1027" spans="1:10" ht="28" customHeight="1" x14ac:dyDescent="0.2">
      <c r="A1027" s="35">
        <f ca="1">INDIRECT(_xlfn.TEXTJOIN("",TRUE,A1034,"!",ADDRESS(22+(A1035-1)*A1031,1)))</f>
        <v>0</v>
      </c>
      <c r="B1027" s="36"/>
      <c r="C1027" s="37">
        <f ca="1">INDIRECT(_xlfn.TEXTJOIN("",TRUE,A1034,"!",ADDRESS(22+(A1035-1)*A1031,2)))</f>
        <v>0</v>
      </c>
      <c r="D1027" s="38"/>
      <c r="E1027" s="38"/>
      <c r="F1027" s="38"/>
      <c r="G1027" s="39"/>
      <c r="H1027" s="20">
        <f ca="1">INDIRECT(_xlfn.TEXTJOIN("",TRUE,A1034,"!",ADDRESS(22+(A1035-1)*A1031,6)))</f>
        <v>0</v>
      </c>
      <c r="I1027" s="20">
        <f ca="1">INDIRECT(_xlfn.TEXTJOIN("",TRUE,A1034,"!",ADDRESS(22+(A1035-1)*A1031,13)))</f>
        <v>0</v>
      </c>
      <c r="J1027" s="20">
        <f ca="1">INDIRECT(_xlfn.TEXTJOIN("",TRUE,A1034,"!",ADDRESS(22+(A1035-1)*A1031,14)))</f>
        <v>0</v>
      </c>
    </row>
    <row r="1028" spans="1:10" ht="28" customHeight="1" x14ac:dyDescent="0.2">
      <c r="A1028" s="35">
        <f ca="1">INDIRECT(_xlfn.TEXTJOIN("",TRUE,A1034,"!",ADDRESS(23+(A1035-1)*A1031,1)))</f>
        <v>0</v>
      </c>
      <c r="B1028" s="36"/>
      <c r="C1028" s="37">
        <f ca="1">INDIRECT(_xlfn.TEXTJOIN("",TRUE,A1034,"!",ADDRESS(23+(A1035-1)*A1031,2)))</f>
        <v>0</v>
      </c>
      <c r="D1028" s="38"/>
      <c r="E1028" s="38"/>
      <c r="F1028" s="38"/>
      <c r="G1028" s="39"/>
      <c r="H1028" s="20">
        <f ca="1">INDIRECT(_xlfn.TEXTJOIN("",TRUE,A1034,"!",ADDRESS(23+(A1035-1)*A1031,6)))</f>
        <v>0</v>
      </c>
      <c r="I1028" s="20">
        <f ca="1">INDIRECT(_xlfn.TEXTJOIN("",TRUE,A1034,"!",ADDRESS(23+(A1035-1)*A1031,13)))</f>
        <v>0</v>
      </c>
      <c r="J1028" s="20">
        <f ca="1">INDIRECT(_xlfn.TEXTJOIN("",TRUE,A1034,"!",ADDRESS(23+(A1035-1)*A1031,14)))</f>
        <v>0</v>
      </c>
    </row>
    <row r="1029" spans="1:10" ht="28" customHeight="1" x14ac:dyDescent="0.2">
      <c r="A1029" s="35">
        <f ca="1">INDIRECT(_xlfn.TEXTJOIN("",TRUE,A1034,"!",ADDRESS(24+(A1035-1)*A1031,1)))</f>
        <v>0</v>
      </c>
      <c r="B1029" s="36"/>
      <c r="C1029" s="37">
        <f ca="1">INDIRECT(_xlfn.TEXTJOIN("",TRUE,A1034,"!",ADDRESS(24+(A1035-1)*A1031,2)))</f>
        <v>0</v>
      </c>
      <c r="D1029" s="38"/>
      <c r="E1029" s="38"/>
      <c r="F1029" s="38"/>
      <c r="G1029" s="39"/>
      <c r="H1029" s="20">
        <f ca="1">INDIRECT(_xlfn.TEXTJOIN("",TRUE,A1034,"!",ADDRESS(24+(A1035-1)*A1031,6)))</f>
        <v>0</v>
      </c>
      <c r="I1029" s="40">
        <f ca="1">INDIRECT(_xlfn.TEXTJOIN("",TRUE,A1034,"!",ADDRESS(24+(A1035-1)*A1031,13)))</f>
        <v>0</v>
      </c>
      <c r="J1029" s="41"/>
    </row>
    <row r="1030" spans="1:10" ht="28" customHeight="1" x14ac:dyDescent="0.2">
      <c r="A1030" s="42" t="s">
        <v>52</v>
      </c>
      <c r="B1030" s="42"/>
      <c r="C1030" s="42"/>
      <c r="D1030" s="42"/>
      <c r="E1030" s="42"/>
      <c r="F1030" s="42"/>
      <c r="G1030" s="42"/>
      <c r="H1030" s="16">
        <f ca="1">SUM(H1018:H1029)</f>
        <v>0</v>
      </c>
      <c r="I1030" s="16" t="s">
        <v>44</v>
      </c>
      <c r="J1030" s="16">
        <f ca="1">SUMPRODUCT(J1018:J1028,H1018:H1028)</f>
        <v>0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43" t="s">
        <v>40</v>
      </c>
      <c r="B1032" s="43"/>
      <c r="C1032" s="21">
        <f ca="1">INDIRECT(_xlfn.TEXTJOIN("",TRUE,A1034,"!",ADDRESS(5+A1035*A1031,12)))</f>
        <v>0</v>
      </c>
      <c r="D1032" s="43" t="s">
        <v>38</v>
      </c>
      <c r="E1032" s="43"/>
      <c r="F1032" s="18">
        <f ca="1">INDIRECT(_xlfn.TEXTJOIN("",TRUE,A1034,"!",ADDRESS(5+A1035*A1031,8)))</f>
        <v>0</v>
      </c>
      <c r="G1032" s="43" t="s">
        <v>39</v>
      </c>
      <c r="H1032" s="43"/>
      <c r="I1032" s="44">
        <f ca="1">INDIRECT(_xlfn.TEXTJOIN("",TRUE,A1034,"!",ADDRESS(5+A1035*A1031,10)))</f>
        <v>0</v>
      </c>
      <c r="J1032" s="44"/>
    </row>
    <row r="1033" spans="1:10" ht="28" customHeight="1" x14ac:dyDescent="0.2">
      <c r="A1033" s="19" t="s">
        <v>36</v>
      </c>
      <c r="B1033" s="45">
        <f ca="1">INDIRECT(_xlfn.TEXTJOIN("",TRUE,A1034,"!",ADDRESS(5+A1035*A1031,2)))</f>
        <v>0</v>
      </c>
      <c r="C1033" s="45"/>
      <c r="D1033" s="46" t="s">
        <v>37</v>
      </c>
      <c r="E1033" s="46"/>
      <c r="F1033" s="47">
        <f ca="1">INDIRECT(_xlfn.TEXTJOIN("",TRUE,A1034,"!",ADDRESS(5+A1035*A1031,5)))</f>
        <v>0</v>
      </c>
      <c r="G1033" s="47"/>
      <c r="H1033" s="47"/>
      <c r="I1033" s="47"/>
      <c r="J1033" s="47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48" t="s">
        <v>24</v>
      </c>
      <c r="B1036" s="48"/>
      <c r="C1036" s="48">
        <f ca="1">INDIRECT(_xlfn.TEXTJOIN("",TRUE,A1055,"!",ADDRESS(9+(A1056-1)*A1052,2)))</f>
        <v>0</v>
      </c>
      <c r="D1036" s="48"/>
      <c r="E1036" s="48"/>
      <c r="F1036" s="48" t="s">
        <v>50</v>
      </c>
      <c r="G1036" s="48"/>
      <c r="H1036" s="48"/>
      <c r="I1036" s="49">
        <f ca="1">INDIRECT(_xlfn.TEXTJOIN("",TRUE,A1055,"!",ADDRESS(9+(A1056-1)*A1052,9)))</f>
        <v>0</v>
      </c>
      <c r="J1036" s="49"/>
    </row>
    <row r="1037" spans="1:10" ht="28" customHeight="1" x14ac:dyDescent="0.2">
      <c r="A1037" s="48" t="s">
        <v>25</v>
      </c>
      <c r="B1037" s="48"/>
      <c r="C1037" s="48">
        <f ca="1">INDIRECT(_xlfn.TEXTJOIN("",TRUE,A1055,"!",ADDRESS(9+(A1056-1)*A1052,5)))</f>
        <v>0</v>
      </c>
      <c r="D1037" s="48"/>
      <c r="E1037" s="48"/>
      <c r="F1037" s="50" t="s">
        <v>51</v>
      </c>
      <c r="G1037" s="50"/>
      <c r="H1037" s="50"/>
      <c r="I1037" s="49">
        <f ca="1">INDIRECT(_xlfn.TEXTJOIN("",TRUE,A1055,"!",ADDRESS(9+(A1056-1)*A1052,13)))</f>
        <v>0</v>
      </c>
      <c r="J1037" s="49"/>
    </row>
    <row r="1038" spans="1:10" ht="28" customHeight="1" x14ac:dyDescent="0.2">
      <c r="A1038" s="45" t="s">
        <v>28</v>
      </c>
      <c r="B1038" s="45"/>
      <c r="C1038" s="45" t="s">
        <v>29</v>
      </c>
      <c r="D1038" s="45"/>
      <c r="E1038" s="45"/>
      <c r="F1038" s="45"/>
      <c r="G1038" s="45"/>
      <c r="H1038" s="15" t="s">
        <v>30</v>
      </c>
      <c r="I1038" s="15" t="s">
        <v>10</v>
      </c>
      <c r="J1038" s="15" t="s">
        <v>34</v>
      </c>
    </row>
    <row r="1039" spans="1:10" ht="28" customHeight="1" x14ac:dyDescent="0.2">
      <c r="A1039" s="35">
        <f ca="1">INDIRECT(_xlfn.TEXTJOIN("",TRUE,A1055,"!",ADDRESS(13+(A1056-1)*A1052,1)))</f>
        <v>0</v>
      </c>
      <c r="B1039" s="36"/>
      <c r="C1039" s="37">
        <f ca="1">INDIRECT(_xlfn.TEXTJOIN("",TRUE,A1055,"!",ADDRESS(13+(A1056-1)*A1052,2)))</f>
        <v>0</v>
      </c>
      <c r="D1039" s="38"/>
      <c r="E1039" s="38"/>
      <c r="F1039" s="38"/>
      <c r="G1039" s="39"/>
      <c r="H1039" s="20">
        <f ca="1">INDIRECT(_xlfn.TEXTJOIN("",TRUE,A1055,"!",ADDRESS(13+(A1056-1)*A1052,6)))</f>
        <v>0</v>
      </c>
      <c r="I1039" s="20">
        <f ca="1">INDIRECT(_xlfn.TEXTJOIN("",TRUE,A1055,"!",ADDRESS(13+(A1056-1)*A1052,13)))</f>
        <v>0</v>
      </c>
      <c r="J1039" s="20">
        <f ca="1">INDIRECT(_xlfn.TEXTJOIN("",TRUE,A1055,"!",ADDRESS(13+(A1056-1)*A1052,14)))</f>
        <v>0</v>
      </c>
    </row>
    <row r="1040" spans="1:10" ht="28" customHeight="1" x14ac:dyDescent="0.2">
      <c r="A1040" s="35">
        <f ca="1">INDIRECT(_xlfn.TEXTJOIN("",TRUE,A1055,"!",ADDRESS(14+(A1056-1)*A1052,1)))</f>
        <v>0</v>
      </c>
      <c r="B1040" s="36"/>
      <c r="C1040" s="37">
        <f ca="1">INDIRECT(_xlfn.TEXTJOIN("",TRUE,A1055,"!",ADDRESS(14+(A1056-1)*A1052,2)))</f>
        <v>0</v>
      </c>
      <c r="D1040" s="38"/>
      <c r="E1040" s="38"/>
      <c r="F1040" s="38"/>
      <c r="G1040" s="39"/>
      <c r="H1040" s="20">
        <f ca="1">INDIRECT(_xlfn.TEXTJOIN("",TRUE,A1055,"!",ADDRESS(14+(A1056-1)*A1052,6)))</f>
        <v>0</v>
      </c>
      <c r="I1040" s="20">
        <f ca="1">INDIRECT(_xlfn.TEXTJOIN("",TRUE,A1055,"!",ADDRESS(14+(A1056-1)*A1052,13)))</f>
        <v>0</v>
      </c>
      <c r="J1040" s="20">
        <f ca="1">INDIRECT(_xlfn.TEXTJOIN("",TRUE,A1055,"!",ADDRESS(14+(A1056-1)*A1052,14)))</f>
        <v>0</v>
      </c>
    </row>
    <row r="1041" spans="1:10" ht="28" customHeight="1" x14ac:dyDescent="0.2">
      <c r="A1041" s="35">
        <f ca="1">INDIRECT(_xlfn.TEXTJOIN("",TRUE,A1055,"!",ADDRESS(15+(A1056-1)*A1052,1)))</f>
        <v>0</v>
      </c>
      <c r="B1041" s="36"/>
      <c r="C1041" s="37">
        <f ca="1">INDIRECT(_xlfn.TEXTJOIN("",TRUE,A1055,"!",ADDRESS(15+(A1056-1)*A1052,2)))</f>
        <v>0</v>
      </c>
      <c r="D1041" s="38"/>
      <c r="E1041" s="38"/>
      <c r="F1041" s="38"/>
      <c r="G1041" s="39"/>
      <c r="H1041" s="20">
        <f ca="1">INDIRECT(_xlfn.TEXTJOIN("",TRUE,A1055,"!",ADDRESS(15+(A1056-1)*A1052,6)))</f>
        <v>0</v>
      </c>
      <c r="I1041" s="20">
        <f ca="1">INDIRECT(_xlfn.TEXTJOIN("",TRUE,A1055,"!",ADDRESS(15+(A1056-1)*A1052,13)))</f>
        <v>0</v>
      </c>
      <c r="J1041" s="20">
        <f ca="1">INDIRECT(_xlfn.TEXTJOIN("",TRUE,A1055,"!",ADDRESS(15+(A1056-1)*A1052,14)))</f>
        <v>0</v>
      </c>
    </row>
    <row r="1042" spans="1:10" ht="28" customHeight="1" x14ac:dyDescent="0.2">
      <c r="A1042" s="35">
        <f ca="1">INDIRECT(_xlfn.TEXTJOIN("",TRUE,A1055,"!",ADDRESS(16+(A1056-1)*A1052,1)))</f>
        <v>0</v>
      </c>
      <c r="B1042" s="36"/>
      <c r="C1042" s="37">
        <f ca="1">INDIRECT(_xlfn.TEXTJOIN("",TRUE,A1055,"!",ADDRESS(16+(A1056-1)*A1052,2)))</f>
        <v>0</v>
      </c>
      <c r="D1042" s="38"/>
      <c r="E1042" s="38"/>
      <c r="F1042" s="38"/>
      <c r="G1042" s="39"/>
      <c r="H1042" s="20">
        <f ca="1">INDIRECT(_xlfn.TEXTJOIN("",TRUE,A1055,"!",ADDRESS(16+(A1056-1)*A1052,6)))</f>
        <v>0</v>
      </c>
      <c r="I1042" s="20">
        <f ca="1">INDIRECT(_xlfn.TEXTJOIN("",TRUE,A1055,"!",ADDRESS(16+(A1056-1)*A1052,13)))</f>
        <v>0</v>
      </c>
      <c r="J1042" s="20">
        <f ca="1">INDIRECT(_xlfn.TEXTJOIN("",TRUE,A1055,"!",ADDRESS(16+(A1056-1)*A1052,14)))</f>
        <v>0</v>
      </c>
    </row>
    <row r="1043" spans="1:10" ht="28" customHeight="1" x14ac:dyDescent="0.2">
      <c r="A1043" s="35">
        <f ca="1">INDIRECT(_xlfn.TEXTJOIN("",TRUE,A1055,"!",ADDRESS(17+(A1056-1)*A1052,1)))</f>
        <v>0</v>
      </c>
      <c r="B1043" s="36"/>
      <c r="C1043" s="37">
        <f ca="1">INDIRECT(_xlfn.TEXTJOIN("",TRUE,A1055,"!",ADDRESS(17+(A1056-1)*A1052,2)))</f>
        <v>0</v>
      </c>
      <c r="D1043" s="38"/>
      <c r="E1043" s="38"/>
      <c r="F1043" s="38"/>
      <c r="G1043" s="39"/>
      <c r="H1043" s="20">
        <f ca="1">INDIRECT(_xlfn.TEXTJOIN("",TRUE,A1055,"!",ADDRESS(17+(A1056-1)*A1052,6)))</f>
        <v>0</v>
      </c>
      <c r="I1043" s="20">
        <f ca="1">INDIRECT(_xlfn.TEXTJOIN("",TRUE,A1055,"!",ADDRESS(17+(A1056-1)*A1052,13)))</f>
        <v>0</v>
      </c>
      <c r="J1043" s="20">
        <f ca="1">INDIRECT(_xlfn.TEXTJOIN("",TRUE,A1055,"!",ADDRESS(17+(A1056-1)*A1052,14)))</f>
        <v>0</v>
      </c>
    </row>
    <row r="1044" spans="1:10" ht="28" customHeight="1" x14ac:dyDescent="0.2">
      <c r="A1044" s="35">
        <f ca="1">INDIRECT(_xlfn.TEXTJOIN("",TRUE,A1055,"!",ADDRESS(18+(A1056-1)*A1052,1)))</f>
        <v>0</v>
      </c>
      <c r="B1044" s="36"/>
      <c r="C1044" s="37">
        <f ca="1">INDIRECT(_xlfn.TEXTJOIN("",TRUE,A1055,"!",ADDRESS(18+(A1056-1)*A1052,2)))</f>
        <v>0</v>
      </c>
      <c r="D1044" s="38"/>
      <c r="E1044" s="38"/>
      <c r="F1044" s="38"/>
      <c r="G1044" s="39"/>
      <c r="H1044" s="20">
        <f ca="1">INDIRECT(_xlfn.TEXTJOIN("",TRUE,A1055,"!",ADDRESS(18+(A1056-1)*A1052,6)))</f>
        <v>0</v>
      </c>
      <c r="I1044" s="20">
        <f ca="1">INDIRECT(_xlfn.TEXTJOIN("",TRUE,A1055,"!",ADDRESS(18+(A1056-1)*A1052,13)))</f>
        <v>0</v>
      </c>
      <c r="J1044" s="20">
        <f ca="1">INDIRECT(_xlfn.TEXTJOIN("",TRUE,A1055,"!",ADDRESS(18+(A1056-1)*A1052,14)))</f>
        <v>0</v>
      </c>
    </row>
    <row r="1045" spans="1:10" ht="28" customHeight="1" x14ac:dyDescent="0.2">
      <c r="A1045" s="35">
        <f ca="1">INDIRECT(_xlfn.TEXTJOIN("",TRUE,A1055,"!",ADDRESS(19+(A1056-1)*A1052,1)))</f>
        <v>0</v>
      </c>
      <c r="B1045" s="36"/>
      <c r="C1045" s="37">
        <f ca="1">INDIRECT(_xlfn.TEXTJOIN("",TRUE,A1055,"!",ADDRESS(19+(A1056-1)*A1052,2)))</f>
        <v>0</v>
      </c>
      <c r="D1045" s="38"/>
      <c r="E1045" s="38"/>
      <c r="F1045" s="38"/>
      <c r="G1045" s="39"/>
      <c r="H1045" s="20">
        <f ca="1">INDIRECT(_xlfn.TEXTJOIN("",TRUE,A1055,"!",ADDRESS(19+(A1056-1)*A1052,6)))</f>
        <v>0</v>
      </c>
      <c r="I1045" s="20">
        <f ca="1">INDIRECT(_xlfn.TEXTJOIN("",TRUE,A1055,"!",ADDRESS(19+(A1056-1)*A1052,13)))</f>
        <v>0</v>
      </c>
      <c r="J1045" s="20">
        <f ca="1">INDIRECT(_xlfn.TEXTJOIN("",TRUE,A1055,"!",ADDRESS(19+(A1056-1)*A1052,14)))</f>
        <v>0</v>
      </c>
    </row>
    <row r="1046" spans="1:10" ht="28" customHeight="1" x14ac:dyDescent="0.2">
      <c r="A1046" s="35">
        <f ca="1">INDIRECT(_xlfn.TEXTJOIN("",TRUE,A1055,"!",ADDRESS(20+(A1056-1)*A1052,1)))</f>
        <v>0</v>
      </c>
      <c r="B1046" s="36"/>
      <c r="C1046" s="37">
        <f ca="1">INDIRECT(_xlfn.TEXTJOIN("",TRUE,A1055,"!",ADDRESS(20+(A1056-1)*A1052,2)))</f>
        <v>0</v>
      </c>
      <c r="D1046" s="38"/>
      <c r="E1046" s="38"/>
      <c r="F1046" s="38"/>
      <c r="G1046" s="39"/>
      <c r="H1046" s="20">
        <f ca="1">INDIRECT(_xlfn.TEXTJOIN("",TRUE,A1055,"!",ADDRESS(20+(A1056-1)*A1052,6)))</f>
        <v>0</v>
      </c>
      <c r="I1046" s="20">
        <f ca="1">INDIRECT(_xlfn.TEXTJOIN("",TRUE,A1055,"!",ADDRESS(20+(A1056-1)*A1052,13)))</f>
        <v>0</v>
      </c>
      <c r="J1046" s="20">
        <f ca="1">INDIRECT(_xlfn.TEXTJOIN("",TRUE,A1055,"!",ADDRESS(20+(A1056-1)*A1052,14)))</f>
        <v>0</v>
      </c>
    </row>
    <row r="1047" spans="1:10" ht="28" customHeight="1" x14ac:dyDescent="0.2">
      <c r="A1047" s="35">
        <f ca="1">INDIRECT(_xlfn.TEXTJOIN("",TRUE,A1055,"!",ADDRESS(21+(A1056-1)*A1052,1)))</f>
        <v>0</v>
      </c>
      <c r="B1047" s="36"/>
      <c r="C1047" s="37">
        <f ca="1">INDIRECT(_xlfn.TEXTJOIN("",TRUE,A1055,"!",ADDRESS(21+(A1056-1)*A1052,2)))</f>
        <v>0</v>
      </c>
      <c r="D1047" s="38"/>
      <c r="E1047" s="38"/>
      <c r="F1047" s="38"/>
      <c r="G1047" s="39"/>
      <c r="H1047" s="20">
        <f ca="1">INDIRECT(_xlfn.TEXTJOIN("",TRUE,A1055,"!",ADDRESS(21+(A1056-1)*A1052,6)))</f>
        <v>0</v>
      </c>
      <c r="I1047" s="20">
        <f ca="1">INDIRECT(_xlfn.TEXTJOIN("",TRUE,A1055,"!",ADDRESS(21+(A1056-1)*A1052,13)))</f>
        <v>0</v>
      </c>
      <c r="J1047" s="20">
        <f ca="1">INDIRECT(_xlfn.TEXTJOIN("",TRUE,A1055,"!",ADDRESS(21+(A1056-1)*A1052,14)))</f>
        <v>0</v>
      </c>
    </row>
    <row r="1048" spans="1:10" ht="28" customHeight="1" x14ac:dyDescent="0.2">
      <c r="A1048" s="35">
        <f ca="1">INDIRECT(_xlfn.TEXTJOIN("",TRUE,A1055,"!",ADDRESS(22+(A1056-1)*A1052,1)))</f>
        <v>0</v>
      </c>
      <c r="B1048" s="36"/>
      <c r="C1048" s="37">
        <f ca="1">INDIRECT(_xlfn.TEXTJOIN("",TRUE,A1055,"!",ADDRESS(22+(A1056-1)*A1052,2)))</f>
        <v>0</v>
      </c>
      <c r="D1048" s="38"/>
      <c r="E1048" s="38"/>
      <c r="F1048" s="38"/>
      <c r="G1048" s="39"/>
      <c r="H1048" s="20">
        <f ca="1">INDIRECT(_xlfn.TEXTJOIN("",TRUE,A1055,"!",ADDRESS(22+(A1056-1)*A1052,6)))</f>
        <v>0</v>
      </c>
      <c r="I1048" s="20">
        <f ca="1">INDIRECT(_xlfn.TEXTJOIN("",TRUE,A1055,"!",ADDRESS(22+(A1056-1)*A1052,13)))</f>
        <v>0</v>
      </c>
      <c r="J1048" s="20">
        <f ca="1">INDIRECT(_xlfn.TEXTJOIN("",TRUE,A1055,"!",ADDRESS(22+(A1056-1)*A1052,14)))</f>
        <v>0</v>
      </c>
    </row>
    <row r="1049" spans="1:10" ht="28" customHeight="1" x14ac:dyDescent="0.2">
      <c r="A1049" s="35">
        <f ca="1">INDIRECT(_xlfn.TEXTJOIN("",TRUE,A1055,"!",ADDRESS(23+(A1056-1)*A1052,1)))</f>
        <v>0</v>
      </c>
      <c r="B1049" s="36"/>
      <c r="C1049" s="37">
        <f ca="1">INDIRECT(_xlfn.TEXTJOIN("",TRUE,A1055,"!",ADDRESS(23+(A1056-1)*A1052,2)))</f>
        <v>0</v>
      </c>
      <c r="D1049" s="38"/>
      <c r="E1049" s="38"/>
      <c r="F1049" s="38"/>
      <c r="G1049" s="39"/>
      <c r="H1049" s="20">
        <f ca="1">INDIRECT(_xlfn.TEXTJOIN("",TRUE,A1055,"!",ADDRESS(23+(A1056-1)*A1052,6)))</f>
        <v>0</v>
      </c>
      <c r="I1049" s="20">
        <f ca="1">INDIRECT(_xlfn.TEXTJOIN("",TRUE,A1055,"!",ADDRESS(23+(A1056-1)*A1052,13)))</f>
        <v>0</v>
      </c>
      <c r="J1049" s="20">
        <f ca="1">INDIRECT(_xlfn.TEXTJOIN("",TRUE,A1055,"!",ADDRESS(23+(A1056-1)*A1052,14)))</f>
        <v>0</v>
      </c>
    </row>
    <row r="1050" spans="1:10" ht="28" customHeight="1" x14ac:dyDescent="0.2">
      <c r="A1050" s="35">
        <f ca="1">INDIRECT(_xlfn.TEXTJOIN("",TRUE,A1055,"!",ADDRESS(24+(A1056-1)*A1052,1)))</f>
        <v>0</v>
      </c>
      <c r="B1050" s="36"/>
      <c r="C1050" s="37">
        <f ca="1">INDIRECT(_xlfn.TEXTJOIN("",TRUE,A1055,"!",ADDRESS(24+(A1056-1)*A1052,2)))</f>
        <v>0</v>
      </c>
      <c r="D1050" s="38"/>
      <c r="E1050" s="38"/>
      <c r="F1050" s="38"/>
      <c r="G1050" s="39"/>
      <c r="H1050" s="20">
        <f ca="1">INDIRECT(_xlfn.TEXTJOIN("",TRUE,A1055,"!",ADDRESS(24+(A1056-1)*A1052,6)))</f>
        <v>0</v>
      </c>
      <c r="I1050" s="40">
        <f ca="1">INDIRECT(_xlfn.TEXTJOIN("",TRUE,A1055,"!",ADDRESS(24+(A1056-1)*A1052,13)))</f>
        <v>0</v>
      </c>
      <c r="J1050" s="41"/>
    </row>
    <row r="1051" spans="1:10" ht="28" customHeight="1" x14ac:dyDescent="0.2">
      <c r="A1051" s="42" t="s">
        <v>52</v>
      </c>
      <c r="B1051" s="42"/>
      <c r="C1051" s="42"/>
      <c r="D1051" s="42"/>
      <c r="E1051" s="42"/>
      <c r="F1051" s="42"/>
      <c r="G1051" s="42"/>
      <c r="H1051" s="16">
        <f ca="1">SUM(H1039:H1050)</f>
        <v>0</v>
      </c>
      <c r="I1051" s="16" t="s">
        <v>44</v>
      </c>
      <c r="J1051" s="16">
        <f ca="1">SUMPRODUCT(J1039:J1049,H1039:H1049)</f>
        <v>0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43" t="s">
        <v>40</v>
      </c>
      <c r="B1053" s="43"/>
      <c r="C1053" s="21">
        <f ca="1">INDIRECT(_xlfn.TEXTJOIN("",TRUE,A1055,"!",ADDRESS(5+A1056*A1052,12)))</f>
        <v>0</v>
      </c>
      <c r="D1053" s="43" t="s">
        <v>38</v>
      </c>
      <c r="E1053" s="43"/>
      <c r="F1053" s="18">
        <f ca="1">INDIRECT(_xlfn.TEXTJOIN("",TRUE,A1055,"!",ADDRESS(5+A1056*A1052,8)))</f>
        <v>0</v>
      </c>
      <c r="G1053" s="43" t="s">
        <v>39</v>
      </c>
      <c r="H1053" s="43"/>
      <c r="I1053" s="44">
        <f ca="1">INDIRECT(_xlfn.TEXTJOIN("",TRUE,A1055,"!",ADDRESS(5+A1056*A1052,10)))</f>
        <v>0</v>
      </c>
      <c r="J1053" s="44"/>
    </row>
    <row r="1054" spans="1:10" ht="28" customHeight="1" x14ac:dyDescent="0.2">
      <c r="A1054" s="19" t="s">
        <v>36</v>
      </c>
      <c r="B1054" s="45">
        <f ca="1">INDIRECT(_xlfn.TEXTJOIN("",TRUE,A1055,"!",ADDRESS(5+A1056*A1052,2)))</f>
        <v>0</v>
      </c>
      <c r="C1054" s="45"/>
      <c r="D1054" s="46" t="s">
        <v>37</v>
      </c>
      <c r="E1054" s="46"/>
      <c r="F1054" s="47">
        <f ca="1">INDIRECT(_xlfn.TEXTJOIN("",TRUE,A1055,"!",ADDRESS(5+A1056*A1052,5)))</f>
        <v>0</v>
      </c>
      <c r="G1054" s="47"/>
      <c r="H1054" s="47"/>
      <c r="I1054" s="47"/>
      <c r="J1054" s="47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48" t="s">
        <v>24</v>
      </c>
      <c r="B1057" s="48"/>
      <c r="C1057" s="48">
        <f ca="1">INDIRECT(_xlfn.TEXTJOIN("",TRUE,A1076,"!",ADDRESS(9+(A1077-1)*A1073,2)))</f>
        <v>0</v>
      </c>
      <c r="D1057" s="48"/>
      <c r="E1057" s="48"/>
      <c r="F1057" s="48" t="s">
        <v>50</v>
      </c>
      <c r="G1057" s="48"/>
      <c r="H1057" s="48"/>
      <c r="I1057" s="49">
        <f ca="1">INDIRECT(_xlfn.TEXTJOIN("",TRUE,A1076,"!",ADDRESS(9+(A1077-1)*A1073,9)))</f>
        <v>0</v>
      </c>
      <c r="J1057" s="49"/>
    </row>
    <row r="1058" spans="1:10" ht="28" customHeight="1" x14ac:dyDescent="0.2">
      <c r="A1058" s="48" t="s">
        <v>25</v>
      </c>
      <c r="B1058" s="48"/>
      <c r="C1058" s="48">
        <f ca="1">INDIRECT(_xlfn.TEXTJOIN("",TRUE,A1076,"!",ADDRESS(9+(A1077-1)*A1073,5)))</f>
        <v>0</v>
      </c>
      <c r="D1058" s="48"/>
      <c r="E1058" s="48"/>
      <c r="F1058" s="50" t="s">
        <v>51</v>
      </c>
      <c r="G1058" s="50"/>
      <c r="H1058" s="50"/>
      <c r="I1058" s="49">
        <f ca="1">INDIRECT(_xlfn.TEXTJOIN("",TRUE,A1076,"!",ADDRESS(9+(A1077-1)*A1073,13)))</f>
        <v>0</v>
      </c>
      <c r="J1058" s="49"/>
    </row>
    <row r="1059" spans="1:10" ht="28" customHeight="1" x14ac:dyDescent="0.2">
      <c r="A1059" s="45" t="s">
        <v>28</v>
      </c>
      <c r="B1059" s="45"/>
      <c r="C1059" s="45" t="s">
        <v>29</v>
      </c>
      <c r="D1059" s="45"/>
      <c r="E1059" s="45"/>
      <c r="F1059" s="45"/>
      <c r="G1059" s="45"/>
      <c r="H1059" s="15" t="s">
        <v>30</v>
      </c>
      <c r="I1059" s="15" t="s">
        <v>10</v>
      </c>
      <c r="J1059" s="15" t="s">
        <v>34</v>
      </c>
    </row>
    <row r="1060" spans="1:10" ht="28" customHeight="1" x14ac:dyDescent="0.2">
      <c r="A1060" s="35">
        <f ca="1">INDIRECT(_xlfn.TEXTJOIN("",TRUE,A1076,"!",ADDRESS(13+(A1077-1)*A1073,1)))</f>
        <v>0</v>
      </c>
      <c r="B1060" s="36"/>
      <c r="C1060" s="37">
        <f ca="1">INDIRECT(_xlfn.TEXTJOIN("",TRUE,A1076,"!",ADDRESS(13+(A1077-1)*A1073,2)))</f>
        <v>0</v>
      </c>
      <c r="D1060" s="38"/>
      <c r="E1060" s="38"/>
      <c r="F1060" s="38"/>
      <c r="G1060" s="39"/>
      <c r="H1060" s="20">
        <f ca="1">INDIRECT(_xlfn.TEXTJOIN("",TRUE,A1076,"!",ADDRESS(13+(A1077-1)*A1073,6)))</f>
        <v>0</v>
      </c>
      <c r="I1060" s="20">
        <f ca="1">INDIRECT(_xlfn.TEXTJOIN("",TRUE,A1076,"!",ADDRESS(13+(A1077-1)*A1073,13)))</f>
        <v>0</v>
      </c>
      <c r="J1060" s="20">
        <f ca="1">INDIRECT(_xlfn.TEXTJOIN("",TRUE,A1076,"!",ADDRESS(13+(A1077-1)*A1073,14)))</f>
        <v>0</v>
      </c>
    </row>
    <row r="1061" spans="1:10" ht="28" customHeight="1" x14ac:dyDescent="0.2">
      <c r="A1061" s="35">
        <f ca="1">INDIRECT(_xlfn.TEXTJOIN("",TRUE,A1076,"!",ADDRESS(14+(A1077-1)*A1073,1)))</f>
        <v>0</v>
      </c>
      <c r="B1061" s="36"/>
      <c r="C1061" s="37">
        <f ca="1">INDIRECT(_xlfn.TEXTJOIN("",TRUE,A1076,"!",ADDRESS(14+(A1077-1)*A1073,2)))</f>
        <v>0</v>
      </c>
      <c r="D1061" s="38"/>
      <c r="E1061" s="38"/>
      <c r="F1061" s="38"/>
      <c r="G1061" s="39"/>
      <c r="H1061" s="20">
        <f ca="1">INDIRECT(_xlfn.TEXTJOIN("",TRUE,A1076,"!",ADDRESS(14+(A1077-1)*A1073,6)))</f>
        <v>0</v>
      </c>
      <c r="I1061" s="20">
        <f ca="1">INDIRECT(_xlfn.TEXTJOIN("",TRUE,A1076,"!",ADDRESS(14+(A1077-1)*A1073,13)))</f>
        <v>0</v>
      </c>
      <c r="J1061" s="20">
        <f ca="1">INDIRECT(_xlfn.TEXTJOIN("",TRUE,A1076,"!",ADDRESS(14+(A1077-1)*A1073,14)))</f>
        <v>0</v>
      </c>
    </row>
    <row r="1062" spans="1:10" ht="28" customHeight="1" x14ac:dyDescent="0.2">
      <c r="A1062" s="35">
        <f ca="1">INDIRECT(_xlfn.TEXTJOIN("",TRUE,A1076,"!",ADDRESS(15+(A1077-1)*A1073,1)))</f>
        <v>0</v>
      </c>
      <c r="B1062" s="36"/>
      <c r="C1062" s="37">
        <f ca="1">INDIRECT(_xlfn.TEXTJOIN("",TRUE,A1076,"!",ADDRESS(15+(A1077-1)*A1073,2)))</f>
        <v>0</v>
      </c>
      <c r="D1062" s="38"/>
      <c r="E1062" s="38"/>
      <c r="F1062" s="38"/>
      <c r="G1062" s="39"/>
      <c r="H1062" s="20">
        <f ca="1">INDIRECT(_xlfn.TEXTJOIN("",TRUE,A1076,"!",ADDRESS(15+(A1077-1)*A1073,6)))</f>
        <v>0</v>
      </c>
      <c r="I1062" s="20">
        <f ca="1">INDIRECT(_xlfn.TEXTJOIN("",TRUE,A1076,"!",ADDRESS(15+(A1077-1)*A1073,13)))</f>
        <v>0</v>
      </c>
      <c r="J1062" s="20">
        <f ca="1">INDIRECT(_xlfn.TEXTJOIN("",TRUE,A1076,"!",ADDRESS(15+(A1077-1)*A1073,14)))</f>
        <v>0</v>
      </c>
    </row>
    <row r="1063" spans="1:10" ht="28" customHeight="1" x14ac:dyDescent="0.2">
      <c r="A1063" s="35">
        <f ca="1">INDIRECT(_xlfn.TEXTJOIN("",TRUE,A1076,"!",ADDRESS(16+(A1077-1)*A1073,1)))</f>
        <v>0</v>
      </c>
      <c r="B1063" s="36"/>
      <c r="C1063" s="37">
        <f ca="1">INDIRECT(_xlfn.TEXTJOIN("",TRUE,A1076,"!",ADDRESS(16+(A1077-1)*A1073,2)))</f>
        <v>0</v>
      </c>
      <c r="D1063" s="38"/>
      <c r="E1063" s="38"/>
      <c r="F1063" s="38"/>
      <c r="G1063" s="39"/>
      <c r="H1063" s="20">
        <f ca="1">INDIRECT(_xlfn.TEXTJOIN("",TRUE,A1076,"!",ADDRESS(16+(A1077-1)*A1073,6)))</f>
        <v>0</v>
      </c>
      <c r="I1063" s="20">
        <f ca="1">INDIRECT(_xlfn.TEXTJOIN("",TRUE,A1076,"!",ADDRESS(16+(A1077-1)*A1073,13)))</f>
        <v>0</v>
      </c>
      <c r="J1063" s="20">
        <f ca="1">INDIRECT(_xlfn.TEXTJOIN("",TRUE,A1076,"!",ADDRESS(16+(A1077-1)*A1073,14)))</f>
        <v>0</v>
      </c>
    </row>
    <row r="1064" spans="1:10" ht="28" customHeight="1" x14ac:dyDescent="0.2">
      <c r="A1064" s="35">
        <f ca="1">INDIRECT(_xlfn.TEXTJOIN("",TRUE,A1076,"!",ADDRESS(17+(A1077-1)*A1073,1)))</f>
        <v>0</v>
      </c>
      <c r="B1064" s="36"/>
      <c r="C1064" s="37">
        <f ca="1">INDIRECT(_xlfn.TEXTJOIN("",TRUE,A1076,"!",ADDRESS(17+(A1077-1)*A1073,2)))</f>
        <v>0</v>
      </c>
      <c r="D1064" s="38"/>
      <c r="E1064" s="38"/>
      <c r="F1064" s="38"/>
      <c r="G1064" s="39"/>
      <c r="H1064" s="20">
        <f ca="1">INDIRECT(_xlfn.TEXTJOIN("",TRUE,A1076,"!",ADDRESS(17+(A1077-1)*A1073,6)))</f>
        <v>0</v>
      </c>
      <c r="I1064" s="20">
        <f ca="1">INDIRECT(_xlfn.TEXTJOIN("",TRUE,A1076,"!",ADDRESS(17+(A1077-1)*A1073,13)))</f>
        <v>0</v>
      </c>
      <c r="J1064" s="20">
        <f ca="1">INDIRECT(_xlfn.TEXTJOIN("",TRUE,A1076,"!",ADDRESS(17+(A1077-1)*A1073,14)))</f>
        <v>0</v>
      </c>
    </row>
    <row r="1065" spans="1:10" ht="28" customHeight="1" x14ac:dyDescent="0.2">
      <c r="A1065" s="35">
        <f ca="1">INDIRECT(_xlfn.TEXTJOIN("",TRUE,A1076,"!",ADDRESS(18+(A1077-1)*A1073,1)))</f>
        <v>0</v>
      </c>
      <c r="B1065" s="36"/>
      <c r="C1065" s="37">
        <f ca="1">INDIRECT(_xlfn.TEXTJOIN("",TRUE,A1076,"!",ADDRESS(18+(A1077-1)*A1073,2)))</f>
        <v>0</v>
      </c>
      <c r="D1065" s="38"/>
      <c r="E1065" s="38"/>
      <c r="F1065" s="38"/>
      <c r="G1065" s="39"/>
      <c r="H1065" s="20">
        <f ca="1">INDIRECT(_xlfn.TEXTJOIN("",TRUE,A1076,"!",ADDRESS(18+(A1077-1)*A1073,6)))</f>
        <v>0</v>
      </c>
      <c r="I1065" s="20">
        <f ca="1">INDIRECT(_xlfn.TEXTJOIN("",TRUE,A1076,"!",ADDRESS(18+(A1077-1)*A1073,13)))</f>
        <v>0</v>
      </c>
      <c r="J1065" s="20">
        <f ca="1">INDIRECT(_xlfn.TEXTJOIN("",TRUE,A1076,"!",ADDRESS(18+(A1077-1)*A1073,14)))</f>
        <v>0</v>
      </c>
    </row>
    <row r="1066" spans="1:10" ht="28" customHeight="1" x14ac:dyDescent="0.2">
      <c r="A1066" s="35">
        <f ca="1">INDIRECT(_xlfn.TEXTJOIN("",TRUE,A1076,"!",ADDRESS(19+(A1077-1)*A1073,1)))</f>
        <v>0</v>
      </c>
      <c r="B1066" s="36"/>
      <c r="C1066" s="37">
        <f ca="1">INDIRECT(_xlfn.TEXTJOIN("",TRUE,A1076,"!",ADDRESS(19+(A1077-1)*A1073,2)))</f>
        <v>0</v>
      </c>
      <c r="D1066" s="38"/>
      <c r="E1066" s="38"/>
      <c r="F1066" s="38"/>
      <c r="G1066" s="39"/>
      <c r="H1066" s="20">
        <f ca="1">INDIRECT(_xlfn.TEXTJOIN("",TRUE,A1076,"!",ADDRESS(19+(A1077-1)*A1073,6)))</f>
        <v>0</v>
      </c>
      <c r="I1066" s="20">
        <f ca="1">INDIRECT(_xlfn.TEXTJOIN("",TRUE,A1076,"!",ADDRESS(19+(A1077-1)*A1073,13)))</f>
        <v>0</v>
      </c>
      <c r="J1066" s="20">
        <f ca="1">INDIRECT(_xlfn.TEXTJOIN("",TRUE,A1076,"!",ADDRESS(19+(A1077-1)*A1073,14)))</f>
        <v>0</v>
      </c>
    </row>
    <row r="1067" spans="1:10" ht="28" customHeight="1" x14ac:dyDescent="0.2">
      <c r="A1067" s="35">
        <f ca="1">INDIRECT(_xlfn.TEXTJOIN("",TRUE,A1076,"!",ADDRESS(20+(A1077-1)*A1073,1)))</f>
        <v>0</v>
      </c>
      <c r="B1067" s="36"/>
      <c r="C1067" s="37">
        <f ca="1">INDIRECT(_xlfn.TEXTJOIN("",TRUE,A1076,"!",ADDRESS(20+(A1077-1)*A1073,2)))</f>
        <v>0</v>
      </c>
      <c r="D1067" s="38"/>
      <c r="E1067" s="38"/>
      <c r="F1067" s="38"/>
      <c r="G1067" s="39"/>
      <c r="H1067" s="20">
        <f ca="1">INDIRECT(_xlfn.TEXTJOIN("",TRUE,A1076,"!",ADDRESS(20+(A1077-1)*A1073,6)))</f>
        <v>0</v>
      </c>
      <c r="I1067" s="20">
        <f ca="1">INDIRECT(_xlfn.TEXTJOIN("",TRUE,A1076,"!",ADDRESS(20+(A1077-1)*A1073,13)))</f>
        <v>0</v>
      </c>
      <c r="J1067" s="20">
        <f ca="1">INDIRECT(_xlfn.TEXTJOIN("",TRUE,A1076,"!",ADDRESS(20+(A1077-1)*A1073,14)))</f>
        <v>0</v>
      </c>
    </row>
    <row r="1068" spans="1:10" ht="28" customHeight="1" x14ac:dyDescent="0.2">
      <c r="A1068" s="35">
        <f ca="1">INDIRECT(_xlfn.TEXTJOIN("",TRUE,A1076,"!",ADDRESS(21+(A1077-1)*A1073,1)))</f>
        <v>0</v>
      </c>
      <c r="B1068" s="36"/>
      <c r="C1068" s="37">
        <f ca="1">INDIRECT(_xlfn.TEXTJOIN("",TRUE,A1076,"!",ADDRESS(21+(A1077-1)*A1073,2)))</f>
        <v>0</v>
      </c>
      <c r="D1068" s="38"/>
      <c r="E1068" s="38"/>
      <c r="F1068" s="38"/>
      <c r="G1068" s="39"/>
      <c r="H1068" s="20">
        <f ca="1">INDIRECT(_xlfn.TEXTJOIN("",TRUE,A1076,"!",ADDRESS(21+(A1077-1)*A1073,6)))</f>
        <v>0</v>
      </c>
      <c r="I1068" s="20">
        <f ca="1">INDIRECT(_xlfn.TEXTJOIN("",TRUE,A1076,"!",ADDRESS(21+(A1077-1)*A1073,13)))</f>
        <v>0</v>
      </c>
      <c r="J1068" s="20">
        <f ca="1">INDIRECT(_xlfn.TEXTJOIN("",TRUE,A1076,"!",ADDRESS(21+(A1077-1)*A1073,14)))</f>
        <v>0</v>
      </c>
    </row>
    <row r="1069" spans="1:10" ht="28" customHeight="1" x14ac:dyDescent="0.2">
      <c r="A1069" s="35">
        <f ca="1">INDIRECT(_xlfn.TEXTJOIN("",TRUE,A1076,"!",ADDRESS(22+(A1077-1)*A1073,1)))</f>
        <v>0</v>
      </c>
      <c r="B1069" s="36"/>
      <c r="C1069" s="37">
        <f ca="1">INDIRECT(_xlfn.TEXTJOIN("",TRUE,A1076,"!",ADDRESS(22+(A1077-1)*A1073,2)))</f>
        <v>0</v>
      </c>
      <c r="D1069" s="38"/>
      <c r="E1069" s="38"/>
      <c r="F1069" s="38"/>
      <c r="G1069" s="39"/>
      <c r="H1069" s="20">
        <f ca="1">INDIRECT(_xlfn.TEXTJOIN("",TRUE,A1076,"!",ADDRESS(22+(A1077-1)*A1073,6)))</f>
        <v>0</v>
      </c>
      <c r="I1069" s="20">
        <f ca="1">INDIRECT(_xlfn.TEXTJOIN("",TRUE,A1076,"!",ADDRESS(22+(A1077-1)*A1073,13)))</f>
        <v>0</v>
      </c>
      <c r="J1069" s="20">
        <f ca="1">INDIRECT(_xlfn.TEXTJOIN("",TRUE,A1076,"!",ADDRESS(22+(A1077-1)*A1073,14)))</f>
        <v>0</v>
      </c>
    </row>
    <row r="1070" spans="1:10" ht="28" customHeight="1" x14ac:dyDescent="0.2">
      <c r="A1070" s="35">
        <f ca="1">INDIRECT(_xlfn.TEXTJOIN("",TRUE,A1076,"!",ADDRESS(23+(A1077-1)*A1073,1)))</f>
        <v>0</v>
      </c>
      <c r="B1070" s="36"/>
      <c r="C1070" s="37">
        <f ca="1">INDIRECT(_xlfn.TEXTJOIN("",TRUE,A1076,"!",ADDRESS(23+(A1077-1)*A1073,2)))</f>
        <v>0</v>
      </c>
      <c r="D1070" s="38"/>
      <c r="E1070" s="38"/>
      <c r="F1070" s="38"/>
      <c r="G1070" s="39"/>
      <c r="H1070" s="20">
        <f ca="1">INDIRECT(_xlfn.TEXTJOIN("",TRUE,A1076,"!",ADDRESS(23+(A1077-1)*A1073,6)))</f>
        <v>0</v>
      </c>
      <c r="I1070" s="20">
        <f ca="1">INDIRECT(_xlfn.TEXTJOIN("",TRUE,A1076,"!",ADDRESS(23+(A1077-1)*A1073,13)))</f>
        <v>0</v>
      </c>
      <c r="J1070" s="20">
        <f ca="1">INDIRECT(_xlfn.TEXTJOIN("",TRUE,A1076,"!",ADDRESS(23+(A1077-1)*A1073,14)))</f>
        <v>0</v>
      </c>
    </row>
    <row r="1071" spans="1:10" ht="28" customHeight="1" x14ac:dyDescent="0.2">
      <c r="A1071" s="35">
        <f ca="1">INDIRECT(_xlfn.TEXTJOIN("",TRUE,A1076,"!",ADDRESS(24+(A1077-1)*A1073,1)))</f>
        <v>0</v>
      </c>
      <c r="B1071" s="36"/>
      <c r="C1071" s="37">
        <f ca="1">INDIRECT(_xlfn.TEXTJOIN("",TRUE,A1076,"!",ADDRESS(24+(A1077-1)*A1073,2)))</f>
        <v>0</v>
      </c>
      <c r="D1071" s="38"/>
      <c r="E1071" s="38"/>
      <c r="F1071" s="38"/>
      <c r="G1071" s="39"/>
      <c r="H1071" s="20">
        <f ca="1">INDIRECT(_xlfn.TEXTJOIN("",TRUE,A1076,"!",ADDRESS(24+(A1077-1)*A1073,6)))</f>
        <v>0</v>
      </c>
      <c r="I1071" s="40">
        <f ca="1">INDIRECT(_xlfn.TEXTJOIN("",TRUE,A1076,"!",ADDRESS(24+(A1077-1)*A1073,13)))</f>
        <v>0</v>
      </c>
      <c r="J1071" s="41"/>
    </row>
    <row r="1072" spans="1:10" ht="28" customHeight="1" x14ac:dyDescent="0.2">
      <c r="A1072" s="42" t="s">
        <v>52</v>
      </c>
      <c r="B1072" s="42"/>
      <c r="C1072" s="42"/>
      <c r="D1072" s="42"/>
      <c r="E1072" s="42"/>
      <c r="F1072" s="42"/>
      <c r="G1072" s="42"/>
      <c r="H1072" s="16">
        <f ca="1">SUM(H1060:H1071)</f>
        <v>0</v>
      </c>
      <c r="I1072" s="16" t="s">
        <v>44</v>
      </c>
      <c r="J1072" s="16">
        <f ca="1">SUMPRODUCT(J1060:J1070,H1060:H1070)</f>
        <v>0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43" t="s">
        <v>40</v>
      </c>
      <c r="B1074" s="43"/>
      <c r="C1074" s="21">
        <f ca="1">INDIRECT(_xlfn.TEXTJOIN("",TRUE,A1076,"!",ADDRESS(5+A1077*A1073,12)))</f>
        <v>0</v>
      </c>
      <c r="D1074" s="43" t="s">
        <v>38</v>
      </c>
      <c r="E1074" s="43"/>
      <c r="F1074" s="18">
        <f ca="1">INDIRECT(_xlfn.TEXTJOIN("",TRUE,A1076,"!",ADDRESS(5+A1077*A1073,8)))</f>
        <v>0</v>
      </c>
      <c r="G1074" s="43" t="s">
        <v>39</v>
      </c>
      <c r="H1074" s="43"/>
      <c r="I1074" s="44">
        <f ca="1">INDIRECT(_xlfn.TEXTJOIN("",TRUE,A1076,"!",ADDRESS(5+A1077*A1073,10)))</f>
        <v>0</v>
      </c>
      <c r="J1074" s="44"/>
    </row>
    <row r="1075" spans="1:10" ht="28" customHeight="1" x14ac:dyDescent="0.2">
      <c r="A1075" s="19" t="s">
        <v>36</v>
      </c>
      <c r="B1075" s="45">
        <f ca="1">INDIRECT(_xlfn.TEXTJOIN("",TRUE,A1076,"!",ADDRESS(5+A1077*A1073,2)))</f>
        <v>0</v>
      </c>
      <c r="C1075" s="45"/>
      <c r="D1075" s="46" t="s">
        <v>37</v>
      </c>
      <c r="E1075" s="46"/>
      <c r="F1075" s="47">
        <f ca="1">INDIRECT(_xlfn.TEXTJOIN("",TRUE,A1076,"!",ADDRESS(5+A1077*A1073,5)))</f>
        <v>0</v>
      </c>
      <c r="G1075" s="47"/>
      <c r="H1075" s="47"/>
      <c r="I1075" s="47"/>
      <c r="J1075" s="47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48" t="s">
        <v>24</v>
      </c>
      <c r="B1078" s="48"/>
      <c r="C1078" s="48">
        <f ca="1">INDIRECT(_xlfn.TEXTJOIN("",TRUE,A1097,"!",ADDRESS(9+(A1098-1)*A1094,2)))</f>
        <v>0</v>
      </c>
      <c r="D1078" s="48"/>
      <c r="E1078" s="48"/>
      <c r="F1078" s="48" t="s">
        <v>50</v>
      </c>
      <c r="G1078" s="48"/>
      <c r="H1078" s="48"/>
      <c r="I1078" s="49">
        <f ca="1">INDIRECT(_xlfn.TEXTJOIN("",TRUE,A1097,"!",ADDRESS(9+(A1098-1)*A1094,9)))</f>
        <v>0</v>
      </c>
      <c r="J1078" s="49"/>
    </row>
    <row r="1079" spans="1:10" ht="28" customHeight="1" x14ac:dyDescent="0.2">
      <c r="A1079" s="48" t="s">
        <v>25</v>
      </c>
      <c r="B1079" s="48"/>
      <c r="C1079" s="48">
        <f ca="1">INDIRECT(_xlfn.TEXTJOIN("",TRUE,A1097,"!",ADDRESS(9+(A1098-1)*A1094,5)))</f>
        <v>0</v>
      </c>
      <c r="D1079" s="48"/>
      <c r="E1079" s="48"/>
      <c r="F1079" s="50" t="s">
        <v>51</v>
      </c>
      <c r="G1079" s="50"/>
      <c r="H1079" s="50"/>
      <c r="I1079" s="49">
        <f ca="1">INDIRECT(_xlfn.TEXTJOIN("",TRUE,A1097,"!",ADDRESS(9+(A1098-1)*A1094,13)))</f>
        <v>0</v>
      </c>
      <c r="J1079" s="49"/>
    </row>
    <row r="1080" spans="1:10" ht="28" customHeight="1" x14ac:dyDescent="0.2">
      <c r="A1080" s="45" t="s">
        <v>28</v>
      </c>
      <c r="B1080" s="45"/>
      <c r="C1080" s="45" t="s">
        <v>29</v>
      </c>
      <c r="D1080" s="45"/>
      <c r="E1080" s="45"/>
      <c r="F1080" s="45"/>
      <c r="G1080" s="45"/>
      <c r="H1080" s="15" t="s">
        <v>30</v>
      </c>
      <c r="I1080" s="15" t="s">
        <v>10</v>
      </c>
      <c r="J1080" s="15" t="s">
        <v>34</v>
      </c>
    </row>
    <row r="1081" spans="1:10" ht="28" customHeight="1" x14ac:dyDescent="0.2">
      <c r="A1081" s="35">
        <f ca="1">INDIRECT(_xlfn.TEXTJOIN("",TRUE,A1097,"!",ADDRESS(13+(A1098-1)*A1094,1)))</f>
        <v>0</v>
      </c>
      <c r="B1081" s="36"/>
      <c r="C1081" s="37">
        <f ca="1">INDIRECT(_xlfn.TEXTJOIN("",TRUE,A1097,"!",ADDRESS(13+(A1098-1)*A1094,2)))</f>
        <v>0</v>
      </c>
      <c r="D1081" s="38"/>
      <c r="E1081" s="38"/>
      <c r="F1081" s="38"/>
      <c r="G1081" s="39"/>
      <c r="H1081" s="20">
        <f ca="1">INDIRECT(_xlfn.TEXTJOIN("",TRUE,A1097,"!",ADDRESS(13+(A1098-1)*A1094,6)))</f>
        <v>0</v>
      </c>
      <c r="I1081" s="20">
        <f ca="1">INDIRECT(_xlfn.TEXTJOIN("",TRUE,A1097,"!",ADDRESS(13+(A1098-1)*A1094,13)))</f>
        <v>0</v>
      </c>
      <c r="J1081" s="20">
        <f ca="1">INDIRECT(_xlfn.TEXTJOIN("",TRUE,A1097,"!",ADDRESS(13+(A1098-1)*A1094,14)))</f>
        <v>0</v>
      </c>
    </row>
    <row r="1082" spans="1:10" ht="28" customHeight="1" x14ac:dyDescent="0.2">
      <c r="A1082" s="35">
        <f ca="1">INDIRECT(_xlfn.TEXTJOIN("",TRUE,A1097,"!",ADDRESS(14+(A1098-1)*A1094,1)))</f>
        <v>0</v>
      </c>
      <c r="B1082" s="36"/>
      <c r="C1082" s="37">
        <f ca="1">INDIRECT(_xlfn.TEXTJOIN("",TRUE,A1097,"!",ADDRESS(14+(A1098-1)*A1094,2)))</f>
        <v>0</v>
      </c>
      <c r="D1082" s="38"/>
      <c r="E1082" s="38"/>
      <c r="F1082" s="38"/>
      <c r="G1082" s="39"/>
      <c r="H1082" s="20">
        <f ca="1">INDIRECT(_xlfn.TEXTJOIN("",TRUE,A1097,"!",ADDRESS(14+(A1098-1)*A1094,6)))</f>
        <v>0</v>
      </c>
      <c r="I1082" s="20">
        <f ca="1">INDIRECT(_xlfn.TEXTJOIN("",TRUE,A1097,"!",ADDRESS(14+(A1098-1)*A1094,13)))</f>
        <v>0</v>
      </c>
      <c r="J1082" s="20">
        <f ca="1">INDIRECT(_xlfn.TEXTJOIN("",TRUE,A1097,"!",ADDRESS(14+(A1098-1)*A1094,14)))</f>
        <v>0</v>
      </c>
    </row>
    <row r="1083" spans="1:10" ht="28" customHeight="1" x14ac:dyDescent="0.2">
      <c r="A1083" s="35">
        <f ca="1">INDIRECT(_xlfn.TEXTJOIN("",TRUE,A1097,"!",ADDRESS(15+(A1098-1)*A1094,1)))</f>
        <v>0</v>
      </c>
      <c r="B1083" s="36"/>
      <c r="C1083" s="37">
        <f ca="1">INDIRECT(_xlfn.TEXTJOIN("",TRUE,A1097,"!",ADDRESS(15+(A1098-1)*A1094,2)))</f>
        <v>0</v>
      </c>
      <c r="D1083" s="38"/>
      <c r="E1083" s="38"/>
      <c r="F1083" s="38"/>
      <c r="G1083" s="39"/>
      <c r="H1083" s="20">
        <f ca="1">INDIRECT(_xlfn.TEXTJOIN("",TRUE,A1097,"!",ADDRESS(15+(A1098-1)*A1094,6)))</f>
        <v>0</v>
      </c>
      <c r="I1083" s="20">
        <f ca="1">INDIRECT(_xlfn.TEXTJOIN("",TRUE,A1097,"!",ADDRESS(15+(A1098-1)*A1094,13)))</f>
        <v>0</v>
      </c>
      <c r="J1083" s="20">
        <f ca="1">INDIRECT(_xlfn.TEXTJOIN("",TRUE,A1097,"!",ADDRESS(15+(A1098-1)*A1094,14)))</f>
        <v>0</v>
      </c>
    </row>
    <row r="1084" spans="1:10" ht="28" customHeight="1" x14ac:dyDescent="0.2">
      <c r="A1084" s="35">
        <f ca="1">INDIRECT(_xlfn.TEXTJOIN("",TRUE,A1097,"!",ADDRESS(16+(A1098-1)*A1094,1)))</f>
        <v>0</v>
      </c>
      <c r="B1084" s="36"/>
      <c r="C1084" s="37">
        <f ca="1">INDIRECT(_xlfn.TEXTJOIN("",TRUE,A1097,"!",ADDRESS(16+(A1098-1)*A1094,2)))</f>
        <v>0</v>
      </c>
      <c r="D1084" s="38"/>
      <c r="E1084" s="38"/>
      <c r="F1084" s="38"/>
      <c r="G1084" s="39"/>
      <c r="H1084" s="20">
        <f ca="1">INDIRECT(_xlfn.TEXTJOIN("",TRUE,A1097,"!",ADDRESS(16+(A1098-1)*A1094,6)))</f>
        <v>0</v>
      </c>
      <c r="I1084" s="20">
        <f ca="1">INDIRECT(_xlfn.TEXTJOIN("",TRUE,A1097,"!",ADDRESS(16+(A1098-1)*A1094,13)))</f>
        <v>0</v>
      </c>
      <c r="J1084" s="20">
        <f ca="1">INDIRECT(_xlfn.TEXTJOIN("",TRUE,A1097,"!",ADDRESS(16+(A1098-1)*A1094,14)))</f>
        <v>0</v>
      </c>
    </row>
    <row r="1085" spans="1:10" ht="28" customHeight="1" x14ac:dyDescent="0.2">
      <c r="A1085" s="35">
        <f ca="1">INDIRECT(_xlfn.TEXTJOIN("",TRUE,A1097,"!",ADDRESS(17+(A1098-1)*A1094,1)))</f>
        <v>0</v>
      </c>
      <c r="B1085" s="36"/>
      <c r="C1085" s="37">
        <f ca="1">INDIRECT(_xlfn.TEXTJOIN("",TRUE,A1097,"!",ADDRESS(17+(A1098-1)*A1094,2)))</f>
        <v>0</v>
      </c>
      <c r="D1085" s="38"/>
      <c r="E1085" s="38"/>
      <c r="F1085" s="38"/>
      <c r="G1085" s="39"/>
      <c r="H1085" s="20">
        <f ca="1">INDIRECT(_xlfn.TEXTJOIN("",TRUE,A1097,"!",ADDRESS(17+(A1098-1)*A1094,6)))</f>
        <v>0</v>
      </c>
      <c r="I1085" s="20">
        <f ca="1">INDIRECT(_xlfn.TEXTJOIN("",TRUE,A1097,"!",ADDRESS(17+(A1098-1)*A1094,13)))</f>
        <v>0</v>
      </c>
      <c r="J1085" s="20">
        <f ca="1">INDIRECT(_xlfn.TEXTJOIN("",TRUE,A1097,"!",ADDRESS(17+(A1098-1)*A1094,14)))</f>
        <v>0</v>
      </c>
    </row>
    <row r="1086" spans="1:10" ht="28" customHeight="1" x14ac:dyDescent="0.2">
      <c r="A1086" s="35">
        <f ca="1">INDIRECT(_xlfn.TEXTJOIN("",TRUE,A1097,"!",ADDRESS(18+(A1098-1)*A1094,1)))</f>
        <v>0</v>
      </c>
      <c r="B1086" s="36"/>
      <c r="C1086" s="37">
        <f ca="1">INDIRECT(_xlfn.TEXTJOIN("",TRUE,A1097,"!",ADDRESS(18+(A1098-1)*A1094,2)))</f>
        <v>0</v>
      </c>
      <c r="D1086" s="38"/>
      <c r="E1086" s="38"/>
      <c r="F1086" s="38"/>
      <c r="G1086" s="39"/>
      <c r="H1086" s="20">
        <f ca="1">INDIRECT(_xlfn.TEXTJOIN("",TRUE,A1097,"!",ADDRESS(18+(A1098-1)*A1094,6)))</f>
        <v>0</v>
      </c>
      <c r="I1086" s="20">
        <f ca="1">INDIRECT(_xlfn.TEXTJOIN("",TRUE,A1097,"!",ADDRESS(18+(A1098-1)*A1094,13)))</f>
        <v>0</v>
      </c>
      <c r="J1086" s="20">
        <f ca="1">INDIRECT(_xlfn.TEXTJOIN("",TRUE,A1097,"!",ADDRESS(18+(A1098-1)*A1094,14)))</f>
        <v>0</v>
      </c>
    </row>
    <row r="1087" spans="1:10" ht="28" customHeight="1" x14ac:dyDescent="0.2">
      <c r="A1087" s="35">
        <f ca="1">INDIRECT(_xlfn.TEXTJOIN("",TRUE,A1097,"!",ADDRESS(19+(A1098-1)*A1094,1)))</f>
        <v>0</v>
      </c>
      <c r="B1087" s="36"/>
      <c r="C1087" s="37">
        <f ca="1">INDIRECT(_xlfn.TEXTJOIN("",TRUE,A1097,"!",ADDRESS(19+(A1098-1)*A1094,2)))</f>
        <v>0</v>
      </c>
      <c r="D1087" s="38"/>
      <c r="E1087" s="38"/>
      <c r="F1087" s="38"/>
      <c r="G1087" s="39"/>
      <c r="H1087" s="20">
        <f ca="1">INDIRECT(_xlfn.TEXTJOIN("",TRUE,A1097,"!",ADDRESS(19+(A1098-1)*A1094,6)))</f>
        <v>0</v>
      </c>
      <c r="I1087" s="20">
        <f ca="1">INDIRECT(_xlfn.TEXTJOIN("",TRUE,A1097,"!",ADDRESS(19+(A1098-1)*A1094,13)))</f>
        <v>0</v>
      </c>
      <c r="J1087" s="20">
        <f ca="1">INDIRECT(_xlfn.TEXTJOIN("",TRUE,A1097,"!",ADDRESS(19+(A1098-1)*A1094,14)))</f>
        <v>0</v>
      </c>
    </row>
    <row r="1088" spans="1:10" ht="28" customHeight="1" x14ac:dyDescent="0.2">
      <c r="A1088" s="35">
        <f ca="1">INDIRECT(_xlfn.TEXTJOIN("",TRUE,A1097,"!",ADDRESS(20+(A1098-1)*A1094,1)))</f>
        <v>0</v>
      </c>
      <c r="B1088" s="36"/>
      <c r="C1088" s="37">
        <f ca="1">INDIRECT(_xlfn.TEXTJOIN("",TRUE,A1097,"!",ADDRESS(20+(A1098-1)*A1094,2)))</f>
        <v>0</v>
      </c>
      <c r="D1088" s="38"/>
      <c r="E1088" s="38"/>
      <c r="F1088" s="38"/>
      <c r="G1088" s="39"/>
      <c r="H1088" s="20">
        <f ca="1">INDIRECT(_xlfn.TEXTJOIN("",TRUE,A1097,"!",ADDRESS(20+(A1098-1)*A1094,6)))</f>
        <v>0</v>
      </c>
      <c r="I1088" s="20">
        <f ca="1">INDIRECT(_xlfn.TEXTJOIN("",TRUE,A1097,"!",ADDRESS(20+(A1098-1)*A1094,13)))</f>
        <v>0</v>
      </c>
      <c r="J1088" s="20">
        <f ca="1">INDIRECT(_xlfn.TEXTJOIN("",TRUE,A1097,"!",ADDRESS(20+(A1098-1)*A1094,14)))</f>
        <v>0</v>
      </c>
    </row>
    <row r="1089" spans="1:10" ht="28" customHeight="1" x14ac:dyDescent="0.2">
      <c r="A1089" s="35">
        <f ca="1">INDIRECT(_xlfn.TEXTJOIN("",TRUE,A1097,"!",ADDRESS(21+(A1098-1)*A1094,1)))</f>
        <v>0</v>
      </c>
      <c r="B1089" s="36"/>
      <c r="C1089" s="37">
        <f ca="1">INDIRECT(_xlfn.TEXTJOIN("",TRUE,A1097,"!",ADDRESS(21+(A1098-1)*A1094,2)))</f>
        <v>0</v>
      </c>
      <c r="D1089" s="38"/>
      <c r="E1089" s="38"/>
      <c r="F1089" s="38"/>
      <c r="G1089" s="39"/>
      <c r="H1089" s="20">
        <f ca="1">INDIRECT(_xlfn.TEXTJOIN("",TRUE,A1097,"!",ADDRESS(21+(A1098-1)*A1094,6)))</f>
        <v>0</v>
      </c>
      <c r="I1089" s="20">
        <f ca="1">INDIRECT(_xlfn.TEXTJOIN("",TRUE,A1097,"!",ADDRESS(21+(A1098-1)*A1094,13)))</f>
        <v>0</v>
      </c>
      <c r="J1089" s="20">
        <f ca="1">INDIRECT(_xlfn.TEXTJOIN("",TRUE,A1097,"!",ADDRESS(21+(A1098-1)*A1094,14)))</f>
        <v>0</v>
      </c>
    </row>
    <row r="1090" spans="1:10" ht="28" customHeight="1" x14ac:dyDescent="0.2">
      <c r="A1090" s="35">
        <f ca="1">INDIRECT(_xlfn.TEXTJOIN("",TRUE,A1097,"!",ADDRESS(22+(A1098-1)*A1094,1)))</f>
        <v>0</v>
      </c>
      <c r="B1090" s="36"/>
      <c r="C1090" s="37">
        <f ca="1">INDIRECT(_xlfn.TEXTJOIN("",TRUE,A1097,"!",ADDRESS(22+(A1098-1)*A1094,2)))</f>
        <v>0</v>
      </c>
      <c r="D1090" s="38"/>
      <c r="E1090" s="38"/>
      <c r="F1090" s="38"/>
      <c r="G1090" s="39"/>
      <c r="H1090" s="20">
        <f ca="1">INDIRECT(_xlfn.TEXTJOIN("",TRUE,A1097,"!",ADDRESS(22+(A1098-1)*A1094,6)))</f>
        <v>0</v>
      </c>
      <c r="I1090" s="20">
        <f ca="1">INDIRECT(_xlfn.TEXTJOIN("",TRUE,A1097,"!",ADDRESS(22+(A1098-1)*A1094,13)))</f>
        <v>0</v>
      </c>
      <c r="J1090" s="20">
        <f ca="1">INDIRECT(_xlfn.TEXTJOIN("",TRUE,A1097,"!",ADDRESS(22+(A1098-1)*A1094,14)))</f>
        <v>0</v>
      </c>
    </row>
    <row r="1091" spans="1:10" ht="28" customHeight="1" x14ac:dyDescent="0.2">
      <c r="A1091" s="35">
        <f ca="1">INDIRECT(_xlfn.TEXTJOIN("",TRUE,A1097,"!",ADDRESS(23+(A1098-1)*A1094,1)))</f>
        <v>0</v>
      </c>
      <c r="B1091" s="36"/>
      <c r="C1091" s="37">
        <f ca="1">INDIRECT(_xlfn.TEXTJOIN("",TRUE,A1097,"!",ADDRESS(23+(A1098-1)*A1094,2)))</f>
        <v>0</v>
      </c>
      <c r="D1091" s="38"/>
      <c r="E1091" s="38"/>
      <c r="F1091" s="38"/>
      <c r="G1091" s="39"/>
      <c r="H1091" s="20">
        <f ca="1">INDIRECT(_xlfn.TEXTJOIN("",TRUE,A1097,"!",ADDRESS(23+(A1098-1)*A1094,6)))</f>
        <v>0</v>
      </c>
      <c r="I1091" s="20">
        <f ca="1">INDIRECT(_xlfn.TEXTJOIN("",TRUE,A1097,"!",ADDRESS(23+(A1098-1)*A1094,13)))</f>
        <v>0</v>
      </c>
      <c r="J1091" s="20">
        <f ca="1">INDIRECT(_xlfn.TEXTJOIN("",TRUE,A1097,"!",ADDRESS(23+(A1098-1)*A1094,14)))</f>
        <v>0</v>
      </c>
    </row>
    <row r="1092" spans="1:10" ht="28" customHeight="1" x14ac:dyDescent="0.2">
      <c r="A1092" s="35">
        <f ca="1">INDIRECT(_xlfn.TEXTJOIN("",TRUE,A1097,"!",ADDRESS(24+(A1098-1)*A1094,1)))</f>
        <v>0</v>
      </c>
      <c r="B1092" s="36"/>
      <c r="C1092" s="37">
        <f ca="1">INDIRECT(_xlfn.TEXTJOIN("",TRUE,A1097,"!",ADDRESS(24+(A1098-1)*A1094,2)))</f>
        <v>0</v>
      </c>
      <c r="D1092" s="38"/>
      <c r="E1092" s="38"/>
      <c r="F1092" s="38"/>
      <c r="G1092" s="39"/>
      <c r="H1092" s="20">
        <f ca="1">INDIRECT(_xlfn.TEXTJOIN("",TRUE,A1097,"!",ADDRESS(24+(A1098-1)*A1094,6)))</f>
        <v>0</v>
      </c>
      <c r="I1092" s="40">
        <f ca="1">INDIRECT(_xlfn.TEXTJOIN("",TRUE,A1097,"!",ADDRESS(24+(A1098-1)*A1094,13)))</f>
        <v>0</v>
      </c>
      <c r="J1092" s="41"/>
    </row>
    <row r="1093" spans="1:10" ht="28" customHeight="1" x14ac:dyDescent="0.2">
      <c r="A1093" s="42" t="s">
        <v>52</v>
      </c>
      <c r="B1093" s="42"/>
      <c r="C1093" s="42"/>
      <c r="D1093" s="42"/>
      <c r="E1093" s="42"/>
      <c r="F1093" s="42"/>
      <c r="G1093" s="42"/>
      <c r="H1093" s="16">
        <f ca="1">SUM(H1081:H1092)</f>
        <v>0</v>
      </c>
      <c r="I1093" s="16" t="s">
        <v>44</v>
      </c>
      <c r="J1093" s="16">
        <f ca="1">SUMPRODUCT(J1081:J1091,H1081:H1091)</f>
        <v>0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43" t="s">
        <v>40</v>
      </c>
      <c r="B1095" s="43"/>
      <c r="C1095" s="21">
        <f ca="1">INDIRECT(_xlfn.TEXTJOIN("",TRUE,A1097,"!",ADDRESS(5+A1098*A1094,12)))</f>
        <v>0</v>
      </c>
      <c r="D1095" s="43" t="s">
        <v>38</v>
      </c>
      <c r="E1095" s="43"/>
      <c r="F1095" s="18">
        <f ca="1">INDIRECT(_xlfn.TEXTJOIN("",TRUE,A1097,"!",ADDRESS(5+A1098*A1094,8)))</f>
        <v>0</v>
      </c>
      <c r="G1095" s="43" t="s">
        <v>39</v>
      </c>
      <c r="H1095" s="43"/>
      <c r="I1095" s="44">
        <f ca="1">INDIRECT(_xlfn.TEXTJOIN("",TRUE,A1097,"!",ADDRESS(5+A1098*A1094,10)))</f>
        <v>0</v>
      </c>
      <c r="J1095" s="44"/>
    </row>
    <row r="1096" spans="1:10" ht="28" customHeight="1" x14ac:dyDescent="0.2">
      <c r="A1096" s="19" t="s">
        <v>36</v>
      </c>
      <c r="B1096" s="45">
        <f ca="1">INDIRECT(_xlfn.TEXTJOIN("",TRUE,A1097,"!",ADDRESS(5+A1098*A1094,2)))</f>
        <v>0</v>
      </c>
      <c r="C1096" s="45"/>
      <c r="D1096" s="46" t="s">
        <v>37</v>
      </c>
      <c r="E1096" s="46"/>
      <c r="F1096" s="47">
        <f ca="1">INDIRECT(_xlfn.TEXTJOIN("",TRUE,A1097,"!",ADDRESS(5+A1098*A1094,5)))</f>
        <v>0</v>
      </c>
      <c r="G1096" s="47"/>
      <c r="H1096" s="47"/>
      <c r="I1096" s="47"/>
      <c r="J1096" s="47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48" t="s">
        <v>24</v>
      </c>
      <c r="B1099" s="48"/>
      <c r="C1099" s="48">
        <f ca="1">INDIRECT(_xlfn.TEXTJOIN("",TRUE,A1118,"!",ADDRESS(9+(A1119-1)*A1115,2)))</f>
        <v>0</v>
      </c>
      <c r="D1099" s="48"/>
      <c r="E1099" s="48"/>
      <c r="F1099" s="48" t="s">
        <v>50</v>
      </c>
      <c r="G1099" s="48"/>
      <c r="H1099" s="48"/>
      <c r="I1099" s="49">
        <f ca="1">INDIRECT(_xlfn.TEXTJOIN("",TRUE,A1118,"!",ADDRESS(9+(A1119-1)*A1115,9)))</f>
        <v>0</v>
      </c>
      <c r="J1099" s="49"/>
    </row>
    <row r="1100" spans="1:10" ht="28" customHeight="1" x14ac:dyDescent="0.2">
      <c r="A1100" s="48" t="s">
        <v>25</v>
      </c>
      <c r="B1100" s="48"/>
      <c r="C1100" s="48">
        <f ca="1">INDIRECT(_xlfn.TEXTJOIN("",TRUE,A1118,"!",ADDRESS(9+(A1119-1)*A1115,5)))</f>
        <v>0</v>
      </c>
      <c r="D1100" s="48"/>
      <c r="E1100" s="48"/>
      <c r="F1100" s="50" t="s">
        <v>51</v>
      </c>
      <c r="G1100" s="50"/>
      <c r="H1100" s="50"/>
      <c r="I1100" s="49">
        <f ca="1">INDIRECT(_xlfn.TEXTJOIN("",TRUE,A1118,"!",ADDRESS(9+(A1119-1)*A1115,13)))</f>
        <v>0</v>
      </c>
      <c r="J1100" s="49"/>
    </row>
    <row r="1101" spans="1:10" ht="28" customHeight="1" x14ac:dyDescent="0.2">
      <c r="A1101" s="45" t="s">
        <v>28</v>
      </c>
      <c r="B1101" s="45"/>
      <c r="C1101" s="45" t="s">
        <v>29</v>
      </c>
      <c r="D1101" s="45"/>
      <c r="E1101" s="45"/>
      <c r="F1101" s="45"/>
      <c r="G1101" s="45"/>
      <c r="H1101" s="15" t="s">
        <v>30</v>
      </c>
      <c r="I1101" s="15" t="s">
        <v>10</v>
      </c>
      <c r="J1101" s="15" t="s">
        <v>34</v>
      </c>
    </row>
    <row r="1102" spans="1:10" ht="28" customHeight="1" x14ac:dyDescent="0.2">
      <c r="A1102" s="35">
        <f ca="1">INDIRECT(_xlfn.TEXTJOIN("",TRUE,A1118,"!",ADDRESS(13+(A1119-1)*A1115,1)))</f>
        <v>0</v>
      </c>
      <c r="B1102" s="36"/>
      <c r="C1102" s="37">
        <f ca="1">INDIRECT(_xlfn.TEXTJOIN("",TRUE,A1118,"!",ADDRESS(13+(A1119-1)*A1115,2)))</f>
        <v>0</v>
      </c>
      <c r="D1102" s="38"/>
      <c r="E1102" s="38"/>
      <c r="F1102" s="38"/>
      <c r="G1102" s="39"/>
      <c r="H1102" s="20">
        <f ca="1">INDIRECT(_xlfn.TEXTJOIN("",TRUE,A1118,"!",ADDRESS(13+(A1119-1)*A1115,6)))</f>
        <v>0</v>
      </c>
      <c r="I1102" s="20">
        <f ca="1">INDIRECT(_xlfn.TEXTJOIN("",TRUE,A1118,"!",ADDRESS(13+(A1119-1)*A1115,13)))</f>
        <v>0</v>
      </c>
      <c r="J1102" s="20">
        <f ca="1">INDIRECT(_xlfn.TEXTJOIN("",TRUE,A1118,"!",ADDRESS(13+(A1119-1)*A1115,14)))</f>
        <v>0</v>
      </c>
    </row>
    <row r="1103" spans="1:10" ht="28" customHeight="1" x14ac:dyDescent="0.2">
      <c r="A1103" s="35">
        <f ca="1">INDIRECT(_xlfn.TEXTJOIN("",TRUE,A1118,"!",ADDRESS(14+(A1119-1)*A1115,1)))</f>
        <v>0</v>
      </c>
      <c r="B1103" s="36"/>
      <c r="C1103" s="37">
        <f ca="1">INDIRECT(_xlfn.TEXTJOIN("",TRUE,A1118,"!",ADDRESS(14+(A1119-1)*A1115,2)))</f>
        <v>0</v>
      </c>
      <c r="D1103" s="38"/>
      <c r="E1103" s="38"/>
      <c r="F1103" s="38"/>
      <c r="G1103" s="39"/>
      <c r="H1103" s="20">
        <f ca="1">INDIRECT(_xlfn.TEXTJOIN("",TRUE,A1118,"!",ADDRESS(14+(A1119-1)*A1115,6)))</f>
        <v>0</v>
      </c>
      <c r="I1103" s="20">
        <f ca="1">INDIRECT(_xlfn.TEXTJOIN("",TRUE,A1118,"!",ADDRESS(14+(A1119-1)*A1115,13)))</f>
        <v>0</v>
      </c>
      <c r="J1103" s="20">
        <f ca="1">INDIRECT(_xlfn.TEXTJOIN("",TRUE,A1118,"!",ADDRESS(14+(A1119-1)*A1115,14)))</f>
        <v>0</v>
      </c>
    </row>
    <row r="1104" spans="1:10" ht="28" customHeight="1" x14ac:dyDescent="0.2">
      <c r="A1104" s="35">
        <f ca="1">INDIRECT(_xlfn.TEXTJOIN("",TRUE,A1118,"!",ADDRESS(15+(A1119-1)*A1115,1)))</f>
        <v>0</v>
      </c>
      <c r="B1104" s="36"/>
      <c r="C1104" s="37">
        <f ca="1">INDIRECT(_xlfn.TEXTJOIN("",TRUE,A1118,"!",ADDRESS(15+(A1119-1)*A1115,2)))</f>
        <v>0</v>
      </c>
      <c r="D1104" s="38"/>
      <c r="E1104" s="38"/>
      <c r="F1104" s="38"/>
      <c r="G1104" s="39"/>
      <c r="H1104" s="20">
        <f ca="1">INDIRECT(_xlfn.TEXTJOIN("",TRUE,A1118,"!",ADDRESS(15+(A1119-1)*A1115,6)))</f>
        <v>0</v>
      </c>
      <c r="I1104" s="20">
        <f ca="1">INDIRECT(_xlfn.TEXTJOIN("",TRUE,A1118,"!",ADDRESS(15+(A1119-1)*A1115,13)))</f>
        <v>0</v>
      </c>
      <c r="J1104" s="20">
        <f ca="1">INDIRECT(_xlfn.TEXTJOIN("",TRUE,A1118,"!",ADDRESS(15+(A1119-1)*A1115,14)))</f>
        <v>0</v>
      </c>
    </row>
    <row r="1105" spans="1:10" ht="28" customHeight="1" x14ac:dyDescent="0.2">
      <c r="A1105" s="35">
        <f ca="1">INDIRECT(_xlfn.TEXTJOIN("",TRUE,A1118,"!",ADDRESS(16+(A1119-1)*A1115,1)))</f>
        <v>0</v>
      </c>
      <c r="B1105" s="36"/>
      <c r="C1105" s="37">
        <f ca="1">INDIRECT(_xlfn.TEXTJOIN("",TRUE,A1118,"!",ADDRESS(16+(A1119-1)*A1115,2)))</f>
        <v>0</v>
      </c>
      <c r="D1105" s="38"/>
      <c r="E1105" s="38"/>
      <c r="F1105" s="38"/>
      <c r="G1105" s="39"/>
      <c r="H1105" s="20">
        <f ca="1">INDIRECT(_xlfn.TEXTJOIN("",TRUE,A1118,"!",ADDRESS(16+(A1119-1)*A1115,6)))</f>
        <v>0</v>
      </c>
      <c r="I1105" s="20">
        <f ca="1">INDIRECT(_xlfn.TEXTJOIN("",TRUE,A1118,"!",ADDRESS(16+(A1119-1)*A1115,13)))</f>
        <v>0</v>
      </c>
      <c r="J1105" s="20">
        <f ca="1">INDIRECT(_xlfn.TEXTJOIN("",TRUE,A1118,"!",ADDRESS(16+(A1119-1)*A1115,14)))</f>
        <v>0</v>
      </c>
    </row>
    <row r="1106" spans="1:10" ht="28" customHeight="1" x14ac:dyDescent="0.2">
      <c r="A1106" s="35">
        <f ca="1">INDIRECT(_xlfn.TEXTJOIN("",TRUE,A1118,"!",ADDRESS(17+(A1119-1)*A1115,1)))</f>
        <v>0</v>
      </c>
      <c r="B1106" s="36"/>
      <c r="C1106" s="37">
        <f ca="1">INDIRECT(_xlfn.TEXTJOIN("",TRUE,A1118,"!",ADDRESS(17+(A1119-1)*A1115,2)))</f>
        <v>0</v>
      </c>
      <c r="D1106" s="38"/>
      <c r="E1106" s="38"/>
      <c r="F1106" s="38"/>
      <c r="G1106" s="39"/>
      <c r="H1106" s="20">
        <f ca="1">INDIRECT(_xlfn.TEXTJOIN("",TRUE,A1118,"!",ADDRESS(17+(A1119-1)*A1115,6)))</f>
        <v>0</v>
      </c>
      <c r="I1106" s="20">
        <f ca="1">INDIRECT(_xlfn.TEXTJOIN("",TRUE,A1118,"!",ADDRESS(17+(A1119-1)*A1115,13)))</f>
        <v>0</v>
      </c>
      <c r="J1106" s="20">
        <f ca="1">INDIRECT(_xlfn.TEXTJOIN("",TRUE,A1118,"!",ADDRESS(17+(A1119-1)*A1115,14)))</f>
        <v>0</v>
      </c>
    </row>
    <row r="1107" spans="1:10" ht="28" customHeight="1" x14ac:dyDescent="0.2">
      <c r="A1107" s="35">
        <f ca="1">INDIRECT(_xlfn.TEXTJOIN("",TRUE,A1118,"!",ADDRESS(18+(A1119-1)*A1115,1)))</f>
        <v>0</v>
      </c>
      <c r="B1107" s="36"/>
      <c r="C1107" s="37">
        <f ca="1">INDIRECT(_xlfn.TEXTJOIN("",TRUE,A1118,"!",ADDRESS(18+(A1119-1)*A1115,2)))</f>
        <v>0</v>
      </c>
      <c r="D1107" s="38"/>
      <c r="E1107" s="38"/>
      <c r="F1107" s="38"/>
      <c r="G1107" s="39"/>
      <c r="H1107" s="20">
        <f ca="1">INDIRECT(_xlfn.TEXTJOIN("",TRUE,A1118,"!",ADDRESS(18+(A1119-1)*A1115,6)))</f>
        <v>0</v>
      </c>
      <c r="I1107" s="20">
        <f ca="1">INDIRECT(_xlfn.TEXTJOIN("",TRUE,A1118,"!",ADDRESS(18+(A1119-1)*A1115,13)))</f>
        <v>0</v>
      </c>
      <c r="J1107" s="20">
        <f ca="1">INDIRECT(_xlfn.TEXTJOIN("",TRUE,A1118,"!",ADDRESS(18+(A1119-1)*A1115,14)))</f>
        <v>0</v>
      </c>
    </row>
    <row r="1108" spans="1:10" ht="28" customHeight="1" x14ac:dyDescent="0.2">
      <c r="A1108" s="35">
        <f ca="1">INDIRECT(_xlfn.TEXTJOIN("",TRUE,A1118,"!",ADDRESS(19+(A1119-1)*A1115,1)))</f>
        <v>0</v>
      </c>
      <c r="B1108" s="36"/>
      <c r="C1108" s="37">
        <f ca="1">INDIRECT(_xlfn.TEXTJOIN("",TRUE,A1118,"!",ADDRESS(19+(A1119-1)*A1115,2)))</f>
        <v>0</v>
      </c>
      <c r="D1108" s="38"/>
      <c r="E1108" s="38"/>
      <c r="F1108" s="38"/>
      <c r="G1108" s="39"/>
      <c r="H1108" s="20">
        <f ca="1">INDIRECT(_xlfn.TEXTJOIN("",TRUE,A1118,"!",ADDRESS(19+(A1119-1)*A1115,6)))</f>
        <v>0</v>
      </c>
      <c r="I1108" s="20">
        <f ca="1">INDIRECT(_xlfn.TEXTJOIN("",TRUE,A1118,"!",ADDRESS(19+(A1119-1)*A1115,13)))</f>
        <v>0</v>
      </c>
      <c r="J1108" s="20">
        <f ca="1">INDIRECT(_xlfn.TEXTJOIN("",TRUE,A1118,"!",ADDRESS(19+(A1119-1)*A1115,14)))</f>
        <v>0</v>
      </c>
    </row>
    <row r="1109" spans="1:10" ht="28" customHeight="1" x14ac:dyDescent="0.2">
      <c r="A1109" s="35">
        <f ca="1">INDIRECT(_xlfn.TEXTJOIN("",TRUE,A1118,"!",ADDRESS(20+(A1119-1)*A1115,1)))</f>
        <v>0</v>
      </c>
      <c r="B1109" s="36"/>
      <c r="C1109" s="37">
        <f ca="1">INDIRECT(_xlfn.TEXTJOIN("",TRUE,A1118,"!",ADDRESS(20+(A1119-1)*A1115,2)))</f>
        <v>0</v>
      </c>
      <c r="D1109" s="38"/>
      <c r="E1109" s="38"/>
      <c r="F1109" s="38"/>
      <c r="G1109" s="39"/>
      <c r="H1109" s="20">
        <f ca="1">INDIRECT(_xlfn.TEXTJOIN("",TRUE,A1118,"!",ADDRESS(20+(A1119-1)*A1115,6)))</f>
        <v>0</v>
      </c>
      <c r="I1109" s="20">
        <f ca="1">INDIRECT(_xlfn.TEXTJOIN("",TRUE,A1118,"!",ADDRESS(20+(A1119-1)*A1115,13)))</f>
        <v>0</v>
      </c>
      <c r="J1109" s="20">
        <f ca="1">INDIRECT(_xlfn.TEXTJOIN("",TRUE,A1118,"!",ADDRESS(20+(A1119-1)*A1115,14)))</f>
        <v>0</v>
      </c>
    </row>
    <row r="1110" spans="1:10" ht="28" customHeight="1" x14ac:dyDescent="0.2">
      <c r="A1110" s="35">
        <f ca="1">INDIRECT(_xlfn.TEXTJOIN("",TRUE,A1118,"!",ADDRESS(21+(A1119-1)*A1115,1)))</f>
        <v>0</v>
      </c>
      <c r="B1110" s="36"/>
      <c r="C1110" s="37">
        <f ca="1">INDIRECT(_xlfn.TEXTJOIN("",TRUE,A1118,"!",ADDRESS(21+(A1119-1)*A1115,2)))</f>
        <v>0</v>
      </c>
      <c r="D1110" s="38"/>
      <c r="E1110" s="38"/>
      <c r="F1110" s="38"/>
      <c r="G1110" s="39"/>
      <c r="H1110" s="20">
        <f ca="1">INDIRECT(_xlfn.TEXTJOIN("",TRUE,A1118,"!",ADDRESS(21+(A1119-1)*A1115,6)))</f>
        <v>0</v>
      </c>
      <c r="I1110" s="20">
        <f ca="1">INDIRECT(_xlfn.TEXTJOIN("",TRUE,A1118,"!",ADDRESS(21+(A1119-1)*A1115,13)))</f>
        <v>0</v>
      </c>
      <c r="J1110" s="20">
        <f ca="1">INDIRECT(_xlfn.TEXTJOIN("",TRUE,A1118,"!",ADDRESS(21+(A1119-1)*A1115,14)))</f>
        <v>0</v>
      </c>
    </row>
    <row r="1111" spans="1:10" ht="28" customHeight="1" x14ac:dyDescent="0.2">
      <c r="A1111" s="35">
        <f ca="1">INDIRECT(_xlfn.TEXTJOIN("",TRUE,A1118,"!",ADDRESS(22+(A1119-1)*A1115,1)))</f>
        <v>0</v>
      </c>
      <c r="B1111" s="36"/>
      <c r="C1111" s="37">
        <f ca="1">INDIRECT(_xlfn.TEXTJOIN("",TRUE,A1118,"!",ADDRESS(22+(A1119-1)*A1115,2)))</f>
        <v>0</v>
      </c>
      <c r="D1111" s="38"/>
      <c r="E1111" s="38"/>
      <c r="F1111" s="38"/>
      <c r="G1111" s="39"/>
      <c r="H1111" s="20">
        <f ca="1">INDIRECT(_xlfn.TEXTJOIN("",TRUE,A1118,"!",ADDRESS(22+(A1119-1)*A1115,6)))</f>
        <v>0</v>
      </c>
      <c r="I1111" s="20">
        <f ca="1">INDIRECT(_xlfn.TEXTJOIN("",TRUE,A1118,"!",ADDRESS(22+(A1119-1)*A1115,13)))</f>
        <v>0</v>
      </c>
      <c r="J1111" s="20">
        <f ca="1">INDIRECT(_xlfn.TEXTJOIN("",TRUE,A1118,"!",ADDRESS(22+(A1119-1)*A1115,14)))</f>
        <v>0</v>
      </c>
    </row>
    <row r="1112" spans="1:10" ht="28" customHeight="1" x14ac:dyDescent="0.2">
      <c r="A1112" s="35">
        <f ca="1">INDIRECT(_xlfn.TEXTJOIN("",TRUE,A1118,"!",ADDRESS(23+(A1119-1)*A1115,1)))</f>
        <v>0</v>
      </c>
      <c r="B1112" s="36"/>
      <c r="C1112" s="37">
        <f ca="1">INDIRECT(_xlfn.TEXTJOIN("",TRUE,A1118,"!",ADDRESS(23+(A1119-1)*A1115,2)))</f>
        <v>0</v>
      </c>
      <c r="D1112" s="38"/>
      <c r="E1112" s="38"/>
      <c r="F1112" s="38"/>
      <c r="G1112" s="39"/>
      <c r="H1112" s="20">
        <f ca="1">INDIRECT(_xlfn.TEXTJOIN("",TRUE,A1118,"!",ADDRESS(23+(A1119-1)*A1115,6)))</f>
        <v>0</v>
      </c>
      <c r="I1112" s="20">
        <f ca="1">INDIRECT(_xlfn.TEXTJOIN("",TRUE,A1118,"!",ADDRESS(23+(A1119-1)*A1115,13)))</f>
        <v>0</v>
      </c>
      <c r="J1112" s="20">
        <f ca="1">INDIRECT(_xlfn.TEXTJOIN("",TRUE,A1118,"!",ADDRESS(23+(A1119-1)*A1115,14)))</f>
        <v>0</v>
      </c>
    </row>
    <row r="1113" spans="1:10" ht="28" customHeight="1" x14ac:dyDescent="0.2">
      <c r="A1113" s="35">
        <f ca="1">INDIRECT(_xlfn.TEXTJOIN("",TRUE,A1118,"!",ADDRESS(24+(A1119-1)*A1115,1)))</f>
        <v>0</v>
      </c>
      <c r="B1113" s="36"/>
      <c r="C1113" s="37">
        <f ca="1">INDIRECT(_xlfn.TEXTJOIN("",TRUE,A1118,"!",ADDRESS(24+(A1119-1)*A1115,2)))</f>
        <v>0</v>
      </c>
      <c r="D1113" s="38"/>
      <c r="E1113" s="38"/>
      <c r="F1113" s="38"/>
      <c r="G1113" s="39"/>
      <c r="H1113" s="20">
        <f ca="1">INDIRECT(_xlfn.TEXTJOIN("",TRUE,A1118,"!",ADDRESS(24+(A1119-1)*A1115,6)))</f>
        <v>0</v>
      </c>
      <c r="I1113" s="40">
        <f ca="1">INDIRECT(_xlfn.TEXTJOIN("",TRUE,A1118,"!",ADDRESS(24+(A1119-1)*A1115,13)))</f>
        <v>0</v>
      </c>
      <c r="J1113" s="41"/>
    </row>
    <row r="1114" spans="1:10" ht="28" customHeight="1" x14ac:dyDescent="0.2">
      <c r="A1114" s="42" t="s">
        <v>52</v>
      </c>
      <c r="B1114" s="42"/>
      <c r="C1114" s="42"/>
      <c r="D1114" s="42"/>
      <c r="E1114" s="42"/>
      <c r="F1114" s="42"/>
      <c r="G1114" s="42"/>
      <c r="H1114" s="16">
        <f ca="1">SUM(H1102:H1113)</f>
        <v>0</v>
      </c>
      <c r="I1114" s="16" t="s">
        <v>44</v>
      </c>
      <c r="J1114" s="16">
        <f ca="1">SUMPRODUCT(J1102:J1112,H1102:H1112)</f>
        <v>0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43" t="s">
        <v>40</v>
      </c>
      <c r="B1116" s="43"/>
      <c r="C1116" s="21">
        <f ca="1">INDIRECT(_xlfn.TEXTJOIN("",TRUE,A1118,"!",ADDRESS(5+A1119*A1115,12)))</f>
        <v>0</v>
      </c>
      <c r="D1116" s="43" t="s">
        <v>38</v>
      </c>
      <c r="E1116" s="43"/>
      <c r="F1116" s="18">
        <f ca="1">INDIRECT(_xlfn.TEXTJOIN("",TRUE,A1118,"!",ADDRESS(5+A1119*A1115,8)))</f>
        <v>0</v>
      </c>
      <c r="G1116" s="43" t="s">
        <v>39</v>
      </c>
      <c r="H1116" s="43"/>
      <c r="I1116" s="44">
        <f ca="1">INDIRECT(_xlfn.TEXTJOIN("",TRUE,A1118,"!",ADDRESS(5+A1119*A1115,10)))</f>
        <v>0</v>
      </c>
      <c r="J1116" s="44"/>
    </row>
    <row r="1117" spans="1:10" ht="28" customHeight="1" x14ac:dyDescent="0.2">
      <c r="A1117" s="19" t="s">
        <v>36</v>
      </c>
      <c r="B1117" s="45">
        <f ca="1">INDIRECT(_xlfn.TEXTJOIN("",TRUE,A1118,"!",ADDRESS(5+A1119*A1115,2)))</f>
        <v>0</v>
      </c>
      <c r="C1117" s="45"/>
      <c r="D1117" s="46" t="s">
        <v>37</v>
      </c>
      <c r="E1117" s="46"/>
      <c r="F1117" s="47">
        <f ca="1">INDIRECT(_xlfn.TEXTJOIN("",TRUE,A1118,"!",ADDRESS(5+A1119*A1115,5)))</f>
        <v>0</v>
      </c>
      <c r="G1117" s="47"/>
      <c r="H1117" s="47"/>
      <c r="I1117" s="47"/>
      <c r="J1117" s="47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48" t="s">
        <v>24</v>
      </c>
      <c r="B1120" s="48"/>
      <c r="C1120" s="48">
        <f ca="1">INDIRECT(_xlfn.TEXTJOIN("",TRUE,A1139,"!",ADDRESS(9+(A1140-1)*A1136,2)))</f>
        <v>0</v>
      </c>
      <c r="D1120" s="48"/>
      <c r="E1120" s="48"/>
      <c r="F1120" s="48" t="s">
        <v>50</v>
      </c>
      <c r="G1120" s="48"/>
      <c r="H1120" s="48"/>
      <c r="I1120" s="49">
        <f ca="1">INDIRECT(_xlfn.TEXTJOIN("",TRUE,A1139,"!",ADDRESS(9+(A1140-1)*A1136,9)))</f>
        <v>0</v>
      </c>
      <c r="J1120" s="49"/>
    </row>
    <row r="1121" spans="1:10" ht="28" customHeight="1" x14ac:dyDescent="0.2">
      <c r="A1121" s="48" t="s">
        <v>25</v>
      </c>
      <c r="B1121" s="48"/>
      <c r="C1121" s="48">
        <f ca="1">INDIRECT(_xlfn.TEXTJOIN("",TRUE,A1139,"!",ADDRESS(9+(A1140-1)*A1136,5)))</f>
        <v>0</v>
      </c>
      <c r="D1121" s="48"/>
      <c r="E1121" s="48"/>
      <c r="F1121" s="50" t="s">
        <v>51</v>
      </c>
      <c r="G1121" s="50"/>
      <c r="H1121" s="50"/>
      <c r="I1121" s="49">
        <f ca="1">INDIRECT(_xlfn.TEXTJOIN("",TRUE,A1139,"!",ADDRESS(9+(A1140-1)*A1136,13)))</f>
        <v>0</v>
      </c>
      <c r="J1121" s="49"/>
    </row>
    <row r="1122" spans="1:10" ht="28" customHeight="1" x14ac:dyDescent="0.2">
      <c r="A1122" s="45" t="s">
        <v>28</v>
      </c>
      <c r="B1122" s="45"/>
      <c r="C1122" s="45" t="s">
        <v>29</v>
      </c>
      <c r="D1122" s="45"/>
      <c r="E1122" s="45"/>
      <c r="F1122" s="45"/>
      <c r="G1122" s="45"/>
      <c r="H1122" s="15" t="s">
        <v>30</v>
      </c>
      <c r="I1122" s="15" t="s">
        <v>10</v>
      </c>
      <c r="J1122" s="15" t="s">
        <v>34</v>
      </c>
    </row>
    <row r="1123" spans="1:10" ht="28" customHeight="1" x14ac:dyDescent="0.2">
      <c r="A1123" s="35">
        <f ca="1">INDIRECT(_xlfn.TEXTJOIN("",TRUE,A1139,"!",ADDRESS(13+(A1140-1)*A1136,1)))</f>
        <v>0</v>
      </c>
      <c r="B1123" s="36"/>
      <c r="C1123" s="37">
        <f ca="1">INDIRECT(_xlfn.TEXTJOIN("",TRUE,A1139,"!",ADDRESS(13+(A1140-1)*A1136,2)))</f>
        <v>0</v>
      </c>
      <c r="D1123" s="38"/>
      <c r="E1123" s="38"/>
      <c r="F1123" s="38"/>
      <c r="G1123" s="39"/>
      <c r="H1123" s="20">
        <f ca="1">INDIRECT(_xlfn.TEXTJOIN("",TRUE,A1139,"!",ADDRESS(13+(A1140-1)*A1136,6)))</f>
        <v>0</v>
      </c>
      <c r="I1123" s="20">
        <f ca="1">INDIRECT(_xlfn.TEXTJOIN("",TRUE,A1139,"!",ADDRESS(13+(A1140-1)*A1136,13)))</f>
        <v>0</v>
      </c>
      <c r="J1123" s="20">
        <f ca="1">INDIRECT(_xlfn.TEXTJOIN("",TRUE,A1139,"!",ADDRESS(13+(A1140-1)*A1136,14)))</f>
        <v>0</v>
      </c>
    </row>
    <row r="1124" spans="1:10" ht="28" customHeight="1" x14ac:dyDescent="0.2">
      <c r="A1124" s="35">
        <f ca="1">INDIRECT(_xlfn.TEXTJOIN("",TRUE,A1139,"!",ADDRESS(14+(A1140-1)*A1136,1)))</f>
        <v>0</v>
      </c>
      <c r="B1124" s="36"/>
      <c r="C1124" s="37">
        <f ca="1">INDIRECT(_xlfn.TEXTJOIN("",TRUE,A1139,"!",ADDRESS(14+(A1140-1)*A1136,2)))</f>
        <v>0</v>
      </c>
      <c r="D1124" s="38"/>
      <c r="E1124" s="38"/>
      <c r="F1124" s="38"/>
      <c r="G1124" s="39"/>
      <c r="H1124" s="20">
        <f ca="1">INDIRECT(_xlfn.TEXTJOIN("",TRUE,A1139,"!",ADDRESS(14+(A1140-1)*A1136,6)))</f>
        <v>0</v>
      </c>
      <c r="I1124" s="20">
        <f ca="1">INDIRECT(_xlfn.TEXTJOIN("",TRUE,A1139,"!",ADDRESS(14+(A1140-1)*A1136,13)))</f>
        <v>0</v>
      </c>
      <c r="J1124" s="20">
        <f ca="1">INDIRECT(_xlfn.TEXTJOIN("",TRUE,A1139,"!",ADDRESS(14+(A1140-1)*A1136,14)))</f>
        <v>0</v>
      </c>
    </row>
    <row r="1125" spans="1:10" ht="28" customHeight="1" x14ac:dyDescent="0.2">
      <c r="A1125" s="35">
        <f ca="1">INDIRECT(_xlfn.TEXTJOIN("",TRUE,A1139,"!",ADDRESS(15+(A1140-1)*A1136,1)))</f>
        <v>0</v>
      </c>
      <c r="B1125" s="36"/>
      <c r="C1125" s="37">
        <f ca="1">INDIRECT(_xlfn.TEXTJOIN("",TRUE,A1139,"!",ADDRESS(15+(A1140-1)*A1136,2)))</f>
        <v>0</v>
      </c>
      <c r="D1125" s="38"/>
      <c r="E1125" s="38"/>
      <c r="F1125" s="38"/>
      <c r="G1125" s="39"/>
      <c r="H1125" s="20">
        <f ca="1">INDIRECT(_xlfn.TEXTJOIN("",TRUE,A1139,"!",ADDRESS(15+(A1140-1)*A1136,6)))</f>
        <v>0</v>
      </c>
      <c r="I1125" s="20">
        <f ca="1">INDIRECT(_xlfn.TEXTJOIN("",TRUE,A1139,"!",ADDRESS(15+(A1140-1)*A1136,13)))</f>
        <v>0</v>
      </c>
      <c r="J1125" s="20">
        <f ca="1">INDIRECT(_xlfn.TEXTJOIN("",TRUE,A1139,"!",ADDRESS(15+(A1140-1)*A1136,14)))</f>
        <v>0</v>
      </c>
    </row>
    <row r="1126" spans="1:10" ht="28" customHeight="1" x14ac:dyDescent="0.2">
      <c r="A1126" s="35">
        <f ca="1">INDIRECT(_xlfn.TEXTJOIN("",TRUE,A1139,"!",ADDRESS(16+(A1140-1)*A1136,1)))</f>
        <v>0</v>
      </c>
      <c r="B1126" s="36"/>
      <c r="C1126" s="37">
        <f ca="1">INDIRECT(_xlfn.TEXTJOIN("",TRUE,A1139,"!",ADDRESS(16+(A1140-1)*A1136,2)))</f>
        <v>0</v>
      </c>
      <c r="D1126" s="38"/>
      <c r="E1126" s="38"/>
      <c r="F1126" s="38"/>
      <c r="G1126" s="39"/>
      <c r="H1126" s="20">
        <f ca="1">INDIRECT(_xlfn.TEXTJOIN("",TRUE,A1139,"!",ADDRESS(16+(A1140-1)*A1136,6)))</f>
        <v>0</v>
      </c>
      <c r="I1126" s="20">
        <f ca="1">INDIRECT(_xlfn.TEXTJOIN("",TRUE,A1139,"!",ADDRESS(16+(A1140-1)*A1136,13)))</f>
        <v>0</v>
      </c>
      <c r="J1126" s="20">
        <f ca="1">INDIRECT(_xlfn.TEXTJOIN("",TRUE,A1139,"!",ADDRESS(16+(A1140-1)*A1136,14)))</f>
        <v>0</v>
      </c>
    </row>
    <row r="1127" spans="1:10" ht="28" customHeight="1" x14ac:dyDescent="0.2">
      <c r="A1127" s="35">
        <f ca="1">INDIRECT(_xlfn.TEXTJOIN("",TRUE,A1139,"!",ADDRESS(17+(A1140-1)*A1136,1)))</f>
        <v>0</v>
      </c>
      <c r="B1127" s="36"/>
      <c r="C1127" s="37">
        <f ca="1">INDIRECT(_xlfn.TEXTJOIN("",TRUE,A1139,"!",ADDRESS(17+(A1140-1)*A1136,2)))</f>
        <v>0</v>
      </c>
      <c r="D1127" s="38"/>
      <c r="E1127" s="38"/>
      <c r="F1127" s="38"/>
      <c r="G1127" s="39"/>
      <c r="H1127" s="20">
        <f ca="1">INDIRECT(_xlfn.TEXTJOIN("",TRUE,A1139,"!",ADDRESS(17+(A1140-1)*A1136,6)))</f>
        <v>0</v>
      </c>
      <c r="I1127" s="20">
        <f ca="1">INDIRECT(_xlfn.TEXTJOIN("",TRUE,A1139,"!",ADDRESS(17+(A1140-1)*A1136,13)))</f>
        <v>0</v>
      </c>
      <c r="J1127" s="20">
        <f ca="1">INDIRECT(_xlfn.TEXTJOIN("",TRUE,A1139,"!",ADDRESS(17+(A1140-1)*A1136,14)))</f>
        <v>0</v>
      </c>
    </row>
    <row r="1128" spans="1:10" ht="28" customHeight="1" x14ac:dyDescent="0.2">
      <c r="A1128" s="35">
        <f ca="1">INDIRECT(_xlfn.TEXTJOIN("",TRUE,A1139,"!",ADDRESS(18+(A1140-1)*A1136,1)))</f>
        <v>0</v>
      </c>
      <c r="B1128" s="36"/>
      <c r="C1128" s="37">
        <f ca="1">INDIRECT(_xlfn.TEXTJOIN("",TRUE,A1139,"!",ADDRESS(18+(A1140-1)*A1136,2)))</f>
        <v>0</v>
      </c>
      <c r="D1128" s="38"/>
      <c r="E1128" s="38"/>
      <c r="F1128" s="38"/>
      <c r="G1128" s="39"/>
      <c r="H1128" s="20">
        <f ca="1">INDIRECT(_xlfn.TEXTJOIN("",TRUE,A1139,"!",ADDRESS(18+(A1140-1)*A1136,6)))</f>
        <v>0</v>
      </c>
      <c r="I1128" s="20">
        <f ca="1">INDIRECT(_xlfn.TEXTJOIN("",TRUE,A1139,"!",ADDRESS(18+(A1140-1)*A1136,13)))</f>
        <v>0</v>
      </c>
      <c r="J1128" s="20">
        <f ca="1">INDIRECT(_xlfn.TEXTJOIN("",TRUE,A1139,"!",ADDRESS(18+(A1140-1)*A1136,14)))</f>
        <v>0</v>
      </c>
    </row>
    <row r="1129" spans="1:10" ht="28" customHeight="1" x14ac:dyDescent="0.2">
      <c r="A1129" s="35">
        <f ca="1">INDIRECT(_xlfn.TEXTJOIN("",TRUE,A1139,"!",ADDRESS(19+(A1140-1)*A1136,1)))</f>
        <v>0</v>
      </c>
      <c r="B1129" s="36"/>
      <c r="C1129" s="37">
        <f ca="1">INDIRECT(_xlfn.TEXTJOIN("",TRUE,A1139,"!",ADDRESS(19+(A1140-1)*A1136,2)))</f>
        <v>0</v>
      </c>
      <c r="D1129" s="38"/>
      <c r="E1129" s="38"/>
      <c r="F1129" s="38"/>
      <c r="G1129" s="39"/>
      <c r="H1129" s="20">
        <f ca="1">INDIRECT(_xlfn.TEXTJOIN("",TRUE,A1139,"!",ADDRESS(19+(A1140-1)*A1136,6)))</f>
        <v>0</v>
      </c>
      <c r="I1129" s="20">
        <f ca="1">INDIRECT(_xlfn.TEXTJOIN("",TRUE,A1139,"!",ADDRESS(19+(A1140-1)*A1136,13)))</f>
        <v>0</v>
      </c>
      <c r="J1129" s="20">
        <f ca="1">INDIRECT(_xlfn.TEXTJOIN("",TRUE,A1139,"!",ADDRESS(19+(A1140-1)*A1136,14)))</f>
        <v>0</v>
      </c>
    </row>
    <row r="1130" spans="1:10" ht="28" customHeight="1" x14ac:dyDescent="0.2">
      <c r="A1130" s="35">
        <f ca="1">INDIRECT(_xlfn.TEXTJOIN("",TRUE,A1139,"!",ADDRESS(20+(A1140-1)*A1136,1)))</f>
        <v>0</v>
      </c>
      <c r="B1130" s="36"/>
      <c r="C1130" s="37">
        <f ca="1">INDIRECT(_xlfn.TEXTJOIN("",TRUE,A1139,"!",ADDRESS(20+(A1140-1)*A1136,2)))</f>
        <v>0</v>
      </c>
      <c r="D1130" s="38"/>
      <c r="E1130" s="38"/>
      <c r="F1130" s="38"/>
      <c r="G1130" s="39"/>
      <c r="H1130" s="20">
        <f ca="1">INDIRECT(_xlfn.TEXTJOIN("",TRUE,A1139,"!",ADDRESS(20+(A1140-1)*A1136,6)))</f>
        <v>0</v>
      </c>
      <c r="I1130" s="20">
        <f ca="1">INDIRECT(_xlfn.TEXTJOIN("",TRUE,A1139,"!",ADDRESS(20+(A1140-1)*A1136,13)))</f>
        <v>0</v>
      </c>
      <c r="J1130" s="20">
        <f ca="1">INDIRECT(_xlfn.TEXTJOIN("",TRUE,A1139,"!",ADDRESS(20+(A1140-1)*A1136,14)))</f>
        <v>0</v>
      </c>
    </row>
    <row r="1131" spans="1:10" ht="28" customHeight="1" x14ac:dyDescent="0.2">
      <c r="A1131" s="35">
        <f ca="1">INDIRECT(_xlfn.TEXTJOIN("",TRUE,A1139,"!",ADDRESS(21+(A1140-1)*A1136,1)))</f>
        <v>0</v>
      </c>
      <c r="B1131" s="36"/>
      <c r="C1131" s="37">
        <f ca="1">INDIRECT(_xlfn.TEXTJOIN("",TRUE,A1139,"!",ADDRESS(21+(A1140-1)*A1136,2)))</f>
        <v>0</v>
      </c>
      <c r="D1131" s="38"/>
      <c r="E1131" s="38"/>
      <c r="F1131" s="38"/>
      <c r="G1131" s="39"/>
      <c r="H1131" s="20">
        <f ca="1">INDIRECT(_xlfn.TEXTJOIN("",TRUE,A1139,"!",ADDRESS(21+(A1140-1)*A1136,6)))</f>
        <v>0</v>
      </c>
      <c r="I1131" s="20">
        <f ca="1">INDIRECT(_xlfn.TEXTJOIN("",TRUE,A1139,"!",ADDRESS(21+(A1140-1)*A1136,13)))</f>
        <v>0</v>
      </c>
      <c r="J1131" s="20">
        <f ca="1">INDIRECT(_xlfn.TEXTJOIN("",TRUE,A1139,"!",ADDRESS(21+(A1140-1)*A1136,14)))</f>
        <v>0</v>
      </c>
    </row>
    <row r="1132" spans="1:10" ht="28" customHeight="1" x14ac:dyDescent="0.2">
      <c r="A1132" s="35">
        <f ca="1">INDIRECT(_xlfn.TEXTJOIN("",TRUE,A1139,"!",ADDRESS(22+(A1140-1)*A1136,1)))</f>
        <v>0</v>
      </c>
      <c r="B1132" s="36"/>
      <c r="C1132" s="37">
        <f ca="1">INDIRECT(_xlfn.TEXTJOIN("",TRUE,A1139,"!",ADDRESS(22+(A1140-1)*A1136,2)))</f>
        <v>0</v>
      </c>
      <c r="D1132" s="38"/>
      <c r="E1132" s="38"/>
      <c r="F1132" s="38"/>
      <c r="G1132" s="39"/>
      <c r="H1132" s="20">
        <f ca="1">INDIRECT(_xlfn.TEXTJOIN("",TRUE,A1139,"!",ADDRESS(22+(A1140-1)*A1136,6)))</f>
        <v>0</v>
      </c>
      <c r="I1132" s="20">
        <f ca="1">INDIRECT(_xlfn.TEXTJOIN("",TRUE,A1139,"!",ADDRESS(22+(A1140-1)*A1136,13)))</f>
        <v>0</v>
      </c>
      <c r="J1132" s="20">
        <f ca="1">INDIRECT(_xlfn.TEXTJOIN("",TRUE,A1139,"!",ADDRESS(22+(A1140-1)*A1136,14)))</f>
        <v>0</v>
      </c>
    </row>
    <row r="1133" spans="1:10" ht="28" customHeight="1" x14ac:dyDescent="0.2">
      <c r="A1133" s="35">
        <f ca="1">INDIRECT(_xlfn.TEXTJOIN("",TRUE,A1139,"!",ADDRESS(23+(A1140-1)*A1136,1)))</f>
        <v>0</v>
      </c>
      <c r="B1133" s="36"/>
      <c r="C1133" s="37">
        <f ca="1">INDIRECT(_xlfn.TEXTJOIN("",TRUE,A1139,"!",ADDRESS(23+(A1140-1)*A1136,2)))</f>
        <v>0</v>
      </c>
      <c r="D1133" s="38"/>
      <c r="E1133" s="38"/>
      <c r="F1133" s="38"/>
      <c r="G1133" s="39"/>
      <c r="H1133" s="20">
        <f ca="1">INDIRECT(_xlfn.TEXTJOIN("",TRUE,A1139,"!",ADDRESS(23+(A1140-1)*A1136,6)))</f>
        <v>0</v>
      </c>
      <c r="I1133" s="20">
        <f ca="1">INDIRECT(_xlfn.TEXTJOIN("",TRUE,A1139,"!",ADDRESS(23+(A1140-1)*A1136,13)))</f>
        <v>0</v>
      </c>
      <c r="J1133" s="20">
        <f ca="1">INDIRECT(_xlfn.TEXTJOIN("",TRUE,A1139,"!",ADDRESS(23+(A1140-1)*A1136,14)))</f>
        <v>0</v>
      </c>
    </row>
    <row r="1134" spans="1:10" ht="28" customHeight="1" x14ac:dyDescent="0.2">
      <c r="A1134" s="35">
        <f ca="1">INDIRECT(_xlfn.TEXTJOIN("",TRUE,A1139,"!",ADDRESS(24+(A1140-1)*A1136,1)))</f>
        <v>0</v>
      </c>
      <c r="B1134" s="36"/>
      <c r="C1134" s="37">
        <f ca="1">INDIRECT(_xlfn.TEXTJOIN("",TRUE,A1139,"!",ADDRESS(24+(A1140-1)*A1136,2)))</f>
        <v>0</v>
      </c>
      <c r="D1134" s="38"/>
      <c r="E1134" s="38"/>
      <c r="F1134" s="38"/>
      <c r="G1134" s="39"/>
      <c r="H1134" s="20">
        <f ca="1">INDIRECT(_xlfn.TEXTJOIN("",TRUE,A1139,"!",ADDRESS(24+(A1140-1)*A1136,6)))</f>
        <v>0</v>
      </c>
      <c r="I1134" s="40">
        <f ca="1">INDIRECT(_xlfn.TEXTJOIN("",TRUE,A1139,"!",ADDRESS(24+(A1140-1)*A1136,13)))</f>
        <v>0</v>
      </c>
      <c r="J1134" s="41"/>
    </row>
    <row r="1135" spans="1:10" ht="28" customHeight="1" x14ac:dyDescent="0.2">
      <c r="A1135" s="42" t="s">
        <v>52</v>
      </c>
      <c r="B1135" s="42"/>
      <c r="C1135" s="42"/>
      <c r="D1135" s="42"/>
      <c r="E1135" s="42"/>
      <c r="F1135" s="42"/>
      <c r="G1135" s="42"/>
      <c r="H1135" s="16">
        <f ca="1">SUM(H1123:H1134)</f>
        <v>0</v>
      </c>
      <c r="I1135" s="16" t="s">
        <v>44</v>
      </c>
      <c r="J1135" s="16">
        <f ca="1">SUMPRODUCT(J1123:J1133,H1123:H1133)</f>
        <v>0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43" t="s">
        <v>40</v>
      </c>
      <c r="B1137" s="43"/>
      <c r="C1137" s="21">
        <f ca="1">INDIRECT(_xlfn.TEXTJOIN("",TRUE,A1139,"!",ADDRESS(5+A1140*A1136,12)))</f>
        <v>0</v>
      </c>
      <c r="D1137" s="43" t="s">
        <v>38</v>
      </c>
      <c r="E1137" s="43"/>
      <c r="F1137" s="18">
        <f ca="1">INDIRECT(_xlfn.TEXTJOIN("",TRUE,A1139,"!",ADDRESS(5+A1140*A1136,8)))</f>
        <v>0</v>
      </c>
      <c r="G1137" s="43" t="s">
        <v>39</v>
      </c>
      <c r="H1137" s="43"/>
      <c r="I1137" s="44">
        <f ca="1">INDIRECT(_xlfn.TEXTJOIN("",TRUE,A1139,"!",ADDRESS(5+A1140*A1136,10)))</f>
        <v>0</v>
      </c>
      <c r="J1137" s="44"/>
    </row>
    <row r="1138" spans="1:10" ht="28" customHeight="1" x14ac:dyDescent="0.2">
      <c r="A1138" s="19" t="s">
        <v>36</v>
      </c>
      <c r="B1138" s="45">
        <f ca="1">INDIRECT(_xlfn.TEXTJOIN("",TRUE,A1139,"!",ADDRESS(5+A1140*A1136,2)))</f>
        <v>0</v>
      </c>
      <c r="C1138" s="45"/>
      <c r="D1138" s="46" t="s">
        <v>37</v>
      </c>
      <c r="E1138" s="46"/>
      <c r="F1138" s="47">
        <f ca="1">INDIRECT(_xlfn.TEXTJOIN("",TRUE,A1139,"!",ADDRESS(5+A1140*A1136,5)))</f>
        <v>0</v>
      </c>
      <c r="G1138" s="47"/>
      <c r="H1138" s="47"/>
      <c r="I1138" s="47"/>
      <c r="J1138" s="47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48" t="s">
        <v>24</v>
      </c>
      <c r="B1141" s="48"/>
      <c r="C1141" s="48">
        <f ca="1">INDIRECT(_xlfn.TEXTJOIN("",TRUE,A1160,"!",ADDRESS(9+(A1161-1)*A1157,2)))</f>
        <v>0</v>
      </c>
      <c r="D1141" s="48"/>
      <c r="E1141" s="48"/>
      <c r="F1141" s="48" t="s">
        <v>50</v>
      </c>
      <c r="G1141" s="48"/>
      <c r="H1141" s="48"/>
      <c r="I1141" s="49">
        <f ca="1">INDIRECT(_xlfn.TEXTJOIN("",TRUE,A1160,"!",ADDRESS(9+(A1161-1)*A1157,9)))</f>
        <v>0</v>
      </c>
      <c r="J1141" s="49"/>
    </row>
    <row r="1142" spans="1:10" ht="28" customHeight="1" x14ac:dyDescent="0.2">
      <c r="A1142" s="48" t="s">
        <v>25</v>
      </c>
      <c r="B1142" s="48"/>
      <c r="C1142" s="48">
        <f ca="1">INDIRECT(_xlfn.TEXTJOIN("",TRUE,A1160,"!",ADDRESS(9+(A1161-1)*A1157,5)))</f>
        <v>0</v>
      </c>
      <c r="D1142" s="48"/>
      <c r="E1142" s="48"/>
      <c r="F1142" s="50" t="s">
        <v>51</v>
      </c>
      <c r="G1142" s="50"/>
      <c r="H1142" s="50"/>
      <c r="I1142" s="49">
        <f ca="1">INDIRECT(_xlfn.TEXTJOIN("",TRUE,A1160,"!",ADDRESS(9+(A1161-1)*A1157,13)))</f>
        <v>0</v>
      </c>
      <c r="J1142" s="49"/>
    </row>
    <row r="1143" spans="1:10" ht="28" customHeight="1" x14ac:dyDescent="0.2">
      <c r="A1143" s="45" t="s">
        <v>28</v>
      </c>
      <c r="B1143" s="45"/>
      <c r="C1143" s="45" t="s">
        <v>29</v>
      </c>
      <c r="D1143" s="45"/>
      <c r="E1143" s="45"/>
      <c r="F1143" s="45"/>
      <c r="G1143" s="45"/>
      <c r="H1143" s="15" t="s">
        <v>30</v>
      </c>
      <c r="I1143" s="15" t="s">
        <v>10</v>
      </c>
      <c r="J1143" s="15" t="s">
        <v>34</v>
      </c>
    </row>
    <row r="1144" spans="1:10" ht="28" customHeight="1" x14ac:dyDescent="0.2">
      <c r="A1144" s="35">
        <f ca="1">INDIRECT(_xlfn.TEXTJOIN("",TRUE,A1160,"!",ADDRESS(13+(A1161-1)*A1157,1)))</f>
        <v>0</v>
      </c>
      <c r="B1144" s="36"/>
      <c r="C1144" s="37">
        <f ca="1">INDIRECT(_xlfn.TEXTJOIN("",TRUE,A1160,"!",ADDRESS(13+(A1161-1)*A1157,2)))</f>
        <v>0</v>
      </c>
      <c r="D1144" s="38"/>
      <c r="E1144" s="38"/>
      <c r="F1144" s="38"/>
      <c r="G1144" s="39"/>
      <c r="H1144" s="20">
        <f ca="1">INDIRECT(_xlfn.TEXTJOIN("",TRUE,A1160,"!",ADDRESS(13+(A1161-1)*A1157,6)))</f>
        <v>0</v>
      </c>
      <c r="I1144" s="20">
        <f ca="1">INDIRECT(_xlfn.TEXTJOIN("",TRUE,A1160,"!",ADDRESS(13+(A1161-1)*A1157,13)))</f>
        <v>0</v>
      </c>
      <c r="J1144" s="20">
        <f ca="1">INDIRECT(_xlfn.TEXTJOIN("",TRUE,A1160,"!",ADDRESS(13+(A1161-1)*A1157,14)))</f>
        <v>0</v>
      </c>
    </row>
    <row r="1145" spans="1:10" ht="28" customHeight="1" x14ac:dyDescent="0.2">
      <c r="A1145" s="35">
        <f ca="1">INDIRECT(_xlfn.TEXTJOIN("",TRUE,A1160,"!",ADDRESS(14+(A1161-1)*A1157,1)))</f>
        <v>0</v>
      </c>
      <c r="B1145" s="36"/>
      <c r="C1145" s="37">
        <f ca="1">INDIRECT(_xlfn.TEXTJOIN("",TRUE,A1160,"!",ADDRESS(14+(A1161-1)*A1157,2)))</f>
        <v>0</v>
      </c>
      <c r="D1145" s="38"/>
      <c r="E1145" s="38"/>
      <c r="F1145" s="38"/>
      <c r="G1145" s="39"/>
      <c r="H1145" s="20">
        <f ca="1">INDIRECT(_xlfn.TEXTJOIN("",TRUE,A1160,"!",ADDRESS(14+(A1161-1)*A1157,6)))</f>
        <v>0</v>
      </c>
      <c r="I1145" s="20">
        <f ca="1">INDIRECT(_xlfn.TEXTJOIN("",TRUE,A1160,"!",ADDRESS(14+(A1161-1)*A1157,13)))</f>
        <v>0</v>
      </c>
      <c r="J1145" s="20">
        <f ca="1">INDIRECT(_xlfn.TEXTJOIN("",TRUE,A1160,"!",ADDRESS(14+(A1161-1)*A1157,14)))</f>
        <v>0</v>
      </c>
    </row>
    <row r="1146" spans="1:10" ht="28" customHeight="1" x14ac:dyDescent="0.2">
      <c r="A1146" s="35">
        <f ca="1">INDIRECT(_xlfn.TEXTJOIN("",TRUE,A1160,"!",ADDRESS(15+(A1161-1)*A1157,1)))</f>
        <v>0</v>
      </c>
      <c r="B1146" s="36"/>
      <c r="C1146" s="37">
        <f ca="1">INDIRECT(_xlfn.TEXTJOIN("",TRUE,A1160,"!",ADDRESS(15+(A1161-1)*A1157,2)))</f>
        <v>0</v>
      </c>
      <c r="D1146" s="38"/>
      <c r="E1146" s="38"/>
      <c r="F1146" s="38"/>
      <c r="G1146" s="39"/>
      <c r="H1146" s="20">
        <f ca="1">INDIRECT(_xlfn.TEXTJOIN("",TRUE,A1160,"!",ADDRESS(15+(A1161-1)*A1157,6)))</f>
        <v>0</v>
      </c>
      <c r="I1146" s="20">
        <f ca="1">INDIRECT(_xlfn.TEXTJOIN("",TRUE,A1160,"!",ADDRESS(15+(A1161-1)*A1157,13)))</f>
        <v>0</v>
      </c>
      <c r="J1146" s="20">
        <f ca="1">INDIRECT(_xlfn.TEXTJOIN("",TRUE,A1160,"!",ADDRESS(15+(A1161-1)*A1157,14)))</f>
        <v>0</v>
      </c>
    </row>
    <row r="1147" spans="1:10" ht="28" customHeight="1" x14ac:dyDescent="0.2">
      <c r="A1147" s="35">
        <f ca="1">INDIRECT(_xlfn.TEXTJOIN("",TRUE,A1160,"!",ADDRESS(16+(A1161-1)*A1157,1)))</f>
        <v>0</v>
      </c>
      <c r="B1147" s="36"/>
      <c r="C1147" s="37">
        <f ca="1">INDIRECT(_xlfn.TEXTJOIN("",TRUE,A1160,"!",ADDRESS(16+(A1161-1)*A1157,2)))</f>
        <v>0</v>
      </c>
      <c r="D1147" s="38"/>
      <c r="E1147" s="38"/>
      <c r="F1147" s="38"/>
      <c r="G1147" s="39"/>
      <c r="H1147" s="20">
        <f ca="1">INDIRECT(_xlfn.TEXTJOIN("",TRUE,A1160,"!",ADDRESS(16+(A1161-1)*A1157,6)))</f>
        <v>0</v>
      </c>
      <c r="I1147" s="20">
        <f ca="1">INDIRECT(_xlfn.TEXTJOIN("",TRUE,A1160,"!",ADDRESS(16+(A1161-1)*A1157,13)))</f>
        <v>0</v>
      </c>
      <c r="J1147" s="20">
        <f ca="1">INDIRECT(_xlfn.TEXTJOIN("",TRUE,A1160,"!",ADDRESS(16+(A1161-1)*A1157,14)))</f>
        <v>0</v>
      </c>
    </row>
    <row r="1148" spans="1:10" ht="28" customHeight="1" x14ac:dyDescent="0.2">
      <c r="A1148" s="35">
        <f ca="1">INDIRECT(_xlfn.TEXTJOIN("",TRUE,A1160,"!",ADDRESS(17+(A1161-1)*A1157,1)))</f>
        <v>0</v>
      </c>
      <c r="B1148" s="36"/>
      <c r="C1148" s="37">
        <f ca="1">INDIRECT(_xlfn.TEXTJOIN("",TRUE,A1160,"!",ADDRESS(17+(A1161-1)*A1157,2)))</f>
        <v>0</v>
      </c>
      <c r="D1148" s="38"/>
      <c r="E1148" s="38"/>
      <c r="F1148" s="38"/>
      <c r="G1148" s="39"/>
      <c r="H1148" s="20">
        <f ca="1">INDIRECT(_xlfn.TEXTJOIN("",TRUE,A1160,"!",ADDRESS(17+(A1161-1)*A1157,6)))</f>
        <v>0</v>
      </c>
      <c r="I1148" s="20">
        <f ca="1">INDIRECT(_xlfn.TEXTJOIN("",TRUE,A1160,"!",ADDRESS(17+(A1161-1)*A1157,13)))</f>
        <v>0</v>
      </c>
      <c r="J1148" s="20">
        <f ca="1">INDIRECT(_xlfn.TEXTJOIN("",TRUE,A1160,"!",ADDRESS(17+(A1161-1)*A1157,14)))</f>
        <v>0</v>
      </c>
    </row>
    <row r="1149" spans="1:10" ht="28" customHeight="1" x14ac:dyDescent="0.2">
      <c r="A1149" s="35">
        <f ca="1">INDIRECT(_xlfn.TEXTJOIN("",TRUE,A1160,"!",ADDRESS(18+(A1161-1)*A1157,1)))</f>
        <v>0</v>
      </c>
      <c r="B1149" s="36"/>
      <c r="C1149" s="37">
        <f ca="1">INDIRECT(_xlfn.TEXTJOIN("",TRUE,A1160,"!",ADDRESS(18+(A1161-1)*A1157,2)))</f>
        <v>0</v>
      </c>
      <c r="D1149" s="38"/>
      <c r="E1149" s="38"/>
      <c r="F1149" s="38"/>
      <c r="G1149" s="39"/>
      <c r="H1149" s="20">
        <f ca="1">INDIRECT(_xlfn.TEXTJOIN("",TRUE,A1160,"!",ADDRESS(18+(A1161-1)*A1157,6)))</f>
        <v>0</v>
      </c>
      <c r="I1149" s="20">
        <f ca="1">INDIRECT(_xlfn.TEXTJOIN("",TRUE,A1160,"!",ADDRESS(18+(A1161-1)*A1157,13)))</f>
        <v>0</v>
      </c>
      <c r="J1149" s="20">
        <f ca="1">INDIRECT(_xlfn.TEXTJOIN("",TRUE,A1160,"!",ADDRESS(18+(A1161-1)*A1157,14)))</f>
        <v>0</v>
      </c>
    </row>
    <row r="1150" spans="1:10" ht="28" customHeight="1" x14ac:dyDescent="0.2">
      <c r="A1150" s="35">
        <f ca="1">INDIRECT(_xlfn.TEXTJOIN("",TRUE,A1160,"!",ADDRESS(19+(A1161-1)*A1157,1)))</f>
        <v>0</v>
      </c>
      <c r="B1150" s="36"/>
      <c r="C1150" s="37">
        <f ca="1">INDIRECT(_xlfn.TEXTJOIN("",TRUE,A1160,"!",ADDRESS(19+(A1161-1)*A1157,2)))</f>
        <v>0</v>
      </c>
      <c r="D1150" s="38"/>
      <c r="E1150" s="38"/>
      <c r="F1150" s="38"/>
      <c r="G1150" s="39"/>
      <c r="H1150" s="20">
        <f ca="1">INDIRECT(_xlfn.TEXTJOIN("",TRUE,A1160,"!",ADDRESS(19+(A1161-1)*A1157,6)))</f>
        <v>0</v>
      </c>
      <c r="I1150" s="20">
        <f ca="1">INDIRECT(_xlfn.TEXTJOIN("",TRUE,A1160,"!",ADDRESS(19+(A1161-1)*A1157,13)))</f>
        <v>0</v>
      </c>
      <c r="J1150" s="20">
        <f ca="1">INDIRECT(_xlfn.TEXTJOIN("",TRUE,A1160,"!",ADDRESS(19+(A1161-1)*A1157,14)))</f>
        <v>0</v>
      </c>
    </row>
    <row r="1151" spans="1:10" ht="28" customHeight="1" x14ac:dyDescent="0.2">
      <c r="A1151" s="35">
        <f ca="1">INDIRECT(_xlfn.TEXTJOIN("",TRUE,A1160,"!",ADDRESS(20+(A1161-1)*A1157,1)))</f>
        <v>0</v>
      </c>
      <c r="B1151" s="36"/>
      <c r="C1151" s="37">
        <f ca="1">INDIRECT(_xlfn.TEXTJOIN("",TRUE,A1160,"!",ADDRESS(20+(A1161-1)*A1157,2)))</f>
        <v>0</v>
      </c>
      <c r="D1151" s="38"/>
      <c r="E1151" s="38"/>
      <c r="F1151" s="38"/>
      <c r="G1151" s="39"/>
      <c r="H1151" s="20">
        <f ca="1">INDIRECT(_xlfn.TEXTJOIN("",TRUE,A1160,"!",ADDRESS(20+(A1161-1)*A1157,6)))</f>
        <v>0</v>
      </c>
      <c r="I1151" s="20">
        <f ca="1">INDIRECT(_xlfn.TEXTJOIN("",TRUE,A1160,"!",ADDRESS(20+(A1161-1)*A1157,13)))</f>
        <v>0</v>
      </c>
      <c r="J1151" s="20">
        <f ca="1">INDIRECT(_xlfn.TEXTJOIN("",TRUE,A1160,"!",ADDRESS(20+(A1161-1)*A1157,14)))</f>
        <v>0</v>
      </c>
    </row>
    <row r="1152" spans="1:10" ht="28" customHeight="1" x14ac:dyDescent="0.2">
      <c r="A1152" s="35">
        <f ca="1">INDIRECT(_xlfn.TEXTJOIN("",TRUE,A1160,"!",ADDRESS(21+(A1161-1)*A1157,1)))</f>
        <v>0</v>
      </c>
      <c r="B1152" s="36"/>
      <c r="C1152" s="37">
        <f ca="1">INDIRECT(_xlfn.TEXTJOIN("",TRUE,A1160,"!",ADDRESS(21+(A1161-1)*A1157,2)))</f>
        <v>0</v>
      </c>
      <c r="D1152" s="38"/>
      <c r="E1152" s="38"/>
      <c r="F1152" s="38"/>
      <c r="G1152" s="39"/>
      <c r="H1152" s="20">
        <f ca="1">INDIRECT(_xlfn.TEXTJOIN("",TRUE,A1160,"!",ADDRESS(21+(A1161-1)*A1157,6)))</f>
        <v>0</v>
      </c>
      <c r="I1152" s="20">
        <f ca="1">INDIRECT(_xlfn.TEXTJOIN("",TRUE,A1160,"!",ADDRESS(21+(A1161-1)*A1157,13)))</f>
        <v>0</v>
      </c>
      <c r="J1152" s="20">
        <f ca="1">INDIRECT(_xlfn.TEXTJOIN("",TRUE,A1160,"!",ADDRESS(21+(A1161-1)*A1157,14)))</f>
        <v>0</v>
      </c>
    </row>
    <row r="1153" spans="1:10" ht="28" customHeight="1" x14ac:dyDescent="0.2">
      <c r="A1153" s="35">
        <f ca="1">INDIRECT(_xlfn.TEXTJOIN("",TRUE,A1160,"!",ADDRESS(22+(A1161-1)*A1157,1)))</f>
        <v>0</v>
      </c>
      <c r="B1153" s="36"/>
      <c r="C1153" s="37">
        <f ca="1">INDIRECT(_xlfn.TEXTJOIN("",TRUE,A1160,"!",ADDRESS(22+(A1161-1)*A1157,2)))</f>
        <v>0</v>
      </c>
      <c r="D1153" s="38"/>
      <c r="E1153" s="38"/>
      <c r="F1153" s="38"/>
      <c r="G1153" s="39"/>
      <c r="H1153" s="20">
        <f ca="1">INDIRECT(_xlfn.TEXTJOIN("",TRUE,A1160,"!",ADDRESS(22+(A1161-1)*A1157,6)))</f>
        <v>0</v>
      </c>
      <c r="I1153" s="20">
        <f ca="1">INDIRECT(_xlfn.TEXTJOIN("",TRUE,A1160,"!",ADDRESS(22+(A1161-1)*A1157,13)))</f>
        <v>0</v>
      </c>
      <c r="J1153" s="20">
        <f ca="1">INDIRECT(_xlfn.TEXTJOIN("",TRUE,A1160,"!",ADDRESS(22+(A1161-1)*A1157,14)))</f>
        <v>0</v>
      </c>
    </row>
    <row r="1154" spans="1:10" ht="28" customHeight="1" x14ac:dyDescent="0.2">
      <c r="A1154" s="35">
        <f ca="1">INDIRECT(_xlfn.TEXTJOIN("",TRUE,A1160,"!",ADDRESS(23+(A1161-1)*A1157,1)))</f>
        <v>0</v>
      </c>
      <c r="B1154" s="36"/>
      <c r="C1154" s="37">
        <f ca="1">INDIRECT(_xlfn.TEXTJOIN("",TRUE,A1160,"!",ADDRESS(23+(A1161-1)*A1157,2)))</f>
        <v>0</v>
      </c>
      <c r="D1154" s="38"/>
      <c r="E1154" s="38"/>
      <c r="F1154" s="38"/>
      <c r="G1154" s="39"/>
      <c r="H1154" s="20">
        <f ca="1">INDIRECT(_xlfn.TEXTJOIN("",TRUE,A1160,"!",ADDRESS(23+(A1161-1)*A1157,6)))</f>
        <v>0</v>
      </c>
      <c r="I1154" s="20">
        <f ca="1">INDIRECT(_xlfn.TEXTJOIN("",TRUE,A1160,"!",ADDRESS(23+(A1161-1)*A1157,13)))</f>
        <v>0</v>
      </c>
      <c r="J1154" s="20">
        <f ca="1">INDIRECT(_xlfn.TEXTJOIN("",TRUE,A1160,"!",ADDRESS(23+(A1161-1)*A1157,14)))</f>
        <v>0</v>
      </c>
    </row>
    <row r="1155" spans="1:10" ht="28" customHeight="1" x14ac:dyDescent="0.2">
      <c r="A1155" s="35">
        <f ca="1">INDIRECT(_xlfn.TEXTJOIN("",TRUE,A1160,"!",ADDRESS(24+(A1161-1)*A1157,1)))</f>
        <v>0</v>
      </c>
      <c r="B1155" s="36"/>
      <c r="C1155" s="37">
        <f ca="1">INDIRECT(_xlfn.TEXTJOIN("",TRUE,A1160,"!",ADDRESS(24+(A1161-1)*A1157,2)))</f>
        <v>0</v>
      </c>
      <c r="D1155" s="38"/>
      <c r="E1155" s="38"/>
      <c r="F1155" s="38"/>
      <c r="G1155" s="39"/>
      <c r="H1155" s="20">
        <f ca="1">INDIRECT(_xlfn.TEXTJOIN("",TRUE,A1160,"!",ADDRESS(24+(A1161-1)*A1157,6)))</f>
        <v>0</v>
      </c>
      <c r="I1155" s="40">
        <f ca="1">INDIRECT(_xlfn.TEXTJOIN("",TRUE,A1160,"!",ADDRESS(24+(A1161-1)*A1157,13)))</f>
        <v>0</v>
      </c>
      <c r="J1155" s="41"/>
    </row>
    <row r="1156" spans="1:10" ht="28" customHeight="1" x14ac:dyDescent="0.2">
      <c r="A1156" s="42" t="s">
        <v>52</v>
      </c>
      <c r="B1156" s="42"/>
      <c r="C1156" s="42"/>
      <c r="D1156" s="42"/>
      <c r="E1156" s="42"/>
      <c r="F1156" s="42"/>
      <c r="G1156" s="42"/>
      <c r="H1156" s="16">
        <f ca="1">SUM(H1144:H1155)</f>
        <v>0</v>
      </c>
      <c r="I1156" s="16" t="s">
        <v>44</v>
      </c>
      <c r="J1156" s="16">
        <f ca="1">SUMPRODUCT(J1144:J1154,H1144:H1154)</f>
        <v>0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43" t="s">
        <v>40</v>
      </c>
      <c r="B1158" s="43"/>
      <c r="C1158" s="21">
        <f ca="1">INDIRECT(_xlfn.TEXTJOIN("",TRUE,A1160,"!",ADDRESS(5+A1161*A1157,12)))</f>
        <v>0</v>
      </c>
      <c r="D1158" s="43" t="s">
        <v>38</v>
      </c>
      <c r="E1158" s="43"/>
      <c r="F1158" s="18">
        <f ca="1">INDIRECT(_xlfn.TEXTJOIN("",TRUE,A1160,"!",ADDRESS(5+A1161*A1157,8)))</f>
        <v>0</v>
      </c>
      <c r="G1158" s="43" t="s">
        <v>39</v>
      </c>
      <c r="H1158" s="43"/>
      <c r="I1158" s="44">
        <f ca="1">INDIRECT(_xlfn.TEXTJOIN("",TRUE,A1160,"!",ADDRESS(5+A1161*A1157,10)))</f>
        <v>0</v>
      </c>
      <c r="J1158" s="44"/>
    </row>
    <row r="1159" spans="1:10" ht="28" customHeight="1" x14ac:dyDescent="0.2">
      <c r="A1159" s="19" t="s">
        <v>36</v>
      </c>
      <c r="B1159" s="45">
        <f ca="1">INDIRECT(_xlfn.TEXTJOIN("",TRUE,A1160,"!",ADDRESS(5+A1161*A1157,2)))</f>
        <v>0</v>
      </c>
      <c r="C1159" s="45"/>
      <c r="D1159" s="46" t="s">
        <v>37</v>
      </c>
      <c r="E1159" s="46"/>
      <c r="F1159" s="47">
        <f ca="1">INDIRECT(_xlfn.TEXTJOIN("",TRUE,A1160,"!",ADDRESS(5+A1161*A1157,5)))</f>
        <v>0</v>
      </c>
      <c r="G1159" s="47"/>
      <c r="H1159" s="47"/>
      <c r="I1159" s="47"/>
      <c r="J1159" s="47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48" t="s">
        <v>24</v>
      </c>
      <c r="B1162" s="48"/>
      <c r="C1162" s="48">
        <f ca="1">INDIRECT(_xlfn.TEXTJOIN("",TRUE,A1181,"!",ADDRESS(9+(A1182-1)*A1178,2)))</f>
        <v>0</v>
      </c>
      <c r="D1162" s="48"/>
      <c r="E1162" s="48"/>
      <c r="F1162" s="48" t="s">
        <v>50</v>
      </c>
      <c r="G1162" s="48"/>
      <c r="H1162" s="48"/>
      <c r="I1162" s="49">
        <f ca="1">INDIRECT(_xlfn.TEXTJOIN("",TRUE,A1181,"!",ADDRESS(9+(A1182-1)*A1178,9)))</f>
        <v>0</v>
      </c>
      <c r="J1162" s="49"/>
    </row>
    <row r="1163" spans="1:10" ht="28" customHeight="1" x14ac:dyDescent="0.2">
      <c r="A1163" s="48" t="s">
        <v>25</v>
      </c>
      <c r="B1163" s="48"/>
      <c r="C1163" s="48">
        <f ca="1">INDIRECT(_xlfn.TEXTJOIN("",TRUE,A1181,"!",ADDRESS(9+(A1182-1)*A1178,5)))</f>
        <v>0</v>
      </c>
      <c r="D1163" s="48"/>
      <c r="E1163" s="48"/>
      <c r="F1163" s="50" t="s">
        <v>51</v>
      </c>
      <c r="G1163" s="50"/>
      <c r="H1163" s="50"/>
      <c r="I1163" s="49">
        <f ca="1">INDIRECT(_xlfn.TEXTJOIN("",TRUE,A1181,"!",ADDRESS(9+(A1182-1)*A1178,13)))</f>
        <v>0</v>
      </c>
      <c r="J1163" s="49"/>
    </row>
    <row r="1164" spans="1:10" ht="28" customHeight="1" x14ac:dyDescent="0.2">
      <c r="A1164" s="45" t="s">
        <v>28</v>
      </c>
      <c r="B1164" s="45"/>
      <c r="C1164" s="45" t="s">
        <v>29</v>
      </c>
      <c r="D1164" s="45"/>
      <c r="E1164" s="45"/>
      <c r="F1164" s="45"/>
      <c r="G1164" s="45"/>
      <c r="H1164" s="15" t="s">
        <v>30</v>
      </c>
      <c r="I1164" s="15" t="s">
        <v>10</v>
      </c>
      <c r="J1164" s="15" t="s">
        <v>34</v>
      </c>
    </row>
    <row r="1165" spans="1:10" ht="28" customHeight="1" x14ac:dyDescent="0.2">
      <c r="A1165" s="35">
        <f ca="1">INDIRECT(_xlfn.TEXTJOIN("",TRUE,A1181,"!",ADDRESS(13+(A1182-1)*A1178,1)))</f>
        <v>0</v>
      </c>
      <c r="B1165" s="36"/>
      <c r="C1165" s="37">
        <f ca="1">INDIRECT(_xlfn.TEXTJOIN("",TRUE,A1181,"!",ADDRESS(13+(A1182-1)*A1178,2)))</f>
        <v>0</v>
      </c>
      <c r="D1165" s="38"/>
      <c r="E1165" s="38"/>
      <c r="F1165" s="38"/>
      <c r="G1165" s="39"/>
      <c r="H1165" s="20">
        <f ca="1">INDIRECT(_xlfn.TEXTJOIN("",TRUE,A1181,"!",ADDRESS(13+(A1182-1)*A1178,6)))</f>
        <v>0</v>
      </c>
      <c r="I1165" s="20">
        <f ca="1">INDIRECT(_xlfn.TEXTJOIN("",TRUE,A1181,"!",ADDRESS(13+(A1182-1)*A1178,13)))</f>
        <v>0</v>
      </c>
      <c r="J1165" s="20">
        <f ca="1">INDIRECT(_xlfn.TEXTJOIN("",TRUE,A1181,"!",ADDRESS(13+(A1182-1)*A1178,14)))</f>
        <v>0</v>
      </c>
    </row>
    <row r="1166" spans="1:10" ht="28" customHeight="1" x14ac:dyDescent="0.2">
      <c r="A1166" s="35">
        <f ca="1">INDIRECT(_xlfn.TEXTJOIN("",TRUE,A1181,"!",ADDRESS(14+(A1182-1)*A1178,1)))</f>
        <v>0</v>
      </c>
      <c r="B1166" s="36"/>
      <c r="C1166" s="37">
        <f ca="1">INDIRECT(_xlfn.TEXTJOIN("",TRUE,A1181,"!",ADDRESS(14+(A1182-1)*A1178,2)))</f>
        <v>0</v>
      </c>
      <c r="D1166" s="38"/>
      <c r="E1166" s="38"/>
      <c r="F1166" s="38"/>
      <c r="G1166" s="39"/>
      <c r="H1166" s="20">
        <f ca="1">INDIRECT(_xlfn.TEXTJOIN("",TRUE,A1181,"!",ADDRESS(14+(A1182-1)*A1178,6)))</f>
        <v>0</v>
      </c>
      <c r="I1166" s="20">
        <f ca="1">INDIRECT(_xlfn.TEXTJOIN("",TRUE,A1181,"!",ADDRESS(14+(A1182-1)*A1178,13)))</f>
        <v>0</v>
      </c>
      <c r="J1166" s="20">
        <f ca="1">INDIRECT(_xlfn.TEXTJOIN("",TRUE,A1181,"!",ADDRESS(14+(A1182-1)*A1178,14)))</f>
        <v>0</v>
      </c>
    </row>
    <row r="1167" spans="1:10" ht="28" customHeight="1" x14ac:dyDescent="0.2">
      <c r="A1167" s="35">
        <f ca="1">INDIRECT(_xlfn.TEXTJOIN("",TRUE,A1181,"!",ADDRESS(15+(A1182-1)*A1178,1)))</f>
        <v>0</v>
      </c>
      <c r="B1167" s="36"/>
      <c r="C1167" s="37">
        <f ca="1">INDIRECT(_xlfn.TEXTJOIN("",TRUE,A1181,"!",ADDRESS(15+(A1182-1)*A1178,2)))</f>
        <v>0</v>
      </c>
      <c r="D1167" s="38"/>
      <c r="E1167" s="38"/>
      <c r="F1167" s="38"/>
      <c r="G1167" s="39"/>
      <c r="H1167" s="20">
        <f ca="1">INDIRECT(_xlfn.TEXTJOIN("",TRUE,A1181,"!",ADDRESS(15+(A1182-1)*A1178,6)))</f>
        <v>0</v>
      </c>
      <c r="I1167" s="20">
        <f ca="1">INDIRECT(_xlfn.TEXTJOIN("",TRUE,A1181,"!",ADDRESS(15+(A1182-1)*A1178,13)))</f>
        <v>0</v>
      </c>
      <c r="J1167" s="20">
        <f ca="1">INDIRECT(_xlfn.TEXTJOIN("",TRUE,A1181,"!",ADDRESS(15+(A1182-1)*A1178,14)))</f>
        <v>0</v>
      </c>
    </row>
    <row r="1168" spans="1:10" ht="28" customHeight="1" x14ac:dyDescent="0.2">
      <c r="A1168" s="35">
        <f ca="1">INDIRECT(_xlfn.TEXTJOIN("",TRUE,A1181,"!",ADDRESS(16+(A1182-1)*A1178,1)))</f>
        <v>0</v>
      </c>
      <c r="B1168" s="36"/>
      <c r="C1168" s="37">
        <f ca="1">INDIRECT(_xlfn.TEXTJOIN("",TRUE,A1181,"!",ADDRESS(16+(A1182-1)*A1178,2)))</f>
        <v>0</v>
      </c>
      <c r="D1168" s="38"/>
      <c r="E1168" s="38"/>
      <c r="F1168" s="38"/>
      <c r="G1168" s="39"/>
      <c r="H1168" s="20">
        <f ca="1">INDIRECT(_xlfn.TEXTJOIN("",TRUE,A1181,"!",ADDRESS(16+(A1182-1)*A1178,6)))</f>
        <v>0</v>
      </c>
      <c r="I1168" s="20">
        <f ca="1">INDIRECT(_xlfn.TEXTJOIN("",TRUE,A1181,"!",ADDRESS(16+(A1182-1)*A1178,13)))</f>
        <v>0</v>
      </c>
      <c r="J1168" s="20">
        <f ca="1">INDIRECT(_xlfn.TEXTJOIN("",TRUE,A1181,"!",ADDRESS(16+(A1182-1)*A1178,14)))</f>
        <v>0</v>
      </c>
    </row>
    <row r="1169" spans="1:10" ht="28" customHeight="1" x14ac:dyDescent="0.2">
      <c r="A1169" s="35">
        <f ca="1">INDIRECT(_xlfn.TEXTJOIN("",TRUE,A1181,"!",ADDRESS(17+(A1182-1)*A1178,1)))</f>
        <v>0</v>
      </c>
      <c r="B1169" s="36"/>
      <c r="C1169" s="37">
        <f ca="1">INDIRECT(_xlfn.TEXTJOIN("",TRUE,A1181,"!",ADDRESS(17+(A1182-1)*A1178,2)))</f>
        <v>0</v>
      </c>
      <c r="D1169" s="38"/>
      <c r="E1169" s="38"/>
      <c r="F1169" s="38"/>
      <c r="G1169" s="39"/>
      <c r="H1169" s="20">
        <f ca="1">INDIRECT(_xlfn.TEXTJOIN("",TRUE,A1181,"!",ADDRESS(17+(A1182-1)*A1178,6)))</f>
        <v>0</v>
      </c>
      <c r="I1169" s="20">
        <f ca="1">INDIRECT(_xlfn.TEXTJOIN("",TRUE,A1181,"!",ADDRESS(17+(A1182-1)*A1178,13)))</f>
        <v>0</v>
      </c>
      <c r="J1169" s="20">
        <f ca="1">INDIRECT(_xlfn.TEXTJOIN("",TRUE,A1181,"!",ADDRESS(17+(A1182-1)*A1178,14)))</f>
        <v>0</v>
      </c>
    </row>
    <row r="1170" spans="1:10" ht="28" customHeight="1" x14ac:dyDescent="0.2">
      <c r="A1170" s="35">
        <f ca="1">INDIRECT(_xlfn.TEXTJOIN("",TRUE,A1181,"!",ADDRESS(18+(A1182-1)*A1178,1)))</f>
        <v>0</v>
      </c>
      <c r="B1170" s="36"/>
      <c r="C1170" s="37">
        <f ca="1">INDIRECT(_xlfn.TEXTJOIN("",TRUE,A1181,"!",ADDRESS(18+(A1182-1)*A1178,2)))</f>
        <v>0</v>
      </c>
      <c r="D1170" s="38"/>
      <c r="E1170" s="38"/>
      <c r="F1170" s="38"/>
      <c r="G1170" s="39"/>
      <c r="H1170" s="20">
        <f ca="1">INDIRECT(_xlfn.TEXTJOIN("",TRUE,A1181,"!",ADDRESS(18+(A1182-1)*A1178,6)))</f>
        <v>0</v>
      </c>
      <c r="I1170" s="20">
        <f ca="1">INDIRECT(_xlfn.TEXTJOIN("",TRUE,A1181,"!",ADDRESS(18+(A1182-1)*A1178,13)))</f>
        <v>0</v>
      </c>
      <c r="J1170" s="20">
        <f ca="1">INDIRECT(_xlfn.TEXTJOIN("",TRUE,A1181,"!",ADDRESS(18+(A1182-1)*A1178,14)))</f>
        <v>0</v>
      </c>
    </row>
    <row r="1171" spans="1:10" ht="28" customHeight="1" x14ac:dyDescent="0.2">
      <c r="A1171" s="35">
        <f ca="1">INDIRECT(_xlfn.TEXTJOIN("",TRUE,A1181,"!",ADDRESS(19+(A1182-1)*A1178,1)))</f>
        <v>0</v>
      </c>
      <c r="B1171" s="36"/>
      <c r="C1171" s="37">
        <f ca="1">INDIRECT(_xlfn.TEXTJOIN("",TRUE,A1181,"!",ADDRESS(19+(A1182-1)*A1178,2)))</f>
        <v>0</v>
      </c>
      <c r="D1171" s="38"/>
      <c r="E1171" s="38"/>
      <c r="F1171" s="38"/>
      <c r="G1171" s="39"/>
      <c r="H1171" s="20">
        <f ca="1">INDIRECT(_xlfn.TEXTJOIN("",TRUE,A1181,"!",ADDRESS(19+(A1182-1)*A1178,6)))</f>
        <v>0</v>
      </c>
      <c r="I1171" s="20">
        <f ca="1">INDIRECT(_xlfn.TEXTJOIN("",TRUE,A1181,"!",ADDRESS(19+(A1182-1)*A1178,13)))</f>
        <v>0</v>
      </c>
      <c r="J1171" s="20">
        <f ca="1">INDIRECT(_xlfn.TEXTJOIN("",TRUE,A1181,"!",ADDRESS(19+(A1182-1)*A1178,14)))</f>
        <v>0</v>
      </c>
    </row>
    <row r="1172" spans="1:10" ht="28" customHeight="1" x14ac:dyDescent="0.2">
      <c r="A1172" s="35">
        <f ca="1">INDIRECT(_xlfn.TEXTJOIN("",TRUE,A1181,"!",ADDRESS(20+(A1182-1)*A1178,1)))</f>
        <v>0</v>
      </c>
      <c r="B1172" s="36"/>
      <c r="C1172" s="37">
        <f ca="1">INDIRECT(_xlfn.TEXTJOIN("",TRUE,A1181,"!",ADDRESS(20+(A1182-1)*A1178,2)))</f>
        <v>0</v>
      </c>
      <c r="D1172" s="38"/>
      <c r="E1172" s="38"/>
      <c r="F1172" s="38"/>
      <c r="G1172" s="39"/>
      <c r="H1172" s="20">
        <f ca="1">INDIRECT(_xlfn.TEXTJOIN("",TRUE,A1181,"!",ADDRESS(20+(A1182-1)*A1178,6)))</f>
        <v>0</v>
      </c>
      <c r="I1172" s="20">
        <f ca="1">INDIRECT(_xlfn.TEXTJOIN("",TRUE,A1181,"!",ADDRESS(20+(A1182-1)*A1178,13)))</f>
        <v>0</v>
      </c>
      <c r="J1172" s="20">
        <f ca="1">INDIRECT(_xlfn.TEXTJOIN("",TRUE,A1181,"!",ADDRESS(20+(A1182-1)*A1178,14)))</f>
        <v>0</v>
      </c>
    </row>
    <row r="1173" spans="1:10" ht="28" customHeight="1" x14ac:dyDescent="0.2">
      <c r="A1173" s="35">
        <f ca="1">INDIRECT(_xlfn.TEXTJOIN("",TRUE,A1181,"!",ADDRESS(21+(A1182-1)*A1178,1)))</f>
        <v>0</v>
      </c>
      <c r="B1173" s="36"/>
      <c r="C1173" s="37">
        <f ca="1">INDIRECT(_xlfn.TEXTJOIN("",TRUE,A1181,"!",ADDRESS(21+(A1182-1)*A1178,2)))</f>
        <v>0</v>
      </c>
      <c r="D1173" s="38"/>
      <c r="E1173" s="38"/>
      <c r="F1173" s="38"/>
      <c r="G1173" s="39"/>
      <c r="H1173" s="20">
        <f ca="1">INDIRECT(_xlfn.TEXTJOIN("",TRUE,A1181,"!",ADDRESS(21+(A1182-1)*A1178,6)))</f>
        <v>0</v>
      </c>
      <c r="I1173" s="20">
        <f ca="1">INDIRECT(_xlfn.TEXTJOIN("",TRUE,A1181,"!",ADDRESS(21+(A1182-1)*A1178,13)))</f>
        <v>0</v>
      </c>
      <c r="J1173" s="20">
        <f ca="1">INDIRECT(_xlfn.TEXTJOIN("",TRUE,A1181,"!",ADDRESS(21+(A1182-1)*A1178,14)))</f>
        <v>0</v>
      </c>
    </row>
    <row r="1174" spans="1:10" ht="28" customHeight="1" x14ac:dyDescent="0.2">
      <c r="A1174" s="35">
        <f ca="1">INDIRECT(_xlfn.TEXTJOIN("",TRUE,A1181,"!",ADDRESS(22+(A1182-1)*A1178,1)))</f>
        <v>0</v>
      </c>
      <c r="B1174" s="36"/>
      <c r="C1174" s="37">
        <f ca="1">INDIRECT(_xlfn.TEXTJOIN("",TRUE,A1181,"!",ADDRESS(22+(A1182-1)*A1178,2)))</f>
        <v>0</v>
      </c>
      <c r="D1174" s="38"/>
      <c r="E1174" s="38"/>
      <c r="F1174" s="38"/>
      <c r="G1174" s="39"/>
      <c r="H1174" s="20">
        <f ca="1">INDIRECT(_xlfn.TEXTJOIN("",TRUE,A1181,"!",ADDRESS(22+(A1182-1)*A1178,6)))</f>
        <v>0</v>
      </c>
      <c r="I1174" s="20">
        <f ca="1">INDIRECT(_xlfn.TEXTJOIN("",TRUE,A1181,"!",ADDRESS(22+(A1182-1)*A1178,13)))</f>
        <v>0</v>
      </c>
      <c r="J1174" s="20">
        <f ca="1">INDIRECT(_xlfn.TEXTJOIN("",TRUE,A1181,"!",ADDRESS(22+(A1182-1)*A1178,14)))</f>
        <v>0</v>
      </c>
    </row>
    <row r="1175" spans="1:10" ht="28" customHeight="1" x14ac:dyDescent="0.2">
      <c r="A1175" s="35">
        <f ca="1">INDIRECT(_xlfn.TEXTJOIN("",TRUE,A1181,"!",ADDRESS(23+(A1182-1)*A1178,1)))</f>
        <v>0</v>
      </c>
      <c r="B1175" s="36"/>
      <c r="C1175" s="37">
        <f ca="1">INDIRECT(_xlfn.TEXTJOIN("",TRUE,A1181,"!",ADDRESS(23+(A1182-1)*A1178,2)))</f>
        <v>0</v>
      </c>
      <c r="D1175" s="38"/>
      <c r="E1175" s="38"/>
      <c r="F1175" s="38"/>
      <c r="G1175" s="39"/>
      <c r="H1175" s="20">
        <f ca="1">INDIRECT(_xlfn.TEXTJOIN("",TRUE,A1181,"!",ADDRESS(23+(A1182-1)*A1178,6)))</f>
        <v>0</v>
      </c>
      <c r="I1175" s="20">
        <f ca="1">INDIRECT(_xlfn.TEXTJOIN("",TRUE,A1181,"!",ADDRESS(23+(A1182-1)*A1178,13)))</f>
        <v>0</v>
      </c>
      <c r="J1175" s="20">
        <f ca="1">INDIRECT(_xlfn.TEXTJOIN("",TRUE,A1181,"!",ADDRESS(23+(A1182-1)*A1178,14)))</f>
        <v>0</v>
      </c>
    </row>
    <row r="1176" spans="1:10" ht="28" customHeight="1" x14ac:dyDescent="0.2">
      <c r="A1176" s="35">
        <f ca="1">INDIRECT(_xlfn.TEXTJOIN("",TRUE,A1181,"!",ADDRESS(24+(A1182-1)*A1178,1)))</f>
        <v>0</v>
      </c>
      <c r="B1176" s="36"/>
      <c r="C1176" s="37">
        <f ca="1">INDIRECT(_xlfn.TEXTJOIN("",TRUE,A1181,"!",ADDRESS(24+(A1182-1)*A1178,2)))</f>
        <v>0</v>
      </c>
      <c r="D1176" s="38"/>
      <c r="E1176" s="38"/>
      <c r="F1176" s="38"/>
      <c r="G1176" s="39"/>
      <c r="H1176" s="20">
        <f ca="1">INDIRECT(_xlfn.TEXTJOIN("",TRUE,A1181,"!",ADDRESS(24+(A1182-1)*A1178,6)))</f>
        <v>0</v>
      </c>
      <c r="I1176" s="40">
        <f ca="1">INDIRECT(_xlfn.TEXTJOIN("",TRUE,A1181,"!",ADDRESS(24+(A1182-1)*A1178,13)))</f>
        <v>0</v>
      </c>
      <c r="J1176" s="41"/>
    </row>
    <row r="1177" spans="1:10" ht="28" customHeight="1" x14ac:dyDescent="0.2">
      <c r="A1177" s="42" t="s">
        <v>52</v>
      </c>
      <c r="B1177" s="42"/>
      <c r="C1177" s="42"/>
      <c r="D1177" s="42"/>
      <c r="E1177" s="42"/>
      <c r="F1177" s="42"/>
      <c r="G1177" s="42"/>
      <c r="H1177" s="16">
        <f ca="1">SUM(H1165:H1176)</f>
        <v>0</v>
      </c>
      <c r="I1177" s="16" t="s">
        <v>44</v>
      </c>
      <c r="J1177" s="16">
        <f ca="1">SUMPRODUCT(J1165:J1175,H1165:H1175)</f>
        <v>0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43" t="s">
        <v>40</v>
      </c>
      <c r="B1179" s="43"/>
      <c r="C1179" s="21">
        <f ca="1">INDIRECT(_xlfn.TEXTJOIN("",TRUE,A1181,"!",ADDRESS(5+A1182*A1178,12)))</f>
        <v>0</v>
      </c>
      <c r="D1179" s="43" t="s">
        <v>38</v>
      </c>
      <c r="E1179" s="43"/>
      <c r="F1179" s="18">
        <f ca="1">INDIRECT(_xlfn.TEXTJOIN("",TRUE,A1181,"!",ADDRESS(5+A1182*A1178,8)))</f>
        <v>0</v>
      </c>
      <c r="G1179" s="43" t="s">
        <v>39</v>
      </c>
      <c r="H1179" s="43"/>
      <c r="I1179" s="44">
        <f ca="1">INDIRECT(_xlfn.TEXTJOIN("",TRUE,A1181,"!",ADDRESS(5+A1182*A1178,10)))</f>
        <v>0</v>
      </c>
      <c r="J1179" s="44"/>
    </row>
    <row r="1180" spans="1:10" ht="28" customHeight="1" x14ac:dyDescent="0.2">
      <c r="A1180" s="19" t="s">
        <v>36</v>
      </c>
      <c r="B1180" s="45">
        <f ca="1">INDIRECT(_xlfn.TEXTJOIN("",TRUE,A1181,"!",ADDRESS(5+A1182*A1178,2)))</f>
        <v>0</v>
      </c>
      <c r="C1180" s="45"/>
      <c r="D1180" s="46" t="s">
        <v>37</v>
      </c>
      <c r="E1180" s="46"/>
      <c r="F1180" s="47">
        <f ca="1">INDIRECT(_xlfn.TEXTJOIN("",TRUE,A1181,"!",ADDRESS(5+A1182*A1178,5)))</f>
        <v>0</v>
      </c>
      <c r="G1180" s="47"/>
      <c r="H1180" s="47"/>
      <c r="I1180" s="47"/>
      <c r="J1180" s="47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48" t="s">
        <v>24</v>
      </c>
      <c r="B1183" s="48"/>
      <c r="C1183" s="48">
        <f ca="1">INDIRECT(_xlfn.TEXTJOIN("",TRUE,A1202,"!",ADDRESS(9+(A1203-1)*A1199,2)))</f>
        <v>0</v>
      </c>
      <c r="D1183" s="48"/>
      <c r="E1183" s="48"/>
      <c r="F1183" s="48" t="s">
        <v>50</v>
      </c>
      <c r="G1183" s="48"/>
      <c r="H1183" s="48"/>
      <c r="I1183" s="49">
        <f ca="1">INDIRECT(_xlfn.TEXTJOIN("",TRUE,A1202,"!",ADDRESS(9+(A1203-1)*A1199,9)))</f>
        <v>0</v>
      </c>
      <c r="J1183" s="49"/>
    </row>
    <row r="1184" spans="1:10" ht="28" customHeight="1" x14ac:dyDescent="0.2">
      <c r="A1184" s="48" t="s">
        <v>25</v>
      </c>
      <c r="B1184" s="48"/>
      <c r="C1184" s="48">
        <f ca="1">INDIRECT(_xlfn.TEXTJOIN("",TRUE,A1202,"!",ADDRESS(9+(A1203-1)*A1199,5)))</f>
        <v>0</v>
      </c>
      <c r="D1184" s="48"/>
      <c r="E1184" s="48"/>
      <c r="F1184" s="50" t="s">
        <v>51</v>
      </c>
      <c r="G1184" s="50"/>
      <c r="H1184" s="50"/>
      <c r="I1184" s="49">
        <f ca="1">INDIRECT(_xlfn.TEXTJOIN("",TRUE,A1202,"!",ADDRESS(9+(A1203-1)*A1199,13)))</f>
        <v>0</v>
      </c>
      <c r="J1184" s="49"/>
    </row>
    <row r="1185" spans="1:10" ht="28" customHeight="1" x14ac:dyDescent="0.2">
      <c r="A1185" s="45" t="s">
        <v>28</v>
      </c>
      <c r="B1185" s="45"/>
      <c r="C1185" s="45" t="s">
        <v>29</v>
      </c>
      <c r="D1185" s="45"/>
      <c r="E1185" s="45"/>
      <c r="F1185" s="45"/>
      <c r="G1185" s="45"/>
      <c r="H1185" s="15" t="s">
        <v>30</v>
      </c>
      <c r="I1185" s="15" t="s">
        <v>10</v>
      </c>
      <c r="J1185" s="15" t="s">
        <v>34</v>
      </c>
    </row>
    <row r="1186" spans="1:10" ht="28" customHeight="1" x14ac:dyDescent="0.2">
      <c r="A1186" s="35">
        <f ca="1">INDIRECT(_xlfn.TEXTJOIN("",TRUE,A1202,"!",ADDRESS(13+(A1203-1)*A1199,1)))</f>
        <v>0</v>
      </c>
      <c r="B1186" s="36"/>
      <c r="C1186" s="37">
        <f ca="1">INDIRECT(_xlfn.TEXTJOIN("",TRUE,A1202,"!",ADDRESS(13+(A1203-1)*A1199,2)))</f>
        <v>0</v>
      </c>
      <c r="D1186" s="38"/>
      <c r="E1186" s="38"/>
      <c r="F1186" s="38"/>
      <c r="G1186" s="39"/>
      <c r="H1186" s="20">
        <f ca="1">INDIRECT(_xlfn.TEXTJOIN("",TRUE,A1202,"!",ADDRESS(13+(A1203-1)*A1199,6)))</f>
        <v>0</v>
      </c>
      <c r="I1186" s="20">
        <f ca="1">INDIRECT(_xlfn.TEXTJOIN("",TRUE,A1202,"!",ADDRESS(13+(A1203-1)*A1199,13)))</f>
        <v>0</v>
      </c>
      <c r="J1186" s="20">
        <f ca="1">INDIRECT(_xlfn.TEXTJOIN("",TRUE,A1202,"!",ADDRESS(13+(A1203-1)*A1199,14)))</f>
        <v>0</v>
      </c>
    </row>
    <row r="1187" spans="1:10" ht="28" customHeight="1" x14ac:dyDescent="0.2">
      <c r="A1187" s="35">
        <f ca="1">INDIRECT(_xlfn.TEXTJOIN("",TRUE,A1202,"!",ADDRESS(14+(A1203-1)*A1199,1)))</f>
        <v>0</v>
      </c>
      <c r="B1187" s="36"/>
      <c r="C1187" s="37">
        <f ca="1">INDIRECT(_xlfn.TEXTJOIN("",TRUE,A1202,"!",ADDRESS(14+(A1203-1)*A1199,2)))</f>
        <v>0</v>
      </c>
      <c r="D1187" s="38"/>
      <c r="E1187" s="38"/>
      <c r="F1187" s="38"/>
      <c r="G1187" s="39"/>
      <c r="H1187" s="20">
        <f ca="1">INDIRECT(_xlfn.TEXTJOIN("",TRUE,A1202,"!",ADDRESS(14+(A1203-1)*A1199,6)))</f>
        <v>0</v>
      </c>
      <c r="I1187" s="20">
        <f ca="1">INDIRECT(_xlfn.TEXTJOIN("",TRUE,A1202,"!",ADDRESS(14+(A1203-1)*A1199,13)))</f>
        <v>0</v>
      </c>
      <c r="J1187" s="20">
        <f ca="1">INDIRECT(_xlfn.TEXTJOIN("",TRUE,A1202,"!",ADDRESS(14+(A1203-1)*A1199,14)))</f>
        <v>0</v>
      </c>
    </row>
    <row r="1188" spans="1:10" ht="28" customHeight="1" x14ac:dyDescent="0.2">
      <c r="A1188" s="35">
        <f ca="1">INDIRECT(_xlfn.TEXTJOIN("",TRUE,A1202,"!",ADDRESS(15+(A1203-1)*A1199,1)))</f>
        <v>0</v>
      </c>
      <c r="B1188" s="36"/>
      <c r="C1188" s="37">
        <f ca="1">INDIRECT(_xlfn.TEXTJOIN("",TRUE,A1202,"!",ADDRESS(15+(A1203-1)*A1199,2)))</f>
        <v>0</v>
      </c>
      <c r="D1188" s="38"/>
      <c r="E1188" s="38"/>
      <c r="F1188" s="38"/>
      <c r="G1188" s="39"/>
      <c r="H1188" s="20">
        <f ca="1">INDIRECT(_xlfn.TEXTJOIN("",TRUE,A1202,"!",ADDRESS(15+(A1203-1)*A1199,6)))</f>
        <v>0</v>
      </c>
      <c r="I1188" s="20">
        <f ca="1">INDIRECT(_xlfn.TEXTJOIN("",TRUE,A1202,"!",ADDRESS(15+(A1203-1)*A1199,13)))</f>
        <v>0</v>
      </c>
      <c r="J1188" s="20">
        <f ca="1">INDIRECT(_xlfn.TEXTJOIN("",TRUE,A1202,"!",ADDRESS(15+(A1203-1)*A1199,14)))</f>
        <v>0</v>
      </c>
    </row>
    <row r="1189" spans="1:10" ht="28" customHeight="1" x14ac:dyDescent="0.2">
      <c r="A1189" s="35">
        <f ca="1">INDIRECT(_xlfn.TEXTJOIN("",TRUE,A1202,"!",ADDRESS(16+(A1203-1)*A1199,1)))</f>
        <v>0</v>
      </c>
      <c r="B1189" s="36"/>
      <c r="C1189" s="37">
        <f ca="1">INDIRECT(_xlfn.TEXTJOIN("",TRUE,A1202,"!",ADDRESS(16+(A1203-1)*A1199,2)))</f>
        <v>0</v>
      </c>
      <c r="D1189" s="38"/>
      <c r="E1189" s="38"/>
      <c r="F1189" s="38"/>
      <c r="G1189" s="39"/>
      <c r="H1189" s="20">
        <f ca="1">INDIRECT(_xlfn.TEXTJOIN("",TRUE,A1202,"!",ADDRESS(16+(A1203-1)*A1199,6)))</f>
        <v>0</v>
      </c>
      <c r="I1189" s="20">
        <f ca="1">INDIRECT(_xlfn.TEXTJOIN("",TRUE,A1202,"!",ADDRESS(16+(A1203-1)*A1199,13)))</f>
        <v>0</v>
      </c>
      <c r="J1189" s="20">
        <f ca="1">INDIRECT(_xlfn.TEXTJOIN("",TRUE,A1202,"!",ADDRESS(16+(A1203-1)*A1199,14)))</f>
        <v>0</v>
      </c>
    </row>
    <row r="1190" spans="1:10" ht="28" customHeight="1" x14ac:dyDescent="0.2">
      <c r="A1190" s="35">
        <f ca="1">INDIRECT(_xlfn.TEXTJOIN("",TRUE,A1202,"!",ADDRESS(17+(A1203-1)*A1199,1)))</f>
        <v>0</v>
      </c>
      <c r="B1190" s="36"/>
      <c r="C1190" s="37">
        <f ca="1">INDIRECT(_xlfn.TEXTJOIN("",TRUE,A1202,"!",ADDRESS(17+(A1203-1)*A1199,2)))</f>
        <v>0</v>
      </c>
      <c r="D1190" s="38"/>
      <c r="E1190" s="38"/>
      <c r="F1190" s="38"/>
      <c r="G1190" s="39"/>
      <c r="H1190" s="20">
        <f ca="1">INDIRECT(_xlfn.TEXTJOIN("",TRUE,A1202,"!",ADDRESS(17+(A1203-1)*A1199,6)))</f>
        <v>0</v>
      </c>
      <c r="I1190" s="20">
        <f ca="1">INDIRECT(_xlfn.TEXTJOIN("",TRUE,A1202,"!",ADDRESS(17+(A1203-1)*A1199,13)))</f>
        <v>0</v>
      </c>
      <c r="J1190" s="20">
        <f ca="1">INDIRECT(_xlfn.TEXTJOIN("",TRUE,A1202,"!",ADDRESS(17+(A1203-1)*A1199,14)))</f>
        <v>0</v>
      </c>
    </row>
    <row r="1191" spans="1:10" ht="28" customHeight="1" x14ac:dyDescent="0.2">
      <c r="A1191" s="35">
        <f ca="1">INDIRECT(_xlfn.TEXTJOIN("",TRUE,A1202,"!",ADDRESS(18+(A1203-1)*A1199,1)))</f>
        <v>0</v>
      </c>
      <c r="B1191" s="36"/>
      <c r="C1191" s="37">
        <f ca="1">INDIRECT(_xlfn.TEXTJOIN("",TRUE,A1202,"!",ADDRESS(18+(A1203-1)*A1199,2)))</f>
        <v>0</v>
      </c>
      <c r="D1191" s="38"/>
      <c r="E1191" s="38"/>
      <c r="F1191" s="38"/>
      <c r="G1191" s="39"/>
      <c r="H1191" s="20">
        <f ca="1">INDIRECT(_xlfn.TEXTJOIN("",TRUE,A1202,"!",ADDRESS(18+(A1203-1)*A1199,6)))</f>
        <v>0</v>
      </c>
      <c r="I1191" s="20">
        <f ca="1">INDIRECT(_xlfn.TEXTJOIN("",TRUE,A1202,"!",ADDRESS(18+(A1203-1)*A1199,13)))</f>
        <v>0</v>
      </c>
      <c r="J1191" s="20">
        <f ca="1">INDIRECT(_xlfn.TEXTJOIN("",TRUE,A1202,"!",ADDRESS(18+(A1203-1)*A1199,14)))</f>
        <v>0</v>
      </c>
    </row>
    <row r="1192" spans="1:10" ht="28" customHeight="1" x14ac:dyDescent="0.2">
      <c r="A1192" s="35">
        <f ca="1">INDIRECT(_xlfn.TEXTJOIN("",TRUE,A1202,"!",ADDRESS(19+(A1203-1)*A1199,1)))</f>
        <v>0</v>
      </c>
      <c r="B1192" s="36"/>
      <c r="C1192" s="37">
        <f ca="1">INDIRECT(_xlfn.TEXTJOIN("",TRUE,A1202,"!",ADDRESS(19+(A1203-1)*A1199,2)))</f>
        <v>0</v>
      </c>
      <c r="D1192" s="38"/>
      <c r="E1192" s="38"/>
      <c r="F1192" s="38"/>
      <c r="G1192" s="39"/>
      <c r="H1192" s="20">
        <f ca="1">INDIRECT(_xlfn.TEXTJOIN("",TRUE,A1202,"!",ADDRESS(19+(A1203-1)*A1199,6)))</f>
        <v>0</v>
      </c>
      <c r="I1192" s="20">
        <f ca="1">INDIRECT(_xlfn.TEXTJOIN("",TRUE,A1202,"!",ADDRESS(19+(A1203-1)*A1199,13)))</f>
        <v>0</v>
      </c>
      <c r="J1192" s="20">
        <f ca="1">INDIRECT(_xlfn.TEXTJOIN("",TRUE,A1202,"!",ADDRESS(19+(A1203-1)*A1199,14)))</f>
        <v>0</v>
      </c>
    </row>
    <row r="1193" spans="1:10" ht="28" customHeight="1" x14ac:dyDescent="0.2">
      <c r="A1193" s="35">
        <f ca="1">INDIRECT(_xlfn.TEXTJOIN("",TRUE,A1202,"!",ADDRESS(20+(A1203-1)*A1199,1)))</f>
        <v>0</v>
      </c>
      <c r="B1193" s="36"/>
      <c r="C1193" s="37">
        <f ca="1">INDIRECT(_xlfn.TEXTJOIN("",TRUE,A1202,"!",ADDRESS(20+(A1203-1)*A1199,2)))</f>
        <v>0</v>
      </c>
      <c r="D1193" s="38"/>
      <c r="E1193" s="38"/>
      <c r="F1193" s="38"/>
      <c r="G1193" s="39"/>
      <c r="H1193" s="20">
        <f ca="1">INDIRECT(_xlfn.TEXTJOIN("",TRUE,A1202,"!",ADDRESS(20+(A1203-1)*A1199,6)))</f>
        <v>0</v>
      </c>
      <c r="I1193" s="20">
        <f ca="1">INDIRECT(_xlfn.TEXTJOIN("",TRUE,A1202,"!",ADDRESS(20+(A1203-1)*A1199,13)))</f>
        <v>0</v>
      </c>
      <c r="J1193" s="20">
        <f ca="1">INDIRECT(_xlfn.TEXTJOIN("",TRUE,A1202,"!",ADDRESS(20+(A1203-1)*A1199,14)))</f>
        <v>0</v>
      </c>
    </row>
    <row r="1194" spans="1:10" ht="28" customHeight="1" x14ac:dyDescent="0.2">
      <c r="A1194" s="35">
        <f ca="1">INDIRECT(_xlfn.TEXTJOIN("",TRUE,A1202,"!",ADDRESS(21+(A1203-1)*A1199,1)))</f>
        <v>0</v>
      </c>
      <c r="B1194" s="36"/>
      <c r="C1194" s="37">
        <f ca="1">INDIRECT(_xlfn.TEXTJOIN("",TRUE,A1202,"!",ADDRESS(21+(A1203-1)*A1199,2)))</f>
        <v>0</v>
      </c>
      <c r="D1194" s="38"/>
      <c r="E1194" s="38"/>
      <c r="F1194" s="38"/>
      <c r="G1194" s="39"/>
      <c r="H1194" s="20">
        <f ca="1">INDIRECT(_xlfn.TEXTJOIN("",TRUE,A1202,"!",ADDRESS(21+(A1203-1)*A1199,6)))</f>
        <v>0</v>
      </c>
      <c r="I1194" s="20">
        <f ca="1">INDIRECT(_xlfn.TEXTJOIN("",TRUE,A1202,"!",ADDRESS(21+(A1203-1)*A1199,13)))</f>
        <v>0</v>
      </c>
      <c r="J1194" s="20">
        <f ca="1">INDIRECT(_xlfn.TEXTJOIN("",TRUE,A1202,"!",ADDRESS(21+(A1203-1)*A1199,14)))</f>
        <v>0</v>
      </c>
    </row>
    <row r="1195" spans="1:10" ht="28" customHeight="1" x14ac:dyDescent="0.2">
      <c r="A1195" s="35">
        <f ca="1">INDIRECT(_xlfn.TEXTJOIN("",TRUE,A1202,"!",ADDRESS(22+(A1203-1)*A1199,1)))</f>
        <v>0</v>
      </c>
      <c r="B1195" s="36"/>
      <c r="C1195" s="37">
        <f ca="1">INDIRECT(_xlfn.TEXTJOIN("",TRUE,A1202,"!",ADDRESS(22+(A1203-1)*A1199,2)))</f>
        <v>0</v>
      </c>
      <c r="D1195" s="38"/>
      <c r="E1195" s="38"/>
      <c r="F1195" s="38"/>
      <c r="G1195" s="39"/>
      <c r="H1195" s="20">
        <f ca="1">INDIRECT(_xlfn.TEXTJOIN("",TRUE,A1202,"!",ADDRESS(22+(A1203-1)*A1199,6)))</f>
        <v>0</v>
      </c>
      <c r="I1195" s="20">
        <f ca="1">INDIRECT(_xlfn.TEXTJOIN("",TRUE,A1202,"!",ADDRESS(22+(A1203-1)*A1199,13)))</f>
        <v>0</v>
      </c>
      <c r="J1195" s="20">
        <f ca="1">INDIRECT(_xlfn.TEXTJOIN("",TRUE,A1202,"!",ADDRESS(22+(A1203-1)*A1199,14)))</f>
        <v>0</v>
      </c>
    </row>
    <row r="1196" spans="1:10" ht="28" customHeight="1" x14ac:dyDescent="0.2">
      <c r="A1196" s="35">
        <f ca="1">INDIRECT(_xlfn.TEXTJOIN("",TRUE,A1202,"!",ADDRESS(23+(A1203-1)*A1199,1)))</f>
        <v>0</v>
      </c>
      <c r="B1196" s="36"/>
      <c r="C1196" s="37">
        <f ca="1">INDIRECT(_xlfn.TEXTJOIN("",TRUE,A1202,"!",ADDRESS(23+(A1203-1)*A1199,2)))</f>
        <v>0</v>
      </c>
      <c r="D1196" s="38"/>
      <c r="E1196" s="38"/>
      <c r="F1196" s="38"/>
      <c r="G1196" s="39"/>
      <c r="H1196" s="20">
        <f ca="1">INDIRECT(_xlfn.TEXTJOIN("",TRUE,A1202,"!",ADDRESS(23+(A1203-1)*A1199,6)))</f>
        <v>0</v>
      </c>
      <c r="I1196" s="20">
        <f ca="1">INDIRECT(_xlfn.TEXTJOIN("",TRUE,A1202,"!",ADDRESS(23+(A1203-1)*A1199,13)))</f>
        <v>0</v>
      </c>
      <c r="J1196" s="20">
        <f ca="1">INDIRECT(_xlfn.TEXTJOIN("",TRUE,A1202,"!",ADDRESS(23+(A1203-1)*A1199,14)))</f>
        <v>0</v>
      </c>
    </row>
    <row r="1197" spans="1:10" ht="28" customHeight="1" x14ac:dyDescent="0.2">
      <c r="A1197" s="35">
        <f ca="1">INDIRECT(_xlfn.TEXTJOIN("",TRUE,A1202,"!",ADDRESS(24+(A1203-1)*A1199,1)))</f>
        <v>0</v>
      </c>
      <c r="B1197" s="36"/>
      <c r="C1197" s="37">
        <f ca="1">INDIRECT(_xlfn.TEXTJOIN("",TRUE,A1202,"!",ADDRESS(24+(A1203-1)*A1199,2)))</f>
        <v>0</v>
      </c>
      <c r="D1197" s="38"/>
      <c r="E1197" s="38"/>
      <c r="F1197" s="38"/>
      <c r="G1197" s="39"/>
      <c r="H1197" s="20">
        <f ca="1">INDIRECT(_xlfn.TEXTJOIN("",TRUE,A1202,"!",ADDRESS(24+(A1203-1)*A1199,6)))</f>
        <v>0</v>
      </c>
      <c r="I1197" s="40">
        <f ca="1">INDIRECT(_xlfn.TEXTJOIN("",TRUE,A1202,"!",ADDRESS(24+(A1203-1)*A1199,13)))</f>
        <v>0</v>
      </c>
      <c r="J1197" s="41"/>
    </row>
    <row r="1198" spans="1:10" ht="28" customHeight="1" x14ac:dyDescent="0.2">
      <c r="A1198" s="42" t="s">
        <v>52</v>
      </c>
      <c r="B1198" s="42"/>
      <c r="C1198" s="42"/>
      <c r="D1198" s="42"/>
      <c r="E1198" s="42"/>
      <c r="F1198" s="42"/>
      <c r="G1198" s="42"/>
      <c r="H1198" s="16">
        <f ca="1">SUM(H1186:H1197)</f>
        <v>0</v>
      </c>
      <c r="I1198" s="16" t="s">
        <v>44</v>
      </c>
      <c r="J1198" s="16">
        <f ca="1">SUMPRODUCT(J1186:J1196,H1186:H1196)</f>
        <v>0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43" t="s">
        <v>40</v>
      </c>
      <c r="B1200" s="43"/>
      <c r="C1200" s="21">
        <f ca="1">INDIRECT(_xlfn.TEXTJOIN("",TRUE,A1202,"!",ADDRESS(5+A1203*A1199,12)))</f>
        <v>0</v>
      </c>
      <c r="D1200" s="43" t="s">
        <v>38</v>
      </c>
      <c r="E1200" s="43"/>
      <c r="F1200" s="18">
        <f ca="1">INDIRECT(_xlfn.TEXTJOIN("",TRUE,A1202,"!",ADDRESS(5+A1203*A1199,8)))</f>
        <v>0</v>
      </c>
      <c r="G1200" s="43" t="s">
        <v>39</v>
      </c>
      <c r="H1200" s="43"/>
      <c r="I1200" s="44">
        <f ca="1">INDIRECT(_xlfn.TEXTJOIN("",TRUE,A1202,"!",ADDRESS(5+A1203*A1199,10)))</f>
        <v>0</v>
      </c>
      <c r="J1200" s="44"/>
    </row>
    <row r="1201" spans="1:10" ht="28" customHeight="1" x14ac:dyDescent="0.2">
      <c r="A1201" s="19" t="s">
        <v>36</v>
      </c>
      <c r="B1201" s="45">
        <f ca="1">INDIRECT(_xlfn.TEXTJOIN("",TRUE,A1202,"!",ADDRESS(5+A1203*A1199,2)))</f>
        <v>0</v>
      </c>
      <c r="C1201" s="45"/>
      <c r="D1201" s="46" t="s">
        <v>37</v>
      </c>
      <c r="E1201" s="46"/>
      <c r="F1201" s="47">
        <f ca="1">INDIRECT(_xlfn.TEXTJOIN("",TRUE,A1202,"!",ADDRESS(5+A1203*A1199,5)))</f>
        <v>0</v>
      </c>
      <c r="G1201" s="47"/>
      <c r="H1201" s="47"/>
      <c r="I1201" s="47"/>
      <c r="J1201" s="47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48" t="s">
        <v>24</v>
      </c>
      <c r="B1204" s="48"/>
      <c r="C1204" s="48">
        <f ca="1">INDIRECT(_xlfn.TEXTJOIN("",TRUE,A1223,"!",ADDRESS(9+(A1224-1)*A1220,2)))</f>
        <v>0</v>
      </c>
      <c r="D1204" s="48"/>
      <c r="E1204" s="48"/>
      <c r="F1204" s="48" t="s">
        <v>50</v>
      </c>
      <c r="G1204" s="48"/>
      <c r="H1204" s="48"/>
      <c r="I1204" s="49">
        <f ca="1">INDIRECT(_xlfn.TEXTJOIN("",TRUE,A1223,"!",ADDRESS(9+(A1224-1)*A1220,9)))</f>
        <v>0</v>
      </c>
      <c r="J1204" s="49"/>
    </row>
    <row r="1205" spans="1:10" ht="28" customHeight="1" x14ac:dyDescent="0.2">
      <c r="A1205" s="48" t="s">
        <v>25</v>
      </c>
      <c r="B1205" s="48"/>
      <c r="C1205" s="48">
        <f ca="1">INDIRECT(_xlfn.TEXTJOIN("",TRUE,A1223,"!",ADDRESS(9+(A1224-1)*A1220,5)))</f>
        <v>0</v>
      </c>
      <c r="D1205" s="48"/>
      <c r="E1205" s="48"/>
      <c r="F1205" s="50" t="s">
        <v>51</v>
      </c>
      <c r="G1205" s="50"/>
      <c r="H1205" s="50"/>
      <c r="I1205" s="49">
        <f ca="1">INDIRECT(_xlfn.TEXTJOIN("",TRUE,A1223,"!",ADDRESS(9+(A1224-1)*A1220,13)))</f>
        <v>0</v>
      </c>
      <c r="J1205" s="49"/>
    </row>
    <row r="1206" spans="1:10" ht="28" customHeight="1" x14ac:dyDescent="0.2">
      <c r="A1206" s="45" t="s">
        <v>28</v>
      </c>
      <c r="B1206" s="45"/>
      <c r="C1206" s="45" t="s">
        <v>29</v>
      </c>
      <c r="D1206" s="45"/>
      <c r="E1206" s="45"/>
      <c r="F1206" s="45"/>
      <c r="G1206" s="45"/>
      <c r="H1206" s="15" t="s">
        <v>30</v>
      </c>
      <c r="I1206" s="15" t="s">
        <v>10</v>
      </c>
      <c r="J1206" s="15" t="s">
        <v>34</v>
      </c>
    </row>
    <row r="1207" spans="1:10" ht="28" customHeight="1" x14ac:dyDescent="0.2">
      <c r="A1207" s="35">
        <f ca="1">INDIRECT(_xlfn.TEXTJOIN("",TRUE,A1223,"!",ADDRESS(13+(A1224-1)*A1220,1)))</f>
        <v>0</v>
      </c>
      <c r="B1207" s="36"/>
      <c r="C1207" s="37">
        <f ca="1">INDIRECT(_xlfn.TEXTJOIN("",TRUE,A1223,"!",ADDRESS(13+(A1224-1)*A1220,2)))</f>
        <v>0</v>
      </c>
      <c r="D1207" s="38"/>
      <c r="E1207" s="38"/>
      <c r="F1207" s="38"/>
      <c r="G1207" s="39"/>
      <c r="H1207" s="20">
        <f ca="1">INDIRECT(_xlfn.TEXTJOIN("",TRUE,A1223,"!",ADDRESS(13+(A1224-1)*A1220,6)))</f>
        <v>0</v>
      </c>
      <c r="I1207" s="20">
        <f ca="1">INDIRECT(_xlfn.TEXTJOIN("",TRUE,A1223,"!",ADDRESS(13+(A1224-1)*A1220,13)))</f>
        <v>0</v>
      </c>
      <c r="J1207" s="20">
        <f ca="1">INDIRECT(_xlfn.TEXTJOIN("",TRUE,A1223,"!",ADDRESS(13+(A1224-1)*A1220,14)))</f>
        <v>0</v>
      </c>
    </row>
    <row r="1208" spans="1:10" ht="28" customHeight="1" x14ac:dyDescent="0.2">
      <c r="A1208" s="35">
        <f ca="1">INDIRECT(_xlfn.TEXTJOIN("",TRUE,A1223,"!",ADDRESS(14+(A1224-1)*A1220,1)))</f>
        <v>0</v>
      </c>
      <c r="B1208" s="36"/>
      <c r="C1208" s="37">
        <f ca="1">INDIRECT(_xlfn.TEXTJOIN("",TRUE,A1223,"!",ADDRESS(14+(A1224-1)*A1220,2)))</f>
        <v>0</v>
      </c>
      <c r="D1208" s="38"/>
      <c r="E1208" s="38"/>
      <c r="F1208" s="38"/>
      <c r="G1208" s="39"/>
      <c r="H1208" s="20">
        <f ca="1">INDIRECT(_xlfn.TEXTJOIN("",TRUE,A1223,"!",ADDRESS(14+(A1224-1)*A1220,6)))</f>
        <v>0</v>
      </c>
      <c r="I1208" s="20">
        <f ca="1">INDIRECT(_xlfn.TEXTJOIN("",TRUE,A1223,"!",ADDRESS(14+(A1224-1)*A1220,13)))</f>
        <v>0</v>
      </c>
      <c r="J1208" s="20">
        <f ca="1">INDIRECT(_xlfn.TEXTJOIN("",TRUE,A1223,"!",ADDRESS(14+(A1224-1)*A1220,14)))</f>
        <v>0</v>
      </c>
    </row>
    <row r="1209" spans="1:10" ht="28" customHeight="1" x14ac:dyDescent="0.2">
      <c r="A1209" s="35">
        <f ca="1">INDIRECT(_xlfn.TEXTJOIN("",TRUE,A1223,"!",ADDRESS(15+(A1224-1)*A1220,1)))</f>
        <v>0</v>
      </c>
      <c r="B1209" s="36"/>
      <c r="C1209" s="37">
        <f ca="1">INDIRECT(_xlfn.TEXTJOIN("",TRUE,A1223,"!",ADDRESS(15+(A1224-1)*A1220,2)))</f>
        <v>0</v>
      </c>
      <c r="D1209" s="38"/>
      <c r="E1209" s="38"/>
      <c r="F1209" s="38"/>
      <c r="G1209" s="39"/>
      <c r="H1209" s="20">
        <f ca="1">INDIRECT(_xlfn.TEXTJOIN("",TRUE,A1223,"!",ADDRESS(15+(A1224-1)*A1220,6)))</f>
        <v>0</v>
      </c>
      <c r="I1209" s="20">
        <f ca="1">INDIRECT(_xlfn.TEXTJOIN("",TRUE,A1223,"!",ADDRESS(15+(A1224-1)*A1220,13)))</f>
        <v>0</v>
      </c>
      <c r="J1209" s="20">
        <f ca="1">INDIRECT(_xlfn.TEXTJOIN("",TRUE,A1223,"!",ADDRESS(15+(A1224-1)*A1220,14)))</f>
        <v>0</v>
      </c>
    </row>
    <row r="1210" spans="1:10" ht="28" customHeight="1" x14ac:dyDescent="0.2">
      <c r="A1210" s="35">
        <f ca="1">INDIRECT(_xlfn.TEXTJOIN("",TRUE,A1223,"!",ADDRESS(16+(A1224-1)*A1220,1)))</f>
        <v>0</v>
      </c>
      <c r="B1210" s="36"/>
      <c r="C1210" s="37">
        <f ca="1">INDIRECT(_xlfn.TEXTJOIN("",TRUE,A1223,"!",ADDRESS(16+(A1224-1)*A1220,2)))</f>
        <v>0</v>
      </c>
      <c r="D1210" s="38"/>
      <c r="E1210" s="38"/>
      <c r="F1210" s="38"/>
      <c r="G1210" s="39"/>
      <c r="H1210" s="20">
        <f ca="1">INDIRECT(_xlfn.TEXTJOIN("",TRUE,A1223,"!",ADDRESS(16+(A1224-1)*A1220,6)))</f>
        <v>0</v>
      </c>
      <c r="I1210" s="20">
        <f ca="1">INDIRECT(_xlfn.TEXTJOIN("",TRUE,A1223,"!",ADDRESS(16+(A1224-1)*A1220,13)))</f>
        <v>0</v>
      </c>
      <c r="J1210" s="20">
        <f ca="1">INDIRECT(_xlfn.TEXTJOIN("",TRUE,A1223,"!",ADDRESS(16+(A1224-1)*A1220,14)))</f>
        <v>0</v>
      </c>
    </row>
    <row r="1211" spans="1:10" ht="28" customHeight="1" x14ac:dyDescent="0.2">
      <c r="A1211" s="35">
        <f ca="1">INDIRECT(_xlfn.TEXTJOIN("",TRUE,A1223,"!",ADDRESS(17+(A1224-1)*A1220,1)))</f>
        <v>0</v>
      </c>
      <c r="B1211" s="36"/>
      <c r="C1211" s="37">
        <f ca="1">INDIRECT(_xlfn.TEXTJOIN("",TRUE,A1223,"!",ADDRESS(17+(A1224-1)*A1220,2)))</f>
        <v>0</v>
      </c>
      <c r="D1211" s="38"/>
      <c r="E1211" s="38"/>
      <c r="F1211" s="38"/>
      <c r="G1211" s="39"/>
      <c r="H1211" s="20">
        <f ca="1">INDIRECT(_xlfn.TEXTJOIN("",TRUE,A1223,"!",ADDRESS(17+(A1224-1)*A1220,6)))</f>
        <v>0</v>
      </c>
      <c r="I1211" s="20">
        <f ca="1">INDIRECT(_xlfn.TEXTJOIN("",TRUE,A1223,"!",ADDRESS(17+(A1224-1)*A1220,13)))</f>
        <v>0</v>
      </c>
      <c r="J1211" s="20">
        <f ca="1">INDIRECT(_xlfn.TEXTJOIN("",TRUE,A1223,"!",ADDRESS(17+(A1224-1)*A1220,14)))</f>
        <v>0</v>
      </c>
    </row>
    <row r="1212" spans="1:10" ht="28" customHeight="1" x14ac:dyDescent="0.2">
      <c r="A1212" s="35">
        <f ca="1">INDIRECT(_xlfn.TEXTJOIN("",TRUE,A1223,"!",ADDRESS(18+(A1224-1)*A1220,1)))</f>
        <v>0</v>
      </c>
      <c r="B1212" s="36"/>
      <c r="C1212" s="37">
        <f ca="1">INDIRECT(_xlfn.TEXTJOIN("",TRUE,A1223,"!",ADDRESS(18+(A1224-1)*A1220,2)))</f>
        <v>0</v>
      </c>
      <c r="D1212" s="38"/>
      <c r="E1212" s="38"/>
      <c r="F1212" s="38"/>
      <c r="G1212" s="39"/>
      <c r="H1212" s="20">
        <f ca="1">INDIRECT(_xlfn.TEXTJOIN("",TRUE,A1223,"!",ADDRESS(18+(A1224-1)*A1220,6)))</f>
        <v>0</v>
      </c>
      <c r="I1212" s="20">
        <f ca="1">INDIRECT(_xlfn.TEXTJOIN("",TRUE,A1223,"!",ADDRESS(18+(A1224-1)*A1220,13)))</f>
        <v>0</v>
      </c>
      <c r="J1212" s="20">
        <f ca="1">INDIRECT(_xlfn.TEXTJOIN("",TRUE,A1223,"!",ADDRESS(18+(A1224-1)*A1220,14)))</f>
        <v>0</v>
      </c>
    </row>
    <row r="1213" spans="1:10" ht="28" customHeight="1" x14ac:dyDescent="0.2">
      <c r="A1213" s="35">
        <f ca="1">INDIRECT(_xlfn.TEXTJOIN("",TRUE,A1223,"!",ADDRESS(19+(A1224-1)*A1220,1)))</f>
        <v>0</v>
      </c>
      <c r="B1213" s="36"/>
      <c r="C1213" s="37">
        <f ca="1">INDIRECT(_xlfn.TEXTJOIN("",TRUE,A1223,"!",ADDRESS(19+(A1224-1)*A1220,2)))</f>
        <v>0</v>
      </c>
      <c r="D1213" s="38"/>
      <c r="E1213" s="38"/>
      <c r="F1213" s="38"/>
      <c r="G1213" s="39"/>
      <c r="H1213" s="20">
        <f ca="1">INDIRECT(_xlfn.TEXTJOIN("",TRUE,A1223,"!",ADDRESS(19+(A1224-1)*A1220,6)))</f>
        <v>0</v>
      </c>
      <c r="I1213" s="20">
        <f ca="1">INDIRECT(_xlfn.TEXTJOIN("",TRUE,A1223,"!",ADDRESS(19+(A1224-1)*A1220,13)))</f>
        <v>0</v>
      </c>
      <c r="J1213" s="20">
        <f ca="1">INDIRECT(_xlfn.TEXTJOIN("",TRUE,A1223,"!",ADDRESS(19+(A1224-1)*A1220,14)))</f>
        <v>0</v>
      </c>
    </row>
    <row r="1214" spans="1:10" ht="28" customHeight="1" x14ac:dyDescent="0.2">
      <c r="A1214" s="35">
        <f ca="1">INDIRECT(_xlfn.TEXTJOIN("",TRUE,A1223,"!",ADDRESS(20+(A1224-1)*A1220,1)))</f>
        <v>0</v>
      </c>
      <c r="B1214" s="36"/>
      <c r="C1214" s="37">
        <f ca="1">INDIRECT(_xlfn.TEXTJOIN("",TRUE,A1223,"!",ADDRESS(20+(A1224-1)*A1220,2)))</f>
        <v>0</v>
      </c>
      <c r="D1214" s="38"/>
      <c r="E1214" s="38"/>
      <c r="F1214" s="38"/>
      <c r="G1214" s="39"/>
      <c r="H1214" s="20">
        <f ca="1">INDIRECT(_xlfn.TEXTJOIN("",TRUE,A1223,"!",ADDRESS(20+(A1224-1)*A1220,6)))</f>
        <v>0</v>
      </c>
      <c r="I1214" s="20">
        <f ca="1">INDIRECT(_xlfn.TEXTJOIN("",TRUE,A1223,"!",ADDRESS(20+(A1224-1)*A1220,13)))</f>
        <v>0</v>
      </c>
      <c r="J1214" s="20">
        <f ca="1">INDIRECT(_xlfn.TEXTJOIN("",TRUE,A1223,"!",ADDRESS(20+(A1224-1)*A1220,14)))</f>
        <v>0</v>
      </c>
    </row>
    <row r="1215" spans="1:10" ht="28" customHeight="1" x14ac:dyDescent="0.2">
      <c r="A1215" s="35">
        <f ca="1">INDIRECT(_xlfn.TEXTJOIN("",TRUE,A1223,"!",ADDRESS(21+(A1224-1)*A1220,1)))</f>
        <v>0</v>
      </c>
      <c r="B1215" s="36"/>
      <c r="C1215" s="37">
        <f ca="1">INDIRECT(_xlfn.TEXTJOIN("",TRUE,A1223,"!",ADDRESS(21+(A1224-1)*A1220,2)))</f>
        <v>0</v>
      </c>
      <c r="D1215" s="38"/>
      <c r="E1215" s="38"/>
      <c r="F1215" s="38"/>
      <c r="G1215" s="39"/>
      <c r="H1215" s="20">
        <f ca="1">INDIRECT(_xlfn.TEXTJOIN("",TRUE,A1223,"!",ADDRESS(21+(A1224-1)*A1220,6)))</f>
        <v>0</v>
      </c>
      <c r="I1215" s="20">
        <f ca="1">INDIRECT(_xlfn.TEXTJOIN("",TRUE,A1223,"!",ADDRESS(21+(A1224-1)*A1220,13)))</f>
        <v>0</v>
      </c>
      <c r="J1215" s="20">
        <f ca="1">INDIRECT(_xlfn.TEXTJOIN("",TRUE,A1223,"!",ADDRESS(21+(A1224-1)*A1220,14)))</f>
        <v>0</v>
      </c>
    </row>
    <row r="1216" spans="1:10" ht="28" customHeight="1" x14ac:dyDescent="0.2">
      <c r="A1216" s="35">
        <f ca="1">INDIRECT(_xlfn.TEXTJOIN("",TRUE,A1223,"!",ADDRESS(22+(A1224-1)*A1220,1)))</f>
        <v>0</v>
      </c>
      <c r="B1216" s="36"/>
      <c r="C1216" s="37">
        <f ca="1">INDIRECT(_xlfn.TEXTJOIN("",TRUE,A1223,"!",ADDRESS(22+(A1224-1)*A1220,2)))</f>
        <v>0</v>
      </c>
      <c r="D1216" s="38"/>
      <c r="E1216" s="38"/>
      <c r="F1216" s="38"/>
      <c r="G1216" s="39"/>
      <c r="H1216" s="20">
        <f ca="1">INDIRECT(_xlfn.TEXTJOIN("",TRUE,A1223,"!",ADDRESS(22+(A1224-1)*A1220,6)))</f>
        <v>0</v>
      </c>
      <c r="I1216" s="20">
        <f ca="1">INDIRECT(_xlfn.TEXTJOIN("",TRUE,A1223,"!",ADDRESS(22+(A1224-1)*A1220,13)))</f>
        <v>0</v>
      </c>
      <c r="J1216" s="20">
        <f ca="1">INDIRECT(_xlfn.TEXTJOIN("",TRUE,A1223,"!",ADDRESS(22+(A1224-1)*A1220,14)))</f>
        <v>0</v>
      </c>
    </row>
    <row r="1217" spans="1:10" ht="28" customHeight="1" x14ac:dyDescent="0.2">
      <c r="A1217" s="35">
        <f ca="1">INDIRECT(_xlfn.TEXTJOIN("",TRUE,A1223,"!",ADDRESS(23+(A1224-1)*A1220,1)))</f>
        <v>0</v>
      </c>
      <c r="B1217" s="36"/>
      <c r="C1217" s="37">
        <f ca="1">INDIRECT(_xlfn.TEXTJOIN("",TRUE,A1223,"!",ADDRESS(23+(A1224-1)*A1220,2)))</f>
        <v>0</v>
      </c>
      <c r="D1217" s="38"/>
      <c r="E1217" s="38"/>
      <c r="F1217" s="38"/>
      <c r="G1217" s="39"/>
      <c r="H1217" s="20">
        <f ca="1">INDIRECT(_xlfn.TEXTJOIN("",TRUE,A1223,"!",ADDRESS(23+(A1224-1)*A1220,6)))</f>
        <v>0</v>
      </c>
      <c r="I1217" s="20">
        <f ca="1">INDIRECT(_xlfn.TEXTJOIN("",TRUE,A1223,"!",ADDRESS(23+(A1224-1)*A1220,13)))</f>
        <v>0</v>
      </c>
      <c r="J1217" s="20">
        <f ca="1">INDIRECT(_xlfn.TEXTJOIN("",TRUE,A1223,"!",ADDRESS(23+(A1224-1)*A1220,14)))</f>
        <v>0</v>
      </c>
    </row>
    <row r="1218" spans="1:10" ht="28" customHeight="1" x14ac:dyDescent="0.2">
      <c r="A1218" s="35">
        <f ca="1">INDIRECT(_xlfn.TEXTJOIN("",TRUE,A1223,"!",ADDRESS(24+(A1224-1)*A1220,1)))</f>
        <v>0</v>
      </c>
      <c r="B1218" s="36"/>
      <c r="C1218" s="37">
        <f ca="1">INDIRECT(_xlfn.TEXTJOIN("",TRUE,A1223,"!",ADDRESS(24+(A1224-1)*A1220,2)))</f>
        <v>0</v>
      </c>
      <c r="D1218" s="38"/>
      <c r="E1218" s="38"/>
      <c r="F1218" s="38"/>
      <c r="G1218" s="39"/>
      <c r="H1218" s="20">
        <f ca="1">INDIRECT(_xlfn.TEXTJOIN("",TRUE,A1223,"!",ADDRESS(24+(A1224-1)*A1220,6)))</f>
        <v>0</v>
      </c>
      <c r="I1218" s="40">
        <f ca="1">INDIRECT(_xlfn.TEXTJOIN("",TRUE,A1223,"!",ADDRESS(24+(A1224-1)*A1220,13)))</f>
        <v>0</v>
      </c>
      <c r="J1218" s="41"/>
    </row>
    <row r="1219" spans="1:10" ht="28" customHeight="1" x14ac:dyDescent="0.2">
      <c r="A1219" s="42" t="s">
        <v>52</v>
      </c>
      <c r="B1219" s="42"/>
      <c r="C1219" s="42"/>
      <c r="D1219" s="42"/>
      <c r="E1219" s="42"/>
      <c r="F1219" s="42"/>
      <c r="G1219" s="42"/>
      <c r="H1219" s="16">
        <f ca="1">SUM(H1207:H1218)</f>
        <v>0</v>
      </c>
      <c r="I1219" s="16" t="s">
        <v>44</v>
      </c>
      <c r="J1219" s="16">
        <f ca="1">SUMPRODUCT(J1207:J1217,H1207:H1217)</f>
        <v>0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43" t="s">
        <v>40</v>
      </c>
      <c r="B1221" s="43"/>
      <c r="C1221" s="21">
        <f ca="1">INDIRECT(_xlfn.TEXTJOIN("",TRUE,A1223,"!",ADDRESS(5+A1224*A1220,12)))</f>
        <v>0</v>
      </c>
      <c r="D1221" s="43" t="s">
        <v>38</v>
      </c>
      <c r="E1221" s="43"/>
      <c r="F1221" s="18">
        <f ca="1">INDIRECT(_xlfn.TEXTJOIN("",TRUE,A1223,"!",ADDRESS(5+A1224*A1220,8)))</f>
        <v>0</v>
      </c>
      <c r="G1221" s="43" t="s">
        <v>39</v>
      </c>
      <c r="H1221" s="43"/>
      <c r="I1221" s="44">
        <f ca="1">INDIRECT(_xlfn.TEXTJOIN("",TRUE,A1223,"!",ADDRESS(5+A1224*A1220,10)))</f>
        <v>0</v>
      </c>
      <c r="J1221" s="44"/>
    </row>
    <row r="1222" spans="1:10" ht="28" customHeight="1" x14ac:dyDescent="0.2">
      <c r="A1222" s="19" t="s">
        <v>36</v>
      </c>
      <c r="B1222" s="45">
        <f ca="1">INDIRECT(_xlfn.TEXTJOIN("",TRUE,A1223,"!",ADDRESS(5+A1224*A1220,2)))</f>
        <v>0</v>
      </c>
      <c r="C1222" s="45"/>
      <c r="D1222" s="46" t="s">
        <v>37</v>
      </c>
      <c r="E1222" s="46"/>
      <c r="F1222" s="47">
        <f ca="1">INDIRECT(_xlfn.TEXTJOIN("",TRUE,A1223,"!",ADDRESS(5+A1224*A1220,5)))</f>
        <v>0</v>
      </c>
      <c r="G1222" s="47"/>
      <c r="H1222" s="47"/>
      <c r="I1222" s="47"/>
      <c r="J1222" s="47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48" t="s">
        <v>24</v>
      </c>
      <c r="B1225" s="48"/>
      <c r="C1225" s="48">
        <f ca="1">INDIRECT(_xlfn.TEXTJOIN("",TRUE,A1244,"!",ADDRESS(9+(A1245-1)*A1241,2)))</f>
        <v>0</v>
      </c>
      <c r="D1225" s="48"/>
      <c r="E1225" s="48"/>
      <c r="F1225" s="48" t="s">
        <v>50</v>
      </c>
      <c r="G1225" s="48"/>
      <c r="H1225" s="48"/>
      <c r="I1225" s="49">
        <f ca="1">INDIRECT(_xlfn.TEXTJOIN("",TRUE,A1244,"!",ADDRESS(9+(A1245-1)*A1241,9)))</f>
        <v>0</v>
      </c>
      <c r="J1225" s="49"/>
    </row>
    <row r="1226" spans="1:10" ht="28" customHeight="1" x14ac:dyDescent="0.2">
      <c r="A1226" s="48" t="s">
        <v>25</v>
      </c>
      <c r="B1226" s="48"/>
      <c r="C1226" s="48">
        <f ca="1">INDIRECT(_xlfn.TEXTJOIN("",TRUE,A1244,"!",ADDRESS(9+(A1245-1)*A1241,5)))</f>
        <v>0</v>
      </c>
      <c r="D1226" s="48"/>
      <c r="E1226" s="48"/>
      <c r="F1226" s="50" t="s">
        <v>51</v>
      </c>
      <c r="G1226" s="50"/>
      <c r="H1226" s="50"/>
      <c r="I1226" s="49">
        <f ca="1">INDIRECT(_xlfn.TEXTJOIN("",TRUE,A1244,"!",ADDRESS(9+(A1245-1)*A1241,13)))</f>
        <v>0</v>
      </c>
      <c r="J1226" s="49"/>
    </row>
    <row r="1227" spans="1:10" ht="28" customHeight="1" x14ac:dyDescent="0.2">
      <c r="A1227" s="45" t="s">
        <v>28</v>
      </c>
      <c r="B1227" s="45"/>
      <c r="C1227" s="45" t="s">
        <v>29</v>
      </c>
      <c r="D1227" s="45"/>
      <c r="E1227" s="45"/>
      <c r="F1227" s="45"/>
      <c r="G1227" s="45"/>
      <c r="H1227" s="15" t="s">
        <v>30</v>
      </c>
      <c r="I1227" s="15" t="s">
        <v>10</v>
      </c>
      <c r="J1227" s="15" t="s">
        <v>34</v>
      </c>
    </row>
    <row r="1228" spans="1:10" ht="28" customHeight="1" x14ac:dyDescent="0.2">
      <c r="A1228" s="35">
        <f ca="1">INDIRECT(_xlfn.TEXTJOIN("",TRUE,A1244,"!",ADDRESS(13+(A1245-1)*A1241,1)))</f>
        <v>0</v>
      </c>
      <c r="B1228" s="36"/>
      <c r="C1228" s="37">
        <f ca="1">INDIRECT(_xlfn.TEXTJOIN("",TRUE,A1244,"!",ADDRESS(13+(A1245-1)*A1241,2)))</f>
        <v>0</v>
      </c>
      <c r="D1228" s="38"/>
      <c r="E1228" s="38"/>
      <c r="F1228" s="38"/>
      <c r="G1228" s="39"/>
      <c r="H1228" s="20">
        <f ca="1">INDIRECT(_xlfn.TEXTJOIN("",TRUE,A1244,"!",ADDRESS(13+(A1245-1)*A1241,6)))</f>
        <v>0</v>
      </c>
      <c r="I1228" s="20">
        <f ca="1">INDIRECT(_xlfn.TEXTJOIN("",TRUE,A1244,"!",ADDRESS(13+(A1245-1)*A1241,13)))</f>
        <v>0</v>
      </c>
      <c r="J1228" s="20">
        <f ca="1">INDIRECT(_xlfn.TEXTJOIN("",TRUE,A1244,"!",ADDRESS(13+(A1245-1)*A1241,14)))</f>
        <v>0</v>
      </c>
    </row>
    <row r="1229" spans="1:10" ht="28" customHeight="1" x14ac:dyDescent="0.2">
      <c r="A1229" s="35">
        <f ca="1">INDIRECT(_xlfn.TEXTJOIN("",TRUE,A1244,"!",ADDRESS(14+(A1245-1)*A1241,1)))</f>
        <v>0</v>
      </c>
      <c r="B1229" s="36"/>
      <c r="C1229" s="37">
        <f ca="1">INDIRECT(_xlfn.TEXTJOIN("",TRUE,A1244,"!",ADDRESS(14+(A1245-1)*A1241,2)))</f>
        <v>0</v>
      </c>
      <c r="D1229" s="38"/>
      <c r="E1229" s="38"/>
      <c r="F1229" s="38"/>
      <c r="G1229" s="39"/>
      <c r="H1229" s="20">
        <f ca="1">INDIRECT(_xlfn.TEXTJOIN("",TRUE,A1244,"!",ADDRESS(14+(A1245-1)*A1241,6)))</f>
        <v>0</v>
      </c>
      <c r="I1229" s="20">
        <f ca="1">INDIRECT(_xlfn.TEXTJOIN("",TRUE,A1244,"!",ADDRESS(14+(A1245-1)*A1241,13)))</f>
        <v>0</v>
      </c>
      <c r="J1229" s="20">
        <f ca="1">INDIRECT(_xlfn.TEXTJOIN("",TRUE,A1244,"!",ADDRESS(14+(A1245-1)*A1241,14)))</f>
        <v>0</v>
      </c>
    </row>
    <row r="1230" spans="1:10" ht="28" customHeight="1" x14ac:dyDescent="0.2">
      <c r="A1230" s="35">
        <f ca="1">INDIRECT(_xlfn.TEXTJOIN("",TRUE,A1244,"!",ADDRESS(15+(A1245-1)*A1241,1)))</f>
        <v>0</v>
      </c>
      <c r="B1230" s="36"/>
      <c r="C1230" s="37">
        <f ca="1">INDIRECT(_xlfn.TEXTJOIN("",TRUE,A1244,"!",ADDRESS(15+(A1245-1)*A1241,2)))</f>
        <v>0</v>
      </c>
      <c r="D1230" s="38"/>
      <c r="E1230" s="38"/>
      <c r="F1230" s="38"/>
      <c r="G1230" s="39"/>
      <c r="H1230" s="20">
        <f ca="1">INDIRECT(_xlfn.TEXTJOIN("",TRUE,A1244,"!",ADDRESS(15+(A1245-1)*A1241,6)))</f>
        <v>0</v>
      </c>
      <c r="I1230" s="20">
        <f ca="1">INDIRECT(_xlfn.TEXTJOIN("",TRUE,A1244,"!",ADDRESS(15+(A1245-1)*A1241,13)))</f>
        <v>0</v>
      </c>
      <c r="J1230" s="20">
        <f ca="1">INDIRECT(_xlfn.TEXTJOIN("",TRUE,A1244,"!",ADDRESS(15+(A1245-1)*A1241,14)))</f>
        <v>0</v>
      </c>
    </row>
    <row r="1231" spans="1:10" ht="28" customHeight="1" x14ac:dyDescent="0.2">
      <c r="A1231" s="35">
        <f ca="1">INDIRECT(_xlfn.TEXTJOIN("",TRUE,A1244,"!",ADDRESS(16+(A1245-1)*A1241,1)))</f>
        <v>0</v>
      </c>
      <c r="B1231" s="36"/>
      <c r="C1231" s="37">
        <f ca="1">INDIRECT(_xlfn.TEXTJOIN("",TRUE,A1244,"!",ADDRESS(16+(A1245-1)*A1241,2)))</f>
        <v>0</v>
      </c>
      <c r="D1231" s="38"/>
      <c r="E1231" s="38"/>
      <c r="F1231" s="38"/>
      <c r="G1231" s="39"/>
      <c r="H1231" s="20">
        <f ca="1">INDIRECT(_xlfn.TEXTJOIN("",TRUE,A1244,"!",ADDRESS(16+(A1245-1)*A1241,6)))</f>
        <v>0</v>
      </c>
      <c r="I1231" s="20">
        <f ca="1">INDIRECT(_xlfn.TEXTJOIN("",TRUE,A1244,"!",ADDRESS(16+(A1245-1)*A1241,13)))</f>
        <v>0</v>
      </c>
      <c r="J1231" s="20">
        <f ca="1">INDIRECT(_xlfn.TEXTJOIN("",TRUE,A1244,"!",ADDRESS(16+(A1245-1)*A1241,14)))</f>
        <v>0</v>
      </c>
    </row>
    <row r="1232" spans="1:10" ht="28" customHeight="1" x14ac:dyDescent="0.2">
      <c r="A1232" s="35">
        <f ca="1">INDIRECT(_xlfn.TEXTJOIN("",TRUE,A1244,"!",ADDRESS(17+(A1245-1)*A1241,1)))</f>
        <v>0</v>
      </c>
      <c r="B1232" s="36"/>
      <c r="C1232" s="37">
        <f ca="1">INDIRECT(_xlfn.TEXTJOIN("",TRUE,A1244,"!",ADDRESS(17+(A1245-1)*A1241,2)))</f>
        <v>0</v>
      </c>
      <c r="D1232" s="38"/>
      <c r="E1232" s="38"/>
      <c r="F1232" s="38"/>
      <c r="G1232" s="39"/>
      <c r="H1232" s="20">
        <f ca="1">INDIRECT(_xlfn.TEXTJOIN("",TRUE,A1244,"!",ADDRESS(17+(A1245-1)*A1241,6)))</f>
        <v>0</v>
      </c>
      <c r="I1232" s="20">
        <f ca="1">INDIRECT(_xlfn.TEXTJOIN("",TRUE,A1244,"!",ADDRESS(17+(A1245-1)*A1241,13)))</f>
        <v>0</v>
      </c>
      <c r="J1232" s="20">
        <f ca="1">INDIRECT(_xlfn.TEXTJOIN("",TRUE,A1244,"!",ADDRESS(17+(A1245-1)*A1241,14)))</f>
        <v>0</v>
      </c>
    </row>
    <row r="1233" spans="1:10" ht="28" customHeight="1" x14ac:dyDescent="0.2">
      <c r="A1233" s="35">
        <f ca="1">INDIRECT(_xlfn.TEXTJOIN("",TRUE,A1244,"!",ADDRESS(18+(A1245-1)*A1241,1)))</f>
        <v>0</v>
      </c>
      <c r="B1233" s="36"/>
      <c r="C1233" s="37">
        <f ca="1">INDIRECT(_xlfn.TEXTJOIN("",TRUE,A1244,"!",ADDRESS(18+(A1245-1)*A1241,2)))</f>
        <v>0</v>
      </c>
      <c r="D1233" s="38"/>
      <c r="E1233" s="38"/>
      <c r="F1233" s="38"/>
      <c r="G1233" s="39"/>
      <c r="H1233" s="20">
        <f ca="1">INDIRECT(_xlfn.TEXTJOIN("",TRUE,A1244,"!",ADDRESS(18+(A1245-1)*A1241,6)))</f>
        <v>0</v>
      </c>
      <c r="I1233" s="20">
        <f ca="1">INDIRECT(_xlfn.TEXTJOIN("",TRUE,A1244,"!",ADDRESS(18+(A1245-1)*A1241,13)))</f>
        <v>0</v>
      </c>
      <c r="J1233" s="20">
        <f ca="1">INDIRECT(_xlfn.TEXTJOIN("",TRUE,A1244,"!",ADDRESS(18+(A1245-1)*A1241,14)))</f>
        <v>0</v>
      </c>
    </row>
    <row r="1234" spans="1:10" ht="28" customHeight="1" x14ac:dyDescent="0.2">
      <c r="A1234" s="35">
        <f ca="1">INDIRECT(_xlfn.TEXTJOIN("",TRUE,A1244,"!",ADDRESS(19+(A1245-1)*A1241,1)))</f>
        <v>0</v>
      </c>
      <c r="B1234" s="36"/>
      <c r="C1234" s="37">
        <f ca="1">INDIRECT(_xlfn.TEXTJOIN("",TRUE,A1244,"!",ADDRESS(19+(A1245-1)*A1241,2)))</f>
        <v>0</v>
      </c>
      <c r="D1234" s="38"/>
      <c r="E1234" s="38"/>
      <c r="F1234" s="38"/>
      <c r="G1234" s="39"/>
      <c r="H1234" s="20">
        <f ca="1">INDIRECT(_xlfn.TEXTJOIN("",TRUE,A1244,"!",ADDRESS(19+(A1245-1)*A1241,6)))</f>
        <v>0</v>
      </c>
      <c r="I1234" s="20">
        <f ca="1">INDIRECT(_xlfn.TEXTJOIN("",TRUE,A1244,"!",ADDRESS(19+(A1245-1)*A1241,13)))</f>
        <v>0</v>
      </c>
      <c r="J1234" s="20">
        <f ca="1">INDIRECT(_xlfn.TEXTJOIN("",TRUE,A1244,"!",ADDRESS(19+(A1245-1)*A1241,14)))</f>
        <v>0</v>
      </c>
    </row>
    <row r="1235" spans="1:10" ht="28" customHeight="1" x14ac:dyDescent="0.2">
      <c r="A1235" s="35">
        <f ca="1">INDIRECT(_xlfn.TEXTJOIN("",TRUE,A1244,"!",ADDRESS(20+(A1245-1)*A1241,1)))</f>
        <v>0</v>
      </c>
      <c r="B1235" s="36"/>
      <c r="C1235" s="37">
        <f ca="1">INDIRECT(_xlfn.TEXTJOIN("",TRUE,A1244,"!",ADDRESS(20+(A1245-1)*A1241,2)))</f>
        <v>0</v>
      </c>
      <c r="D1235" s="38"/>
      <c r="E1235" s="38"/>
      <c r="F1235" s="38"/>
      <c r="G1235" s="39"/>
      <c r="H1235" s="20">
        <f ca="1">INDIRECT(_xlfn.TEXTJOIN("",TRUE,A1244,"!",ADDRESS(20+(A1245-1)*A1241,6)))</f>
        <v>0</v>
      </c>
      <c r="I1235" s="20">
        <f ca="1">INDIRECT(_xlfn.TEXTJOIN("",TRUE,A1244,"!",ADDRESS(20+(A1245-1)*A1241,13)))</f>
        <v>0</v>
      </c>
      <c r="J1235" s="20">
        <f ca="1">INDIRECT(_xlfn.TEXTJOIN("",TRUE,A1244,"!",ADDRESS(20+(A1245-1)*A1241,14)))</f>
        <v>0</v>
      </c>
    </row>
    <row r="1236" spans="1:10" ht="28" customHeight="1" x14ac:dyDescent="0.2">
      <c r="A1236" s="35">
        <f ca="1">INDIRECT(_xlfn.TEXTJOIN("",TRUE,A1244,"!",ADDRESS(21+(A1245-1)*A1241,1)))</f>
        <v>0</v>
      </c>
      <c r="B1236" s="36"/>
      <c r="C1236" s="37">
        <f ca="1">INDIRECT(_xlfn.TEXTJOIN("",TRUE,A1244,"!",ADDRESS(21+(A1245-1)*A1241,2)))</f>
        <v>0</v>
      </c>
      <c r="D1236" s="38"/>
      <c r="E1236" s="38"/>
      <c r="F1236" s="38"/>
      <c r="G1236" s="39"/>
      <c r="H1236" s="20">
        <f ca="1">INDIRECT(_xlfn.TEXTJOIN("",TRUE,A1244,"!",ADDRESS(21+(A1245-1)*A1241,6)))</f>
        <v>0</v>
      </c>
      <c r="I1236" s="20">
        <f ca="1">INDIRECT(_xlfn.TEXTJOIN("",TRUE,A1244,"!",ADDRESS(21+(A1245-1)*A1241,13)))</f>
        <v>0</v>
      </c>
      <c r="J1236" s="20">
        <f ca="1">INDIRECT(_xlfn.TEXTJOIN("",TRUE,A1244,"!",ADDRESS(21+(A1245-1)*A1241,14)))</f>
        <v>0</v>
      </c>
    </row>
    <row r="1237" spans="1:10" ht="28" customHeight="1" x14ac:dyDescent="0.2">
      <c r="A1237" s="35">
        <f ca="1">INDIRECT(_xlfn.TEXTJOIN("",TRUE,A1244,"!",ADDRESS(22+(A1245-1)*A1241,1)))</f>
        <v>0</v>
      </c>
      <c r="B1237" s="36"/>
      <c r="C1237" s="37">
        <f ca="1">INDIRECT(_xlfn.TEXTJOIN("",TRUE,A1244,"!",ADDRESS(22+(A1245-1)*A1241,2)))</f>
        <v>0</v>
      </c>
      <c r="D1237" s="38"/>
      <c r="E1237" s="38"/>
      <c r="F1237" s="38"/>
      <c r="G1237" s="39"/>
      <c r="H1237" s="20">
        <f ca="1">INDIRECT(_xlfn.TEXTJOIN("",TRUE,A1244,"!",ADDRESS(22+(A1245-1)*A1241,6)))</f>
        <v>0</v>
      </c>
      <c r="I1237" s="20">
        <f ca="1">INDIRECT(_xlfn.TEXTJOIN("",TRUE,A1244,"!",ADDRESS(22+(A1245-1)*A1241,13)))</f>
        <v>0</v>
      </c>
      <c r="J1237" s="20">
        <f ca="1">INDIRECT(_xlfn.TEXTJOIN("",TRUE,A1244,"!",ADDRESS(22+(A1245-1)*A1241,14)))</f>
        <v>0</v>
      </c>
    </row>
    <row r="1238" spans="1:10" ht="28" customHeight="1" x14ac:dyDescent="0.2">
      <c r="A1238" s="35">
        <f ca="1">INDIRECT(_xlfn.TEXTJOIN("",TRUE,A1244,"!",ADDRESS(23+(A1245-1)*A1241,1)))</f>
        <v>0</v>
      </c>
      <c r="B1238" s="36"/>
      <c r="C1238" s="37">
        <f ca="1">INDIRECT(_xlfn.TEXTJOIN("",TRUE,A1244,"!",ADDRESS(23+(A1245-1)*A1241,2)))</f>
        <v>0</v>
      </c>
      <c r="D1238" s="38"/>
      <c r="E1238" s="38"/>
      <c r="F1238" s="38"/>
      <c r="G1238" s="39"/>
      <c r="H1238" s="20">
        <f ca="1">INDIRECT(_xlfn.TEXTJOIN("",TRUE,A1244,"!",ADDRESS(23+(A1245-1)*A1241,6)))</f>
        <v>0</v>
      </c>
      <c r="I1238" s="20">
        <f ca="1">INDIRECT(_xlfn.TEXTJOIN("",TRUE,A1244,"!",ADDRESS(23+(A1245-1)*A1241,13)))</f>
        <v>0</v>
      </c>
      <c r="J1238" s="20">
        <f ca="1">INDIRECT(_xlfn.TEXTJOIN("",TRUE,A1244,"!",ADDRESS(23+(A1245-1)*A1241,14)))</f>
        <v>0</v>
      </c>
    </row>
    <row r="1239" spans="1:10" ht="28" customHeight="1" x14ac:dyDescent="0.2">
      <c r="A1239" s="35">
        <f ca="1">INDIRECT(_xlfn.TEXTJOIN("",TRUE,A1244,"!",ADDRESS(24+(A1245-1)*A1241,1)))</f>
        <v>0</v>
      </c>
      <c r="B1239" s="36"/>
      <c r="C1239" s="37">
        <f ca="1">INDIRECT(_xlfn.TEXTJOIN("",TRUE,A1244,"!",ADDRESS(24+(A1245-1)*A1241,2)))</f>
        <v>0</v>
      </c>
      <c r="D1239" s="38"/>
      <c r="E1239" s="38"/>
      <c r="F1239" s="38"/>
      <c r="G1239" s="39"/>
      <c r="H1239" s="20">
        <f ca="1">INDIRECT(_xlfn.TEXTJOIN("",TRUE,A1244,"!",ADDRESS(24+(A1245-1)*A1241,6)))</f>
        <v>0</v>
      </c>
      <c r="I1239" s="40">
        <f ca="1">INDIRECT(_xlfn.TEXTJOIN("",TRUE,A1244,"!",ADDRESS(24+(A1245-1)*A1241,13)))</f>
        <v>0</v>
      </c>
      <c r="J1239" s="41"/>
    </row>
    <row r="1240" spans="1:10" ht="28" customHeight="1" x14ac:dyDescent="0.2">
      <c r="A1240" s="42" t="s">
        <v>52</v>
      </c>
      <c r="B1240" s="42"/>
      <c r="C1240" s="42"/>
      <c r="D1240" s="42"/>
      <c r="E1240" s="42"/>
      <c r="F1240" s="42"/>
      <c r="G1240" s="42"/>
      <c r="H1240" s="16">
        <f ca="1">SUM(H1228:H1239)</f>
        <v>0</v>
      </c>
      <c r="I1240" s="16" t="s">
        <v>44</v>
      </c>
      <c r="J1240" s="16">
        <f ca="1">SUMPRODUCT(J1228:J1238,H1228:H1238)</f>
        <v>0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43" t="s">
        <v>40</v>
      </c>
      <c r="B1242" s="43"/>
      <c r="C1242" s="21">
        <f ca="1">INDIRECT(_xlfn.TEXTJOIN("",TRUE,A1244,"!",ADDRESS(5+A1245*A1241,12)))</f>
        <v>0</v>
      </c>
      <c r="D1242" s="43" t="s">
        <v>38</v>
      </c>
      <c r="E1242" s="43"/>
      <c r="F1242" s="18">
        <f ca="1">INDIRECT(_xlfn.TEXTJOIN("",TRUE,A1244,"!",ADDRESS(5+A1245*A1241,8)))</f>
        <v>0</v>
      </c>
      <c r="G1242" s="43" t="s">
        <v>39</v>
      </c>
      <c r="H1242" s="43"/>
      <c r="I1242" s="44">
        <f ca="1">INDIRECT(_xlfn.TEXTJOIN("",TRUE,A1244,"!",ADDRESS(5+A1245*A1241,10)))</f>
        <v>0</v>
      </c>
      <c r="J1242" s="44"/>
    </row>
    <row r="1243" spans="1:10" ht="28" customHeight="1" x14ac:dyDescent="0.2">
      <c r="A1243" s="19" t="s">
        <v>36</v>
      </c>
      <c r="B1243" s="45">
        <f ca="1">INDIRECT(_xlfn.TEXTJOIN("",TRUE,A1244,"!",ADDRESS(5+A1245*A1241,2)))</f>
        <v>0</v>
      </c>
      <c r="C1243" s="45"/>
      <c r="D1243" s="46" t="s">
        <v>37</v>
      </c>
      <c r="E1243" s="46"/>
      <c r="F1243" s="47">
        <f ca="1">INDIRECT(_xlfn.TEXTJOIN("",TRUE,A1244,"!",ADDRESS(5+A1245*A1241,5)))</f>
        <v>0</v>
      </c>
      <c r="G1243" s="47"/>
      <c r="H1243" s="47"/>
      <c r="I1243" s="47"/>
      <c r="J1243" s="47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48" t="s">
        <v>24</v>
      </c>
      <c r="B1246" s="48"/>
      <c r="C1246" s="48">
        <f ca="1">INDIRECT(_xlfn.TEXTJOIN("",TRUE,A1265,"!",ADDRESS(9+(A1266-1)*A1262,2)))</f>
        <v>0</v>
      </c>
      <c r="D1246" s="48"/>
      <c r="E1246" s="48"/>
      <c r="F1246" s="48" t="s">
        <v>50</v>
      </c>
      <c r="G1246" s="48"/>
      <c r="H1246" s="48"/>
      <c r="I1246" s="49">
        <f ca="1">INDIRECT(_xlfn.TEXTJOIN("",TRUE,A1265,"!",ADDRESS(9+(A1266-1)*A1262,9)))</f>
        <v>0</v>
      </c>
      <c r="J1246" s="49"/>
    </row>
    <row r="1247" spans="1:10" ht="28" customHeight="1" x14ac:dyDescent="0.2">
      <c r="A1247" s="48" t="s">
        <v>25</v>
      </c>
      <c r="B1247" s="48"/>
      <c r="C1247" s="48">
        <f ca="1">INDIRECT(_xlfn.TEXTJOIN("",TRUE,A1265,"!",ADDRESS(9+(A1266-1)*A1262,5)))</f>
        <v>0</v>
      </c>
      <c r="D1247" s="48"/>
      <c r="E1247" s="48"/>
      <c r="F1247" s="50" t="s">
        <v>51</v>
      </c>
      <c r="G1247" s="50"/>
      <c r="H1247" s="50"/>
      <c r="I1247" s="49">
        <f ca="1">INDIRECT(_xlfn.TEXTJOIN("",TRUE,A1265,"!",ADDRESS(9+(A1266-1)*A1262,13)))</f>
        <v>0</v>
      </c>
      <c r="J1247" s="49"/>
    </row>
    <row r="1248" spans="1:10" ht="28" customHeight="1" x14ac:dyDescent="0.2">
      <c r="A1248" s="45" t="s">
        <v>28</v>
      </c>
      <c r="B1248" s="45"/>
      <c r="C1248" s="45" t="s">
        <v>29</v>
      </c>
      <c r="D1248" s="45"/>
      <c r="E1248" s="45"/>
      <c r="F1248" s="45"/>
      <c r="G1248" s="45"/>
      <c r="H1248" s="15" t="s">
        <v>30</v>
      </c>
      <c r="I1248" s="15" t="s">
        <v>10</v>
      </c>
      <c r="J1248" s="15" t="s">
        <v>34</v>
      </c>
    </row>
    <row r="1249" spans="1:10" ht="28" customHeight="1" x14ac:dyDescent="0.2">
      <c r="A1249" s="35">
        <f ca="1">INDIRECT(_xlfn.TEXTJOIN("",TRUE,A1265,"!",ADDRESS(13+(A1266-1)*A1262,1)))</f>
        <v>0</v>
      </c>
      <c r="B1249" s="36"/>
      <c r="C1249" s="37">
        <f ca="1">INDIRECT(_xlfn.TEXTJOIN("",TRUE,A1265,"!",ADDRESS(13+(A1266-1)*A1262,2)))</f>
        <v>0</v>
      </c>
      <c r="D1249" s="38"/>
      <c r="E1249" s="38"/>
      <c r="F1249" s="38"/>
      <c r="G1249" s="39"/>
      <c r="H1249" s="20">
        <f ca="1">INDIRECT(_xlfn.TEXTJOIN("",TRUE,A1265,"!",ADDRESS(13+(A1266-1)*A1262,6)))</f>
        <v>0</v>
      </c>
      <c r="I1249" s="20">
        <f ca="1">INDIRECT(_xlfn.TEXTJOIN("",TRUE,A1265,"!",ADDRESS(13+(A1266-1)*A1262,13)))</f>
        <v>0</v>
      </c>
      <c r="J1249" s="20">
        <f ca="1">INDIRECT(_xlfn.TEXTJOIN("",TRUE,A1265,"!",ADDRESS(13+(A1266-1)*A1262,14)))</f>
        <v>0</v>
      </c>
    </row>
    <row r="1250" spans="1:10" ht="28" customHeight="1" x14ac:dyDescent="0.2">
      <c r="A1250" s="35">
        <f ca="1">INDIRECT(_xlfn.TEXTJOIN("",TRUE,A1265,"!",ADDRESS(14+(A1266-1)*A1262,1)))</f>
        <v>0</v>
      </c>
      <c r="B1250" s="36"/>
      <c r="C1250" s="37">
        <f ca="1">INDIRECT(_xlfn.TEXTJOIN("",TRUE,A1265,"!",ADDRESS(14+(A1266-1)*A1262,2)))</f>
        <v>0</v>
      </c>
      <c r="D1250" s="38"/>
      <c r="E1250" s="38"/>
      <c r="F1250" s="38"/>
      <c r="G1250" s="39"/>
      <c r="H1250" s="20">
        <f ca="1">INDIRECT(_xlfn.TEXTJOIN("",TRUE,A1265,"!",ADDRESS(14+(A1266-1)*A1262,6)))</f>
        <v>0</v>
      </c>
      <c r="I1250" s="20">
        <f ca="1">INDIRECT(_xlfn.TEXTJOIN("",TRUE,A1265,"!",ADDRESS(14+(A1266-1)*A1262,13)))</f>
        <v>0</v>
      </c>
      <c r="J1250" s="20">
        <f ca="1">INDIRECT(_xlfn.TEXTJOIN("",TRUE,A1265,"!",ADDRESS(14+(A1266-1)*A1262,14)))</f>
        <v>0</v>
      </c>
    </row>
    <row r="1251" spans="1:10" ht="28" customHeight="1" x14ac:dyDescent="0.2">
      <c r="A1251" s="35">
        <f ca="1">INDIRECT(_xlfn.TEXTJOIN("",TRUE,A1265,"!",ADDRESS(15+(A1266-1)*A1262,1)))</f>
        <v>0</v>
      </c>
      <c r="B1251" s="36"/>
      <c r="C1251" s="37">
        <f ca="1">INDIRECT(_xlfn.TEXTJOIN("",TRUE,A1265,"!",ADDRESS(15+(A1266-1)*A1262,2)))</f>
        <v>0</v>
      </c>
      <c r="D1251" s="38"/>
      <c r="E1251" s="38"/>
      <c r="F1251" s="38"/>
      <c r="G1251" s="39"/>
      <c r="H1251" s="20">
        <f ca="1">INDIRECT(_xlfn.TEXTJOIN("",TRUE,A1265,"!",ADDRESS(15+(A1266-1)*A1262,6)))</f>
        <v>0</v>
      </c>
      <c r="I1251" s="20">
        <f ca="1">INDIRECT(_xlfn.TEXTJOIN("",TRUE,A1265,"!",ADDRESS(15+(A1266-1)*A1262,13)))</f>
        <v>0</v>
      </c>
      <c r="J1251" s="20">
        <f ca="1">INDIRECT(_xlfn.TEXTJOIN("",TRUE,A1265,"!",ADDRESS(15+(A1266-1)*A1262,14)))</f>
        <v>0</v>
      </c>
    </row>
    <row r="1252" spans="1:10" ht="28" customHeight="1" x14ac:dyDescent="0.2">
      <c r="A1252" s="35">
        <f ca="1">INDIRECT(_xlfn.TEXTJOIN("",TRUE,A1265,"!",ADDRESS(16+(A1266-1)*A1262,1)))</f>
        <v>0</v>
      </c>
      <c r="B1252" s="36"/>
      <c r="C1252" s="37">
        <f ca="1">INDIRECT(_xlfn.TEXTJOIN("",TRUE,A1265,"!",ADDRESS(16+(A1266-1)*A1262,2)))</f>
        <v>0</v>
      </c>
      <c r="D1252" s="38"/>
      <c r="E1252" s="38"/>
      <c r="F1252" s="38"/>
      <c r="G1252" s="39"/>
      <c r="H1252" s="20">
        <f ca="1">INDIRECT(_xlfn.TEXTJOIN("",TRUE,A1265,"!",ADDRESS(16+(A1266-1)*A1262,6)))</f>
        <v>0</v>
      </c>
      <c r="I1252" s="20">
        <f ca="1">INDIRECT(_xlfn.TEXTJOIN("",TRUE,A1265,"!",ADDRESS(16+(A1266-1)*A1262,13)))</f>
        <v>0</v>
      </c>
      <c r="J1252" s="20">
        <f ca="1">INDIRECT(_xlfn.TEXTJOIN("",TRUE,A1265,"!",ADDRESS(16+(A1266-1)*A1262,14)))</f>
        <v>0</v>
      </c>
    </row>
    <row r="1253" spans="1:10" ht="28" customHeight="1" x14ac:dyDescent="0.2">
      <c r="A1253" s="35">
        <f ca="1">INDIRECT(_xlfn.TEXTJOIN("",TRUE,A1265,"!",ADDRESS(17+(A1266-1)*A1262,1)))</f>
        <v>0</v>
      </c>
      <c r="B1253" s="36"/>
      <c r="C1253" s="37">
        <f ca="1">INDIRECT(_xlfn.TEXTJOIN("",TRUE,A1265,"!",ADDRESS(17+(A1266-1)*A1262,2)))</f>
        <v>0</v>
      </c>
      <c r="D1253" s="38"/>
      <c r="E1253" s="38"/>
      <c r="F1253" s="38"/>
      <c r="G1253" s="39"/>
      <c r="H1253" s="20">
        <f ca="1">INDIRECT(_xlfn.TEXTJOIN("",TRUE,A1265,"!",ADDRESS(17+(A1266-1)*A1262,6)))</f>
        <v>0</v>
      </c>
      <c r="I1253" s="20">
        <f ca="1">INDIRECT(_xlfn.TEXTJOIN("",TRUE,A1265,"!",ADDRESS(17+(A1266-1)*A1262,13)))</f>
        <v>0</v>
      </c>
      <c r="J1253" s="20">
        <f ca="1">INDIRECT(_xlfn.TEXTJOIN("",TRUE,A1265,"!",ADDRESS(17+(A1266-1)*A1262,14)))</f>
        <v>0</v>
      </c>
    </row>
    <row r="1254" spans="1:10" ht="28" customHeight="1" x14ac:dyDescent="0.2">
      <c r="A1254" s="35">
        <f ca="1">INDIRECT(_xlfn.TEXTJOIN("",TRUE,A1265,"!",ADDRESS(18+(A1266-1)*A1262,1)))</f>
        <v>0</v>
      </c>
      <c r="B1254" s="36"/>
      <c r="C1254" s="37">
        <f ca="1">INDIRECT(_xlfn.TEXTJOIN("",TRUE,A1265,"!",ADDRESS(18+(A1266-1)*A1262,2)))</f>
        <v>0</v>
      </c>
      <c r="D1254" s="38"/>
      <c r="E1254" s="38"/>
      <c r="F1254" s="38"/>
      <c r="G1254" s="39"/>
      <c r="H1254" s="20">
        <f ca="1">INDIRECT(_xlfn.TEXTJOIN("",TRUE,A1265,"!",ADDRESS(18+(A1266-1)*A1262,6)))</f>
        <v>0</v>
      </c>
      <c r="I1254" s="20">
        <f ca="1">INDIRECT(_xlfn.TEXTJOIN("",TRUE,A1265,"!",ADDRESS(18+(A1266-1)*A1262,13)))</f>
        <v>0</v>
      </c>
      <c r="J1254" s="20">
        <f ca="1">INDIRECT(_xlfn.TEXTJOIN("",TRUE,A1265,"!",ADDRESS(18+(A1266-1)*A1262,14)))</f>
        <v>0</v>
      </c>
    </row>
    <row r="1255" spans="1:10" ht="28" customHeight="1" x14ac:dyDescent="0.2">
      <c r="A1255" s="35">
        <f ca="1">INDIRECT(_xlfn.TEXTJOIN("",TRUE,A1265,"!",ADDRESS(19+(A1266-1)*A1262,1)))</f>
        <v>0</v>
      </c>
      <c r="B1255" s="36"/>
      <c r="C1255" s="37">
        <f ca="1">INDIRECT(_xlfn.TEXTJOIN("",TRUE,A1265,"!",ADDRESS(19+(A1266-1)*A1262,2)))</f>
        <v>0</v>
      </c>
      <c r="D1255" s="38"/>
      <c r="E1255" s="38"/>
      <c r="F1255" s="38"/>
      <c r="G1255" s="39"/>
      <c r="H1255" s="20">
        <f ca="1">INDIRECT(_xlfn.TEXTJOIN("",TRUE,A1265,"!",ADDRESS(19+(A1266-1)*A1262,6)))</f>
        <v>0</v>
      </c>
      <c r="I1255" s="20">
        <f ca="1">INDIRECT(_xlfn.TEXTJOIN("",TRUE,A1265,"!",ADDRESS(19+(A1266-1)*A1262,13)))</f>
        <v>0</v>
      </c>
      <c r="J1255" s="20">
        <f ca="1">INDIRECT(_xlfn.TEXTJOIN("",TRUE,A1265,"!",ADDRESS(19+(A1266-1)*A1262,14)))</f>
        <v>0</v>
      </c>
    </row>
    <row r="1256" spans="1:10" ht="28" customHeight="1" x14ac:dyDescent="0.2">
      <c r="A1256" s="35">
        <f ca="1">INDIRECT(_xlfn.TEXTJOIN("",TRUE,A1265,"!",ADDRESS(20+(A1266-1)*A1262,1)))</f>
        <v>0</v>
      </c>
      <c r="B1256" s="36"/>
      <c r="C1256" s="37">
        <f ca="1">INDIRECT(_xlfn.TEXTJOIN("",TRUE,A1265,"!",ADDRESS(20+(A1266-1)*A1262,2)))</f>
        <v>0</v>
      </c>
      <c r="D1256" s="38"/>
      <c r="E1256" s="38"/>
      <c r="F1256" s="38"/>
      <c r="G1256" s="39"/>
      <c r="H1256" s="20">
        <f ca="1">INDIRECT(_xlfn.TEXTJOIN("",TRUE,A1265,"!",ADDRESS(20+(A1266-1)*A1262,6)))</f>
        <v>0</v>
      </c>
      <c r="I1256" s="20">
        <f ca="1">INDIRECT(_xlfn.TEXTJOIN("",TRUE,A1265,"!",ADDRESS(20+(A1266-1)*A1262,13)))</f>
        <v>0</v>
      </c>
      <c r="J1256" s="20">
        <f ca="1">INDIRECT(_xlfn.TEXTJOIN("",TRUE,A1265,"!",ADDRESS(20+(A1266-1)*A1262,14)))</f>
        <v>0</v>
      </c>
    </row>
    <row r="1257" spans="1:10" ht="28" customHeight="1" x14ac:dyDescent="0.2">
      <c r="A1257" s="35">
        <f ca="1">INDIRECT(_xlfn.TEXTJOIN("",TRUE,A1265,"!",ADDRESS(21+(A1266-1)*A1262,1)))</f>
        <v>0</v>
      </c>
      <c r="B1257" s="36"/>
      <c r="C1257" s="37">
        <f ca="1">INDIRECT(_xlfn.TEXTJOIN("",TRUE,A1265,"!",ADDRESS(21+(A1266-1)*A1262,2)))</f>
        <v>0</v>
      </c>
      <c r="D1257" s="38"/>
      <c r="E1257" s="38"/>
      <c r="F1257" s="38"/>
      <c r="G1257" s="39"/>
      <c r="H1257" s="20">
        <f ca="1">INDIRECT(_xlfn.TEXTJOIN("",TRUE,A1265,"!",ADDRESS(21+(A1266-1)*A1262,6)))</f>
        <v>0</v>
      </c>
      <c r="I1257" s="20">
        <f ca="1">INDIRECT(_xlfn.TEXTJOIN("",TRUE,A1265,"!",ADDRESS(21+(A1266-1)*A1262,13)))</f>
        <v>0</v>
      </c>
      <c r="J1257" s="20">
        <f ca="1">INDIRECT(_xlfn.TEXTJOIN("",TRUE,A1265,"!",ADDRESS(21+(A1266-1)*A1262,14)))</f>
        <v>0</v>
      </c>
    </row>
    <row r="1258" spans="1:10" ht="28" customHeight="1" x14ac:dyDescent="0.2">
      <c r="A1258" s="35">
        <f ca="1">INDIRECT(_xlfn.TEXTJOIN("",TRUE,A1265,"!",ADDRESS(22+(A1266-1)*A1262,1)))</f>
        <v>0</v>
      </c>
      <c r="B1258" s="36"/>
      <c r="C1258" s="37">
        <f ca="1">INDIRECT(_xlfn.TEXTJOIN("",TRUE,A1265,"!",ADDRESS(22+(A1266-1)*A1262,2)))</f>
        <v>0</v>
      </c>
      <c r="D1258" s="38"/>
      <c r="E1258" s="38"/>
      <c r="F1258" s="38"/>
      <c r="G1258" s="39"/>
      <c r="H1258" s="20">
        <f ca="1">INDIRECT(_xlfn.TEXTJOIN("",TRUE,A1265,"!",ADDRESS(22+(A1266-1)*A1262,6)))</f>
        <v>0</v>
      </c>
      <c r="I1258" s="20">
        <f ca="1">INDIRECT(_xlfn.TEXTJOIN("",TRUE,A1265,"!",ADDRESS(22+(A1266-1)*A1262,13)))</f>
        <v>0</v>
      </c>
      <c r="J1258" s="20">
        <f ca="1">INDIRECT(_xlfn.TEXTJOIN("",TRUE,A1265,"!",ADDRESS(22+(A1266-1)*A1262,14)))</f>
        <v>0</v>
      </c>
    </row>
    <row r="1259" spans="1:10" ht="28" customHeight="1" x14ac:dyDescent="0.2">
      <c r="A1259" s="35">
        <f ca="1">INDIRECT(_xlfn.TEXTJOIN("",TRUE,A1265,"!",ADDRESS(23+(A1266-1)*A1262,1)))</f>
        <v>0</v>
      </c>
      <c r="B1259" s="36"/>
      <c r="C1259" s="37">
        <f ca="1">INDIRECT(_xlfn.TEXTJOIN("",TRUE,A1265,"!",ADDRESS(23+(A1266-1)*A1262,2)))</f>
        <v>0</v>
      </c>
      <c r="D1259" s="38"/>
      <c r="E1259" s="38"/>
      <c r="F1259" s="38"/>
      <c r="G1259" s="39"/>
      <c r="H1259" s="20">
        <f ca="1">INDIRECT(_xlfn.TEXTJOIN("",TRUE,A1265,"!",ADDRESS(23+(A1266-1)*A1262,6)))</f>
        <v>0</v>
      </c>
      <c r="I1259" s="20">
        <f ca="1">INDIRECT(_xlfn.TEXTJOIN("",TRUE,A1265,"!",ADDRESS(23+(A1266-1)*A1262,13)))</f>
        <v>0</v>
      </c>
      <c r="J1259" s="20">
        <f ca="1">INDIRECT(_xlfn.TEXTJOIN("",TRUE,A1265,"!",ADDRESS(23+(A1266-1)*A1262,14)))</f>
        <v>0</v>
      </c>
    </row>
    <row r="1260" spans="1:10" ht="28" customHeight="1" x14ac:dyDescent="0.2">
      <c r="A1260" s="35">
        <f ca="1">INDIRECT(_xlfn.TEXTJOIN("",TRUE,A1265,"!",ADDRESS(24+(A1266-1)*A1262,1)))</f>
        <v>0</v>
      </c>
      <c r="B1260" s="36"/>
      <c r="C1260" s="37">
        <f ca="1">INDIRECT(_xlfn.TEXTJOIN("",TRUE,A1265,"!",ADDRESS(24+(A1266-1)*A1262,2)))</f>
        <v>0</v>
      </c>
      <c r="D1260" s="38"/>
      <c r="E1260" s="38"/>
      <c r="F1260" s="38"/>
      <c r="G1260" s="39"/>
      <c r="H1260" s="20">
        <f ca="1">INDIRECT(_xlfn.TEXTJOIN("",TRUE,A1265,"!",ADDRESS(24+(A1266-1)*A1262,6)))</f>
        <v>0</v>
      </c>
      <c r="I1260" s="40">
        <f ca="1">INDIRECT(_xlfn.TEXTJOIN("",TRUE,A1265,"!",ADDRESS(24+(A1266-1)*A1262,13)))</f>
        <v>0</v>
      </c>
      <c r="J1260" s="41"/>
    </row>
    <row r="1261" spans="1:10" ht="28" customHeight="1" x14ac:dyDescent="0.2">
      <c r="A1261" s="42" t="s">
        <v>52</v>
      </c>
      <c r="B1261" s="42"/>
      <c r="C1261" s="42"/>
      <c r="D1261" s="42"/>
      <c r="E1261" s="42"/>
      <c r="F1261" s="42"/>
      <c r="G1261" s="42"/>
      <c r="H1261" s="16">
        <f ca="1">SUM(H1249:H1260)</f>
        <v>0</v>
      </c>
      <c r="I1261" s="16" t="s">
        <v>44</v>
      </c>
      <c r="J1261" s="16">
        <f ca="1">SUMPRODUCT(J1249:J1259,H1249:H1259)</f>
        <v>0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43" t="s">
        <v>40</v>
      </c>
      <c r="B1263" s="43"/>
      <c r="C1263" s="21">
        <f ca="1">INDIRECT(_xlfn.TEXTJOIN("",TRUE,A1265,"!",ADDRESS(5+A1266*A1262,12)))</f>
        <v>0</v>
      </c>
      <c r="D1263" s="43" t="s">
        <v>38</v>
      </c>
      <c r="E1263" s="43"/>
      <c r="F1263" s="18">
        <f ca="1">INDIRECT(_xlfn.TEXTJOIN("",TRUE,A1265,"!",ADDRESS(5+A1266*A1262,8)))</f>
        <v>0</v>
      </c>
      <c r="G1263" s="43" t="s">
        <v>39</v>
      </c>
      <c r="H1263" s="43"/>
      <c r="I1263" s="44">
        <f ca="1">INDIRECT(_xlfn.TEXTJOIN("",TRUE,A1265,"!",ADDRESS(5+A1266*A1262,10)))</f>
        <v>0</v>
      </c>
      <c r="J1263" s="44"/>
    </row>
    <row r="1264" spans="1:10" ht="28" customHeight="1" x14ac:dyDescent="0.2">
      <c r="A1264" s="19" t="s">
        <v>36</v>
      </c>
      <c r="B1264" s="45">
        <f ca="1">INDIRECT(_xlfn.TEXTJOIN("",TRUE,A1265,"!",ADDRESS(5+A1266*A1262,2)))</f>
        <v>0</v>
      </c>
      <c r="C1264" s="45"/>
      <c r="D1264" s="46" t="s">
        <v>37</v>
      </c>
      <c r="E1264" s="46"/>
      <c r="F1264" s="47">
        <f ca="1">INDIRECT(_xlfn.TEXTJOIN("",TRUE,A1265,"!",ADDRESS(5+A1266*A1262,5)))</f>
        <v>0</v>
      </c>
      <c r="G1264" s="47"/>
      <c r="H1264" s="47"/>
      <c r="I1264" s="47"/>
      <c r="J1264" s="47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48" t="s">
        <v>24</v>
      </c>
      <c r="B1267" s="48"/>
      <c r="C1267" s="48">
        <f ca="1">INDIRECT(_xlfn.TEXTJOIN("",TRUE,A1286,"!",ADDRESS(9+(A1287-1)*A1283,2)))</f>
        <v>0</v>
      </c>
      <c r="D1267" s="48"/>
      <c r="E1267" s="48"/>
      <c r="F1267" s="48" t="s">
        <v>50</v>
      </c>
      <c r="G1267" s="48"/>
      <c r="H1267" s="48"/>
      <c r="I1267" s="49">
        <f ca="1">INDIRECT(_xlfn.TEXTJOIN("",TRUE,A1286,"!",ADDRESS(9+(A1287-1)*A1283,9)))</f>
        <v>0</v>
      </c>
      <c r="J1267" s="49"/>
    </row>
    <row r="1268" spans="1:10" ht="28" customHeight="1" x14ac:dyDescent="0.2">
      <c r="A1268" s="48" t="s">
        <v>25</v>
      </c>
      <c r="B1268" s="48"/>
      <c r="C1268" s="48">
        <f ca="1">INDIRECT(_xlfn.TEXTJOIN("",TRUE,A1286,"!",ADDRESS(9+(A1287-1)*A1283,5)))</f>
        <v>0</v>
      </c>
      <c r="D1268" s="48"/>
      <c r="E1268" s="48"/>
      <c r="F1268" s="50" t="s">
        <v>51</v>
      </c>
      <c r="G1268" s="50"/>
      <c r="H1268" s="50"/>
      <c r="I1268" s="49">
        <f ca="1">INDIRECT(_xlfn.TEXTJOIN("",TRUE,A1286,"!",ADDRESS(9+(A1287-1)*A1283,13)))</f>
        <v>0</v>
      </c>
      <c r="J1268" s="49"/>
    </row>
    <row r="1269" spans="1:10" ht="28" customHeight="1" x14ac:dyDescent="0.2">
      <c r="A1269" s="45" t="s">
        <v>28</v>
      </c>
      <c r="B1269" s="45"/>
      <c r="C1269" s="45" t="s">
        <v>29</v>
      </c>
      <c r="D1269" s="45"/>
      <c r="E1269" s="45"/>
      <c r="F1269" s="45"/>
      <c r="G1269" s="45"/>
      <c r="H1269" s="15" t="s">
        <v>30</v>
      </c>
      <c r="I1269" s="15" t="s">
        <v>10</v>
      </c>
      <c r="J1269" s="15" t="s">
        <v>34</v>
      </c>
    </row>
    <row r="1270" spans="1:10" ht="28" customHeight="1" x14ac:dyDescent="0.2">
      <c r="A1270" s="35">
        <f ca="1">INDIRECT(_xlfn.TEXTJOIN("",TRUE,A1286,"!",ADDRESS(13+(A1287-1)*A1283,1)))</f>
        <v>0</v>
      </c>
      <c r="B1270" s="36"/>
      <c r="C1270" s="37">
        <f ca="1">INDIRECT(_xlfn.TEXTJOIN("",TRUE,A1286,"!",ADDRESS(13+(A1287-1)*A1283,2)))</f>
        <v>0</v>
      </c>
      <c r="D1270" s="38"/>
      <c r="E1270" s="38"/>
      <c r="F1270" s="38"/>
      <c r="G1270" s="39"/>
      <c r="H1270" s="20">
        <f ca="1">INDIRECT(_xlfn.TEXTJOIN("",TRUE,A1286,"!",ADDRESS(13+(A1287-1)*A1283,6)))</f>
        <v>0</v>
      </c>
      <c r="I1270" s="20">
        <f ca="1">INDIRECT(_xlfn.TEXTJOIN("",TRUE,A1286,"!",ADDRESS(13+(A1287-1)*A1283,13)))</f>
        <v>0</v>
      </c>
      <c r="J1270" s="20">
        <f ca="1">INDIRECT(_xlfn.TEXTJOIN("",TRUE,A1286,"!",ADDRESS(13+(A1287-1)*A1283,14)))</f>
        <v>0</v>
      </c>
    </row>
    <row r="1271" spans="1:10" ht="28" customHeight="1" x14ac:dyDescent="0.2">
      <c r="A1271" s="35">
        <f ca="1">INDIRECT(_xlfn.TEXTJOIN("",TRUE,A1286,"!",ADDRESS(14+(A1287-1)*A1283,1)))</f>
        <v>0</v>
      </c>
      <c r="B1271" s="36"/>
      <c r="C1271" s="37">
        <f ca="1">INDIRECT(_xlfn.TEXTJOIN("",TRUE,A1286,"!",ADDRESS(14+(A1287-1)*A1283,2)))</f>
        <v>0</v>
      </c>
      <c r="D1271" s="38"/>
      <c r="E1271" s="38"/>
      <c r="F1271" s="38"/>
      <c r="G1271" s="39"/>
      <c r="H1271" s="20">
        <f ca="1">INDIRECT(_xlfn.TEXTJOIN("",TRUE,A1286,"!",ADDRESS(14+(A1287-1)*A1283,6)))</f>
        <v>0</v>
      </c>
      <c r="I1271" s="20">
        <f ca="1">INDIRECT(_xlfn.TEXTJOIN("",TRUE,A1286,"!",ADDRESS(14+(A1287-1)*A1283,13)))</f>
        <v>0</v>
      </c>
      <c r="J1271" s="20">
        <f ca="1">INDIRECT(_xlfn.TEXTJOIN("",TRUE,A1286,"!",ADDRESS(14+(A1287-1)*A1283,14)))</f>
        <v>0</v>
      </c>
    </row>
    <row r="1272" spans="1:10" ht="28" customHeight="1" x14ac:dyDescent="0.2">
      <c r="A1272" s="35">
        <f ca="1">INDIRECT(_xlfn.TEXTJOIN("",TRUE,A1286,"!",ADDRESS(15+(A1287-1)*A1283,1)))</f>
        <v>0</v>
      </c>
      <c r="B1272" s="36"/>
      <c r="C1272" s="37">
        <f ca="1">INDIRECT(_xlfn.TEXTJOIN("",TRUE,A1286,"!",ADDRESS(15+(A1287-1)*A1283,2)))</f>
        <v>0</v>
      </c>
      <c r="D1272" s="38"/>
      <c r="E1272" s="38"/>
      <c r="F1272" s="38"/>
      <c r="G1272" s="39"/>
      <c r="H1272" s="20">
        <f ca="1">INDIRECT(_xlfn.TEXTJOIN("",TRUE,A1286,"!",ADDRESS(15+(A1287-1)*A1283,6)))</f>
        <v>0</v>
      </c>
      <c r="I1272" s="20">
        <f ca="1">INDIRECT(_xlfn.TEXTJOIN("",TRUE,A1286,"!",ADDRESS(15+(A1287-1)*A1283,13)))</f>
        <v>0</v>
      </c>
      <c r="J1272" s="20">
        <f ca="1">INDIRECT(_xlfn.TEXTJOIN("",TRUE,A1286,"!",ADDRESS(15+(A1287-1)*A1283,14)))</f>
        <v>0</v>
      </c>
    </row>
    <row r="1273" spans="1:10" ht="28" customHeight="1" x14ac:dyDescent="0.2">
      <c r="A1273" s="35">
        <f ca="1">INDIRECT(_xlfn.TEXTJOIN("",TRUE,A1286,"!",ADDRESS(16+(A1287-1)*A1283,1)))</f>
        <v>0</v>
      </c>
      <c r="B1273" s="36"/>
      <c r="C1273" s="37">
        <f ca="1">INDIRECT(_xlfn.TEXTJOIN("",TRUE,A1286,"!",ADDRESS(16+(A1287-1)*A1283,2)))</f>
        <v>0</v>
      </c>
      <c r="D1273" s="38"/>
      <c r="E1273" s="38"/>
      <c r="F1273" s="38"/>
      <c r="G1273" s="39"/>
      <c r="H1273" s="20">
        <f ca="1">INDIRECT(_xlfn.TEXTJOIN("",TRUE,A1286,"!",ADDRESS(16+(A1287-1)*A1283,6)))</f>
        <v>0</v>
      </c>
      <c r="I1273" s="20">
        <f ca="1">INDIRECT(_xlfn.TEXTJOIN("",TRUE,A1286,"!",ADDRESS(16+(A1287-1)*A1283,13)))</f>
        <v>0</v>
      </c>
      <c r="J1273" s="20">
        <f ca="1">INDIRECT(_xlfn.TEXTJOIN("",TRUE,A1286,"!",ADDRESS(16+(A1287-1)*A1283,14)))</f>
        <v>0</v>
      </c>
    </row>
    <row r="1274" spans="1:10" ht="28" customHeight="1" x14ac:dyDescent="0.2">
      <c r="A1274" s="35">
        <f ca="1">INDIRECT(_xlfn.TEXTJOIN("",TRUE,A1286,"!",ADDRESS(17+(A1287-1)*A1283,1)))</f>
        <v>0</v>
      </c>
      <c r="B1274" s="36"/>
      <c r="C1274" s="37">
        <f ca="1">INDIRECT(_xlfn.TEXTJOIN("",TRUE,A1286,"!",ADDRESS(17+(A1287-1)*A1283,2)))</f>
        <v>0</v>
      </c>
      <c r="D1274" s="38"/>
      <c r="E1274" s="38"/>
      <c r="F1274" s="38"/>
      <c r="G1274" s="39"/>
      <c r="H1274" s="20">
        <f ca="1">INDIRECT(_xlfn.TEXTJOIN("",TRUE,A1286,"!",ADDRESS(17+(A1287-1)*A1283,6)))</f>
        <v>0</v>
      </c>
      <c r="I1274" s="20">
        <f ca="1">INDIRECT(_xlfn.TEXTJOIN("",TRUE,A1286,"!",ADDRESS(17+(A1287-1)*A1283,13)))</f>
        <v>0</v>
      </c>
      <c r="J1274" s="20">
        <f ca="1">INDIRECT(_xlfn.TEXTJOIN("",TRUE,A1286,"!",ADDRESS(17+(A1287-1)*A1283,14)))</f>
        <v>0</v>
      </c>
    </row>
    <row r="1275" spans="1:10" ht="28" customHeight="1" x14ac:dyDescent="0.2">
      <c r="A1275" s="35">
        <f ca="1">INDIRECT(_xlfn.TEXTJOIN("",TRUE,A1286,"!",ADDRESS(18+(A1287-1)*A1283,1)))</f>
        <v>0</v>
      </c>
      <c r="B1275" s="36"/>
      <c r="C1275" s="37">
        <f ca="1">INDIRECT(_xlfn.TEXTJOIN("",TRUE,A1286,"!",ADDRESS(18+(A1287-1)*A1283,2)))</f>
        <v>0</v>
      </c>
      <c r="D1275" s="38"/>
      <c r="E1275" s="38"/>
      <c r="F1275" s="38"/>
      <c r="G1275" s="39"/>
      <c r="H1275" s="20">
        <f ca="1">INDIRECT(_xlfn.TEXTJOIN("",TRUE,A1286,"!",ADDRESS(18+(A1287-1)*A1283,6)))</f>
        <v>0</v>
      </c>
      <c r="I1275" s="20">
        <f ca="1">INDIRECT(_xlfn.TEXTJOIN("",TRUE,A1286,"!",ADDRESS(18+(A1287-1)*A1283,13)))</f>
        <v>0</v>
      </c>
      <c r="J1275" s="20">
        <f ca="1">INDIRECT(_xlfn.TEXTJOIN("",TRUE,A1286,"!",ADDRESS(18+(A1287-1)*A1283,14)))</f>
        <v>0</v>
      </c>
    </row>
    <row r="1276" spans="1:10" ht="28" customHeight="1" x14ac:dyDescent="0.2">
      <c r="A1276" s="35">
        <f ca="1">INDIRECT(_xlfn.TEXTJOIN("",TRUE,A1286,"!",ADDRESS(19+(A1287-1)*A1283,1)))</f>
        <v>0</v>
      </c>
      <c r="B1276" s="36"/>
      <c r="C1276" s="37">
        <f ca="1">INDIRECT(_xlfn.TEXTJOIN("",TRUE,A1286,"!",ADDRESS(19+(A1287-1)*A1283,2)))</f>
        <v>0</v>
      </c>
      <c r="D1276" s="38"/>
      <c r="E1276" s="38"/>
      <c r="F1276" s="38"/>
      <c r="G1276" s="39"/>
      <c r="H1276" s="20">
        <f ca="1">INDIRECT(_xlfn.TEXTJOIN("",TRUE,A1286,"!",ADDRESS(19+(A1287-1)*A1283,6)))</f>
        <v>0</v>
      </c>
      <c r="I1276" s="20">
        <f ca="1">INDIRECT(_xlfn.TEXTJOIN("",TRUE,A1286,"!",ADDRESS(19+(A1287-1)*A1283,13)))</f>
        <v>0</v>
      </c>
      <c r="J1276" s="20">
        <f ca="1">INDIRECT(_xlfn.TEXTJOIN("",TRUE,A1286,"!",ADDRESS(19+(A1287-1)*A1283,14)))</f>
        <v>0</v>
      </c>
    </row>
    <row r="1277" spans="1:10" ht="28" customHeight="1" x14ac:dyDescent="0.2">
      <c r="A1277" s="35">
        <f ca="1">INDIRECT(_xlfn.TEXTJOIN("",TRUE,A1286,"!",ADDRESS(20+(A1287-1)*A1283,1)))</f>
        <v>0</v>
      </c>
      <c r="B1277" s="36"/>
      <c r="C1277" s="37">
        <f ca="1">INDIRECT(_xlfn.TEXTJOIN("",TRUE,A1286,"!",ADDRESS(20+(A1287-1)*A1283,2)))</f>
        <v>0</v>
      </c>
      <c r="D1277" s="38"/>
      <c r="E1277" s="38"/>
      <c r="F1277" s="38"/>
      <c r="G1277" s="39"/>
      <c r="H1277" s="20">
        <f ca="1">INDIRECT(_xlfn.TEXTJOIN("",TRUE,A1286,"!",ADDRESS(20+(A1287-1)*A1283,6)))</f>
        <v>0</v>
      </c>
      <c r="I1277" s="20">
        <f ca="1">INDIRECT(_xlfn.TEXTJOIN("",TRUE,A1286,"!",ADDRESS(20+(A1287-1)*A1283,13)))</f>
        <v>0</v>
      </c>
      <c r="J1277" s="20">
        <f ca="1">INDIRECT(_xlfn.TEXTJOIN("",TRUE,A1286,"!",ADDRESS(20+(A1287-1)*A1283,14)))</f>
        <v>0</v>
      </c>
    </row>
    <row r="1278" spans="1:10" ht="28" customHeight="1" x14ac:dyDescent="0.2">
      <c r="A1278" s="35">
        <f ca="1">INDIRECT(_xlfn.TEXTJOIN("",TRUE,A1286,"!",ADDRESS(21+(A1287-1)*A1283,1)))</f>
        <v>0</v>
      </c>
      <c r="B1278" s="36"/>
      <c r="C1278" s="37">
        <f ca="1">INDIRECT(_xlfn.TEXTJOIN("",TRUE,A1286,"!",ADDRESS(21+(A1287-1)*A1283,2)))</f>
        <v>0</v>
      </c>
      <c r="D1278" s="38"/>
      <c r="E1278" s="38"/>
      <c r="F1278" s="38"/>
      <c r="G1278" s="39"/>
      <c r="H1278" s="20">
        <f ca="1">INDIRECT(_xlfn.TEXTJOIN("",TRUE,A1286,"!",ADDRESS(21+(A1287-1)*A1283,6)))</f>
        <v>0</v>
      </c>
      <c r="I1278" s="20">
        <f ca="1">INDIRECT(_xlfn.TEXTJOIN("",TRUE,A1286,"!",ADDRESS(21+(A1287-1)*A1283,13)))</f>
        <v>0</v>
      </c>
      <c r="J1278" s="20">
        <f ca="1">INDIRECT(_xlfn.TEXTJOIN("",TRUE,A1286,"!",ADDRESS(21+(A1287-1)*A1283,14)))</f>
        <v>0</v>
      </c>
    </row>
    <row r="1279" spans="1:10" ht="28" customHeight="1" x14ac:dyDescent="0.2">
      <c r="A1279" s="35">
        <f ca="1">INDIRECT(_xlfn.TEXTJOIN("",TRUE,A1286,"!",ADDRESS(22+(A1287-1)*A1283,1)))</f>
        <v>0</v>
      </c>
      <c r="B1279" s="36"/>
      <c r="C1279" s="37">
        <f ca="1">INDIRECT(_xlfn.TEXTJOIN("",TRUE,A1286,"!",ADDRESS(22+(A1287-1)*A1283,2)))</f>
        <v>0</v>
      </c>
      <c r="D1279" s="38"/>
      <c r="E1279" s="38"/>
      <c r="F1279" s="38"/>
      <c r="G1279" s="39"/>
      <c r="H1279" s="20">
        <f ca="1">INDIRECT(_xlfn.TEXTJOIN("",TRUE,A1286,"!",ADDRESS(22+(A1287-1)*A1283,6)))</f>
        <v>0</v>
      </c>
      <c r="I1279" s="20">
        <f ca="1">INDIRECT(_xlfn.TEXTJOIN("",TRUE,A1286,"!",ADDRESS(22+(A1287-1)*A1283,13)))</f>
        <v>0</v>
      </c>
      <c r="J1279" s="20">
        <f ca="1">INDIRECT(_xlfn.TEXTJOIN("",TRUE,A1286,"!",ADDRESS(22+(A1287-1)*A1283,14)))</f>
        <v>0</v>
      </c>
    </row>
    <row r="1280" spans="1:10" ht="28" customHeight="1" x14ac:dyDescent="0.2">
      <c r="A1280" s="35">
        <f ca="1">INDIRECT(_xlfn.TEXTJOIN("",TRUE,A1286,"!",ADDRESS(23+(A1287-1)*A1283,1)))</f>
        <v>0</v>
      </c>
      <c r="B1280" s="36"/>
      <c r="C1280" s="37">
        <f ca="1">INDIRECT(_xlfn.TEXTJOIN("",TRUE,A1286,"!",ADDRESS(23+(A1287-1)*A1283,2)))</f>
        <v>0</v>
      </c>
      <c r="D1280" s="38"/>
      <c r="E1280" s="38"/>
      <c r="F1280" s="38"/>
      <c r="G1280" s="39"/>
      <c r="H1280" s="20">
        <f ca="1">INDIRECT(_xlfn.TEXTJOIN("",TRUE,A1286,"!",ADDRESS(23+(A1287-1)*A1283,6)))</f>
        <v>0</v>
      </c>
      <c r="I1280" s="20">
        <f ca="1">INDIRECT(_xlfn.TEXTJOIN("",TRUE,A1286,"!",ADDRESS(23+(A1287-1)*A1283,13)))</f>
        <v>0</v>
      </c>
      <c r="J1280" s="20">
        <f ca="1">INDIRECT(_xlfn.TEXTJOIN("",TRUE,A1286,"!",ADDRESS(23+(A1287-1)*A1283,14)))</f>
        <v>0</v>
      </c>
    </row>
    <row r="1281" spans="1:10" ht="28" customHeight="1" x14ac:dyDescent="0.2">
      <c r="A1281" s="35">
        <f ca="1">INDIRECT(_xlfn.TEXTJOIN("",TRUE,A1286,"!",ADDRESS(24+(A1287-1)*A1283,1)))</f>
        <v>0</v>
      </c>
      <c r="B1281" s="36"/>
      <c r="C1281" s="37">
        <f ca="1">INDIRECT(_xlfn.TEXTJOIN("",TRUE,A1286,"!",ADDRESS(24+(A1287-1)*A1283,2)))</f>
        <v>0</v>
      </c>
      <c r="D1281" s="38"/>
      <c r="E1281" s="38"/>
      <c r="F1281" s="38"/>
      <c r="G1281" s="39"/>
      <c r="H1281" s="20">
        <f ca="1">INDIRECT(_xlfn.TEXTJOIN("",TRUE,A1286,"!",ADDRESS(24+(A1287-1)*A1283,6)))</f>
        <v>0</v>
      </c>
      <c r="I1281" s="40">
        <f ca="1">INDIRECT(_xlfn.TEXTJOIN("",TRUE,A1286,"!",ADDRESS(24+(A1287-1)*A1283,13)))</f>
        <v>0</v>
      </c>
      <c r="J1281" s="41"/>
    </row>
    <row r="1282" spans="1:10" ht="28" customHeight="1" x14ac:dyDescent="0.2">
      <c r="A1282" s="42" t="s">
        <v>52</v>
      </c>
      <c r="B1282" s="42"/>
      <c r="C1282" s="42"/>
      <c r="D1282" s="42"/>
      <c r="E1282" s="42"/>
      <c r="F1282" s="42"/>
      <c r="G1282" s="42"/>
      <c r="H1282" s="16">
        <f ca="1">SUM(H1270:H1281)</f>
        <v>0</v>
      </c>
      <c r="I1282" s="16" t="s">
        <v>44</v>
      </c>
      <c r="J1282" s="16">
        <f ca="1">SUMPRODUCT(J1270:J1280,H1270:H1280)</f>
        <v>0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43" t="s">
        <v>40</v>
      </c>
      <c r="B1284" s="43"/>
      <c r="C1284" s="21">
        <f ca="1">INDIRECT(_xlfn.TEXTJOIN("",TRUE,A1286,"!",ADDRESS(5+A1287*A1283,12)))</f>
        <v>0</v>
      </c>
      <c r="D1284" s="43" t="s">
        <v>38</v>
      </c>
      <c r="E1284" s="43"/>
      <c r="F1284" s="18">
        <f ca="1">INDIRECT(_xlfn.TEXTJOIN("",TRUE,A1286,"!",ADDRESS(5+A1287*A1283,8)))</f>
        <v>0</v>
      </c>
      <c r="G1284" s="43" t="s">
        <v>39</v>
      </c>
      <c r="H1284" s="43"/>
      <c r="I1284" s="44">
        <f ca="1">INDIRECT(_xlfn.TEXTJOIN("",TRUE,A1286,"!",ADDRESS(5+A1287*A1283,10)))</f>
        <v>0</v>
      </c>
      <c r="J1284" s="44"/>
    </row>
    <row r="1285" spans="1:10" ht="28" customHeight="1" x14ac:dyDescent="0.2">
      <c r="A1285" s="19" t="s">
        <v>36</v>
      </c>
      <c r="B1285" s="45">
        <f ca="1">INDIRECT(_xlfn.TEXTJOIN("",TRUE,A1286,"!",ADDRESS(5+A1287*A1283,2)))</f>
        <v>0</v>
      </c>
      <c r="C1285" s="45"/>
      <c r="D1285" s="46" t="s">
        <v>37</v>
      </c>
      <c r="E1285" s="46"/>
      <c r="F1285" s="47">
        <f ca="1">INDIRECT(_xlfn.TEXTJOIN("",TRUE,A1286,"!",ADDRESS(5+A1287*A1283,5)))</f>
        <v>0</v>
      </c>
      <c r="G1285" s="47"/>
      <c r="H1285" s="47"/>
      <c r="I1285" s="47"/>
      <c r="J1285" s="47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48" t="s">
        <v>24</v>
      </c>
      <c r="B1288" s="48"/>
      <c r="C1288" s="48">
        <f ca="1">INDIRECT(_xlfn.TEXTJOIN("",TRUE,A1307,"!",ADDRESS(9+(A1308-1)*A1304,2)))</f>
        <v>0</v>
      </c>
      <c r="D1288" s="48"/>
      <c r="E1288" s="48"/>
      <c r="F1288" s="48" t="s">
        <v>50</v>
      </c>
      <c r="G1288" s="48"/>
      <c r="H1288" s="48"/>
      <c r="I1288" s="49">
        <f ca="1">INDIRECT(_xlfn.TEXTJOIN("",TRUE,A1307,"!",ADDRESS(9+(A1308-1)*A1304,9)))</f>
        <v>0</v>
      </c>
      <c r="J1288" s="49"/>
    </row>
    <row r="1289" spans="1:10" ht="28" customHeight="1" x14ac:dyDescent="0.2">
      <c r="A1289" s="48" t="s">
        <v>25</v>
      </c>
      <c r="B1289" s="48"/>
      <c r="C1289" s="48">
        <f ca="1">INDIRECT(_xlfn.TEXTJOIN("",TRUE,A1307,"!",ADDRESS(9+(A1308-1)*A1304,5)))</f>
        <v>0</v>
      </c>
      <c r="D1289" s="48"/>
      <c r="E1289" s="48"/>
      <c r="F1289" s="50" t="s">
        <v>51</v>
      </c>
      <c r="G1289" s="50"/>
      <c r="H1289" s="50"/>
      <c r="I1289" s="49">
        <f ca="1">INDIRECT(_xlfn.TEXTJOIN("",TRUE,A1307,"!",ADDRESS(9+(A1308-1)*A1304,13)))</f>
        <v>0</v>
      </c>
      <c r="J1289" s="49"/>
    </row>
    <row r="1290" spans="1:10" ht="28" customHeight="1" x14ac:dyDescent="0.2">
      <c r="A1290" s="45" t="s">
        <v>28</v>
      </c>
      <c r="B1290" s="45"/>
      <c r="C1290" s="45" t="s">
        <v>29</v>
      </c>
      <c r="D1290" s="45"/>
      <c r="E1290" s="45"/>
      <c r="F1290" s="45"/>
      <c r="G1290" s="45"/>
      <c r="H1290" s="15" t="s">
        <v>30</v>
      </c>
      <c r="I1290" s="15" t="s">
        <v>10</v>
      </c>
      <c r="J1290" s="15" t="s">
        <v>34</v>
      </c>
    </row>
    <row r="1291" spans="1:10" ht="28" customHeight="1" x14ac:dyDescent="0.2">
      <c r="A1291" s="35">
        <f ca="1">INDIRECT(_xlfn.TEXTJOIN("",TRUE,A1307,"!",ADDRESS(13+(A1308-1)*A1304,1)))</f>
        <v>0</v>
      </c>
      <c r="B1291" s="36"/>
      <c r="C1291" s="37">
        <f ca="1">INDIRECT(_xlfn.TEXTJOIN("",TRUE,A1307,"!",ADDRESS(13+(A1308-1)*A1304,2)))</f>
        <v>0</v>
      </c>
      <c r="D1291" s="38"/>
      <c r="E1291" s="38"/>
      <c r="F1291" s="38"/>
      <c r="G1291" s="39"/>
      <c r="H1291" s="20">
        <f ca="1">INDIRECT(_xlfn.TEXTJOIN("",TRUE,A1307,"!",ADDRESS(13+(A1308-1)*A1304,6)))</f>
        <v>0</v>
      </c>
      <c r="I1291" s="20">
        <f ca="1">INDIRECT(_xlfn.TEXTJOIN("",TRUE,A1307,"!",ADDRESS(13+(A1308-1)*A1304,13)))</f>
        <v>0</v>
      </c>
      <c r="J1291" s="20">
        <f ca="1">INDIRECT(_xlfn.TEXTJOIN("",TRUE,A1307,"!",ADDRESS(13+(A1308-1)*A1304,14)))</f>
        <v>0</v>
      </c>
    </row>
    <row r="1292" spans="1:10" ht="28" customHeight="1" x14ac:dyDescent="0.2">
      <c r="A1292" s="35">
        <f ca="1">INDIRECT(_xlfn.TEXTJOIN("",TRUE,A1307,"!",ADDRESS(14+(A1308-1)*A1304,1)))</f>
        <v>0</v>
      </c>
      <c r="B1292" s="36"/>
      <c r="C1292" s="37">
        <f ca="1">INDIRECT(_xlfn.TEXTJOIN("",TRUE,A1307,"!",ADDRESS(14+(A1308-1)*A1304,2)))</f>
        <v>0</v>
      </c>
      <c r="D1292" s="38"/>
      <c r="E1292" s="38"/>
      <c r="F1292" s="38"/>
      <c r="G1292" s="39"/>
      <c r="H1292" s="20">
        <f ca="1">INDIRECT(_xlfn.TEXTJOIN("",TRUE,A1307,"!",ADDRESS(14+(A1308-1)*A1304,6)))</f>
        <v>0</v>
      </c>
      <c r="I1292" s="20">
        <f ca="1">INDIRECT(_xlfn.TEXTJOIN("",TRUE,A1307,"!",ADDRESS(14+(A1308-1)*A1304,13)))</f>
        <v>0</v>
      </c>
      <c r="J1292" s="20">
        <f ca="1">INDIRECT(_xlfn.TEXTJOIN("",TRUE,A1307,"!",ADDRESS(14+(A1308-1)*A1304,14)))</f>
        <v>0</v>
      </c>
    </row>
    <row r="1293" spans="1:10" ht="28" customHeight="1" x14ac:dyDescent="0.2">
      <c r="A1293" s="35">
        <f ca="1">INDIRECT(_xlfn.TEXTJOIN("",TRUE,A1307,"!",ADDRESS(15+(A1308-1)*A1304,1)))</f>
        <v>0</v>
      </c>
      <c r="B1293" s="36"/>
      <c r="C1293" s="37">
        <f ca="1">INDIRECT(_xlfn.TEXTJOIN("",TRUE,A1307,"!",ADDRESS(15+(A1308-1)*A1304,2)))</f>
        <v>0</v>
      </c>
      <c r="D1293" s="38"/>
      <c r="E1293" s="38"/>
      <c r="F1293" s="38"/>
      <c r="G1293" s="39"/>
      <c r="H1293" s="20">
        <f ca="1">INDIRECT(_xlfn.TEXTJOIN("",TRUE,A1307,"!",ADDRESS(15+(A1308-1)*A1304,6)))</f>
        <v>0</v>
      </c>
      <c r="I1293" s="20">
        <f ca="1">INDIRECT(_xlfn.TEXTJOIN("",TRUE,A1307,"!",ADDRESS(15+(A1308-1)*A1304,13)))</f>
        <v>0</v>
      </c>
      <c r="J1293" s="20">
        <f ca="1">INDIRECT(_xlfn.TEXTJOIN("",TRUE,A1307,"!",ADDRESS(15+(A1308-1)*A1304,14)))</f>
        <v>0</v>
      </c>
    </row>
    <row r="1294" spans="1:10" ht="28" customHeight="1" x14ac:dyDescent="0.2">
      <c r="A1294" s="35">
        <f ca="1">INDIRECT(_xlfn.TEXTJOIN("",TRUE,A1307,"!",ADDRESS(16+(A1308-1)*A1304,1)))</f>
        <v>0</v>
      </c>
      <c r="B1294" s="36"/>
      <c r="C1294" s="37">
        <f ca="1">INDIRECT(_xlfn.TEXTJOIN("",TRUE,A1307,"!",ADDRESS(16+(A1308-1)*A1304,2)))</f>
        <v>0</v>
      </c>
      <c r="D1294" s="38"/>
      <c r="E1294" s="38"/>
      <c r="F1294" s="38"/>
      <c r="G1294" s="39"/>
      <c r="H1294" s="20">
        <f ca="1">INDIRECT(_xlfn.TEXTJOIN("",TRUE,A1307,"!",ADDRESS(16+(A1308-1)*A1304,6)))</f>
        <v>0</v>
      </c>
      <c r="I1294" s="20">
        <f ca="1">INDIRECT(_xlfn.TEXTJOIN("",TRUE,A1307,"!",ADDRESS(16+(A1308-1)*A1304,13)))</f>
        <v>0</v>
      </c>
      <c r="J1294" s="20">
        <f ca="1">INDIRECT(_xlfn.TEXTJOIN("",TRUE,A1307,"!",ADDRESS(16+(A1308-1)*A1304,14)))</f>
        <v>0</v>
      </c>
    </row>
    <row r="1295" spans="1:10" ht="28" customHeight="1" x14ac:dyDescent="0.2">
      <c r="A1295" s="35">
        <f ca="1">INDIRECT(_xlfn.TEXTJOIN("",TRUE,A1307,"!",ADDRESS(17+(A1308-1)*A1304,1)))</f>
        <v>0</v>
      </c>
      <c r="B1295" s="36"/>
      <c r="C1295" s="37">
        <f ca="1">INDIRECT(_xlfn.TEXTJOIN("",TRUE,A1307,"!",ADDRESS(17+(A1308-1)*A1304,2)))</f>
        <v>0</v>
      </c>
      <c r="D1295" s="38"/>
      <c r="E1295" s="38"/>
      <c r="F1295" s="38"/>
      <c r="G1295" s="39"/>
      <c r="H1295" s="20">
        <f ca="1">INDIRECT(_xlfn.TEXTJOIN("",TRUE,A1307,"!",ADDRESS(17+(A1308-1)*A1304,6)))</f>
        <v>0</v>
      </c>
      <c r="I1295" s="20">
        <f ca="1">INDIRECT(_xlfn.TEXTJOIN("",TRUE,A1307,"!",ADDRESS(17+(A1308-1)*A1304,13)))</f>
        <v>0</v>
      </c>
      <c r="J1295" s="20">
        <f ca="1">INDIRECT(_xlfn.TEXTJOIN("",TRUE,A1307,"!",ADDRESS(17+(A1308-1)*A1304,14)))</f>
        <v>0</v>
      </c>
    </row>
    <row r="1296" spans="1:10" ht="28" customHeight="1" x14ac:dyDescent="0.2">
      <c r="A1296" s="35">
        <f ca="1">INDIRECT(_xlfn.TEXTJOIN("",TRUE,A1307,"!",ADDRESS(18+(A1308-1)*A1304,1)))</f>
        <v>0</v>
      </c>
      <c r="B1296" s="36"/>
      <c r="C1296" s="37">
        <f ca="1">INDIRECT(_xlfn.TEXTJOIN("",TRUE,A1307,"!",ADDRESS(18+(A1308-1)*A1304,2)))</f>
        <v>0</v>
      </c>
      <c r="D1296" s="38"/>
      <c r="E1296" s="38"/>
      <c r="F1296" s="38"/>
      <c r="G1296" s="39"/>
      <c r="H1296" s="20">
        <f ca="1">INDIRECT(_xlfn.TEXTJOIN("",TRUE,A1307,"!",ADDRESS(18+(A1308-1)*A1304,6)))</f>
        <v>0</v>
      </c>
      <c r="I1296" s="20">
        <f ca="1">INDIRECT(_xlfn.TEXTJOIN("",TRUE,A1307,"!",ADDRESS(18+(A1308-1)*A1304,13)))</f>
        <v>0</v>
      </c>
      <c r="J1296" s="20">
        <f ca="1">INDIRECT(_xlfn.TEXTJOIN("",TRUE,A1307,"!",ADDRESS(18+(A1308-1)*A1304,14)))</f>
        <v>0</v>
      </c>
    </row>
    <row r="1297" spans="1:10" ht="28" customHeight="1" x14ac:dyDescent="0.2">
      <c r="A1297" s="35">
        <f ca="1">INDIRECT(_xlfn.TEXTJOIN("",TRUE,A1307,"!",ADDRESS(19+(A1308-1)*A1304,1)))</f>
        <v>0</v>
      </c>
      <c r="B1297" s="36"/>
      <c r="C1297" s="37">
        <f ca="1">INDIRECT(_xlfn.TEXTJOIN("",TRUE,A1307,"!",ADDRESS(19+(A1308-1)*A1304,2)))</f>
        <v>0</v>
      </c>
      <c r="D1297" s="38"/>
      <c r="E1297" s="38"/>
      <c r="F1297" s="38"/>
      <c r="G1297" s="39"/>
      <c r="H1297" s="20">
        <f ca="1">INDIRECT(_xlfn.TEXTJOIN("",TRUE,A1307,"!",ADDRESS(19+(A1308-1)*A1304,6)))</f>
        <v>0</v>
      </c>
      <c r="I1297" s="20">
        <f ca="1">INDIRECT(_xlfn.TEXTJOIN("",TRUE,A1307,"!",ADDRESS(19+(A1308-1)*A1304,13)))</f>
        <v>0</v>
      </c>
      <c r="J1297" s="20">
        <f ca="1">INDIRECT(_xlfn.TEXTJOIN("",TRUE,A1307,"!",ADDRESS(19+(A1308-1)*A1304,14)))</f>
        <v>0</v>
      </c>
    </row>
    <row r="1298" spans="1:10" ht="28" customHeight="1" x14ac:dyDescent="0.2">
      <c r="A1298" s="35">
        <f ca="1">INDIRECT(_xlfn.TEXTJOIN("",TRUE,A1307,"!",ADDRESS(20+(A1308-1)*A1304,1)))</f>
        <v>0</v>
      </c>
      <c r="B1298" s="36"/>
      <c r="C1298" s="37">
        <f ca="1">INDIRECT(_xlfn.TEXTJOIN("",TRUE,A1307,"!",ADDRESS(20+(A1308-1)*A1304,2)))</f>
        <v>0</v>
      </c>
      <c r="D1298" s="38"/>
      <c r="E1298" s="38"/>
      <c r="F1298" s="38"/>
      <c r="G1298" s="39"/>
      <c r="H1298" s="20">
        <f ca="1">INDIRECT(_xlfn.TEXTJOIN("",TRUE,A1307,"!",ADDRESS(20+(A1308-1)*A1304,6)))</f>
        <v>0</v>
      </c>
      <c r="I1298" s="20">
        <f ca="1">INDIRECT(_xlfn.TEXTJOIN("",TRUE,A1307,"!",ADDRESS(20+(A1308-1)*A1304,13)))</f>
        <v>0</v>
      </c>
      <c r="J1298" s="20">
        <f ca="1">INDIRECT(_xlfn.TEXTJOIN("",TRUE,A1307,"!",ADDRESS(20+(A1308-1)*A1304,14)))</f>
        <v>0</v>
      </c>
    </row>
    <row r="1299" spans="1:10" ht="28" customHeight="1" x14ac:dyDescent="0.2">
      <c r="A1299" s="35">
        <f ca="1">INDIRECT(_xlfn.TEXTJOIN("",TRUE,A1307,"!",ADDRESS(21+(A1308-1)*A1304,1)))</f>
        <v>0</v>
      </c>
      <c r="B1299" s="36"/>
      <c r="C1299" s="37">
        <f ca="1">INDIRECT(_xlfn.TEXTJOIN("",TRUE,A1307,"!",ADDRESS(21+(A1308-1)*A1304,2)))</f>
        <v>0</v>
      </c>
      <c r="D1299" s="38"/>
      <c r="E1299" s="38"/>
      <c r="F1299" s="38"/>
      <c r="G1299" s="39"/>
      <c r="H1299" s="20">
        <f ca="1">INDIRECT(_xlfn.TEXTJOIN("",TRUE,A1307,"!",ADDRESS(21+(A1308-1)*A1304,6)))</f>
        <v>0</v>
      </c>
      <c r="I1299" s="20">
        <f ca="1">INDIRECT(_xlfn.TEXTJOIN("",TRUE,A1307,"!",ADDRESS(21+(A1308-1)*A1304,13)))</f>
        <v>0</v>
      </c>
      <c r="J1299" s="20">
        <f ca="1">INDIRECT(_xlfn.TEXTJOIN("",TRUE,A1307,"!",ADDRESS(21+(A1308-1)*A1304,14)))</f>
        <v>0</v>
      </c>
    </row>
    <row r="1300" spans="1:10" ht="28" customHeight="1" x14ac:dyDescent="0.2">
      <c r="A1300" s="35">
        <f ca="1">INDIRECT(_xlfn.TEXTJOIN("",TRUE,A1307,"!",ADDRESS(22+(A1308-1)*A1304,1)))</f>
        <v>0</v>
      </c>
      <c r="B1300" s="36"/>
      <c r="C1300" s="37">
        <f ca="1">INDIRECT(_xlfn.TEXTJOIN("",TRUE,A1307,"!",ADDRESS(22+(A1308-1)*A1304,2)))</f>
        <v>0</v>
      </c>
      <c r="D1300" s="38"/>
      <c r="E1300" s="38"/>
      <c r="F1300" s="38"/>
      <c r="G1300" s="39"/>
      <c r="H1300" s="20">
        <f ca="1">INDIRECT(_xlfn.TEXTJOIN("",TRUE,A1307,"!",ADDRESS(22+(A1308-1)*A1304,6)))</f>
        <v>0</v>
      </c>
      <c r="I1300" s="20">
        <f ca="1">INDIRECT(_xlfn.TEXTJOIN("",TRUE,A1307,"!",ADDRESS(22+(A1308-1)*A1304,13)))</f>
        <v>0</v>
      </c>
      <c r="J1300" s="20">
        <f ca="1">INDIRECT(_xlfn.TEXTJOIN("",TRUE,A1307,"!",ADDRESS(22+(A1308-1)*A1304,14)))</f>
        <v>0</v>
      </c>
    </row>
    <row r="1301" spans="1:10" ht="28" customHeight="1" x14ac:dyDescent="0.2">
      <c r="A1301" s="35">
        <f ca="1">INDIRECT(_xlfn.TEXTJOIN("",TRUE,A1307,"!",ADDRESS(23+(A1308-1)*A1304,1)))</f>
        <v>0</v>
      </c>
      <c r="B1301" s="36"/>
      <c r="C1301" s="37">
        <f ca="1">INDIRECT(_xlfn.TEXTJOIN("",TRUE,A1307,"!",ADDRESS(23+(A1308-1)*A1304,2)))</f>
        <v>0</v>
      </c>
      <c r="D1301" s="38"/>
      <c r="E1301" s="38"/>
      <c r="F1301" s="38"/>
      <c r="G1301" s="39"/>
      <c r="H1301" s="20">
        <f ca="1">INDIRECT(_xlfn.TEXTJOIN("",TRUE,A1307,"!",ADDRESS(23+(A1308-1)*A1304,6)))</f>
        <v>0</v>
      </c>
      <c r="I1301" s="20">
        <f ca="1">INDIRECT(_xlfn.TEXTJOIN("",TRUE,A1307,"!",ADDRESS(23+(A1308-1)*A1304,13)))</f>
        <v>0</v>
      </c>
      <c r="J1301" s="20">
        <f ca="1">INDIRECT(_xlfn.TEXTJOIN("",TRUE,A1307,"!",ADDRESS(23+(A1308-1)*A1304,14)))</f>
        <v>0</v>
      </c>
    </row>
    <row r="1302" spans="1:10" ht="28" customHeight="1" x14ac:dyDescent="0.2">
      <c r="A1302" s="35">
        <f ca="1">INDIRECT(_xlfn.TEXTJOIN("",TRUE,A1307,"!",ADDRESS(24+(A1308-1)*A1304,1)))</f>
        <v>0</v>
      </c>
      <c r="B1302" s="36"/>
      <c r="C1302" s="37">
        <f ca="1">INDIRECT(_xlfn.TEXTJOIN("",TRUE,A1307,"!",ADDRESS(24+(A1308-1)*A1304,2)))</f>
        <v>0</v>
      </c>
      <c r="D1302" s="38"/>
      <c r="E1302" s="38"/>
      <c r="F1302" s="38"/>
      <c r="G1302" s="39"/>
      <c r="H1302" s="20">
        <f ca="1">INDIRECT(_xlfn.TEXTJOIN("",TRUE,A1307,"!",ADDRESS(24+(A1308-1)*A1304,6)))</f>
        <v>0</v>
      </c>
      <c r="I1302" s="40">
        <f ca="1">INDIRECT(_xlfn.TEXTJOIN("",TRUE,A1307,"!",ADDRESS(24+(A1308-1)*A1304,13)))</f>
        <v>0</v>
      </c>
      <c r="J1302" s="41"/>
    </row>
    <row r="1303" spans="1:10" ht="28" customHeight="1" x14ac:dyDescent="0.2">
      <c r="A1303" s="42" t="s">
        <v>52</v>
      </c>
      <c r="B1303" s="42"/>
      <c r="C1303" s="42"/>
      <c r="D1303" s="42"/>
      <c r="E1303" s="42"/>
      <c r="F1303" s="42"/>
      <c r="G1303" s="42"/>
      <c r="H1303" s="16">
        <f ca="1">SUM(H1291:H1302)</f>
        <v>0</v>
      </c>
      <c r="I1303" s="16" t="s">
        <v>44</v>
      </c>
      <c r="J1303" s="16">
        <f ca="1">SUMPRODUCT(J1291:J1301,H1291:H1301)</f>
        <v>0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43" t="s">
        <v>40</v>
      </c>
      <c r="B1305" s="43"/>
      <c r="C1305" s="21">
        <f ca="1">INDIRECT(_xlfn.TEXTJOIN("",TRUE,A1307,"!",ADDRESS(5+A1308*A1304,12)))</f>
        <v>0</v>
      </c>
      <c r="D1305" s="43" t="s">
        <v>38</v>
      </c>
      <c r="E1305" s="43"/>
      <c r="F1305" s="18">
        <f ca="1">INDIRECT(_xlfn.TEXTJOIN("",TRUE,A1307,"!",ADDRESS(5+A1308*A1304,8)))</f>
        <v>0</v>
      </c>
      <c r="G1305" s="43" t="s">
        <v>39</v>
      </c>
      <c r="H1305" s="43"/>
      <c r="I1305" s="44">
        <f ca="1">INDIRECT(_xlfn.TEXTJOIN("",TRUE,A1307,"!",ADDRESS(5+A1308*A1304,10)))</f>
        <v>0</v>
      </c>
      <c r="J1305" s="44"/>
    </row>
    <row r="1306" spans="1:10" ht="28" customHeight="1" x14ac:dyDescent="0.2">
      <c r="A1306" s="19" t="s">
        <v>36</v>
      </c>
      <c r="B1306" s="45">
        <f ca="1">INDIRECT(_xlfn.TEXTJOIN("",TRUE,A1307,"!",ADDRESS(5+A1308*A1304,2)))</f>
        <v>0</v>
      </c>
      <c r="C1306" s="45"/>
      <c r="D1306" s="46" t="s">
        <v>37</v>
      </c>
      <c r="E1306" s="46"/>
      <c r="F1306" s="47">
        <f ca="1">INDIRECT(_xlfn.TEXTJOIN("",TRUE,A1307,"!",ADDRESS(5+A1308*A1304,5)))</f>
        <v>0</v>
      </c>
      <c r="G1306" s="47"/>
      <c r="H1306" s="47"/>
      <c r="I1306" s="47"/>
      <c r="J1306" s="47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48" t="s">
        <v>24</v>
      </c>
      <c r="B1309" s="48"/>
      <c r="C1309" s="48">
        <f ca="1">INDIRECT(_xlfn.TEXTJOIN("",TRUE,A1328,"!",ADDRESS(9+(A1329-1)*A1325,2)))</f>
        <v>0</v>
      </c>
      <c r="D1309" s="48"/>
      <c r="E1309" s="48"/>
      <c r="F1309" s="48" t="s">
        <v>50</v>
      </c>
      <c r="G1309" s="48"/>
      <c r="H1309" s="48"/>
      <c r="I1309" s="49">
        <f ca="1">INDIRECT(_xlfn.TEXTJOIN("",TRUE,A1328,"!",ADDRESS(9+(A1329-1)*A1325,9)))</f>
        <v>0</v>
      </c>
      <c r="J1309" s="49"/>
    </row>
    <row r="1310" spans="1:10" ht="28" customHeight="1" x14ac:dyDescent="0.2">
      <c r="A1310" s="48" t="s">
        <v>25</v>
      </c>
      <c r="B1310" s="48"/>
      <c r="C1310" s="48">
        <f ca="1">INDIRECT(_xlfn.TEXTJOIN("",TRUE,A1328,"!",ADDRESS(9+(A1329-1)*A1325,5)))</f>
        <v>0</v>
      </c>
      <c r="D1310" s="48"/>
      <c r="E1310" s="48"/>
      <c r="F1310" s="50" t="s">
        <v>51</v>
      </c>
      <c r="G1310" s="50"/>
      <c r="H1310" s="50"/>
      <c r="I1310" s="49">
        <f ca="1">INDIRECT(_xlfn.TEXTJOIN("",TRUE,A1328,"!",ADDRESS(9+(A1329-1)*A1325,13)))</f>
        <v>0</v>
      </c>
      <c r="J1310" s="49"/>
    </row>
    <row r="1311" spans="1:10" ht="28" customHeight="1" x14ac:dyDescent="0.2">
      <c r="A1311" s="45" t="s">
        <v>28</v>
      </c>
      <c r="B1311" s="45"/>
      <c r="C1311" s="45" t="s">
        <v>29</v>
      </c>
      <c r="D1311" s="45"/>
      <c r="E1311" s="45"/>
      <c r="F1311" s="45"/>
      <c r="G1311" s="45"/>
      <c r="H1311" s="15" t="s">
        <v>30</v>
      </c>
      <c r="I1311" s="15" t="s">
        <v>10</v>
      </c>
      <c r="J1311" s="15" t="s">
        <v>34</v>
      </c>
    </row>
    <row r="1312" spans="1:10" ht="28" customHeight="1" x14ac:dyDescent="0.2">
      <c r="A1312" s="35">
        <f ca="1">INDIRECT(_xlfn.TEXTJOIN("",TRUE,A1328,"!",ADDRESS(13+(A1329-1)*A1325,1)))</f>
        <v>0</v>
      </c>
      <c r="B1312" s="36"/>
      <c r="C1312" s="37">
        <f ca="1">INDIRECT(_xlfn.TEXTJOIN("",TRUE,A1328,"!",ADDRESS(13+(A1329-1)*A1325,2)))</f>
        <v>0</v>
      </c>
      <c r="D1312" s="38"/>
      <c r="E1312" s="38"/>
      <c r="F1312" s="38"/>
      <c r="G1312" s="39"/>
      <c r="H1312" s="20">
        <f ca="1">INDIRECT(_xlfn.TEXTJOIN("",TRUE,A1328,"!",ADDRESS(13+(A1329-1)*A1325,6)))</f>
        <v>0</v>
      </c>
      <c r="I1312" s="20">
        <f ca="1">INDIRECT(_xlfn.TEXTJOIN("",TRUE,A1328,"!",ADDRESS(13+(A1329-1)*A1325,13)))</f>
        <v>0</v>
      </c>
      <c r="J1312" s="20">
        <f ca="1">INDIRECT(_xlfn.TEXTJOIN("",TRUE,A1328,"!",ADDRESS(13+(A1329-1)*A1325,14)))</f>
        <v>0</v>
      </c>
    </row>
    <row r="1313" spans="1:10" ht="28" customHeight="1" x14ac:dyDescent="0.2">
      <c r="A1313" s="35">
        <f ca="1">INDIRECT(_xlfn.TEXTJOIN("",TRUE,A1328,"!",ADDRESS(14+(A1329-1)*A1325,1)))</f>
        <v>0</v>
      </c>
      <c r="B1313" s="36"/>
      <c r="C1313" s="37">
        <f ca="1">INDIRECT(_xlfn.TEXTJOIN("",TRUE,A1328,"!",ADDRESS(14+(A1329-1)*A1325,2)))</f>
        <v>0</v>
      </c>
      <c r="D1313" s="38"/>
      <c r="E1313" s="38"/>
      <c r="F1313" s="38"/>
      <c r="G1313" s="39"/>
      <c r="H1313" s="20">
        <f ca="1">INDIRECT(_xlfn.TEXTJOIN("",TRUE,A1328,"!",ADDRESS(14+(A1329-1)*A1325,6)))</f>
        <v>0</v>
      </c>
      <c r="I1313" s="20">
        <f ca="1">INDIRECT(_xlfn.TEXTJOIN("",TRUE,A1328,"!",ADDRESS(14+(A1329-1)*A1325,13)))</f>
        <v>0</v>
      </c>
      <c r="J1313" s="20">
        <f ca="1">INDIRECT(_xlfn.TEXTJOIN("",TRUE,A1328,"!",ADDRESS(14+(A1329-1)*A1325,14)))</f>
        <v>0</v>
      </c>
    </row>
    <row r="1314" spans="1:10" ht="28" customHeight="1" x14ac:dyDescent="0.2">
      <c r="A1314" s="35">
        <f ca="1">INDIRECT(_xlfn.TEXTJOIN("",TRUE,A1328,"!",ADDRESS(15+(A1329-1)*A1325,1)))</f>
        <v>0</v>
      </c>
      <c r="B1314" s="36"/>
      <c r="C1314" s="37">
        <f ca="1">INDIRECT(_xlfn.TEXTJOIN("",TRUE,A1328,"!",ADDRESS(15+(A1329-1)*A1325,2)))</f>
        <v>0</v>
      </c>
      <c r="D1314" s="38"/>
      <c r="E1314" s="38"/>
      <c r="F1314" s="38"/>
      <c r="G1314" s="39"/>
      <c r="H1314" s="20">
        <f ca="1">INDIRECT(_xlfn.TEXTJOIN("",TRUE,A1328,"!",ADDRESS(15+(A1329-1)*A1325,6)))</f>
        <v>0</v>
      </c>
      <c r="I1314" s="20">
        <f ca="1">INDIRECT(_xlfn.TEXTJOIN("",TRUE,A1328,"!",ADDRESS(15+(A1329-1)*A1325,13)))</f>
        <v>0</v>
      </c>
      <c r="J1314" s="20">
        <f ca="1">INDIRECT(_xlfn.TEXTJOIN("",TRUE,A1328,"!",ADDRESS(15+(A1329-1)*A1325,14)))</f>
        <v>0</v>
      </c>
    </row>
    <row r="1315" spans="1:10" ht="28" customHeight="1" x14ac:dyDescent="0.2">
      <c r="A1315" s="35">
        <f ca="1">INDIRECT(_xlfn.TEXTJOIN("",TRUE,A1328,"!",ADDRESS(16+(A1329-1)*A1325,1)))</f>
        <v>0</v>
      </c>
      <c r="B1315" s="36"/>
      <c r="C1315" s="37">
        <f ca="1">INDIRECT(_xlfn.TEXTJOIN("",TRUE,A1328,"!",ADDRESS(16+(A1329-1)*A1325,2)))</f>
        <v>0</v>
      </c>
      <c r="D1315" s="38"/>
      <c r="E1315" s="38"/>
      <c r="F1315" s="38"/>
      <c r="G1315" s="39"/>
      <c r="H1315" s="20">
        <f ca="1">INDIRECT(_xlfn.TEXTJOIN("",TRUE,A1328,"!",ADDRESS(16+(A1329-1)*A1325,6)))</f>
        <v>0</v>
      </c>
      <c r="I1315" s="20">
        <f ca="1">INDIRECT(_xlfn.TEXTJOIN("",TRUE,A1328,"!",ADDRESS(16+(A1329-1)*A1325,13)))</f>
        <v>0</v>
      </c>
      <c r="J1315" s="20">
        <f ca="1">INDIRECT(_xlfn.TEXTJOIN("",TRUE,A1328,"!",ADDRESS(16+(A1329-1)*A1325,14)))</f>
        <v>0</v>
      </c>
    </row>
    <row r="1316" spans="1:10" ht="28" customHeight="1" x14ac:dyDescent="0.2">
      <c r="A1316" s="35">
        <f ca="1">INDIRECT(_xlfn.TEXTJOIN("",TRUE,A1328,"!",ADDRESS(17+(A1329-1)*A1325,1)))</f>
        <v>0</v>
      </c>
      <c r="B1316" s="36"/>
      <c r="C1316" s="37">
        <f ca="1">INDIRECT(_xlfn.TEXTJOIN("",TRUE,A1328,"!",ADDRESS(17+(A1329-1)*A1325,2)))</f>
        <v>0</v>
      </c>
      <c r="D1316" s="38"/>
      <c r="E1316" s="38"/>
      <c r="F1316" s="38"/>
      <c r="G1316" s="39"/>
      <c r="H1316" s="20">
        <f ca="1">INDIRECT(_xlfn.TEXTJOIN("",TRUE,A1328,"!",ADDRESS(17+(A1329-1)*A1325,6)))</f>
        <v>0</v>
      </c>
      <c r="I1316" s="20">
        <f ca="1">INDIRECT(_xlfn.TEXTJOIN("",TRUE,A1328,"!",ADDRESS(17+(A1329-1)*A1325,13)))</f>
        <v>0</v>
      </c>
      <c r="J1316" s="20">
        <f ca="1">INDIRECT(_xlfn.TEXTJOIN("",TRUE,A1328,"!",ADDRESS(17+(A1329-1)*A1325,14)))</f>
        <v>0</v>
      </c>
    </row>
    <row r="1317" spans="1:10" ht="28" customHeight="1" x14ac:dyDescent="0.2">
      <c r="A1317" s="35">
        <f ca="1">INDIRECT(_xlfn.TEXTJOIN("",TRUE,A1328,"!",ADDRESS(18+(A1329-1)*A1325,1)))</f>
        <v>0</v>
      </c>
      <c r="B1317" s="36"/>
      <c r="C1317" s="37">
        <f ca="1">INDIRECT(_xlfn.TEXTJOIN("",TRUE,A1328,"!",ADDRESS(18+(A1329-1)*A1325,2)))</f>
        <v>0</v>
      </c>
      <c r="D1317" s="38"/>
      <c r="E1317" s="38"/>
      <c r="F1317" s="38"/>
      <c r="G1317" s="39"/>
      <c r="H1317" s="20">
        <f ca="1">INDIRECT(_xlfn.TEXTJOIN("",TRUE,A1328,"!",ADDRESS(18+(A1329-1)*A1325,6)))</f>
        <v>0</v>
      </c>
      <c r="I1317" s="20">
        <f ca="1">INDIRECT(_xlfn.TEXTJOIN("",TRUE,A1328,"!",ADDRESS(18+(A1329-1)*A1325,13)))</f>
        <v>0</v>
      </c>
      <c r="J1317" s="20">
        <f ca="1">INDIRECT(_xlfn.TEXTJOIN("",TRUE,A1328,"!",ADDRESS(18+(A1329-1)*A1325,14)))</f>
        <v>0</v>
      </c>
    </row>
    <row r="1318" spans="1:10" ht="28" customHeight="1" x14ac:dyDescent="0.2">
      <c r="A1318" s="35">
        <f ca="1">INDIRECT(_xlfn.TEXTJOIN("",TRUE,A1328,"!",ADDRESS(19+(A1329-1)*A1325,1)))</f>
        <v>0</v>
      </c>
      <c r="B1318" s="36"/>
      <c r="C1318" s="37">
        <f ca="1">INDIRECT(_xlfn.TEXTJOIN("",TRUE,A1328,"!",ADDRESS(19+(A1329-1)*A1325,2)))</f>
        <v>0</v>
      </c>
      <c r="D1318" s="38"/>
      <c r="E1318" s="38"/>
      <c r="F1318" s="38"/>
      <c r="G1318" s="39"/>
      <c r="H1318" s="20">
        <f ca="1">INDIRECT(_xlfn.TEXTJOIN("",TRUE,A1328,"!",ADDRESS(19+(A1329-1)*A1325,6)))</f>
        <v>0</v>
      </c>
      <c r="I1318" s="20">
        <f ca="1">INDIRECT(_xlfn.TEXTJOIN("",TRUE,A1328,"!",ADDRESS(19+(A1329-1)*A1325,13)))</f>
        <v>0</v>
      </c>
      <c r="J1318" s="20">
        <f ca="1">INDIRECT(_xlfn.TEXTJOIN("",TRUE,A1328,"!",ADDRESS(19+(A1329-1)*A1325,14)))</f>
        <v>0</v>
      </c>
    </row>
    <row r="1319" spans="1:10" ht="28" customHeight="1" x14ac:dyDescent="0.2">
      <c r="A1319" s="35">
        <f ca="1">INDIRECT(_xlfn.TEXTJOIN("",TRUE,A1328,"!",ADDRESS(20+(A1329-1)*A1325,1)))</f>
        <v>0</v>
      </c>
      <c r="B1319" s="36"/>
      <c r="C1319" s="37">
        <f ca="1">INDIRECT(_xlfn.TEXTJOIN("",TRUE,A1328,"!",ADDRESS(20+(A1329-1)*A1325,2)))</f>
        <v>0</v>
      </c>
      <c r="D1319" s="38"/>
      <c r="E1319" s="38"/>
      <c r="F1319" s="38"/>
      <c r="G1319" s="39"/>
      <c r="H1319" s="20">
        <f ca="1">INDIRECT(_xlfn.TEXTJOIN("",TRUE,A1328,"!",ADDRESS(20+(A1329-1)*A1325,6)))</f>
        <v>0</v>
      </c>
      <c r="I1319" s="20">
        <f ca="1">INDIRECT(_xlfn.TEXTJOIN("",TRUE,A1328,"!",ADDRESS(20+(A1329-1)*A1325,13)))</f>
        <v>0</v>
      </c>
      <c r="J1319" s="20">
        <f ca="1">INDIRECT(_xlfn.TEXTJOIN("",TRUE,A1328,"!",ADDRESS(20+(A1329-1)*A1325,14)))</f>
        <v>0</v>
      </c>
    </row>
    <row r="1320" spans="1:10" ht="28" customHeight="1" x14ac:dyDescent="0.2">
      <c r="A1320" s="35">
        <f ca="1">INDIRECT(_xlfn.TEXTJOIN("",TRUE,A1328,"!",ADDRESS(21+(A1329-1)*A1325,1)))</f>
        <v>0</v>
      </c>
      <c r="B1320" s="36"/>
      <c r="C1320" s="37">
        <f ca="1">INDIRECT(_xlfn.TEXTJOIN("",TRUE,A1328,"!",ADDRESS(21+(A1329-1)*A1325,2)))</f>
        <v>0</v>
      </c>
      <c r="D1320" s="38"/>
      <c r="E1320" s="38"/>
      <c r="F1320" s="38"/>
      <c r="G1320" s="39"/>
      <c r="H1320" s="20">
        <f ca="1">INDIRECT(_xlfn.TEXTJOIN("",TRUE,A1328,"!",ADDRESS(21+(A1329-1)*A1325,6)))</f>
        <v>0</v>
      </c>
      <c r="I1320" s="20">
        <f ca="1">INDIRECT(_xlfn.TEXTJOIN("",TRUE,A1328,"!",ADDRESS(21+(A1329-1)*A1325,13)))</f>
        <v>0</v>
      </c>
      <c r="J1320" s="20">
        <f ca="1">INDIRECT(_xlfn.TEXTJOIN("",TRUE,A1328,"!",ADDRESS(21+(A1329-1)*A1325,14)))</f>
        <v>0</v>
      </c>
    </row>
    <row r="1321" spans="1:10" ht="28" customHeight="1" x14ac:dyDescent="0.2">
      <c r="A1321" s="35">
        <f ca="1">INDIRECT(_xlfn.TEXTJOIN("",TRUE,A1328,"!",ADDRESS(22+(A1329-1)*A1325,1)))</f>
        <v>0</v>
      </c>
      <c r="B1321" s="36"/>
      <c r="C1321" s="37">
        <f ca="1">INDIRECT(_xlfn.TEXTJOIN("",TRUE,A1328,"!",ADDRESS(22+(A1329-1)*A1325,2)))</f>
        <v>0</v>
      </c>
      <c r="D1321" s="38"/>
      <c r="E1321" s="38"/>
      <c r="F1321" s="38"/>
      <c r="G1321" s="39"/>
      <c r="H1321" s="20">
        <f ca="1">INDIRECT(_xlfn.TEXTJOIN("",TRUE,A1328,"!",ADDRESS(22+(A1329-1)*A1325,6)))</f>
        <v>0</v>
      </c>
      <c r="I1321" s="20">
        <f ca="1">INDIRECT(_xlfn.TEXTJOIN("",TRUE,A1328,"!",ADDRESS(22+(A1329-1)*A1325,13)))</f>
        <v>0</v>
      </c>
      <c r="J1321" s="20">
        <f ca="1">INDIRECT(_xlfn.TEXTJOIN("",TRUE,A1328,"!",ADDRESS(22+(A1329-1)*A1325,14)))</f>
        <v>0</v>
      </c>
    </row>
    <row r="1322" spans="1:10" ht="28" customHeight="1" x14ac:dyDescent="0.2">
      <c r="A1322" s="35">
        <f ca="1">INDIRECT(_xlfn.TEXTJOIN("",TRUE,A1328,"!",ADDRESS(23+(A1329-1)*A1325,1)))</f>
        <v>0</v>
      </c>
      <c r="B1322" s="36"/>
      <c r="C1322" s="37">
        <f ca="1">INDIRECT(_xlfn.TEXTJOIN("",TRUE,A1328,"!",ADDRESS(23+(A1329-1)*A1325,2)))</f>
        <v>0</v>
      </c>
      <c r="D1322" s="38"/>
      <c r="E1322" s="38"/>
      <c r="F1322" s="38"/>
      <c r="G1322" s="39"/>
      <c r="H1322" s="20">
        <f ca="1">INDIRECT(_xlfn.TEXTJOIN("",TRUE,A1328,"!",ADDRESS(23+(A1329-1)*A1325,6)))</f>
        <v>0</v>
      </c>
      <c r="I1322" s="20">
        <f ca="1">INDIRECT(_xlfn.TEXTJOIN("",TRUE,A1328,"!",ADDRESS(23+(A1329-1)*A1325,13)))</f>
        <v>0</v>
      </c>
      <c r="J1322" s="20">
        <f ca="1">INDIRECT(_xlfn.TEXTJOIN("",TRUE,A1328,"!",ADDRESS(23+(A1329-1)*A1325,14)))</f>
        <v>0</v>
      </c>
    </row>
    <row r="1323" spans="1:10" ht="28" customHeight="1" x14ac:dyDescent="0.2">
      <c r="A1323" s="35">
        <f ca="1">INDIRECT(_xlfn.TEXTJOIN("",TRUE,A1328,"!",ADDRESS(24+(A1329-1)*A1325,1)))</f>
        <v>0</v>
      </c>
      <c r="B1323" s="36"/>
      <c r="C1323" s="37">
        <f ca="1">INDIRECT(_xlfn.TEXTJOIN("",TRUE,A1328,"!",ADDRESS(24+(A1329-1)*A1325,2)))</f>
        <v>0</v>
      </c>
      <c r="D1323" s="38"/>
      <c r="E1323" s="38"/>
      <c r="F1323" s="38"/>
      <c r="G1323" s="39"/>
      <c r="H1323" s="20">
        <f ca="1">INDIRECT(_xlfn.TEXTJOIN("",TRUE,A1328,"!",ADDRESS(24+(A1329-1)*A1325,6)))</f>
        <v>0</v>
      </c>
      <c r="I1323" s="40">
        <f ca="1">INDIRECT(_xlfn.TEXTJOIN("",TRUE,A1328,"!",ADDRESS(24+(A1329-1)*A1325,13)))</f>
        <v>0</v>
      </c>
      <c r="J1323" s="41"/>
    </row>
    <row r="1324" spans="1:10" ht="28" customHeight="1" x14ac:dyDescent="0.2">
      <c r="A1324" s="42" t="s">
        <v>52</v>
      </c>
      <c r="B1324" s="42"/>
      <c r="C1324" s="42"/>
      <c r="D1324" s="42"/>
      <c r="E1324" s="42"/>
      <c r="F1324" s="42"/>
      <c r="G1324" s="42"/>
      <c r="H1324" s="16">
        <f ca="1">SUM(H1312:H1323)</f>
        <v>0</v>
      </c>
      <c r="I1324" s="16" t="s">
        <v>44</v>
      </c>
      <c r="J1324" s="16">
        <f ca="1">SUMPRODUCT(J1312:J1322,H1312:H1322)</f>
        <v>0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43" t="s">
        <v>40</v>
      </c>
      <c r="B1326" s="43"/>
      <c r="C1326" s="21">
        <f ca="1">INDIRECT(_xlfn.TEXTJOIN("",TRUE,A1328,"!",ADDRESS(5+A1329*A1325,12)))</f>
        <v>0</v>
      </c>
      <c r="D1326" s="43" t="s">
        <v>38</v>
      </c>
      <c r="E1326" s="43"/>
      <c r="F1326" s="18">
        <f ca="1">INDIRECT(_xlfn.TEXTJOIN("",TRUE,A1328,"!",ADDRESS(5+A1329*A1325,8)))</f>
        <v>0</v>
      </c>
      <c r="G1326" s="43" t="s">
        <v>39</v>
      </c>
      <c r="H1326" s="43"/>
      <c r="I1326" s="44">
        <f ca="1">INDIRECT(_xlfn.TEXTJOIN("",TRUE,A1328,"!",ADDRESS(5+A1329*A1325,10)))</f>
        <v>0</v>
      </c>
      <c r="J1326" s="44"/>
    </row>
    <row r="1327" spans="1:10" ht="28" customHeight="1" x14ac:dyDescent="0.2">
      <c r="A1327" s="19" t="s">
        <v>36</v>
      </c>
      <c r="B1327" s="45">
        <f ca="1">INDIRECT(_xlfn.TEXTJOIN("",TRUE,A1328,"!",ADDRESS(5+A1329*A1325,2)))</f>
        <v>0</v>
      </c>
      <c r="C1327" s="45"/>
      <c r="D1327" s="46" t="s">
        <v>37</v>
      </c>
      <c r="E1327" s="46"/>
      <c r="F1327" s="47">
        <f ca="1">INDIRECT(_xlfn.TEXTJOIN("",TRUE,A1328,"!",ADDRESS(5+A1329*A1325,5)))</f>
        <v>0</v>
      </c>
      <c r="G1327" s="47"/>
      <c r="H1327" s="47"/>
      <c r="I1327" s="47"/>
      <c r="J1327" s="47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48" t="s">
        <v>24</v>
      </c>
      <c r="B1330" s="48"/>
      <c r="C1330" s="48">
        <f ca="1">INDIRECT(_xlfn.TEXTJOIN("",TRUE,A1349,"!",ADDRESS(9+(A1350-1)*A1346,2)))</f>
        <v>0</v>
      </c>
      <c r="D1330" s="48"/>
      <c r="E1330" s="48"/>
      <c r="F1330" s="48" t="s">
        <v>50</v>
      </c>
      <c r="G1330" s="48"/>
      <c r="H1330" s="48"/>
      <c r="I1330" s="49">
        <f ca="1">INDIRECT(_xlfn.TEXTJOIN("",TRUE,A1349,"!",ADDRESS(9+(A1350-1)*A1346,9)))</f>
        <v>0</v>
      </c>
      <c r="J1330" s="49"/>
    </row>
    <row r="1331" spans="1:10" ht="28" customHeight="1" x14ac:dyDescent="0.2">
      <c r="A1331" s="48" t="s">
        <v>25</v>
      </c>
      <c r="B1331" s="48"/>
      <c r="C1331" s="48">
        <f ca="1">INDIRECT(_xlfn.TEXTJOIN("",TRUE,A1349,"!",ADDRESS(9+(A1350-1)*A1346,5)))</f>
        <v>0</v>
      </c>
      <c r="D1331" s="48"/>
      <c r="E1331" s="48"/>
      <c r="F1331" s="50" t="s">
        <v>51</v>
      </c>
      <c r="G1331" s="50"/>
      <c r="H1331" s="50"/>
      <c r="I1331" s="49">
        <f ca="1">INDIRECT(_xlfn.TEXTJOIN("",TRUE,A1349,"!",ADDRESS(9+(A1350-1)*A1346,13)))</f>
        <v>0</v>
      </c>
      <c r="J1331" s="49"/>
    </row>
    <row r="1332" spans="1:10" ht="28" customHeight="1" x14ac:dyDescent="0.2">
      <c r="A1332" s="45" t="s">
        <v>28</v>
      </c>
      <c r="B1332" s="45"/>
      <c r="C1332" s="45" t="s">
        <v>29</v>
      </c>
      <c r="D1332" s="45"/>
      <c r="E1332" s="45"/>
      <c r="F1332" s="45"/>
      <c r="G1332" s="45"/>
      <c r="H1332" s="15" t="s">
        <v>30</v>
      </c>
      <c r="I1332" s="15" t="s">
        <v>10</v>
      </c>
      <c r="J1332" s="15" t="s">
        <v>34</v>
      </c>
    </row>
    <row r="1333" spans="1:10" ht="28" customHeight="1" x14ac:dyDescent="0.2">
      <c r="A1333" s="35">
        <f ca="1">INDIRECT(_xlfn.TEXTJOIN("",TRUE,A1349,"!",ADDRESS(13+(A1350-1)*A1346,1)))</f>
        <v>0</v>
      </c>
      <c r="B1333" s="36"/>
      <c r="C1333" s="37">
        <f ca="1">INDIRECT(_xlfn.TEXTJOIN("",TRUE,A1349,"!",ADDRESS(13+(A1350-1)*A1346,2)))</f>
        <v>0</v>
      </c>
      <c r="D1333" s="38"/>
      <c r="E1333" s="38"/>
      <c r="F1333" s="38"/>
      <c r="G1333" s="39"/>
      <c r="H1333" s="20">
        <f ca="1">INDIRECT(_xlfn.TEXTJOIN("",TRUE,A1349,"!",ADDRESS(13+(A1350-1)*A1346,6)))</f>
        <v>0</v>
      </c>
      <c r="I1333" s="20">
        <f ca="1">INDIRECT(_xlfn.TEXTJOIN("",TRUE,A1349,"!",ADDRESS(13+(A1350-1)*A1346,13)))</f>
        <v>0</v>
      </c>
      <c r="J1333" s="20">
        <f ca="1">INDIRECT(_xlfn.TEXTJOIN("",TRUE,A1349,"!",ADDRESS(13+(A1350-1)*A1346,14)))</f>
        <v>0</v>
      </c>
    </row>
    <row r="1334" spans="1:10" ht="28" customHeight="1" x14ac:dyDescent="0.2">
      <c r="A1334" s="35">
        <f ca="1">INDIRECT(_xlfn.TEXTJOIN("",TRUE,A1349,"!",ADDRESS(14+(A1350-1)*A1346,1)))</f>
        <v>0</v>
      </c>
      <c r="B1334" s="36"/>
      <c r="C1334" s="37">
        <f ca="1">INDIRECT(_xlfn.TEXTJOIN("",TRUE,A1349,"!",ADDRESS(14+(A1350-1)*A1346,2)))</f>
        <v>0</v>
      </c>
      <c r="D1334" s="38"/>
      <c r="E1334" s="38"/>
      <c r="F1334" s="38"/>
      <c r="G1334" s="39"/>
      <c r="H1334" s="20">
        <f ca="1">INDIRECT(_xlfn.TEXTJOIN("",TRUE,A1349,"!",ADDRESS(14+(A1350-1)*A1346,6)))</f>
        <v>0</v>
      </c>
      <c r="I1334" s="20">
        <f ca="1">INDIRECT(_xlfn.TEXTJOIN("",TRUE,A1349,"!",ADDRESS(14+(A1350-1)*A1346,13)))</f>
        <v>0</v>
      </c>
      <c r="J1334" s="20">
        <f ca="1">INDIRECT(_xlfn.TEXTJOIN("",TRUE,A1349,"!",ADDRESS(14+(A1350-1)*A1346,14)))</f>
        <v>0</v>
      </c>
    </row>
    <row r="1335" spans="1:10" ht="28" customHeight="1" x14ac:dyDescent="0.2">
      <c r="A1335" s="35">
        <f ca="1">INDIRECT(_xlfn.TEXTJOIN("",TRUE,A1349,"!",ADDRESS(15+(A1350-1)*A1346,1)))</f>
        <v>0</v>
      </c>
      <c r="B1335" s="36"/>
      <c r="C1335" s="37">
        <f ca="1">INDIRECT(_xlfn.TEXTJOIN("",TRUE,A1349,"!",ADDRESS(15+(A1350-1)*A1346,2)))</f>
        <v>0</v>
      </c>
      <c r="D1335" s="38"/>
      <c r="E1335" s="38"/>
      <c r="F1335" s="38"/>
      <c r="G1335" s="39"/>
      <c r="H1335" s="20">
        <f ca="1">INDIRECT(_xlfn.TEXTJOIN("",TRUE,A1349,"!",ADDRESS(15+(A1350-1)*A1346,6)))</f>
        <v>0</v>
      </c>
      <c r="I1335" s="20">
        <f ca="1">INDIRECT(_xlfn.TEXTJOIN("",TRUE,A1349,"!",ADDRESS(15+(A1350-1)*A1346,13)))</f>
        <v>0</v>
      </c>
      <c r="J1335" s="20">
        <f ca="1">INDIRECT(_xlfn.TEXTJOIN("",TRUE,A1349,"!",ADDRESS(15+(A1350-1)*A1346,14)))</f>
        <v>0</v>
      </c>
    </row>
    <row r="1336" spans="1:10" ht="28" customHeight="1" x14ac:dyDescent="0.2">
      <c r="A1336" s="35">
        <f ca="1">INDIRECT(_xlfn.TEXTJOIN("",TRUE,A1349,"!",ADDRESS(16+(A1350-1)*A1346,1)))</f>
        <v>0</v>
      </c>
      <c r="B1336" s="36"/>
      <c r="C1336" s="37">
        <f ca="1">INDIRECT(_xlfn.TEXTJOIN("",TRUE,A1349,"!",ADDRESS(16+(A1350-1)*A1346,2)))</f>
        <v>0</v>
      </c>
      <c r="D1336" s="38"/>
      <c r="E1336" s="38"/>
      <c r="F1336" s="38"/>
      <c r="G1336" s="39"/>
      <c r="H1336" s="20">
        <f ca="1">INDIRECT(_xlfn.TEXTJOIN("",TRUE,A1349,"!",ADDRESS(16+(A1350-1)*A1346,6)))</f>
        <v>0</v>
      </c>
      <c r="I1336" s="20">
        <f ca="1">INDIRECT(_xlfn.TEXTJOIN("",TRUE,A1349,"!",ADDRESS(16+(A1350-1)*A1346,13)))</f>
        <v>0</v>
      </c>
      <c r="J1336" s="20">
        <f ca="1">INDIRECT(_xlfn.TEXTJOIN("",TRUE,A1349,"!",ADDRESS(16+(A1350-1)*A1346,14)))</f>
        <v>0</v>
      </c>
    </row>
    <row r="1337" spans="1:10" ht="28" customHeight="1" x14ac:dyDescent="0.2">
      <c r="A1337" s="35">
        <f ca="1">INDIRECT(_xlfn.TEXTJOIN("",TRUE,A1349,"!",ADDRESS(17+(A1350-1)*A1346,1)))</f>
        <v>0</v>
      </c>
      <c r="B1337" s="36"/>
      <c r="C1337" s="37">
        <f ca="1">INDIRECT(_xlfn.TEXTJOIN("",TRUE,A1349,"!",ADDRESS(17+(A1350-1)*A1346,2)))</f>
        <v>0</v>
      </c>
      <c r="D1337" s="38"/>
      <c r="E1337" s="38"/>
      <c r="F1337" s="38"/>
      <c r="G1337" s="39"/>
      <c r="H1337" s="20">
        <f ca="1">INDIRECT(_xlfn.TEXTJOIN("",TRUE,A1349,"!",ADDRESS(17+(A1350-1)*A1346,6)))</f>
        <v>0</v>
      </c>
      <c r="I1337" s="20">
        <f ca="1">INDIRECT(_xlfn.TEXTJOIN("",TRUE,A1349,"!",ADDRESS(17+(A1350-1)*A1346,13)))</f>
        <v>0</v>
      </c>
      <c r="J1337" s="20">
        <f ca="1">INDIRECT(_xlfn.TEXTJOIN("",TRUE,A1349,"!",ADDRESS(17+(A1350-1)*A1346,14)))</f>
        <v>0</v>
      </c>
    </row>
    <row r="1338" spans="1:10" ht="28" customHeight="1" x14ac:dyDescent="0.2">
      <c r="A1338" s="35">
        <f ca="1">INDIRECT(_xlfn.TEXTJOIN("",TRUE,A1349,"!",ADDRESS(18+(A1350-1)*A1346,1)))</f>
        <v>0</v>
      </c>
      <c r="B1338" s="36"/>
      <c r="C1338" s="37">
        <f ca="1">INDIRECT(_xlfn.TEXTJOIN("",TRUE,A1349,"!",ADDRESS(18+(A1350-1)*A1346,2)))</f>
        <v>0</v>
      </c>
      <c r="D1338" s="38"/>
      <c r="E1338" s="38"/>
      <c r="F1338" s="38"/>
      <c r="G1338" s="39"/>
      <c r="H1338" s="20">
        <f ca="1">INDIRECT(_xlfn.TEXTJOIN("",TRUE,A1349,"!",ADDRESS(18+(A1350-1)*A1346,6)))</f>
        <v>0</v>
      </c>
      <c r="I1338" s="20">
        <f ca="1">INDIRECT(_xlfn.TEXTJOIN("",TRUE,A1349,"!",ADDRESS(18+(A1350-1)*A1346,13)))</f>
        <v>0</v>
      </c>
      <c r="J1338" s="20">
        <f ca="1">INDIRECT(_xlfn.TEXTJOIN("",TRUE,A1349,"!",ADDRESS(18+(A1350-1)*A1346,14)))</f>
        <v>0</v>
      </c>
    </row>
    <row r="1339" spans="1:10" ht="28" customHeight="1" x14ac:dyDescent="0.2">
      <c r="A1339" s="35">
        <f ca="1">INDIRECT(_xlfn.TEXTJOIN("",TRUE,A1349,"!",ADDRESS(19+(A1350-1)*A1346,1)))</f>
        <v>0</v>
      </c>
      <c r="B1339" s="36"/>
      <c r="C1339" s="37">
        <f ca="1">INDIRECT(_xlfn.TEXTJOIN("",TRUE,A1349,"!",ADDRESS(19+(A1350-1)*A1346,2)))</f>
        <v>0</v>
      </c>
      <c r="D1339" s="38"/>
      <c r="E1339" s="38"/>
      <c r="F1339" s="38"/>
      <c r="G1339" s="39"/>
      <c r="H1339" s="20">
        <f ca="1">INDIRECT(_xlfn.TEXTJOIN("",TRUE,A1349,"!",ADDRESS(19+(A1350-1)*A1346,6)))</f>
        <v>0</v>
      </c>
      <c r="I1339" s="20">
        <f ca="1">INDIRECT(_xlfn.TEXTJOIN("",TRUE,A1349,"!",ADDRESS(19+(A1350-1)*A1346,13)))</f>
        <v>0</v>
      </c>
      <c r="J1339" s="20">
        <f ca="1">INDIRECT(_xlfn.TEXTJOIN("",TRUE,A1349,"!",ADDRESS(19+(A1350-1)*A1346,14)))</f>
        <v>0</v>
      </c>
    </row>
    <row r="1340" spans="1:10" ht="28" customHeight="1" x14ac:dyDescent="0.2">
      <c r="A1340" s="35">
        <f ca="1">INDIRECT(_xlfn.TEXTJOIN("",TRUE,A1349,"!",ADDRESS(20+(A1350-1)*A1346,1)))</f>
        <v>0</v>
      </c>
      <c r="B1340" s="36"/>
      <c r="C1340" s="37">
        <f ca="1">INDIRECT(_xlfn.TEXTJOIN("",TRUE,A1349,"!",ADDRESS(20+(A1350-1)*A1346,2)))</f>
        <v>0</v>
      </c>
      <c r="D1340" s="38"/>
      <c r="E1340" s="38"/>
      <c r="F1340" s="38"/>
      <c r="G1340" s="39"/>
      <c r="H1340" s="20">
        <f ca="1">INDIRECT(_xlfn.TEXTJOIN("",TRUE,A1349,"!",ADDRESS(20+(A1350-1)*A1346,6)))</f>
        <v>0</v>
      </c>
      <c r="I1340" s="20">
        <f ca="1">INDIRECT(_xlfn.TEXTJOIN("",TRUE,A1349,"!",ADDRESS(20+(A1350-1)*A1346,13)))</f>
        <v>0</v>
      </c>
      <c r="J1340" s="20">
        <f ca="1">INDIRECT(_xlfn.TEXTJOIN("",TRUE,A1349,"!",ADDRESS(20+(A1350-1)*A1346,14)))</f>
        <v>0</v>
      </c>
    </row>
    <row r="1341" spans="1:10" ht="28" customHeight="1" x14ac:dyDescent="0.2">
      <c r="A1341" s="35">
        <f ca="1">INDIRECT(_xlfn.TEXTJOIN("",TRUE,A1349,"!",ADDRESS(21+(A1350-1)*A1346,1)))</f>
        <v>0</v>
      </c>
      <c r="B1341" s="36"/>
      <c r="C1341" s="37">
        <f ca="1">INDIRECT(_xlfn.TEXTJOIN("",TRUE,A1349,"!",ADDRESS(21+(A1350-1)*A1346,2)))</f>
        <v>0</v>
      </c>
      <c r="D1341" s="38"/>
      <c r="E1341" s="38"/>
      <c r="F1341" s="38"/>
      <c r="G1341" s="39"/>
      <c r="H1341" s="20">
        <f ca="1">INDIRECT(_xlfn.TEXTJOIN("",TRUE,A1349,"!",ADDRESS(21+(A1350-1)*A1346,6)))</f>
        <v>0</v>
      </c>
      <c r="I1341" s="20">
        <f ca="1">INDIRECT(_xlfn.TEXTJOIN("",TRUE,A1349,"!",ADDRESS(21+(A1350-1)*A1346,13)))</f>
        <v>0</v>
      </c>
      <c r="J1341" s="20">
        <f ca="1">INDIRECT(_xlfn.TEXTJOIN("",TRUE,A1349,"!",ADDRESS(21+(A1350-1)*A1346,14)))</f>
        <v>0</v>
      </c>
    </row>
    <row r="1342" spans="1:10" ht="28" customHeight="1" x14ac:dyDescent="0.2">
      <c r="A1342" s="35">
        <f ca="1">INDIRECT(_xlfn.TEXTJOIN("",TRUE,A1349,"!",ADDRESS(22+(A1350-1)*A1346,1)))</f>
        <v>0</v>
      </c>
      <c r="B1342" s="36"/>
      <c r="C1342" s="37">
        <f ca="1">INDIRECT(_xlfn.TEXTJOIN("",TRUE,A1349,"!",ADDRESS(22+(A1350-1)*A1346,2)))</f>
        <v>0</v>
      </c>
      <c r="D1342" s="38"/>
      <c r="E1342" s="38"/>
      <c r="F1342" s="38"/>
      <c r="G1342" s="39"/>
      <c r="H1342" s="20">
        <f ca="1">INDIRECT(_xlfn.TEXTJOIN("",TRUE,A1349,"!",ADDRESS(22+(A1350-1)*A1346,6)))</f>
        <v>0</v>
      </c>
      <c r="I1342" s="20">
        <f ca="1">INDIRECT(_xlfn.TEXTJOIN("",TRUE,A1349,"!",ADDRESS(22+(A1350-1)*A1346,13)))</f>
        <v>0</v>
      </c>
      <c r="J1342" s="20">
        <f ca="1">INDIRECT(_xlfn.TEXTJOIN("",TRUE,A1349,"!",ADDRESS(22+(A1350-1)*A1346,14)))</f>
        <v>0</v>
      </c>
    </row>
    <row r="1343" spans="1:10" ht="28" customHeight="1" x14ac:dyDescent="0.2">
      <c r="A1343" s="35">
        <f ca="1">INDIRECT(_xlfn.TEXTJOIN("",TRUE,A1349,"!",ADDRESS(23+(A1350-1)*A1346,1)))</f>
        <v>0</v>
      </c>
      <c r="B1343" s="36"/>
      <c r="C1343" s="37">
        <f ca="1">INDIRECT(_xlfn.TEXTJOIN("",TRUE,A1349,"!",ADDRESS(23+(A1350-1)*A1346,2)))</f>
        <v>0</v>
      </c>
      <c r="D1343" s="38"/>
      <c r="E1343" s="38"/>
      <c r="F1343" s="38"/>
      <c r="G1343" s="39"/>
      <c r="H1343" s="20">
        <f ca="1">INDIRECT(_xlfn.TEXTJOIN("",TRUE,A1349,"!",ADDRESS(23+(A1350-1)*A1346,6)))</f>
        <v>0</v>
      </c>
      <c r="I1343" s="20">
        <f ca="1">INDIRECT(_xlfn.TEXTJOIN("",TRUE,A1349,"!",ADDRESS(23+(A1350-1)*A1346,13)))</f>
        <v>0</v>
      </c>
      <c r="J1343" s="20">
        <f ca="1">INDIRECT(_xlfn.TEXTJOIN("",TRUE,A1349,"!",ADDRESS(23+(A1350-1)*A1346,14)))</f>
        <v>0</v>
      </c>
    </row>
    <row r="1344" spans="1:10" ht="28" customHeight="1" x14ac:dyDescent="0.2">
      <c r="A1344" s="35">
        <f ca="1">INDIRECT(_xlfn.TEXTJOIN("",TRUE,A1349,"!",ADDRESS(24+(A1350-1)*A1346,1)))</f>
        <v>0</v>
      </c>
      <c r="B1344" s="36"/>
      <c r="C1344" s="37">
        <f ca="1">INDIRECT(_xlfn.TEXTJOIN("",TRUE,A1349,"!",ADDRESS(24+(A1350-1)*A1346,2)))</f>
        <v>0</v>
      </c>
      <c r="D1344" s="38"/>
      <c r="E1344" s="38"/>
      <c r="F1344" s="38"/>
      <c r="G1344" s="39"/>
      <c r="H1344" s="20">
        <f ca="1">INDIRECT(_xlfn.TEXTJOIN("",TRUE,A1349,"!",ADDRESS(24+(A1350-1)*A1346,6)))</f>
        <v>0</v>
      </c>
      <c r="I1344" s="40">
        <f ca="1">INDIRECT(_xlfn.TEXTJOIN("",TRUE,A1349,"!",ADDRESS(24+(A1350-1)*A1346,13)))</f>
        <v>0</v>
      </c>
      <c r="J1344" s="41"/>
    </row>
    <row r="1345" spans="1:10" ht="28" customHeight="1" x14ac:dyDescent="0.2">
      <c r="A1345" s="42" t="s">
        <v>52</v>
      </c>
      <c r="B1345" s="42"/>
      <c r="C1345" s="42"/>
      <c r="D1345" s="42"/>
      <c r="E1345" s="42"/>
      <c r="F1345" s="42"/>
      <c r="G1345" s="42"/>
      <c r="H1345" s="16">
        <f ca="1">SUM(H1333:H1344)</f>
        <v>0</v>
      </c>
      <c r="I1345" s="16" t="s">
        <v>44</v>
      </c>
      <c r="J1345" s="16">
        <f ca="1">SUMPRODUCT(J1333:J1343,H1333:H1343)</f>
        <v>0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43" t="s">
        <v>40</v>
      </c>
      <c r="B1347" s="43"/>
      <c r="C1347" s="21">
        <f ca="1">INDIRECT(_xlfn.TEXTJOIN("",TRUE,A1349,"!",ADDRESS(5+A1350*A1346,12)))</f>
        <v>0</v>
      </c>
      <c r="D1347" s="43" t="s">
        <v>38</v>
      </c>
      <c r="E1347" s="43"/>
      <c r="F1347" s="18">
        <f ca="1">INDIRECT(_xlfn.TEXTJOIN("",TRUE,A1349,"!",ADDRESS(5+A1350*A1346,8)))</f>
        <v>0</v>
      </c>
      <c r="G1347" s="43" t="s">
        <v>39</v>
      </c>
      <c r="H1347" s="43"/>
      <c r="I1347" s="44">
        <f ca="1">INDIRECT(_xlfn.TEXTJOIN("",TRUE,A1349,"!",ADDRESS(5+A1350*A1346,10)))</f>
        <v>0</v>
      </c>
      <c r="J1347" s="44"/>
    </row>
    <row r="1348" spans="1:10" ht="28" customHeight="1" x14ac:dyDescent="0.2">
      <c r="A1348" s="19" t="s">
        <v>36</v>
      </c>
      <c r="B1348" s="45">
        <f ca="1">INDIRECT(_xlfn.TEXTJOIN("",TRUE,A1349,"!",ADDRESS(5+A1350*A1346,2)))</f>
        <v>0</v>
      </c>
      <c r="C1348" s="45"/>
      <c r="D1348" s="46" t="s">
        <v>37</v>
      </c>
      <c r="E1348" s="46"/>
      <c r="F1348" s="47">
        <f ca="1">INDIRECT(_xlfn.TEXTJOIN("",TRUE,A1349,"!",ADDRESS(5+A1350*A1346,5)))</f>
        <v>0</v>
      </c>
      <c r="G1348" s="47"/>
      <c r="H1348" s="47"/>
      <c r="I1348" s="47"/>
      <c r="J1348" s="47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48" t="s">
        <v>24</v>
      </c>
      <c r="B1351" s="48"/>
      <c r="C1351" s="48">
        <f ca="1">INDIRECT(_xlfn.TEXTJOIN("",TRUE,A1370,"!",ADDRESS(9+(A1371-1)*A1367,2)))</f>
        <v>0</v>
      </c>
      <c r="D1351" s="48"/>
      <c r="E1351" s="48"/>
      <c r="F1351" s="48" t="s">
        <v>50</v>
      </c>
      <c r="G1351" s="48"/>
      <c r="H1351" s="48"/>
      <c r="I1351" s="49">
        <f ca="1">INDIRECT(_xlfn.TEXTJOIN("",TRUE,A1370,"!",ADDRESS(9+(A1371-1)*A1367,9)))</f>
        <v>0</v>
      </c>
      <c r="J1351" s="49"/>
    </row>
    <row r="1352" spans="1:10" ht="28" customHeight="1" x14ac:dyDescent="0.2">
      <c r="A1352" s="48" t="s">
        <v>25</v>
      </c>
      <c r="B1352" s="48"/>
      <c r="C1352" s="48">
        <f ca="1">INDIRECT(_xlfn.TEXTJOIN("",TRUE,A1370,"!",ADDRESS(9+(A1371-1)*A1367,5)))</f>
        <v>0</v>
      </c>
      <c r="D1352" s="48"/>
      <c r="E1352" s="48"/>
      <c r="F1352" s="50" t="s">
        <v>51</v>
      </c>
      <c r="G1352" s="50"/>
      <c r="H1352" s="50"/>
      <c r="I1352" s="49">
        <f ca="1">INDIRECT(_xlfn.TEXTJOIN("",TRUE,A1370,"!",ADDRESS(9+(A1371-1)*A1367,13)))</f>
        <v>0</v>
      </c>
      <c r="J1352" s="49"/>
    </row>
    <row r="1353" spans="1:10" ht="28" customHeight="1" x14ac:dyDescent="0.2">
      <c r="A1353" s="45" t="s">
        <v>28</v>
      </c>
      <c r="B1353" s="45"/>
      <c r="C1353" s="45" t="s">
        <v>29</v>
      </c>
      <c r="D1353" s="45"/>
      <c r="E1353" s="45"/>
      <c r="F1353" s="45"/>
      <c r="G1353" s="45"/>
      <c r="H1353" s="15" t="s">
        <v>30</v>
      </c>
      <c r="I1353" s="15" t="s">
        <v>10</v>
      </c>
      <c r="J1353" s="15" t="s">
        <v>34</v>
      </c>
    </row>
    <row r="1354" spans="1:10" ht="28" customHeight="1" x14ac:dyDescent="0.2">
      <c r="A1354" s="35">
        <f ca="1">INDIRECT(_xlfn.TEXTJOIN("",TRUE,A1370,"!",ADDRESS(13+(A1371-1)*A1367,1)))</f>
        <v>0</v>
      </c>
      <c r="B1354" s="36"/>
      <c r="C1354" s="37">
        <f ca="1">INDIRECT(_xlfn.TEXTJOIN("",TRUE,A1370,"!",ADDRESS(13+(A1371-1)*A1367,2)))</f>
        <v>0</v>
      </c>
      <c r="D1354" s="38"/>
      <c r="E1354" s="38"/>
      <c r="F1354" s="38"/>
      <c r="G1354" s="39"/>
      <c r="H1354" s="20">
        <f ca="1">INDIRECT(_xlfn.TEXTJOIN("",TRUE,A1370,"!",ADDRESS(13+(A1371-1)*A1367,6)))</f>
        <v>0</v>
      </c>
      <c r="I1354" s="20">
        <f ca="1">INDIRECT(_xlfn.TEXTJOIN("",TRUE,A1370,"!",ADDRESS(13+(A1371-1)*A1367,13)))</f>
        <v>0</v>
      </c>
      <c r="J1354" s="20">
        <f ca="1">INDIRECT(_xlfn.TEXTJOIN("",TRUE,A1370,"!",ADDRESS(13+(A1371-1)*A1367,14)))</f>
        <v>0</v>
      </c>
    </row>
    <row r="1355" spans="1:10" ht="28" customHeight="1" x14ac:dyDescent="0.2">
      <c r="A1355" s="35">
        <f ca="1">INDIRECT(_xlfn.TEXTJOIN("",TRUE,A1370,"!",ADDRESS(14+(A1371-1)*A1367,1)))</f>
        <v>0</v>
      </c>
      <c r="B1355" s="36"/>
      <c r="C1355" s="37">
        <f ca="1">INDIRECT(_xlfn.TEXTJOIN("",TRUE,A1370,"!",ADDRESS(14+(A1371-1)*A1367,2)))</f>
        <v>0</v>
      </c>
      <c r="D1355" s="38"/>
      <c r="E1355" s="38"/>
      <c r="F1355" s="38"/>
      <c r="G1355" s="39"/>
      <c r="H1355" s="20">
        <f ca="1">INDIRECT(_xlfn.TEXTJOIN("",TRUE,A1370,"!",ADDRESS(14+(A1371-1)*A1367,6)))</f>
        <v>0</v>
      </c>
      <c r="I1355" s="20">
        <f ca="1">INDIRECT(_xlfn.TEXTJOIN("",TRUE,A1370,"!",ADDRESS(14+(A1371-1)*A1367,13)))</f>
        <v>0</v>
      </c>
      <c r="J1355" s="20">
        <f ca="1">INDIRECT(_xlfn.TEXTJOIN("",TRUE,A1370,"!",ADDRESS(14+(A1371-1)*A1367,14)))</f>
        <v>0</v>
      </c>
    </row>
    <row r="1356" spans="1:10" ht="28" customHeight="1" x14ac:dyDescent="0.2">
      <c r="A1356" s="35">
        <f ca="1">INDIRECT(_xlfn.TEXTJOIN("",TRUE,A1370,"!",ADDRESS(15+(A1371-1)*A1367,1)))</f>
        <v>0</v>
      </c>
      <c r="B1356" s="36"/>
      <c r="C1356" s="37">
        <f ca="1">INDIRECT(_xlfn.TEXTJOIN("",TRUE,A1370,"!",ADDRESS(15+(A1371-1)*A1367,2)))</f>
        <v>0</v>
      </c>
      <c r="D1356" s="38"/>
      <c r="E1356" s="38"/>
      <c r="F1356" s="38"/>
      <c r="G1356" s="39"/>
      <c r="H1356" s="20">
        <f ca="1">INDIRECT(_xlfn.TEXTJOIN("",TRUE,A1370,"!",ADDRESS(15+(A1371-1)*A1367,6)))</f>
        <v>0</v>
      </c>
      <c r="I1356" s="20">
        <f ca="1">INDIRECT(_xlfn.TEXTJOIN("",TRUE,A1370,"!",ADDRESS(15+(A1371-1)*A1367,13)))</f>
        <v>0</v>
      </c>
      <c r="J1356" s="20">
        <f ca="1">INDIRECT(_xlfn.TEXTJOIN("",TRUE,A1370,"!",ADDRESS(15+(A1371-1)*A1367,14)))</f>
        <v>0</v>
      </c>
    </row>
    <row r="1357" spans="1:10" ht="28" customHeight="1" x14ac:dyDescent="0.2">
      <c r="A1357" s="35">
        <f ca="1">INDIRECT(_xlfn.TEXTJOIN("",TRUE,A1370,"!",ADDRESS(16+(A1371-1)*A1367,1)))</f>
        <v>0</v>
      </c>
      <c r="B1357" s="36"/>
      <c r="C1357" s="37">
        <f ca="1">INDIRECT(_xlfn.TEXTJOIN("",TRUE,A1370,"!",ADDRESS(16+(A1371-1)*A1367,2)))</f>
        <v>0</v>
      </c>
      <c r="D1357" s="38"/>
      <c r="E1357" s="38"/>
      <c r="F1357" s="38"/>
      <c r="G1357" s="39"/>
      <c r="H1357" s="20">
        <f ca="1">INDIRECT(_xlfn.TEXTJOIN("",TRUE,A1370,"!",ADDRESS(16+(A1371-1)*A1367,6)))</f>
        <v>0</v>
      </c>
      <c r="I1357" s="20">
        <f ca="1">INDIRECT(_xlfn.TEXTJOIN("",TRUE,A1370,"!",ADDRESS(16+(A1371-1)*A1367,13)))</f>
        <v>0</v>
      </c>
      <c r="J1357" s="20">
        <f ca="1">INDIRECT(_xlfn.TEXTJOIN("",TRUE,A1370,"!",ADDRESS(16+(A1371-1)*A1367,14)))</f>
        <v>0</v>
      </c>
    </row>
    <row r="1358" spans="1:10" ht="28" customHeight="1" x14ac:dyDescent="0.2">
      <c r="A1358" s="35">
        <f ca="1">INDIRECT(_xlfn.TEXTJOIN("",TRUE,A1370,"!",ADDRESS(17+(A1371-1)*A1367,1)))</f>
        <v>0</v>
      </c>
      <c r="B1358" s="36"/>
      <c r="C1358" s="37">
        <f ca="1">INDIRECT(_xlfn.TEXTJOIN("",TRUE,A1370,"!",ADDRESS(17+(A1371-1)*A1367,2)))</f>
        <v>0</v>
      </c>
      <c r="D1358" s="38"/>
      <c r="E1358" s="38"/>
      <c r="F1358" s="38"/>
      <c r="G1358" s="39"/>
      <c r="H1358" s="20">
        <f ca="1">INDIRECT(_xlfn.TEXTJOIN("",TRUE,A1370,"!",ADDRESS(17+(A1371-1)*A1367,6)))</f>
        <v>0</v>
      </c>
      <c r="I1358" s="20">
        <f ca="1">INDIRECT(_xlfn.TEXTJOIN("",TRUE,A1370,"!",ADDRESS(17+(A1371-1)*A1367,13)))</f>
        <v>0</v>
      </c>
      <c r="J1358" s="20">
        <f ca="1">INDIRECT(_xlfn.TEXTJOIN("",TRUE,A1370,"!",ADDRESS(17+(A1371-1)*A1367,14)))</f>
        <v>0</v>
      </c>
    </row>
    <row r="1359" spans="1:10" ht="28" customHeight="1" x14ac:dyDescent="0.2">
      <c r="A1359" s="35">
        <f ca="1">INDIRECT(_xlfn.TEXTJOIN("",TRUE,A1370,"!",ADDRESS(18+(A1371-1)*A1367,1)))</f>
        <v>0</v>
      </c>
      <c r="B1359" s="36"/>
      <c r="C1359" s="37">
        <f ca="1">INDIRECT(_xlfn.TEXTJOIN("",TRUE,A1370,"!",ADDRESS(18+(A1371-1)*A1367,2)))</f>
        <v>0</v>
      </c>
      <c r="D1359" s="38"/>
      <c r="E1359" s="38"/>
      <c r="F1359" s="38"/>
      <c r="G1359" s="39"/>
      <c r="H1359" s="20">
        <f ca="1">INDIRECT(_xlfn.TEXTJOIN("",TRUE,A1370,"!",ADDRESS(18+(A1371-1)*A1367,6)))</f>
        <v>0</v>
      </c>
      <c r="I1359" s="20">
        <f ca="1">INDIRECT(_xlfn.TEXTJOIN("",TRUE,A1370,"!",ADDRESS(18+(A1371-1)*A1367,13)))</f>
        <v>0</v>
      </c>
      <c r="J1359" s="20">
        <f ca="1">INDIRECT(_xlfn.TEXTJOIN("",TRUE,A1370,"!",ADDRESS(18+(A1371-1)*A1367,14)))</f>
        <v>0</v>
      </c>
    </row>
    <row r="1360" spans="1:10" ht="28" customHeight="1" x14ac:dyDescent="0.2">
      <c r="A1360" s="35">
        <f ca="1">INDIRECT(_xlfn.TEXTJOIN("",TRUE,A1370,"!",ADDRESS(19+(A1371-1)*A1367,1)))</f>
        <v>0</v>
      </c>
      <c r="B1360" s="36"/>
      <c r="C1360" s="37">
        <f ca="1">INDIRECT(_xlfn.TEXTJOIN("",TRUE,A1370,"!",ADDRESS(19+(A1371-1)*A1367,2)))</f>
        <v>0</v>
      </c>
      <c r="D1360" s="38"/>
      <c r="E1360" s="38"/>
      <c r="F1360" s="38"/>
      <c r="G1360" s="39"/>
      <c r="H1360" s="20">
        <f ca="1">INDIRECT(_xlfn.TEXTJOIN("",TRUE,A1370,"!",ADDRESS(19+(A1371-1)*A1367,6)))</f>
        <v>0</v>
      </c>
      <c r="I1360" s="20">
        <f ca="1">INDIRECT(_xlfn.TEXTJOIN("",TRUE,A1370,"!",ADDRESS(19+(A1371-1)*A1367,13)))</f>
        <v>0</v>
      </c>
      <c r="J1360" s="20">
        <f ca="1">INDIRECT(_xlfn.TEXTJOIN("",TRUE,A1370,"!",ADDRESS(19+(A1371-1)*A1367,14)))</f>
        <v>0</v>
      </c>
    </row>
    <row r="1361" spans="1:10" ht="28" customHeight="1" x14ac:dyDescent="0.2">
      <c r="A1361" s="35">
        <f ca="1">INDIRECT(_xlfn.TEXTJOIN("",TRUE,A1370,"!",ADDRESS(20+(A1371-1)*A1367,1)))</f>
        <v>0</v>
      </c>
      <c r="B1361" s="36"/>
      <c r="C1361" s="37">
        <f ca="1">INDIRECT(_xlfn.TEXTJOIN("",TRUE,A1370,"!",ADDRESS(20+(A1371-1)*A1367,2)))</f>
        <v>0</v>
      </c>
      <c r="D1361" s="38"/>
      <c r="E1361" s="38"/>
      <c r="F1361" s="38"/>
      <c r="G1361" s="39"/>
      <c r="H1361" s="20">
        <f ca="1">INDIRECT(_xlfn.TEXTJOIN("",TRUE,A1370,"!",ADDRESS(20+(A1371-1)*A1367,6)))</f>
        <v>0</v>
      </c>
      <c r="I1361" s="20">
        <f ca="1">INDIRECT(_xlfn.TEXTJOIN("",TRUE,A1370,"!",ADDRESS(20+(A1371-1)*A1367,13)))</f>
        <v>0</v>
      </c>
      <c r="J1361" s="20">
        <f ca="1">INDIRECT(_xlfn.TEXTJOIN("",TRUE,A1370,"!",ADDRESS(20+(A1371-1)*A1367,14)))</f>
        <v>0</v>
      </c>
    </row>
    <row r="1362" spans="1:10" ht="28" customHeight="1" x14ac:dyDescent="0.2">
      <c r="A1362" s="35">
        <f ca="1">INDIRECT(_xlfn.TEXTJOIN("",TRUE,A1370,"!",ADDRESS(21+(A1371-1)*A1367,1)))</f>
        <v>0</v>
      </c>
      <c r="B1362" s="36"/>
      <c r="C1362" s="37">
        <f ca="1">INDIRECT(_xlfn.TEXTJOIN("",TRUE,A1370,"!",ADDRESS(21+(A1371-1)*A1367,2)))</f>
        <v>0</v>
      </c>
      <c r="D1362" s="38"/>
      <c r="E1362" s="38"/>
      <c r="F1362" s="38"/>
      <c r="G1362" s="39"/>
      <c r="H1362" s="20">
        <f ca="1">INDIRECT(_xlfn.TEXTJOIN("",TRUE,A1370,"!",ADDRESS(21+(A1371-1)*A1367,6)))</f>
        <v>0</v>
      </c>
      <c r="I1362" s="20">
        <f ca="1">INDIRECT(_xlfn.TEXTJOIN("",TRUE,A1370,"!",ADDRESS(21+(A1371-1)*A1367,13)))</f>
        <v>0</v>
      </c>
      <c r="J1362" s="20">
        <f ca="1">INDIRECT(_xlfn.TEXTJOIN("",TRUE,A1370,"!",ADDRESS(21+(A1371-1)*A1367,14)))</f>
        <v>0</v>
      </c>
    </row>
    <row r="1363" spans="1:10" ht="28" customHeight="1" x14ac:dyDescent="0.2">
      <c r="A1363" s="35">
        <f ca="1">INDIRECT(_xlfn.TEXTJOIN("",TRUE,A1370,"!",ADDRESS(22+(A1371-1)*A1367,1)))</f>
        <v>0</v>
      </c>
      <c r="B1363" s="36"/>
      <c r="C1363" s="37">
        <f ca="1">INDIRECT(_xlfn.TEXTJOIN("",TRUE,A1370,"!",ADDRESS(22+(A1371-1)*A1367,2)))</f>
        <v>0</v>
      </c>
      <c r="D1363" s="38"/>
      <c r="E1363" s="38"/>
      <c r="F1363" s="38"/>
      <c r="G1363" s="39"/>
      <c r="H1363" s="20">
        <f ca="1">INDIRECT(_xlfn.TEXTJOIN("",TRUE,A1370,"!",ADDRESS(22+(A1371-1)*A1367,6)))</f>
        <v>0</v>
      </c>
      <c r="I1363" s="20">
        <f ca="1">INDIRECT(_xlfn.TEXTJOIN("",TRUE,A1370,"!",ADDRESS(22+(A1371-1)*A1367,13)))</f>
        <v>0</v>
      </c>
      <c r="J1363" s="20">
        <f ca="1">INDIRECT(_xlfn.TEXTJOIN("",TRUE,A1370,"!",ADDRESS(22+(A1371-1)*A1367,14)))</f>
        <v>0</v>
      </c>
    </row>
    <row r="1364" spans="1:10" ht="28" customHeight="1" x14ac:dyDescent="0.2">
      <c r="A1364" s="35">
        <f ca="1">INDIRECT(_xlfn.TEXTJOIN("",TRUE,A1370,"!",ADDRESS(23+(A1371-1)*A1367,1)))</f>
        <v>0</v>
      </c>
      <c r="B1364" s="36"/>
      <c r="C1364" s="37">
        <f ca="1">INDIRECT(_xlfn.TEXTJOIN("",TRUE,A1370,"!",ADDRESS(23+(A1371-1)*A1367,2)))</f>
        <v>0</v>
      </c>
      <c r="D1364" s="38"/>
      <c r="E1364" s="38"/>
      <c r="F1364" s="38"/>
      <c r="G1364" s="39"/>
      <c r="H1364" s="20">
        <f ca="1">INDIRECT(_xlfn.TEXTJOIN("",TRUE,A1370,"!",ADDRESS(23+(A1371-1)*A1367,6)))</f>
        <v>0</v>
      </c>
      <c r="I1364" s="20">
        <f ca="1">INDIRECT(_xlfn.TEXTJOIN("",TRUE,A1370,"!",ADDRESS(23+(A1371-1)*A1367,13)))</f>
        <v>0</v>
      </c>
      <c r="J1364" s="20">
        <f ca="1">INDIRECT(_xlfn.TEXTJOIN("",TRUE,A1370,"!",ADDRESS(23+(A1371-1)*A1367,14)))</f>
        <v>0</v>
      </c>
    </row>
    <row r="1365" spans="1:10" ht="28" customHeight="1" x14ac:dyDescent="0.2">
      <c r="A1365" s="35">
        <f ca="1">INDIRECT(_xlfn.TEXTJOIN("",TRUE,A1370,"!",ADDRESS(24+(A1371-1)*A1367,1)))</f>
        <v>0</v>
      </c>
      <c r="B1365" s="36"/>
      <c r="C1365" s="37">
        <f ca="1">INDIRECT(_xlfn.TEXTJOIN("",TRUE,A1370,"!",ADDRESS(24+(A1371-1)*A1367,2)))</f>
        <v>0</v>
      </c>
      <c r="D1365" s="38"/>
      <c r="E1365" s="38"/>
      <c r="F1365" s="38"/>
      <c r="G1365" s="39"/>
      <c r="H1365" s="20">
        <f ca="1">INDIRECT(_xlfn.TEXTJOIN("",TRUE,A1370,"!",ADDRESS(24+(A1371-1)*A1367,6)))</f>
        <v>0</v>
      </c>
      <c r="I1365" s="40">
        <f ca="1">INDIRECT(_xlfn.TEXTJOIN("",TRUE,A1370,"!",ADDRESS(24+(A1371-1)*A1367,13)))</f>
        <v>0</v>
      </c>
      <c r="J1365" s="41"/>
    </row>
    <row r="1366" spans="1:10" ht="28" customHeight="1" x14ac:dyDescent="0.2">
      <c r="A1366" s="42" t="s">
        <v>52</v>
      </c>
      <c r="B1366" s="42"/>
      <c r="C1366" s="42"/>
      <c r="D1366" s="42"/>
      <c r="E1366" s="42"/>
      <c r="F1366" s="42"/>
      <c r="G1366" s="42"/>
      <c r="H1366" s="16">
        <f ca="1">SUM(H1354:H1365)</f>
        <v>0</v>
      </c>
      <c r="I1366" s="16" t="s">
        <v>44</v>
      </c>
      <c r="J1366" s="16">
        <f ca="1">SUMPRODUCT(J1354:J1364,H1354:H1364)</f>
        <v>0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43" t="s">
        <v>40</v>
      </c>
      <c r="B1368" s="43"/>
      <c r="C1368" s="21">
        <f ca="1">INDIRECT(_xlfn.TEXTJOIN("",TRUE,A1370,"!",ADDRESS(5+A1371*A1367,12)))</f>
        <v>0</v>
      </c>
      <c r="D1368" s="43" t="s">
        <v>38</v>
      </c>
      <c r="E1368" s="43"/>
      <c r="F1368" s="18">
        <f ca="1">INDIRECT(_xlfn.TEXTJOIN("",TRUE,A1370,"!",ADDRESS(5+A1371*A1367,8)))</f>
        <v>0</v>
      </c>
      <c r="G1368" s="43" t="s">
        <v>39</v>
      </c>
      <c r="H1368" s="43"/>
      <c r="I1368" s="44">
        <f ca="1">INDIRECT(_xlfn.TEXTJOIN("",TRUE,A1370,"!",ADDRESS(5+A1371*A1367,10)))</f>
        <v>0</v>
      </c>
      <c r="J1368" s="44"/>
    </row>
    <row r="1369" spans="1:10" ht="28" customHeight="1" x14ac:dyDescent="0.2">
      <c r="A1369" s="19" t="s">
        <v>36</v>
      </c>
      <c r="B1369" s="45">
        <f ca="1">INDIRECT(_xlfn.TEXTJOIN("",TRUE,A1370,"!",ADDRESS(5+A1371*A1367,2)))</f>
        <v>0</v>
      </c>
      <c r="C1369" s="45"/>
      <c r="D1369" s="46" t="s">
        <v>37</v>
      </c>
      <c r="E1369" s="46"/>
      <c r="F1369" s="47">
        <f ca="1">INDIRECT(_xlfn.TEXTJOIN("",TRUE,A1370,"!",ADDRESS(5+A1371*A1367,5)))</f>
        <v>0</v>
      </c>
      <c r="G1369" s="47"/>
      <c r="H1369" s="47"/>
      <c r="I1369" s="47"/>
      <c r="J1369" s="47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48" t="s">
        <v>24</v>
      </c>
      <c r="B1372" s="48"/>
      <c r="C1372" s="48">
        <f ca="1">INDIRECT(_xlfn.TEXTJOIN("",TRUE,A1391,"!",ADDRESS(9+(A1392-1)*A1388,2)))</f>
        <v>0</v>
      </c>
      <c r="D1372" s="48"/>
      <c r="E1372" s="48"/>
      <c r="F1372" s="48" t="s">
        <v>50</v>
      </c>
      <c r="G1372" s="48"/>
      <c r="H1372" s="48"/>
      <c r="I1372" s="49">
        <f ca="1">INDIRECT(_xlfn.TEXTJOIN("",TRUE,A1391,"!",ADDRESS(9+(A1392-1)*A1388,9)))</f>
        <v>0</v>
      </c>
      <c r="J1372" s="49"/>
    </row>
    <row r="1373" spans="1:10" ht="28" customHeight="1" x14ac:dyDescent="0.2">
      <c r="A1373" s="48" t="s">
        <v>25</v>
      </c>
      <c r="B1373" s="48"/>
      <c r="C1373" s="48">
        <f ca="1">INDIRECT(_xlfn.TEXTJOIN("",TRUE,A1391,"!",ADDRESS(9+(A1392-1)*A1388,5)))</f>
        <v>0</v>
      </c>
      <c r="D1373" s="48"/>
      <c r="E1373" s="48"/>
      <c r="F1373" s="50" t="s">
        <v>51</v>
      </c>
      <c r="G1373" s="50"/>
      <c r="H1373" s="50"/>
      <c r="I1373" s="49">
        <f ca="1">INDIRECT(_xlfn.TEXTJOIN("",TRUE,A1391,"!",ADDRESS(9+(A1392-1)*A1388,13)))</f>
        <v>0</v>
      </c>
      <c r="J1373" s="49"/>
    </row>
    <row r="1374" spans="1:10" ht="28" customHeight="1" x14ac:dyDescent="0.2">
      <c r="A1374" s="45" t="s">
        <v>28</v>
      </c>
      <c r="B1374" s="45"/>
      <c r="C1374" s="45" t="s">
        <v>29</v>
      </c>
      <c r="D1374" s="45"/>
      <c r="E1374" s="45"/>
      <c r="F1374" s="45"/>
      <c r="G1374" s="45"/>
      <c r="H1374" s="15" t="s">
        <v>30</v>
      </c>
      <c r="I1374" s="15" t="s">
        <v>10</v>
      </c>
      <c r="J1374" s="15" t="s">
        <v>34</v>
      </c>
    </row>
    <row r="1375" spans="1:10" ht="28" customHeight="1" x14ac:dyDescent="0.2">
      <c r="A1375" s="35">
        <f ca="1">INDIRECT(_xlfn.TEXTJOIN("",TRUE,A1391,"!",ADDRESS(13+(A1392-1)*A1388,1)))</f>
        <v>0</v>
      </c>
      <c r="B1375" s="36"/>
      <c r="C1375" s="37">
        <f ca="1">INDIRECT(_xlfn.TEXTJOIN("",TRUE,A1391,"!",ADDRESS(13+(A1392-1)*A1388,2)))</f>
        <v>0</v>
      </c>
      <c r="D1375" s="38"/>
      <c r="E1375" s="38"/>
      <c r="F1375" s="38"/>
      <c r="G1375" s="39"/>
      <c r="H1375" s="20">
        <f ca="1">INDIRECT(_xlfn.TEXTJOIN("",TRUE,A1391,"!",ADDRESS(13+(A1392-1)*A1388,6)))</f>
        <v>0</v>
      </c>
      <c r="I1375" s="20">
        <f ca="1">INDIRECT(_xlfn.TEXTJOIN("",TRUE,A1391,"!",ADDRESS(13+(A1392-1)*A1388,13)))</f>
        <v>0</v>
      </c>
      <c r="J1375" s="20">
        <f ca="1">INDIRECT(_xlfn.TEXTJOIN("",TRUE,A1391,"!",ADDRESS(13+(A1392-1)*A1388,14)))</f>
        <v>0</v>
      </c>
    </row>
    <row r="1376" spans="1:10" ht="28" customHeight="1" x14ac:dyDescent="0.2">
      <c r="A1376" s="35">
        <f ca="1">INDIRECT(_xlfn.TEXTJOIN("",TRUE,A1391,"!",ADDRESS(14+(A1392-1)*A1388,1)))</f>
        <v>0</v>
      </c>
      <c r="B1376" s="36"/>
      <c r="C1376" s="37">
        <f ca="1">INDIRECT(_xlfn.TEXTJOIN("",TRUE,A1391,"!",ADDRESS(14+(A1392-1)*A1388,2)))</f>
        <v>0</v>
      </c>
      <c r="D1376" s="38"/>
      <c r="E1376" s="38"/>
      <c r="F1376" s="38"/>
      <c r="G1376" s="39"/>
      <c r="H1376" s="20">
        <f ca="1">INDIRECT(_xlfn.TEXTJOIN("",TRUE,A1391,"!",ADDRESS(14+(A1392-1)*A1388,6)))</f>
        <v>0</v>
      </c>
      <c r="I1376" s="20">
        <f ca="1">INDIRECT(_xlfn.TEXTJOIN("",TRUE,A1391,"!",ADDRESS(14+(A1392-1)*A1388,13)))</f>
        <v>0</v>
      </c>
      <c r="J1376" s="20">
        <f ca="1">INDIRECT(_xlfn.TEXTJOIN("",TRUE,A1391,"!",ADDRESS(14+(A1392-1)*A1388,14)))</f>
        <v>0</v>
      </c>
    </row>
    <row r="1377" spans="1:10" ht="28" customHeight="1" x14ac:dyDescent="0.2">
      <c r="A1377" s="35">
        <f ca="1">INDIRECT(_xlfn.TEXTJOIN("",TRUE,A1391,"!",ADDRESS(15+(A1392-1)*A1388,1)))</f>
        <v>0</v>
      </c>
      <c r="B1377" s="36"/>
      <c r="C1377" s="37">
        <f ca="1">INDIRECT(_xlfn.TEXTJOIN("",TRUE,A1391,"!",ADDRESS(15+(A1392-1)*A1388,2)))</f>
        <v>0</v>
      </c>
      <c r="D1377" s="38"/>
      <c r="E1377" s="38"/>
      <c r="F1377" s="38"/>
      <c r="G1377" s="39"/>
      <c r="H1377" s="20">
        <f ca="1">INDIRECT(_xlfn.TEXTJOIN("",TRUE,A1391,"!",ADDRESS(15+(A1392-1)*A1388,6)))</f>
        <v>0</v>
      </c>
      <c r="I1377" s="20">
        <f ca="1">INDIRECT(_xlfn.TEXTJOIN("",TRUE,A1391,"!",ADDRESS(15+(A1392-1)*A1388,13)))</f>
        <v>0</v>
      </c>
      <c r="J1377" s="20">
        <f ca="1">INDIRECT(_xlfn.TEXTJOIN("",TRUE,A1391,"!",ADDRESS(15+(A1392-1)*A1388,14)))</f>
        <v>0</v>
      </c>
    </row>
    <row r="1378" spans="1:10" ht="28" customHeight="1" x14ac:dyDescent="0.2">
      <c r="A1378" s="35">
        <f ca="1">INDIRECT(_xlfn.TEXTJOIN("",TRUE,A1391,"!",ADDRESS(16+(A1392-1)*A1388,1)))</f>
        <v>0</v>
      </c>
      <c r="B1378" s="36"/>
      <c r="C1378" s="37">
        <f ca="1">INDIRECT(_xlfn.TEXTJOIN("",TRUE,A1391,"!",ADDRESS(16+(A1392-1)*A1388,2)))</f>
        <v>0</v>
      </c>
      <c r="D1378" s="38"/>
      <c r="E1378" s="38"/>
      <c r="F1378" s="38"/>
      <c r="G1378" s="39"/>
      <c r="H1378" s="20">
        <f ca="1">INDIRECT(_xlfn.TEXTJOIN("",TRUE,A1391,"!",ADDRESS(16+(A1392-1)*A1388,6)))</f>
        <v>0</v>
      </c>
      <c r="I1378" s="20">
        <f ca="1">INDIRECT(_xlfn.TEXTJOIN("",TRUE,A1391,"!",ADDRESS(16+(A1392-1)*A1388,13)))</f>
        <v>0</v>
      </c>
      <c r="J1378" s="20">
        <f ca="1">INDIRECT(_xlfn.TEXTJOIN("",TRUE,A1391,"!",ADDRESS(16+(A1392-1)*A1388,14)))</f>
        <v>0</v>
      </c>
    </row>
    <row r="1379" spans="1:10" ht="28" customHeight="1" x14ac:dyDescent="0.2">
      <c r="A1379" s="35">
        <f ca="1">INDIRECT(_xlfn.TEXTJOIN("",TRUE,A1391,"!",ADDRESS(17+(A1392-1)*A1388,1)))</f>
        <v>0</v>
      </c>
      <c r="B1379" s="36"/>
      <c r="C1379" s="37">
        <f ca="1">INDIRECT(_xlfn.TEXTJOIN("",TRUE,A1391,"!",ADDRESS(17+(A1392-1)*A1388,2)))</f>
        <v>0</v>
      </c>
      <c r="D1379" s="38"/>
      <c r="E1379" s="38"/>
      <c r="F1379" s="38"/>
      <c r="G1379" s="39"/>
      <c r="H1379" s="20">
        <f ca="1">INDIRECT(_xlfn.TEXTJOIN("",TRUE,A1391,"!",ADDRESS(17+(A1392-1)*A1388,6)))</f>
        <v>0</v>
      </c>
      <c r="I1379" s="20">
        <f ca="1">INDIRECT(_xlfn.TEXTJOIN("",TRUE,A1391,"!",ADDRESS(17+(A1392-1)*A1388,13)))</f>
        <v>0</v>
      </c>
      <c r="J1379" s="20">
        <f ca="1">INDIRECT(_xlfn.TEXTJOIN("",TRUE,A1391,"!",ADDRESS(17+(A1392-1)*A1388,14)))</f>
        <v>0</v>
      </c>
    </row>
    <row r="1380" spans="1:10" ht="28" customHeight="1" x14ac:dyDescent="0.2">
      <c r="A1380" s="35">
        <f ca="1">INDIRECT(_xlfn.TEXTJOIN("",TRUE,A1391,"!",ADDRESS(18+(A1392-1)*A1388,1)))</f>
        <v>0</v>
      </c>
      <c r="B1380" s="36"/>
      <c r="C1380" s="37">
        <f ca="1">INDIRECT(_xlfn.TEXTJOIN("",TRUE,A1391,"!",ADDRESS(18+(A1392-1)*A1388,2)))</f>
        <v>0</v>
      </c>
      <c r="D1380" s="38"/>
      <c r="E1380" s="38"/>
      <c r="F1380" s="38"/>
      <c r="G1380" s="39"/>
      <c r="H1380" s="20">
        <f ca="1">INDIRECT(_xlfn.TEXTJOIN("",TRUE,A1391,"!",ADDRESS(18+(A1392-1)*A1388,6)))</f>
        <v>0</v>
      </c>
      <c r="I1380" s="20">
        <f ca="1">INDIRECT(_xlfn.TEXTJOIN("",TRUE,A1391,"!",ADDRESS(18+(A1392-1)*A1388,13)))</f>
        <v>0</v>
      </c>
      <c r="J1380" s="20">
        <f ca="1">INDIRECT(_xlfn.TEXTJOIN("",TRUE,A1391,"!",ADDRESS(18+(A1392-1)*A1388,14)))</f>
        <v>0</v>
      </c>
    </row>
    <row r="1381" spans="1:10" ht="28" customHeight="1" x14ac:dyDescent="0.2">
      <c r="A1381" s="35">
        <f ca="1">INDIRECT(_xlfn.TEXTJOIN("",TRUE,A1391,"!",ADDRESS(19+(A1392-1)*A1388,1)))</f>
        <v>0</v>
      </c>
      <c r="B1381" s="36"/>
      <c r="C1381" s="37">
        <f ca="1">INDIRECT(_xlfn.TEXTJOIN("",TRUE,A1391,"!",ADDRESS(19+(A1392-1)*A1388,2)))</f>
        <v>0</v>
      </c>
      <c r="D1381" s="38"/>
      <c r="E1381" s="38"/>
      <c r="F1381" s="38"/>
      <c r="G1381" s="39"/>
      <c r="H1381" s="20">
        <f ca="1">INDIRECT(_xlfn.TEXTJOIN("",TRUE,A1391,"!",ADDRESS(19+(A1392-1)*A1388,6)))</f>
        <v>0</v>
      </c>
      <c r="I1381" s="20">
        <f ca="1">INDIRECT(_xlfn.TEXTJOIN("",TRUE,A1391,"!",ADDRESS(19+(A1392-1)*A1388,13)))</f>
        <v>0</v>
      </c>
      <c r="J1381" s="20">
        <f ca="1">INDIRECT(_xlfn.TEXTJOIN("",TRUE,A1391,"!",ADDRESS(19+(A1392-1)*A1388,14)))</f>
        <v>0</v>
      </c>
    </row>
    <row r="1382" spans="1:10" ht="28" customHeight="1" x14ac:dyDescent="0.2">
      <c r="A1382" s="35">
        <f ca="1">INDIRECT(_xlfn.TEXTJOIN("",TRUE,A1391,"!",ADDRESS(20+(A1392-1)*A1388,1)))</f>
        <v>0</v>
      </c>
      <c r="B1382" s="36"/>
      <c r="C1382" s="37">
        <f ca="1">INDIRECT(_xlfn.TEXTJOIN("",TRUE,A1391,"!",ADDRESS(20+(A1392-1)*A1388,2)))</f>
        <v>0</v>
      </c>
      <c r="D1382" s="38"/>
      <c r="E1382" s="38"/>
      <c r="F1382" s="38"/>
      <c r="G1382" s="39"/>
      <c r="H1382" s="20">
        <f ca="1">INDIRECT(_xlfn.TEXTJOIN("",TRUE,A1391,"!",ADDRESS(20+(A1392-1)*A1388,6)))</f>
        <v>0</v>
      </c>
      <c r="I1382" s="20">
        <f ca="1">INDIRECT(_xlfn.TEXTJOIN("",TRUE,A1391,"!",ADDRESS(20+(A1392-1)*A1388,13)))</f>
        <v>0</v>
      </c>
      <c r="J1382" s="20">
        <f ca="1">INDIRECT(_xlfn.TEXTJOIN("",TRUE,A1391,"!",ADDRESS(20+(A1392-1)*A1388,14)))</f>
        <v>0</v>
      </c>
    </row>
    <row r="1383" spans="1:10" ht="28" customHeight="1" x14ac:dyDescent="0.2">
      <c r="A1383" s="35">
        <f ca="1">INDIRECT(_xlfn.TEXTJOIN("",TRUE,A1391,"!",ADDRESS(21+(A1392-1)*A1388,1)))</f>
        <v>0</v>
      </c>
      <c r="B1383" s="36"/>
      <c r="C1383" s="37">
        <f ca="1">INDIRECT(_xlfn.TEXTJOIN("",TRUE,A1391,"!",ADDRESS(21+(A1392-1)*A1388,2)))</f>
        <v>0</v>
      </c>
      <c r="D1383" s="38"/>
      <c r="E1383" s="38"/>
      <c r="F1383" s="38"/>
      <c r="G1383" s="39"/>
      <c r="H1383" s="20">
        <f ca="1">INDIRECT(_xlfn.TEXTJOIN("",TRUE,A1391,"!",ADDRESS(21+(A1392-1)*A1388,6)))</f>
        <v>0</v>
      </c>
      <c r="I1383" s="20">
        <f ca="1">INDIRECT(_xlfn.TEXTJOIN("",TRUE,A1391,"!",ADDRESS(21+(A1392-1)*A1388,13)))</f>
        <v>0</v>
      </c>
      <c r="J1383" s="20">
        <f ca="1">INDIRECT(_xlfn.TEXTJOIN("",TRUE,A1391,"!",ADDRESS(21+(A1392-1)*A1388,14)))</f>
        <v>0</v>
      </c>
    </row>
    <row r="1384" spans="1:10" ht="28" customHeight="1" x14ac:dyDescent="0.2">
      <c r="A1384" s="35">
        <f ca="1">INDIRECT(_xlfn.TEXTJOIN("",TRUE,A1391,"!",ADDRESS(22+(A1392-1)*A1388,1)))</f>
        <v>0</v>
      </c>
      <c r="B1384" s="36"/>
      <c r="C1384" s="37">
        <f ca="1">INDIRECT(_xlfn.TEXTJOIN("",TRUE,A1391,"!",ADDRESS(22+(A1392-1)*A1388,2)))</f>
        <v>0</v>
      </c>
      <c r="D1384" s="38"/>
      <c r="E1384" s="38"/>
      <c r="F1384" s="38"/>
      <c r="G1384" s="39"/>
      <c r="H1384" s="20">
        <f ca="1">INDIRECT(_xlfn.TEXTJOIN("",TRUE,A1391,"!",ADDRESS(22+(A1392-1)*A1388,6)))</f>
        <v>0</v>
      </c>
      <c r="I1384" s="20">
        <f ca="1">INDIRECT(_xlfn.TEXTJOIN("",TRUE,A1391,"!",ADDRESS(22+(A1392-1)*A1388,13)))</f>
        <v>0</v>
      </c>
      <c r="J1384" s="20">
        <f ca="1">INDIRECT(_xlfn.TEXTJOIN("",TRUE,A1391,"!",ADDRESS(22+(A1392-1)*A1388,14)))</f>
        <v>0</v>
      </c>
    </row>
    <row r="1385" spans="1:10" ht="28" customHeight="1" x14ac:dyDescent="0.2">
      <c r="A1385" s="35">
        <f ca="1">INDIRECT(_xlfn.TEXTJOIN("",TRUE,A1391,"!",ADDRESS(23+(A1392-1)*A1388,1)))</f>
        <v>0</v>
      </c>
      <c r="B1385" s="36"/>
      <c r="C1385" s="37">
        <f ca="1">INDIRECT(_xlfn.TEXTJOIN("",TRUE,A1391,"!",ADDRESS(23+(A1392-1)*A1388,2)))</f>
        <v>0</v>
      </c>
      <c r="D1385" s="38"/>
      <c r="E1385" s="38"/>
      <c r="F1385" s="38"/>
      <c r="G1385" s="39"/>
      <c r="H1385" s="20">
        <f ca="1">INDIRECT(_xlfn.TEXTJOIN("",TRUE,A1391,"!",ADDRESS(23+(A1392-1)*A1388,6)))</f>
        <v>0</v>
      </c>
      <c r="I1385" s="20">
        <f ca="1">INDIRECT(_xlfn.TEXTJOIN("",TRUE,A1391,"!",ADDRESS(23+(A1392-1)*A1388,13)))</f>
        <v>0</v>
      </c>
      <c r="J1385" s="20">
        <f ca="1">INDIRECT(_xlfn.TEXTJOIN("",TRUE,A1391,"!",ADDRESS(23+(A1392-1)*A1388,14)))</f>
        <v>0</v>
      </c>
    </row>
    <row r="1386" spans="1:10" ht="28" customHeight="1" x14ac:dyDescent="0.2">
      <c r="A1386" s="35">
        <f ca="1">INDIRECT(_xlfn.TEXTJOIN("",TRUE,A1391,"!",ADDRESS(24+(A1392-1)*A1388,1)))</f>
        <v>0</v>
      </c>
      <c r="B1386" s="36"/>
      <c r="C1386" s="37">
        <f ca="1">INDIRECT(_xlfn.TEXTJOIN("",TRUE,A1391,"!",ADDRESS(24+(A1392-1)*A1388,2)))</f>
        <v>0</v>
      </c>
      <c r="D1386" s="38"/>
      <c r="E1386" s="38"/>
      <c r="F1386" s="38"/>
      <c r="G1386" s="39"/>
      <c r="H1386" s="20">
        <f ca="1">INDIRECT(_xlfn.TEXTJOIN("",TRUE,A1391,"!",ADDRESS(24+(A1392-1)*A1388,6)))</f>
        <v>0</v>
      </c>
      <c r="I1386" s="40">
        <f ca="1">INDIRECT(_xlfn.TEXTJOIN("",TRUE,A1391,"!",ADDRESS(24+(A1392-1)*A1388,13)))</f>
        <v>0</v>
      </c>
      <c r="J1386" s="41"/>
    </row>
    <row r="1387" spans="1:10" ht="28" customHeight="1" x14ac:dyDescent="0.2">
      <c r="A1387" s="42" t="s">
        <v>52</v>
      </c>
      <c r="B1387" s="42"/>
      <c r="C1387" s="42"/>
      <c r="D1387" s="42"/>
      <c r="E1387" s="42"/>
      <c r="F1387" s="42"/>
      <c r="G1387" s="42"/>
      <c r="H1387" s="16">
        <f ca="1">SUM(H1375:H1386)</f>
        <v>0</v>
      </c>
      <c r="I1387" s="16" t="s">
        <v>44</v>
      </c>
      <c r="J1387" s="16">
        <f ca="1">SUMPRODUCT(J1375:J1385,H1375:H1385)</f>
        <v>0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43" t="s">
        <v>40</v>
      </c>
      <c r="B1389" s="43"/>
      <c r="C1389" s="21">
        <f ca="1">INDIRECT(_xlfn.TEXTJOIN("",TRUE,A1391,"!",ADDRESS(5+A1392*A1388,12)))</f>
        <v>0</v>
      </c>
      <c r="D1389" s="43" t="s">
        <v>38</v>
      </c>
      <c r="E1389" s="43"/>
      <c r="F1389" s="18">
        <f ca="1">INDIRECT(_xlfn.TEXTJOIN("",TRUE,A1391,"!",ADDRESS(5+A1392*A1388,8)))</f>
        <v>0</v>
      </c>
      <c r="G1389" s="43" t="s">
        <v>39</v>
      </c>
      <c r="H1389" s="43"/>
      <c r="I1389" s="44">
        <f ca="1">INDIRECT(_xlfn.TEXTJOIN("",TRUE,A1391,"!",ADDRESS(5+A1392*A1388,10)))</f>
        <v>0</v>
      </c>
      <c r="J1389" s="44"/>
    </row>
    <row r="1390" spans="1:10" ht="28" customHeight="1" x14ac:dyDescent="0.2">
      <c r="A1390" s="19" t="s">
        <v>36</v>
      </c>
      <c r="B1390" s="45">
        <f ca="1">INDIRECT(_xlfn.TEXTJOIN("",TRUE,A1391,"!",ADDRESS(5+A1392*A1388,2)))</f>
        <v>0</v>
      </c>
      <c r="C1390" s="45"/>
      <c r="D1390" s="46" t="s">
        <v>37</v>
      </c>
      <c r="E1390" s="46"/>
      <c r="F1390" s="47">
        <f ca="1">INDIRECT(_xlfn.TEXTJOIN("",TRUE,A1391,"!",ADDRESS(5+A1392*A1388,5)))</f>
        <v>0</v>
      </c>
      <c r="G1390" s="47"/>
      <c r="H1390" s="47"/>
      <c r="I1390" s="47"/>
      <c r="J1390" s="47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48" t="s">
        <v>24</v>
      </c>
      <c r="B1393" s="48"/>
      <c r="C1393" s="48">
        <f ca="1">INDIRECT(_xlfn.TEXTJOIN("",TRUE,A1412,"!",ADDRESS(9+(A1413-1)*A1409,2)))</f>
        <v>0</v>
      </c>
      <c r="D1393" s="48"/>
      <c r="E1393" s="48"/>
      <c r="F1393" s="48" t="s">
        <v>50</v>
      </c>
      <c r="G1393" s="48"/>
      <c r="H1393" s="48"/>
      <c r="I1393" s="49">
        <f ca="1">INDIRECT(_xlfn.TEXTJOIN("",TRUE,A1412,"!",ADDRESS(9+(A1413-1)*A1409,9)))</f>
        <v>0</v>
      </c>
      <c r="J1393" s="49"/>
    </row>
    <row r="1394" spans="1:10" ht="28" customHeight="1" x14ac:dyDescent="0.2">
      <c r="A1394" s="48" t="s">
        <v>25</v>
      </c>
      <c r="B1394" s="48"/>
      <c r="C1394" s="48">
        <f ca="1">INDIRECT(_xlfn.TEXTJOIN("",TRUE,A1412,"!",ADDRESS(9+(A1413-1)*A1409,5)))</f>
        <v>0</v>
      </c>
      <c r="D1394" s="48"/>
      <c r="E1394" s="48"/>
      <c r="F1394" s="50" t="s">
        <v>51</v>
      </c>
      <c r="G1394" s="50"/>
      <c r="H1394" s="50"/>
      <c r="I1394" s="49">
        <f ca="1">INDIRECT(_xlfn.TEXTJOIN("",TRUE,A1412,"!",ADDRESS(9+(A1413-1)*A1409,13)))</f>
        <v>0</v>
      </c>
      <c r="J1394" s="49"/>
    </row>
    <row r="1395" spans="1:10" ht="28" customHeight="1" x14ac:dyDescent="0.2">
      <c r="A1395" s="45" t="s">
        <v>28</v>
      </c>
      <c r="B1395" s="45"/>
      <c r="C1395" s="45" t="s">
        <v>29</v>
      </c>
      <c r="D1395" s="45"/>
      <c r="E1395" s="45"/>
      <c r="F1395" s="45"/>
      <c r="G1395" s="45"/>
      <c r="H1395" s="15" t="s">
        <v>30</v>
      </c>
      <c r="I1395" s="15" t="s">
        <v>10</v>
      </c>
      <c r="J1395" s="15" t="s">
        <v>34</v>
      </c>
    </row>
    <row r="1396" spans="1:10" ht="28" customHeight="1" x14ac:dyDescent="0.2">
      <c r="A1396" s="35">
        <f ca="1">INDIRECT(_xlfn.TEXTJOIN("",TRUE,A1412,"!",ADDRESS(13+(A1413-1)*A1409,1)))</f>
        <v>0</v>
      </c>
      <c r="B1396" s="36"/>
      <c r="C1396" s="37">
        <f ca="1">INDIRECT(_xlfn.TEXTJOIN("",TRUE,A1412,"!",ADDRESS(13+(A1413-1)*A1409,2)))</f>
        <v>0</v>
      </c>
      <c r="D1396" s="38"/>
      <c r="E1396" s="38"/>
      <c r="F1396" s="38"/>
      <c r="G1396" s="39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35">
        <f ca="1">INDIRECT(_xlfn.TEXTJOIN("",TRUE,A1412,"!",ADDRESS(14+(A1413-1)*A1409,1)))</f>
        <v>0</v>
      </c>
      <c r="B1397" s="36"/>
      <c r="C1397" s="37">
        <f ca="1">INDIRECT(_xlfn.TEXTJOIN("",TRUE,A1412,"!",ADDRESS(14+(A1413-1)*A1409,2)))</f>
        <v>0</v>
      </c>
      <c r="D1397" s="38"/>
      <c r="E1397" s="38"/>
      <c r="F1397" s="38"/>
      <c r="G1397" s="39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35">
        <f ca="1">INDIRECT(_xlfn.TEXTJOIN("",TRUE,A1412,"!",ADDRESS(15+(A1413-1)*A1409,1)))</f>
        <v>0</v>
      </c>
      <c r="B1398" s="36"/>
      <c r="C1398" s="37">
        <f ca="1">INDIRECT(_xlfn.TEXTJOIN("",TRUE,A1412,"!",ADDRESS(15+(A1413-1)*A1409,2)))</f>
        <v>0</v>
      </c>
      <c r="D1398" s="38"/>
      <c r="E1398" s="38"/>
      <c r="F1398" s="38"/>
      <c r="G1398" s="39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35">
        <f ca="1">INDIRECT(_xlfn.TEXTJOIN("",TRUE,A1412,"!",ADDRESS(16+(A1413-1)*A1409,1)))</f>
        <v>0</v>
      </c>
      <c r="B1399" s="36"/>
      <c r="C1399" s="37">
        <f ca="1">INDIRECT(_xlfn.TEXTJOIN("",TRUE,A1412,"!",ADDRESS(16+(A1413-1)*A1409,2)))</f>
        <v>0</v>
      </c>
      <c r="D1399" s="38"/>
      <c r="E1399" s="38"/>
      <c r="F1399" s="38"/>
      <c r="G1399" s="39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35">
        <f ca="1">INDIRECT(_xlfn.TEXTJOIN("",TRUE,A1412,"!",ADDRESS(17+(A1413-1)*A1409,1)))</f>
        <v>0</v>
      </c>
      <c r="B1400" s="36"/>
      <c r="C1400" s="37">
        <f ca="1">INDIRECT(_xlfn.TEXTJOIN("",TRUE,A1412,"!",ADDRESS(17+(A1413-1)*A1409,2)))</f>
        <v>0</v>
      </c>
      <c r="D1400" s="38"/>
      <c r="E1400" s="38"/>
      <c r="F1400" s="38"/>
      <c r="G1400" s="39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35">
        <f ca="1">INDIRECT(_xlfn.TEXTJOIN("",TRUE,A1412,"!",ADDRESS(18+(A1413-1)*A1409,1)))</f>
        <v>0</v>
      </c>
      <c r="B1401" s="36"/>
      <c r="C1401" s="37">
        <f ca="1">INDIRECT(_xlfn.TEXTJOIN("",TRUE,A1412,"!",ADDRESS(18+(A1413-1)*A1409,2)))</f>
        <v>0</v>
      </c>
      <c r="D1401" s="38"/>
      <c r="E1401" s="38"/>
      <c r="F1401" s="38"/>
      <c r="G1401" s="39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35">
        <f ca="1">INDIRECT(_xlfn.TEXTJOIN("",TRUE,A1412,"!",ADDRESS(19+(A1413-1)*A1409,1)))</f>
        <v>0</v>
      </c>
      <c r="B1402" s="36"/>
      <c r="C1402" s="37">
        <f ca="1">INDIRECT(_xlfn.TEXTJOIN("",TRUE,A1412,"!",ADDRESS(19+(A1413-1)*A1409,2)))</f>
        <v>0</v>
      </c>
      <c r="D1402" s="38"/>
      <c r="E1402" s="38"/>
      <c r="F1402" s="38"/>
      <c r="G1402" s="39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35">
        <f ca="1">INDIRECT(_xlfn.TEXTJOIN("",TRUE,A1412,"!",ADDRESS(20+(A1413-1)*A1409,1)))</f>
        <v>0</v>
      </c>
      <c r="B1403" s="36"/>
      <c r="C1403" s="37">
        <f ca="1">INDIRECT(_xlfn.TEXTJOIN("",TRUE,A1412,"!",ADDRESS(20+(A1413-1)*A1409,2)))</f>
        <v>0</v>
      </c>
      <c r="D1403" s="38"/>
      <c r="E1403" s="38"/>
      <c r="F1403" s="38"/>
      <c r="G1403" s="39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35">
        <f ca="1">INDIRECT(_xlfn.TEXTJOIN("",TRUE,A1412,"!",ADDRESS(21+(A1413-1)*A1409,1)))</f>
        <v>0</v>
      </c>
      <c r="B1404" s="36"/>
      <c r="C1404" s="37">
        <f ca="1">INDIRECT(_xlfn.TEXTJOIN("",TRUE,A1412,"!",ADDRESS(21+(A1413-1)*A1409,2)))</f>
        <v>0</v>
      </c>
      <c r="D1404" s="38"/>
      <c r="E1404" s="38"/>
      <c r="F1404" s="38"/>
      <c r="G1404" s="39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35">
        <f ca="1">INDIRECT(_xlfn.TEXTJOIN("",TRUE,A1412,"!",ADDRESS(22+(A1413-1)*A1409,1)))</f>
        <v>0</v>
      </c>
      <c r="B1405" s="36"/>
      <c r="C1405" s="37">
        <f ca="1">INDIRECT(_xlfn.TEXTJOIN("",TRUE,A1412,"!",ADDRESS(22+(A1413-1)*A1409,2)))</f>
        <v>0</v>
      </c>
      <c r="D1405" s="38"/>
      <c r="E1405" s="38"/>
      <c r="F1405" s="38"/>
      <c r="G1405" s="39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35">
        <f ca="1">INDIRECT(_xlfn.TEXTJOIN("",TRUE,A1412,"!",ADDRESS(23+(A1413-1)*A1409,1)))</f>
        <v>0</v>
      </c>
      <c r="B1406" s="36"/>
      <c r="C1406" s="37">
        <f ca="1">INDIRECT(_xlfn.TEXTJOIN("",TRUE,A1412,"!",ADDRESS(23+(A1413-1)*A1409,2)))</f>
        <v>0</v>
      </c>
      <c r="D1406" s="38"/>
      <c r="E1406" s="38"/>
      <c r="F1406" s="38"/>
      <c r="G1406" s="39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35">
        <f ca="1">INDIRECT(_xlfn.TEXTJOIN("",TRUE,A1412,"!",ADDRESS(24+(A1413-1)*A1409,1)))</f>
        <v>0</v>
      </c>
      <c r="B1407" s="36"/>
      <c r="C1407" s="37">
        <f ca="1">INDIRECT(_xlfn.TEXTJOIN("",TRUE,A1412,"!",ADDRESS(24+(A1413-1)*A1409,2)))</f>
        <v>0</v>
      </c>
      <c r="D1407" s="38"/>
      <c r="E1407" s="38"/>
      <c r="F1407" s="38"/>
      <c r="G1407" s="39"/>
      <c r="H1407" s="20">
        <f ca="1">INDIRECT(_xlfn.TEXTJOIN("",TRUE,A1412,"!",ADDRESS(24+(A1413-1)*A1409,6)))</f>
        <v>0</v>
      </c>
      <c r="I1407" s="40">
        <f ca="1">INDIRECT(_xlfn.TEXTJOIN("",TRUE,A1412,"!",ADDRESS(24+(A1413-1)*A1409,13)))</f>
        <v>0</v>
      </c>
      <c r="J1407" s="41"/>
    </row>
    <row r="1408" spans="1:10" ht="28" customHeight="1" x14ac:dyDescent="0.2">
      <c r="A1408" s="42" t="s">
        <v>52</v>
      </c>
      <c r="B1408" s="42"/>
      <c r="C1408" s="42"/>
      <c r="D1408" s="42"/>
      <c r="E1408" s="42"/>
      <c r="F1408" s="42"/>
      <c r="G1408" s="42"/>
      <c r="H1408" s="16">
        <f ca="1">SUM(H1396:H1407)</f>
        <v>0</v>
      </c>
      <c r="I1408" s="16" t="s">
        <v>44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43" t="s">
        <v>40</v>
      </c>
      <c r="B1410" s="43"/>
      <c r="C1410" s="21">
        <f ca="1">INDIRECT(_xlfn.TEXTJOIN("",TRUE,A1412,"!",ADDRESS(5+A1413*A1409,12)))</f>
        <v>0</v>
      </c>
      <c r="D1410" s="43" t="s">
        <v>38</v>
      </c>
      <c r="E1410" s="43"/>
      <c r="F1410" s="18">
        <f ca="1">INDIRECT(_xlfn.TEXTJOIN("",TRUE,A1412,"!",ADDRESS(5+A1413*A1409,8)))</f>
        <v>0</v>
      </c>
      <c r="G1410" s="43" t="s">
        <v>39</v>
      </c>
      <c r="H1410" s="43"/>
      <c r="I1410" s="44">
        <f ca="1">INDIRECT(_xlfn.TEXTJOIN("",TRUE,A1412,"!",ADDRESS(5+A1413*A1409,10)))</f>
        <v>0</v>
      </c>
      <c r="J1410" s="44"/>
    </row>
    <row r="1411" spans="1:10" ht="28" customHeight="1" x14ac:dyDescent="0.2">
      <c r="A1411" s="19" t="s">
        <v>36</v>
      </c>
      <c r="B1411" s="45">
        <f ca="1">INDIRECT(_xlfn.TEXTJOIN("",TRUE,A1412,"!",ADDRESS(5+A1413*A1409,2)))</f>
        <v>0</v>
      </c>
      <c r="C1411" s="45"/>
      <c r="D1411" s="46" t="s">
        <v>37</v>
      </c>
      <c r="E1411" s="46"/>
      <c r="F1411" s="47">
        <f ca="1">INDIRECT(_xlfn.TEXTJOIN("",TRUE,A1412,"!",ADDRESS(5+A1413*A1409,5)))</f>
        <v>0</v>
      </c>
      <c r="G1411" s="47"/>
      <c r="H1411" s="47"/>
      <c r="I1411" s="47"/>
      <c r="J1411" s="47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</mergeCells>
  <conditionalFormatting sqref="I1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5984" right="0.31496062992125984" top="0.69791666666666663" bottom="0.79166666666666663" header="0.11811023622047245" footer="0.31496062992125984"/>
  <pageSetup paperSize="9" orientation="portrait" r:id="rId1"/>
  <headerFooter>
    <oddHeader>&amp;C&amp;G&amp;R&amp;"Times New Roman,Bold"&amp;12
Sl. No.: B.Tech/ME(MF)/2025-29/10&amp;P</oddHeader>
    <oddFooter xml:space="preserve">&amp;L&amp;"Times New Roman,Bold"&amp;12Prepared by                           Checked by
03.02.2026&amp;C&amp;"Times New Roman,Bold"&amp;12                                                  Examination Controller
&amp;R&amp;"Times New Roman,Bold"&amp;12Director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SEM_I</vt:lpstr>
      <vt:lpstr>TC_I</vt:lpstr>
      <vt:lpstr>GS_I</vt:lpstr>
      <vt:lpstr>I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2026-04-24T04:34:33Z</cp:lastPrinted>
  <dcterms:created xsi:type="dcterms:W3CDTF">2024-01-23T09:27:10Z</dcterms:created>
  <dcterms:modified xsi:type="dcterms:W3CDTF">2026-04-27T07:03:03Z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